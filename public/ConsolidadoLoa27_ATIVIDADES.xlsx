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sericardo\Desktop\importação\"/>
    </mc:Choice>
  </mc:AlternateContent>
  <xr:revisionPtr revIDLastSave="0" documentId="8_{14A58198-4408-42E7-8855-A4AAEADB9401}" xr6:coauthVersionLast="47" xr6:coauthVersionMax="47" xr10:uidLastSave="{00000000-0000-0000-0000-000000000000}"/>
  <bookViews>
    <workbookView xWindow="-120" yWindow="-120" windowWidth="29040" windowHeight="15840" xr2:uid="{59477CD5-9519-4B45-A372-97F2C7D32B3C}"/>
  </bookViews>
  <sheets>
    <sheet name="ConsolidadoLoa27_ATIVIDADES" sheetId="1" r:id="rId1"/>
    <sheet name="LDO 2027" sheetId="2" r:id="rId2"/>
    <sheet name="Planilha3" sheetId="5" r:id="rId3"/>
    <sheet name="Planilha1" sheetId="7" r:id="rId4"/>
    <sheet name="Programática que não tem na LDO" sheetId="4" state="hidden" r:id="rId5"/>
  </sheets>
  <definedNames>
    <definedName name="_xlnm._FilterDatabase" localSheetId="0" hidden="1">ConsolidadoLoa27_ATIVIDADES!$A$1:$T$2455</definedName>
    <definedName name="_xlnm._FilterDatabase" localSheetId="1" hidden="1">'LDO 2027'!$A$1:$G$2532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E38" i="7"/>
  <c r="K28" i="7"/>
  <c r="I49" i="7"/>
  <c r="G20" i="7"/>
  <c r="F43" i="5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328" i="1"/>
  <c r="O2324" i="1"/>
  <c r="O2325" i="1"/>
  <c r="O2316" i="1"/>
  <c r="O2317" i="1"/>
  <c r="O2318" i="1"/>
  <c r="O2319" i="1"/>
  <c r="O2320" i="1"/>
  <c r="O2321" i="1"/>
  <c r="O2322" i="1"/>
  <c r="O2308" i="1"/>
  <c r="O2309" i="1"/>
  <c r="O2310" i="1"/>
  <c r="O2304" i="1"/>
  <c r="O2305" i="1"/>
  <c r="O2306" i="1"/>
  <c r="O2301" i="1"/>
  <c r="O2292" i="1"/>
  <c r="O2285" i="1"/>
  <c r="O2286" i="1"/>
  <c r="O2287" i="1"/>
  <c r="O2288" i="1"/>
  <c r="O228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26" i="1"/>
  <c r="O2208" i="1"/>
  <c r="O2199" i="1"/>
  <c r="O2200" i="1"/>
  <c r="O2195" i="1"/>
  <c r="O2196" i="1"/>
  <c r="O2197" i="1"/>
  <c r="O2183" i="1"/>
  <c r="O2184" i="1"/>
  <c r="O2185" i="1"/>
  <c r="O2186" i="1"/>
  <c r="O2187" i="1"/>
  <c r="O2188" i="1"/>
  <c r="O2189" i="1"/>
  <c r="O2190" i="1"/>
  <c r="O2191" i="1"/>
  <c r="O2192" i="1"/>
  <c r="O2193" i="1"/>
  <c r="O2177" i="1"/>
  <c r="O2172" i="1"/>
  <c r="O2169" i="1"/>
  <c r="O2164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328" i="1"/>
  <c r="N2304" i="1"/>
  <c r="N2305" i="1"/>
  <c r="N2306" i="1"/>
  <c r="N2307" i="1"/>
  <c r="N2308" i="1"/>
  <c r="N2309" i="1"/>
  <c r="N2310" i="1"/>
  <c r="N2311" i="1"/>
  <c r="N2312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328" i="1"/>
  <c r="M2304" i="1"/>
  <c r="M2305" i="1"/>
  <c r="M2306" i="1"/>
  <c r="M2307" i="1"/>
  <c r="M2308" i="1"/>
  <c r="M2309" i="1"/>
  <c r="M2310" i="1"/>
  <c r="M2311" i="1"/>
  <c r="L2290" i="1"/>
  <c r="L2291" i="1"/>
  <c r="L2278" i="1"/>
  <c r="L2279" i="1"/>
  <c r="L2280" i="1"/>
  <c r="L2281" i="1"/>
  <c r="L2282" i="1"/>
  <c r="L2283" i="1"/>
  <c r="L2284" i="1"/>
  <c r="L2243" i="1"/>
  <c r="L2244" i="1"/>
  <c r="L2245" i="1"/>
  <c r="L2246" i="1"/>
  <c r="L2247" i="1"/>
  <c r="L2248" i="1"/>
  <c r="L2236" i="1"/>
  <c r="L2213" i="1"/>
  <c r="L2214" i="1"/>
  <c r="L2215" i="1"/>
  <c r="L2210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F768" i="1"/>
  <c r="N768" i="1" s="1"/>
  <c r="F735" i="1"/>
  <c r="N735" i="1" s="1"/>
  <c r="F734" i="1"/>
  <c r="N734" i="1" s="1"/>
  <c r="F737" i="1"/>
  <c r="N737" i="1" s="1"/>
  <c r="F736" i="1"/>
  <c r="N736" i="1" s="1"/>
  <c r="E878" i="1"/>
  <c r="M878" i="1" s="1"/>
  <c r="E879" i="1"/>
  <c r="H879" i="1" s="1"/>
  <c r="E877" i="1"/>
  <c r="M877" i="1" s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9" i="5"/>
  <c r="G2163" i="1"/>
  <c r="O2163" i="1" s="1"/>
  <c r="F2163" i="1"/>
  <c r="N2163" i="1" s="1"/>
  <c r="E2163" i="1"/>
  <c r="M2163" i="1" s="1"/>
  <c r="D2163" i="1"/>
  <c r="C2163" i="1"/>
  <c r="K2163" i="1" s="1"/>
  <c r="B2163" i="1"/>
  <c r="A2163" i="1"/>
  <c r="G2162" i="1"/>
  <c r="O2162" i="1" s="1"/>
  <c r="F2162" i="1"/>
  <c r="N2162" i="1" s="1"/>
  <c r="E2162" i="1"/>
  <c r="M2162" i="1" s="1"/>
  <c r="D2162" i="1"/>
  <c r="L2162" i="1" s="1"/>
  <c r="C2162" i="1"/>
  <c r="K2162" i="1" s="1"/>
  <c r="B2162" i="1"/>
  <c r="A2162" i="1"/>
  <c r="G2161" i="1"/>
  <c r="O2161" i="1" s="1"/>
  <c r="F2161" i="1"/>
  <c r="N2161" i="1" s="1"/>
  <c r="E2161" i="1"/>
  <c r="M2161" i="1" s="1"/>
  <c r="D2161" i="1"/>
  <c r="L2161" i="1" s="1"/>
  <c r="C2161" i="1"/>
  <c r="K2161" i="1" s="1"/>
  <c r="B2161" i="1"/>
  <c r="A2161" i="1"/>
  <c r="G2160" i="1"/>
  <c r="O2160" i="1" s="1"/>
  <c r="F2160" i="1"/>
  <c r="N2160" i="1" s="1"/>
  <c r="E2160" i="1"/>
  <c r="M2160" i="1" s="1"/>
  <c r="D2160" i="1"/>
  <c r="L2160" i="1" s="1"/>
  <c r="C2160" i="1"/>
  <c r="K2160" i="1" s="1"/>
  <c r="B2160" i="1"/>
  <c r="A2160" i="1"/>
  <c r="G2159" i="1"/>
  <c r="O2159" i="1" s="1"/>
  <c r="F2159" i="1"/>
  <c r="N2159" i="1" s="1"/>
  <c r="E2159" i="1"/>
  <c r="M2159" i="1" s="1"/>
  <c r="D2159" i="1"/>
  <c r="L2159" i="1" s="1"/>
  <c r="C2159" i="1"/>
  <c r="K2159" i="1" s="1"/>
  <c r="B2159" i="1"/>
  <c r="A2159" i="1"/>
  <c r="G2158" i="1"/>
  <c r="O2158" i="1" s="1"/>
  <c r="F2158" i="1"/>
  <c r="N2158" i="1" s="1"/>
  <c r="E2158" i="1"/>
  <c r="M2158" i="1" s="1"/>
  <c r="D2158" i="1"/>
  <c r="L2158" i="1" s="1"/>
  <c r="C2158" i="1"/>
  <c r="K2158" i="1" s="1"/>
  <c r="B2158" i="1"/>
  <c r="A2158" i="1"/>
  <c r="G2157" i="1"/>
  <c r="O2157" i="1" s="1"/>
  <c r="F2157" i="1"/>
  <c r="N2157" i="1" s="1"/>
  <c r="E2157" i="1"/>
  <c r="M2157" i="1" s="1"/>
  <c r="D2157" i="1"/>
  <c r="L2157" i="1" s="1"/>
  <c r="C2157" i="1"/>
  <c r="K2157" i="1" s="1"/>
  <c r="B2157" i="1"/>
  <c r="A2157" i="1"/>
  <c r="G2156" i="1"/>
  <c r="O2156" i="1" s="1"/>
  <c r="F2156" i="1"/>
  <c r="N2156" i="1" s="1"/>
  <c r="E2156" i="1"/>
  <c r="M2156" i="1" s="1"/>
  <c r="D2156" i="1"/>
  <c r="L2156" i="1" s="1"/>
  <c r="C2156" i="1"/>
  <c r="K2156" i="1" s="1"/>
  <c r="B2156" i="1"/>
  <c r="A2156" i="1"/>
  <c r="G2155" i="1"/>
  <c r="O2155" i="1" s="1"/>
  <c r="F2155" i="1"/>
  <c r="N2155" i="1" s="1"/>
  <c r="E2155" i="1"/>
  <c r="M2155" i="1" s="1"/>
  <c r="D2155" i="1"/>
  <c r="L2155" i="1" s="1"/>
  <c r="C2155" i="1"/>
  <c r="K2155" i="1" s="1"/>
  <c r="B2155" i="1"/>
  <c r="A2155" i="1"/>
  <c r="G2154" i="1"/>
  <c r="O2154" i="1" s="1"/>
  <c r="F2154" i="1"/>
  <c r="N2154" i="1" s="1"/>
  <c r="E2154" i="1"/>
  <c r="M2154" i="1" s="1"/>
  <c r="D2154" i="1"/>
  <c r="L2154" i="1" s="1"/>
  <c r="C2154" i="1"/>
  <c r="K2154" i="1" s="1"/>
  <c r="B2154" i="1"/>
  <c r="A2154" i="1"/>
  <c r="G2153" i="1"/>
  <c r="O2153" i="1" s="1"/>
  <c r="F2153" i="1"/>
  <c r="N2153" i="1" s="1"/>
  <c r="E2153" i="1"/>
  <c r="M2153" i="1" s="1"/>
  <c r="D2153" i="1"/>
  <c r="L2153" i="1" s="1"/>
  <c r="C2153" i="1"/>
  <c r="K2153" i="1" s="1"/>
  <c r="B2153" i="1"/>
  <c r="A2153" i="1"/>
  <c r="G2152" i="1"/>
  <c r="O2152" i="1" s="1"/>
  <c r="F2152" i="1"/>
  <c r="N2152" i="1" s="1"/>
  <c r="E2152" i="1"/>
  <c r="M2152" i="1" s="1"/>
  <c r="D2152" i="1"/>
  <c r="L2152" i="1" s="1"/>
  <c r="C2152" i="1"/>
  <c r="K2152" i="1" s="1"/>
  <c r="B2152" i="1"/>
  <c r="A2152" i="1"/>
  <c r="G2151" i="1"/>
  <c r="O2151" i="1" s="1"/>
  <c r="F2151" i="1"/>
  <c r="N2151" i="1" s="1"/>
  <c r="E2151" i="1"/>
  <c r="M2151" i="1" s="1"/>
  <c r="D2151" i="1"/>
  <c r="L2151" i="1" s="1"/>
  <c r="C2151" i="1"/>
  <c r="K2151" i="1" s="1"/>
  <c r="B2151" i="1"/>
  <c r="A2151" i="1"/>
  <c r="G2150" i="1"/>
  <c r="O2150" i="1" s="1"/>
  <c r="F2150" i="1"/>
  <c r="N2150" i="1" s="1"/>
  <c r="E2150" i="1"/>
  <c r="M2150" i="1" s="1"/>
  <c r="D2150" i="1"/>
  <c r="L2150" i="1" s="1"/>
  <c r="C2150" i="1"/>
  <c r="K2150" i="1" s="1"/>
  <c r="B2150" i="1"/>
  <c r="A2150" i="1"/>
  <c r="G2149" i="1"/>
  <c r="O2149" i="1" s="1"/>
  <c r="F2149" i="1"/>
  <c r="N2149" i="1" s="1"/>
  <c r="E2149" i="1"/>
  <c r="M2149" i="1" s="1"/>
  <c r="D2149" i="1"/>
  <c r="L2149" i="1" s="1"/>
  <c r="C2149" i="1"/>
  <c r="K2149" i="1" s="1"/>
  <c r="B2149" i="1"/>
  <c r="A2149" i="1"/>
  <c r="G2148" i="1"/>
  <c r="O2148" i="1" s="1"/>
  <c r="F2148" i="1"/>
  <c r="N2148" i="1" s="1"/>
  <c r="E2148" i="1"/>
  <c r="M2148" i="1" s="1"/>
  <c r="D2148" i="1"/>
  <c r="L2148" i="1" s="1"/>
  <c r="C2148" i="1"/>
  <c r="K2148" i="1" s="1"/>
  <c r="B2148" i="1"/>
  <c r="A2148" i="1"/>
  <c r="G2147" i="1"/>
  <c r="O2147" i="1" s="1"/>
  <c r="F2147" i="1"/>
  <c r="N2147" i="1" s="1"/>
  <c r="E2147" i="1"/>
  <c r="M2147" i="1" s="1"/>
  <c r="D2147" i="1"/>
  <c r="L2147" i="1" s="1"/>
  <c r="C2147" i="1"/>
  <c r="K2147" i="1" s="1"/>
  <c r="B2147" i="1"/>
  <c r="A2147" i="1"/>
  <c r="G2146" i="1"/>
  <c r="O2146" i="1" s="1"/>
  <c r="F2146" i="1"/>
  <c r="N2146" i="1" s="1"/>
  <c r="E2146" i="1"/>
  <c r="M2146" i="1" s="1"/>
  <c r="D2146" i="1"/>
  <c r="L2146" i="1" s="1"/>
  <c r="C2146" i="1"/>
  <c r="K2146" i="1" s="1"/>
  <c r="B2146" i="1"/>
  <c r="A2146" i="1"/>
  <c r="G2145" i="1"/>
  <c r="O2145" i="1" s="1"/>
  <c r="F2145" i="1"/>
  <c r="N2145" i="1" s="1"/>
  <c r="E2145" i="1"/>
  <c r="M2145" i="1" s="1"/>
  <c r="D2145" i="1"/>
  <c r="L2145" i="1" s="1"/>
  <c r="C2145" i="1"/>
  <c r="K2145" i="1" s="1"/>
  <c r="B2145" i="1"/>
  <c r="A2145" i="1"/>
  <c r="G2144" i="1"/>
  <c r="O2144" i="1" s="1"/>
  <c r="F2144" i="1"/>
  <c r="N2144" i="1" s="1"/>
  <c r="E2144" i="1"/>
  <c r="M2144" i="1" s="1"/>
  <c r="D2144" i="1"/>
  <c r="L2144" i="1" s="1"/>
  <c r="C2144" i="1"/>
  <c r="K2144" i="1" s="1"/>
  <c r="B2144" i="1"/>
  <c r="A2144" i="1"/>
  <c r="G2143" i="1"/>
  <c r="O2143" i="1" s="1"/>
  <c r="F2143" i="1"/>
  <c r="N2143" i="1" s="1"/>
  <c r="E2143" i="1"/>
  <c r="M2143" i="1" s="1"/>
  <c r="D2143" i="1"/>
  <c r="L2143" i="1" s="1"/>
  <c r="C2143" i="1"/>
  <c r="K2143" i="1" s="1"/>
  <c r="B2143" i="1"/>
  <c r="A2143" i="1"/>
  <c r="G2142" i="1"/>
  <c r="O2142" i="1" s="1"/>
  <c r="F2142" i="1"/>
  <c r="N2142" i="1" s="1"/>
  <c r="E2142" i="1"/>
  <c r="M2142" i="1" s="1"/>
  <c r="D2142" i="1"/>
  <c r="L2142" i="1" s="1"/>
  <c r="C2142" i="1"/>
  <c r="K2142" i="1" s="1"/>
  <c r="B2142" i="1"/>
  <c r="A2142" i="1"/>
  <c r="G2141" i="1"/>
  <c r="O2141" i="1" s="1"/>
  <c r="F2141" i="1"/>
  <c r="N2141" i="1" s="1"/>
  <c r="E2141" i="1"/>
  <c r="M2141" i="1" s="1"/>
  <c r="D2141" i="1"/>
  <c r="L2141" i="1" s="1"/>
  <c r="C2141" i="1"/>
  <c r="K2141" i="1" s="1"/>
  <c r="B2141" i="1"/>
  <c r="A2141" i="1"/>
  <c r="G2140" i="1"/>
  <c r="O2140" i="1" s="1"/>
  <c r="F2140" i="1"/>
  <c r="N2140" i="1" s="1"/>
  <c r="E2140" i="1"/>
  <c r="M2140" i="1" s="1"/>
  <c r="D2140" i="1"/>
  <c r="L2140" i="1" s="1"/>
  <c r="C2140" i="1"/>
  <c r="K2140" i="1" s="1"/>
  <c r="B2140" i="1"/>
  <c r="A2140" i="1"/>
  <c r="G2139" i="1"/>
  <c r="O2139" i="1" s="1"/>
  <c r="F2139" i="1"/>
  <c r="N2139" i="1" s="1"/>
  <c r="E2139" i="1"/>
  <c r="M2139" i="1" s="1"/>
  <c r="D2139" i="1"/>
  <c r="L2139" i="1" s="1"/>
  <c r="C2139" i="1"/>
  <c r="K2139" i="1" s="1"/>
  <c r="B2139" i="1"/>
  <c r="A2139" i="1"/>
  <c r="G2138" i="1"/>
  <c r="O2138" i="1" s="1"/>
  <c r="F2138" i="1"/>
  <c r="N2138" i="1" s="1"/>
  <c r="E2138" i="1"/>
  <c r="M2138" i="1" s="1"/>
  <c r="D2138" i="1"/>
  <c r="L2138" i="1" s="1"/>
  <c r="C2138" i="1"/>
  <c r="K2138" i="1" s="1"/>
  <c r="B2138" i="1"/>
  <c r="A2138" i="1"/>
  <c r="G2137" i="1"/>
  <c r="O2137" i="1" s="1"/>
  <c r="F2137" i="1"/>
  <c r="N2137" i="1" s="1"/>
  <c r="E2137" i="1"/>
  <c r="M2137" i="1" s="1"/>
  <c r="D2137" i="1"/>
  <c r="L2137" i="1" s="1"/>
  <c r="C2137" i="1"/>
  <c r="K2137" i="1" s="1"/>
  <c r="B2137" i="1"/>
  <c r="A2137" i="1"/>
  <c r="L216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5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A995" i="1"/>
  <c r="B995" i="1"/>
  <c r="C995" i="1"/>
  <c r="D995" i="1"/>
  <c r="E995" i="1"/>
  <c r="F995" i="1"/>
  <c r="G995" i="1"/>
  <c r="O995" i="1" s="1"/>
  <c r="A996" i="1"/>
  <c r="B996" i="1"/>
  <c r="C996" i="1"/>
  <c r="K996" i="1" s="1"/>
  <c r="D996" i="1"/>
  <c r="L996" i="1" s="1"/>
  <c r="E996" i="1"/>
  <c r="M996" i="1" s="1"/>
  <c r="F996" i="1"/>
  <c r="N996" i="1" s="1"/>
  <c r="G996" i="1"/>
  <c r="O996" i="1" s="1"/>
  <c r="A997" i="1"/>
  <c r="B997" i="1"/>
  <c r="C997" i="1"/>
  <c r="K997" i="1" s="1"/>
  <c r="D997" i="1"/>
  <c r="L997" i="1" s="1"/>
  <c r="E997" i="1"/>
  <c r="M997" i="1" s="1"/>
  <c r="F997" i="1"/>
  <c r="N997" i="1" s="1"/>
  <c r="G997" i="1"/>
  <c r="O997" i="1" s="1"/>
  <c r="A998" i="1"/>
  <c r="B998" i="1"/>
  <c r="C998" i="1"/>
  <c r="K998" i="1" s="1"/>
  <c r="D998" i="1"/>
  <c r="L998" i="1" s="1"/>
  <c r="E998" i="1"/>
  <c r="M998" i="1" s="1"/>
  <c r="F998" i="1"/>
  <c r="N998" i="1" s="1"/>
  <c r="G998" i="1"/>
  <c r="O998" i="1" s="1"/>
  <c r="A999" i="1"/>
  <c r="B999" i="1"/>
  <c r="C999" i="1"/>
  <c r="K999" i="1" s="1"/>
  <c r="D999" i="1"/>
  <c r="L999" i="1" s="1"/>
  <c r="E999" i="1"/>
  <c r="M999" i="1" s="1"/>
  <c r="F999" i="1"/>
  <c r="N999" i="1" s="1"/>
  <c r="G999" i="1"/>
  <c r="O999" i="1" s="1"/>
  <c r="A1000" i="1"/>
  <c r="B1000" i="1"/>
  <c r="C1000" i="1"/>
  <c r="K1000" i="1" s="1"/>
  <c r="D1000" i="1"/>
  <c r="L1000" i="1" s="1"/>
  <c r="E1000" i="1"/>
  <c r="M1000" i="1" s="1"/>
  <c r="F1000" i="1"/>
  <c r="N1000" i="1" s="1"/>
  <c r="G1000" i="1"/>
  <c r="O1000" i="1" s="1"/>
  <c r="A1001" i="1"/>
  <c r="B1001" i="1"/>
  <c r="C1001" i="1"/>
  <c r="K1001" i="1" s="1"/>
  <c r="D1001" i="1"/>
  <c r="L1001" i="1" s="1"/>
  <c r="E1001" i="1"/>
  <c r="M1001" i="1" s="1"/>
  <c r="F1001" i="1"/>
  <c r="N1001" i="1" s="1"/>
  <c r="G1001" i="1"/>
  <c r="O1001" i="1" s="1"/>
  <c r="A1002" i="1"/>
  <c r="B1002" i="1"/>
  <c r="C1002" i="1"/>
  <c r="K1002" i="1" s="1"/>
  <c r="D1002" i="1"/>
  <c r="L1002" i="1" s="1"/>
  <c r="E1002" i="1"/>
  <c r="M1002" i="1" s="1"/>
  <c r="F1002" i="1"/>
  <c r="N1002" i="1" s="1"/>
  <c r="G1002" i="1"/>
  <c r="O1002" i="1" s="1"/>
  <c r="A1003" i="1"/>
  <c r="B1003" i="1"/>
  <c r="C1003" i="1"/>
  <c r="K1003" i="1" s="1"/>
  <c r="D1003" i="1"/>
  <c r="L1003" i="1" s="1"/>
  <c r="E1003" i="1"/>
  <c r="M1003" i="1" s="1"/>
  <c r="F1003" i="1"/>
  <c r="N1003" i="1" s="1"/>
  <c r="G1003" i="1"/>
  <c r="O1003" i="1" s="1"/>
  <c r="A1004" i="1"/>
  <c r="B1004" i="1"/>
  <c r="C1004" i="1"/>
  <c r="K1004" i="1" s="1"/>
  <c r="D1004" i="1"/>
  <c r="L1004" i="1" s="1"/>
  <c r="E1004" i="1"/>
  <c r="M1004" i="1" s="1"/>
  <c r="F1004" i="1"/>
  <c r="N1004" i="1" s="1"/>
  <c r="G1004" i="1"/>
  <c r="O1004" i="1" s="1"/>
  <c r="A1005" i="1"/>
  <c r="B1005" i="1"/>
  <c r="C1005" i="1"/>
  <c r="K1005" i="1" s="1"/>
  <c r="D1005" i="1"/>
  <c r="L1005" i="1" s="1"/>
  <c r="E1005" i="1"/>
  <c r="M1005" i="1" s="1"/>
  <c r="F1005" i="1"/>
  <c r="N1005" i="1" s="1"/>
  <c r="G1005" i="1"/>
  <c r="O1005" i="1" s="1"/>
  <c r="A1006" i="1"/>
  <c r="B1006" i="1"/>
  <c r="C1006" i="1"/>
  <c r="K1006" i="1" s="1"/>
  <c r="D1006" i="1"/>
  <c r="L1006" i="1" s="1"/>
  <c r="E1006" i="1"/>
  <c r="M1006" i="1" s="1"/>
  <c r="F1006" i="1"/>
  <c r="N1006" i="1" s="1"/>
  <c r="G1006" i="1"/>
  <c r="O1006" i="1" s="1"/>
  <c r="A1007" i="1"/>
  <c r="B1007" i="1"/>
  <c r="C1007" i="1"/>
  <c r="K1007" i="1" s="1"/>
  <c r="D1007" i="1"/>
  <c r="L1007" i="1" s="1"/>
  <c r="E1007" i="1"/>
  <c r="M1007" i="1" s="1"/>
  <c r="F1007" i="1"/>
  <c r="N1007" i="1" s="1"/>
  <c r="G1007" i="1"/>
  <c r="O1007" i="1" s="1"/>
  <c r="A1008" i="1"/>
  <c r="B1008" i="1"/>
  <c r="C1008" i="1"/>
  <c r="K1008" i="1" s="1"/>
  <c r="D1008" i="1"/>
  <c r="L1008" i="1" s="1"/>
  <c r="E1008" i="1"/>
  <c r="M1008" i="1" s="1"/>
  <c r="F1008" i="1"/>
  <c r="N1008" i="1" s="1"/>
  <c r="G1008" i="1"/>
  <c r="O1008" i="1" s="1"/>
  <c r="A1009" i="1"/>
  <c r="I1009" i="1" s="1"/>
  <c r="B1009" i="1"/>
  <c r="C1009" i="1"/>
  <c r="K1009" i="1" s="1"/>
  <c r="D1009" i="1"/>
  <c r="L1009" i="1" s="1"/>
  <c r="E1009" i="1"/>
  <c r="M1009" i="1" s="1"/>
  <c r="F1009" i="1"/>
  <c r="N1009" i="1" s="1"/>
  <c r="G1009" i="1"/>
  <c r="O1009" i="1" s="1"/>
  <c r="A1010" i="1"/>
  <c r="I1010" i="1" s="1"/>
  <c r="B1010" i="1"/>
  <c r="C1010" i="1"/>
  <c r="K1010" i="1" s="1"/>
  <c r="D1010" i="1"/>
  <c r="L1010" i="1" s="1"/>
  <c r="E1010" i="1"/>
  <c r="M1010" i="1" s="1"/>
  <c r="F1010" i="1"/>
  <c r="N1010" i="1" s="1"/>
  <c r="G1010" i="1"/>
  <c r="O1010" i="1" s="1"/>
  <c r="A1011" i="1"/>
  <c r="I1011" i="1" s="1"/>
  <c r="B1011" i="1"/>
  <c r="C1011" i="1"/>
  <c r="K1011" i="1" s="1"/>
  <c r="D1011" i="1"/>
  <c r="L1011" i="1" s="1"/>
  <c r="E1011" i="1"/>
  <c r="M1011" i="1" s="1"/>
  <c r="F1011" i="1"/>
  <c r="N1011" i="1" s="1"/>
  <c r="G1011" i="1"/>
  <c r="O1011" i="1" s="1"/>
  <c r="A1012" i="1"/>
  <c r="I1012" i="1" s="1"/>
  <c r="B1012" i="1"/>
  <c r="C1012" i="1"/>
  <c r="K1012" i="1" s="1"/>
  <c r="D1012" i="1"/>
  <c r="L1012" i="1" s="1"/>
  <c r="E1012" i="1"/>
  <c r="M1012" i="1" s="1"/>
  <c r="F1012" i="1"/>
  <c r="N1012" i="1" s="1"/>
  <c r="G1012" i="1"/>
  <c r="O1012" i="1" s="1"/>
  <c r="A1013" i="1"/>
  <c r="I1013" i="1" s="1"/>
  <c r="B1013" i="1"/>
  <c r="C1013" i="1"/>
  <c r="K1013" i="1" s="1"/>
  <c r="D1013" i="1"/>
  <c r="L1013" i="1" s="1"/>
  <c r="E1013" i="1"/>
  <c r="M1013" i="1" s="1"/>
  <c r="F1013" i="1"/>
  <c r="N1013" i="1" s="1"/>
  <c r="G1013" i="1"/>
  <c r="O1013" i="1" s="1"/>
  <c r="A1014" i="1"/>
  <c r="I1014" i="1" s="1"/>
  <c r="B1014" i="1"/>
  <c r="C1014" i="1"/>
  <c r="K1014" i="1" s="1"/>
  <c r="D1014" i="1"/>
  <c r="L1014" i="1" s="1"/>
  <c r="E1014" i="1"/>
  <c r="M1014" i="1" s="1"/>
  <c r="F1014" i="1"/>
  <c r="N1014" i="1" s="1"/>
  <c r="G1014" i="1"/>
  <c r="O1014" i="1" s="1"/>
  <c r="A1015" i="1"/>
  <c r="I1015" i="1" s="1"/>
  <c r="B1015" i="1"/>
  <c r="C1015" i="1"/>
  <c r="K1015" i="1" s="1"/>
  <c r="D1015" i="1"/>
  <c r="L1015" i="1" s="1"/>
  <c r="E1015" i="1"/>
  <c r="M1015" i="1" s="1"/>
  <c r="F1015" i="1"/>
  <c r="N1015" i="1" s="1"/>
  <c r="G1015" i="1"/>
  <c r="O1015" i="1" s="1"/>
  <c r="A1016" i="1"/>
  <c r="I1016" i="1" s="1"/>
  <c r="B1016" i="1"/>
  <c r="C1016" i="1"/>
  <c r="K1016" i="1" s="1"/>
  <c r="D1016" i="1"/>
  <c r="L1016" i="1" s="1"/>
  <c r="E1016" i="1"/>
  <c r="M1016" i="1" s="1"/>
  <c r="F1016" i="1"/>
  <c r="N1016" i="1" s="1"/>
  <c r="G1016" i="1"/>
  <c r="O1016" i="1" s="1"/>
  <c r="A1017" i="1"/>
  <c r="I1017" i="1" s="1"/>
  <c r="B1017" i="1"/>
  <c r="C1017" i="1"/>
  <c r="K1017" i="1" s="1"/>
  <c r="D1017" i="1"/>
  <c r="L1017" i="1" s="1"/>
  <c r="E1017" i="1"/>
  <c r="M1017" i="1" s="1"/>
  <c r="F1017" i="1"/>
  <c r="N1017" i="1" s="1"/>
  <c r="G1017" i="1"/>
  <c r="O1017" i="1" s="1"/>
  <c r="A1018" i="1"/>
  <c r="I1018" i="1" s="1"/>
  <c r="B1018" i="1"/>
  <c r="C1018" i="1"/>
  <c r="K1018" i="1" s="1"/>
  <c r="D1018" i="1"/>
  <c r="L1018" i="1" s="1"/>
  <c r="E1018" i="1"/>
  <c r="M1018" i="1" s="1"/>
  <c r="F1018" i="1"/>
  <c r="N1018" i="1" s="1"/>
  <c r="G1018" i="1"/>
  <c r="O1018" i="1" s="1"/>
  <c r="A1019" i="1"/>
  <c r="I1019" i="1" s="1"/>
  <c r="B1019" i="1"/>
  <c r="C1019" i="1"/>
  <c r="K1019" i="1" s="1"/>
  <c r="D1019" i="1"/>
  <c r="L1019" i="1" s="1"/>
  <c r="E1019" i="1"/>
  <c r="M1019" i="1" s="1"/>
  <c r="F1019" i="1"/>
  <c r="N1019" i="1" s="1"/>
  <c r="G1019" i="1"/>
  <c r="O1019" i="1" s="1"/>
  <c r="A1020" i="1"/>
  <c r="I1020" i="1" s="1"/>
  <c r="B1020" i="1"/>
  <c r="C1020" i="1"/>
  <c r="K1020" i="1" s="1"/>
  <c r="D1020" i="1"/>
  <c r="L1020" i="1" s="1"/>
  <c r="E1020" i="1"/>
  <c r="M1020" i="1" s="1"/>
  <c r="F1020" i="1"/>
  <c r="N1020" i="1" s="1"/>
  <c r="G1020" i="1"/>
  <c r="O1020" i="1" s="1"/>
  <c r="A1021" i="1"/>
  <c r="I1021" i="1" s="1"/>
  <c r="B1021" i="1"/>
  <c r="C1021" i="1"/>
  <c r="K1021" i="1" s="1"/>
  <c r="D1021" i="1"/>
  <c r="L1021" i="1" s="1"/>
  <c r="E1021" i="1"/>
  <c r="M1021" i="1" s="1"/>
  <c r="F1021" i="1"/>
  <c r="N1021" i="1" s="1"/>
  <c r="G1021" i="1"/>
  <c r="O1021" i="1" s="1"/>
  <c r="A1022" i="1"/>
  <c r="I1022" i="1" s="1"/>
  <c r="B1022" i="1"/>
  <c r="C1022" i="1"/>
  <c r="K1022" i="1" s="1"/>
  <c r="D1022" i="1"/>
  <c r="L1022" i="1" s="1"/>
  <c r="E1022" i="1"/>
  <c r="M1022" i="1" s="1"/>
  <c r="F1022" i="1"/>
  <c r="N1022" i="1" s="1"/>
  <c r="G1022" i="1"/>
  <c r="O1022" i="1" s="1"/>
  <c r="A1023" i="1"/>
  <c r="I1023" i="1" s="1"/>
  <c r="B1023" i="1"/>
  <c r="C1023" i="1"/>
  <c r="K1023" i="1" s="1"/>
  <c r="D1023" i="1"/>
  <c r="L1023" i="1" s="1"/>
  <c r="E1023" i="1"/>
  <c r="M1023" i="1" s="1"/>
  <c r="F1023" i="1"/>
  <c r="N1023" i="1" s="1"/>
  <c r="G1023" i="1"/>
  <c r="O1023" i="1" s="1"/>
  <c r="A1024" i="1"/>
  <c r="I1024" i="1" s="1"/>
  <c r="B1024" i="1"/>
  <c r="C1024" i="1"/>
  <c r="K1024" i="1" s="1"/>
  <c r="D1024" i="1"/>
  <c r="L1024" i="1" s="1"/>
  <c r="E1024" i="1"/>
  <c r="M1024" i="1" s="1"/>
  <c r="F1024" i="1"/>
  <c r="N1024" i="1" s="1"/>
  <c r="G1024" i="1"/>
  <c r="O1024" i="1" s="1"/>
  <c r="A1025" i="1"/>
  <c r="I1025" i="1" s="1"/>
  <c r="B1025" i="1"/>
  <c r="C1025" i="1"/>
  <c r="K1025" i="1" s="1"/>
  <c r="D1025" i="1"/>
  <c r="L1025" i="1" s="1"/>
  <c r="E1025" i="1"/>
  <c r="M1025" i="1" s="1"/>
  <c r="F1025" i="1"/>
  <c r="N1025" i="1" s="1"/>
  <c r="G1025" i="1"/>
  <c r="O1025" i="1" s="1"/>
  <c r="A1026" i="1"/>
  <c r="I1026" i="1" s="1"/>
  <c r="B1026" i="1"/>
  <c r="C1026" i="1"/>
  <c r="K1026" i="1" s="1"/>
  <c r="D1026" i="1"/>
  <c r="L1026" i="1" s="1"/>
  <c r="E1026" i="1"/>
  <c r="M1026" i="1" s="1"/>
  <c r="F1026" i="1"/>
  <c r="N1026" i="1" s="1"/>
  <c r="G1026" i="1"/>
  <c r="O1026" i="1" s="1"/>
  <c r="A1027" i="1"/>
  <c r="I1027" i="1" s="1"/>
  <c r="B1027" i="1"/>
  <c r="C1027" i="1"/>
  <c r="K1027" i="1" s="1"/>
  <c r="D1027" i="1"/>
  <c r="L1027" i="1" s="1"/>
  <c r="E1027" i="1"/>
  <c r="M1027" i="1" s="1"/>
  <c r="F1027" i="1"/>
  <c r="N1027" i="1" s="1"/>
  <c r="G1027" i="1"/>
  <c r="O1027" i="1" s="1"/>
  <c r="A1028" i="1"/>
  <c r="I1028" i="1" s="1"/>
  <c r="B1028" i="1"/>
  <c r="C1028" i="1"/>
  <c r="K1028" i="1" s="1"/>
  <c r="D1028" i="1"/>
  <c r="L1028" i="1" s="1"/>
  <c r="E1028" i="1"/>
  <c r="M1028" i="1" s="1"/>
  <c r="F1028" i="1"/>
  <c r="N1028" i="1" s="1"/>
  <c r="G1028" i="1"/>
  <c r="O1028" i="1" s="1"/>
  <c r="A1029" i="1"/>
  <c r="I1029" i="1" s="1"/>
  <c r="B1029" i="1"/>
  <c r="C1029" i="1"/>
  <c r="K1029" i="1" s="1"/>
  <c r="D1029" i="1"/>
  <c r="L1029" i="1" s="1"/>
  <c r="E1029" i="1"/>
  <c r="M1029" i="1" s="1"/>
  <c r="F1029" i="1"/>
  <c r="N1029" i="1" s="1"/>
  <c r="G1029" i="1"/>
  <c r="O1029" i="1" s="1"/>
  <c r="A1030" i="1"/>
  <c r="I1030" i="1" s="1"/>
  <c r="B1030" i="1"/>
  <c r="C1030" i="1"/>
  <c r="K1030" i="1" s="1"/>
  <c r="D1030" i="1"/>
  <c r="L1030" i="1" s="1"/>
  <c r="E1030" i="1"/>
  <c r="M1030" i="1" s="1"/>
  <c r="F1030" i="1"/>
  <c r="N1030" i="1" s="1"/>
  <c r="G1030" i="1"/>
  <c r="O1030" i="1" s="1"/>
  <c r="A1031" i="1"/>
  <c r="I1031" i="1" s="1"/>
  <c r="B1031" i="1"/>
  <c r="C1031" i="1"/>
  <c r="K1031" i="1" s="1"/>
  <c r="D1031" i="1"/>
  <c r="L1031" i="1" s="1"/>
  <c r="E1031" i="1"/>
  <c r="M1031" i="1" s="1"/>
  <c r="F1031" i="1"/>
  <c r="N1031" i="1" s="1"/>
  <c r="G1031" i="1"/>
  <c r="O1031" i="1" s="1"/>
  <c r="A1032" i="1"/>
  <c r="I1032" i="1" s="1"/>
  <c r="B1032" i="1"/>
  <c r="C1032" i="1"/>
  <c r="K1032" i="1" s="1"/>
  <c r="D1032" i="1"/>
  <c r="L1032" i="1" s="1"/>
  <c r="E1032" i="1"/>
  <c r="M1032" i="1" s="1"/>
  <c r="F1032" i="1"/>
  <c r="N1032" i="1" s="1"/>
  <c r="G1032" i="1"/>
  <c r="O1032" i="1" s="1"/>
  <c r="A1033" i="1"/>
  <c r="I1033" i="1" s="1"/>
  <c r="B1033" i="1"/>
  <c r="C1033" i="1"/>
  <c r="K1033" i="1" s="1"/>
  <c r="D1033" i="1"/>
  <c r="L1033" i="1" s="1"/>
  <c r="E1033" i="1"/>
  <c r="M1033" i="1" s="1"/>
  <c r="F1033" i="1"/>
  <c r="N1033" i="1" s="1"/>
  <c r="G1033" i="1"/>
  <c r="O1033" i="1" s="1"/>
  <c r="A1034" i="1"/>
  <c r="I1034" i="1" s="1"/>
  <c r="B1034" i="1"/>
  <c r="C1034" i="1"/>
  <c r="K1034" i="1" s="1"/>
  <c r="D1034" i="1"/>
  <c r="L1034" i="1" s="1"/>
  <c r="E1034" i="1"/>
  <c r="M1034" i="1" s="1"/>
  <c r="F1034" i="1"/>
  <c r="N1034" i="1" s="1"/>
  <c r="G1034" i="1"/>
  <c r="O1034" i="1" s="1"/>
  <c r="A1035" i="1"/>
  <c r="I1035" i="1" s="1"/>
  <c r="B1035" i="1"/>
  <c r="C1035" i="1"/>
  <c r="K1035" i="1" s="1"/>
  <c r="D1035" i="1"/>
  <c r="L1035" i="1" s="1"/>
  <c r="E1035" i="1"/>
  <c r="M1035" i="1" s="1"/>
  <c r="F1035" i="1"/>
  <c r="N1035" i="1" s="1"/>
  <c r="G1035" i="1"/>
  <c r="O1035" i="1" s="1"/>
  <c r="A1036" i="1"/>
  <c r="I1036" i="1" s="1"/>
  <c r="B1036" i="1"/>
  <c r="C1036" i="1"/>
  <c r="K1036" i="1" s="1"/>
  <c r="D1036" i="1"/>
  <c r="L1036" i="1" s="1"/>
  <c r="E1036" i="1"/>
  <c r="M1036" i="1" s="1"/>
  <c r="F1036" i="1"/>
  <c r="N1036" i="1" s="1"/>
  <c r="G1036" i="1"/>
  <c r="O1036" i="1" s="1"/>
  <c r="A1037" i="1"/>
  <c r="I1037" i="1" s="1"/>
  <c r="B1037" i="1"/>
  <c r="C1037" i="1"/>
  <c r="K1037" i="1" s="1"/>
  <c r="D1037" i="1"/>
  <c r="L1037" i="1" s="1"/>
  <c r="E1037" i="1"/>
  <c r="M1037" i="1" s="1"/>
  <c r="F1037" i="1"/>
  <c r="N1037" i="1" s="1"/>
  <c r="G1037" i="1"/>
  <c r="O1037" i="1" s="1"/>
  <c r="A1038" i="1"/>
  <c r="I1038" i="1" s="1"/>
  <c r="B1038" i="1"/>
  <c r="C1038" i="1"/>
  <c r="K1038" i="1" s="1"/>
  <c r="D1038" i="1"/>
  <c r="L1038" i="1" s="1"/>
  <c r="E1038" i="1"/>
  <c r="M1038" i="1" s="1"/>
  <c r="F1038" i="1"/>
  <c r="N1038" i="1" s="1"/>
  <c r="G1038" i="1"/>
  <c r="O1038" i="1" s="1"/>
  <c r="A1039" i="1"/>
  <c r="I1039" i="1" s="1"/>
  <c r="B1039" i="1"/>
  <c r="C1039" i="1"/>
  <c r="K1039" i="1" s="1"/>
  <c r="D1039" i="1"/>
  <c r="L1039" i="1" s="1"/>
  <c r="E1039" i="1"/>
  <c r="M1039" i="1" s="1"/>
  <c r="F1039" i="1"/>
  <c r="N1039" i="1" s="1"/>
  <c r="G1039" i="1"/>
  <c r="O1039" i="1" s="1"/>
  <c r="A1040" i="1"/>
  <c r="I1040" i="1" s="1"/>
  <c r="B1040" i="1"/>
  <c r="C1040" i="1"/>
  <c r="K1040" i="1" s="1"/>
  <c r="D1040" i="1"/>
  <c r="L1040" i="1" s="1"/>
  <c r="E1040" i="1"/>
  <c r="M1040" i="1" s="1"/>
  <c r="F1040" i="1"/>
  <c r="N1040" i="1" s="1"/>
  <c r="G1040" i="1"/>
  <c r="O1040" i="1" s="1"/>
  <c r="A1041" i="1"/>
  <c r="I1041" i="1" s="1"/>
  <c r="B1041" i="1"/>
  <c r="C1041" i="1"/>
  <c r="K1041" i="1" s="1"/>
  <c r="D1041" i="1"/>
  <c r="L1041" i="1" s="1"/>
  <c r="E1041" i="1"/>
  <c r="M1041" i="1" s="1"/>
  <c r="F1041" i="1"/>
  <c r="N1041" i="1" s="1"/>
  <c r="G1041" i="1"/>
  <c r="O1041" i="1" s="1"/>
  <c r="A1042" i="1"/>
  <c r="I1042" i="1" s="1"/>
  <c r="B1042" i="1"/>
  <c r="C1042" i="1"/>
  <c r="K1042" i="1" s="1"/>
  <c r="D1042" i="1"/>
  <c r="L1042" i="1" s="1"/>
  <c r="E1042" i="1"/>
  <c r="M1042" i="1" s="1"/>
  <c r="F1042" i="1"/>
  <c r="N1042" i="1" s="1"/>
  <c r="G1042" i="1"/>
  <c r="O1042" i="1" s="1"/>
  <c r="A1043" i="1"/>
  <c r="I1043" i="1" s="1"/>
  <c r="B1043" i="1"/>
  <c r="C1043" i="1"/>
  <c r="K1043" i="1" s="1"/>
  <c r="D1043" i="1"/>
  <c r="L1043" i="1" s="1"/>
  <c r="E1043" i="1"/>
  <c r="M1043" i="1" s="1"/>
  <c r="F1043" i="1"/>
  <c r="N1043" i="1" s="1"/>
  <c r="G1043" i="1"/>
  <c r="O1043" i="1" s="1"/>
  <c r="A1044" i="1"/>
  <c r="I1044" i="1" s="1"/>
  <c r="B1044" i="1"/>
  <c r="C1044" i="1"/>
  <c r="K1044" i="1" s="1"/>
  <c r="D1044" i="1"/>
  <c r="L1044" i="1" s="1"/>
  <c r="E1044" i="1"/>
  <c r="M1044" i="1" s="1"/>
  <c r="F1044" i="1"/>
  <c r="N1044" i="1" s="1"/>
  <c r="G1044" i="1"/>
  <c r="O1044" i="1" s="1"/>
  <c r="A1045" i="1"/>
  <c r="I1045" i="1" s="1"/>
  <c r="B1045" i="1"/>
  <c r="C1045" i="1"/>
  <c r="K1045" i="1" s="1"/>
  <c r="D1045" i="1"/>
  <c r="L1045" i="1" s="1"/>
  <c r="E1045" i="1"/>
  <c r="M1045" i="1" s="1"/>
  <c r="F1045" i="1"/>
  <c r="N1045" i="1" s="1"/>
  <c r="G1045" i="1"/>
  <c r="O1045" i="1" s="1"/>
  <c r="A1046" i="1"/>
  <c r="I1046" i="1" s="1"/>
  <c r="B1046" i="1"/>
  <c r="C1046" i="1"/>
  <c r="K1046" i="1" s="1"/>
  <c r="D1046" i="1"/>
  <c r="L1046" i="1" s="1"/>
  <c r="E1046" i="1"/>
  <c r="M1046" i="1" s="1"/>
  <c r="F1046" i="1"/>
  <c r="N1046" i="1" s="1"/>
  <c r="G1046" i="1"/>
  <c r="O1046" i="1" s="1"/>
  <c r="A1047" i="1"/>
  <c r="I1047" i="1" s="1"/>
  <c r="B1047" i="1"/>
  <c r="C1047" i="1"/>
  <c r="K1047" i="1" s="1"/>
  <c r="D1047" i="1"/>
  <c r="L1047" i="1" s="1"/>
  <c r="E1047" i="1"/>
  <c r="M1047" i="1" s="1"/>
  <c r="F1047" i="1"/>
  <c r="N1047" i="1" s="1"/>
  <c r="G1047" i="1"/>
  <c r="O1047" i="1" s="1"/>
  <c r="A1048" i="1"/>
  <c r="I1048" i="1" s="1"/>
  <c r="B1048" i="1"/>
  <c r="C1048" i="1"/>
  <c r="K1048" i="1" s="1"/>
  <c r="D1048" i="1"/>
  <c r="L1048" i="1" s="1"/>
  <c r="E1048" i="1"/>
  <c r="M1048" i="1" s="1"/>
  <c r="F1048" i="1"/>
  <c r="N1048" i="1" s="1"/>
  <c r="G1048" i="1"/>
  <c r="O1048" i="1" s="1"/>
  <c r="A1049" i="1"/>
  <c r="I1049" i="1" s="1"/>
  <c r="B1049" i="1"/>
  <c r="C1049" i="1"/>
  <c r="K1049" i="1" s="1"/>
  <c r="D1049" i="1"/>
  <c r="L1049" i="1" s="1"/>
  <c r="E1049" i="1"/>
  <c r="M1049" i="1" s="1"/>
  <c r="F1049" i="1"/>
  <c r="N1049" i="1" s="1"/>
  <c r="G1049" i="1"/>
  <c r="O1049" i="1" s="1"/>
  <c r="A1050" i="1"/>
  <c r="I1050" i="1" s="1"/>
  <c r="B1050" i="1"/>
  <c r="C1050" i="1"/>
  <c r="K1050" i="1" s="1"/>
  <c r="D1050" i="1"/>
  <c r="L1050" i="1" s="1"/>
  <c r="E1050" i="1"/>
  <c r="M1050" i="1" s="1"/>
  <c r="F1050" i="1"/>
  <c r="N1050" i="1" s="1"/>
  <c r="G1050" i="1"/>
  <c r="O1050" i="1" s="1"/>
  <c r="A1051" i="1"/>
  <c r="I1051" i="1" s="1"/>
  <c r="B1051" i="1"/>
  <c r="C1051" i="1"/>
  <c r="K1051" i="1" s="1"/>
  <c r="D1051" i="1"/>
  <c r="L1051" i="1" s="1"/>
  <c r="E1051" i="1"/>
  <c r="M1051" i="1" s="1"/>
  <c r="F1051" i="1"/>
  <c r="N1051" i="1" s="1"/>
  <c r="G1051" i="1"/>
  <c r="O1051" i="1" s="1"/>
  <c r="A1052" i="1"/>
  <c r="I1052" i="1" s="1"/>
  <c r="B1052" i="1"/>
  <c r="C1052" i="1"/>
  <c r="K1052" i="1" s="1"/>
  <c r="D1052" i="1"/>
  <c r="L1052" i="1" s="1"/>
  <c r="E1052" i="1"/>
  <c r="M1052" i="1" s="1"/>
  <c r="F1052" i="1"/>
  <c r="N1052" i="1" s="1"/>
  <c r="G1052" i="1"/>
  <c r="O1052" i="1" s="1"/>
  <c r="A1053" i="1"/>
  <c r="I1053" i="1" s="1"/>
  <c r="B1053" i="1"/>
  <c r="C1053" i="1"/>
  <c r="K1053" i="1" s="1"/>
  <c r="D1053" i="1"/>
  <c r="L1053" i="1" s="1"/>
  <c r="E1053" i="1"/>
  <c r="M1053" i="1" s="1"/>
  <c r="F1053" i="1"/>
  <c r="N1053" i="1" s="1"/>
  <c r="G1053" i="1"/>
  <c r="O1053" i="1" s="1"/>
  <c r="A1054" i="1"/>
  <c r="I1054" i="1" s="1"/>
  <c r="B1054" i="1"/>
  <c r="C1054" i="1"/>
  <c r="K1054" i="1" s="1"/>
  <c r="D1054" i="1"/>
  <c r="L1054" i="1" s="1"/>
  <c r="E1054" i="1"/>
  <c r="M1054" i="1" s="1"/>
  <c r="F1054" i="1"/>
  <c r="N1054" i="1" s="1"/>
  <c r="G1054" i="1"/>
  <c r="O1054" i="1" s="1"/>
  <c r="A1055" i="1"/>
  <c r="I1055" i="1" s="1"/>
  <c r="B1055" i="1"/>
  <c r="C1055" i="1"/>
  <c r="K1055" i="1" s="1"/>
  <c r="D1055" i="1"/>
  <c r="L1055" i="1" s="1"/>
  <c r="E1055" i="1"/>
  <c r="M1055" i="1" s="1"/>
  <c r="F1055" i="1"/>
  <c r="N1055" i="1" s="1"/>
  <c r="G1055" i="1"/>
  <c r="O1055" i="1" s="1"/>
  <c r="A1056" i="1"/>
  <c r="I1056" i="1" s="1"/>
  <c r="B1056" i="1"/>
  <c r="C1056" i="1"/>
  <c r="K1056" i="1" s="1"/>
  <c r="D1056" i="1"/>
  <c r="L1056" i="1" s="1"/>
  <c r="E1056" i="1"/>
  <c r="M1056" i="1" s="1"/>
  <c r="F1056" i="1"/>
  <c r="N1056" i="1" s="1"/>
  <c r="G1056" i="1"/>
  <c r="O1056" i="1" s="1"/>
  <c r="A1057" i="1"/>
  <c r="I1057" i="1" s="1"/>
  <c r="B1057" i="1"/>
  <c r="C1057" i="1"/>
  <c r="K1057" i="1" s="1"/>
  <c r="D1057" i="1"/>
  <c r="L1057" i="1" s="1"/>
  <c r="E1057" i="1"/>
  <c r="M1057" i="1" s="1"/>
  <c r="F1057" i="1"/>
  <c r="N1057" i="1" s="1"/>
  <c r="G1057" i="1"/>
  <c r="O1057" i="1" s="1"/>
  <c r="A1058" i="1"/>
  <c r="I1058" i="1" s="1"/>
  <c r="B1058" i="1"/>
  <c r="C1058" i="1"/>
  <c r="K1058" i="1" s="1"/>
  <c r="D1058" i="1"/>
  <c r="L1058" i="1" s="1"/>
  <c r="E1058" i="1"/>
  <c r="M1058" i="1" s="1"/>
  <c r="F1058" i="1"/>
  <c r="N1058" i="1" s="1"/>
  <c r="G1058" i="1"/>
  <c r="O1058" i="1" s="1"/>
  <c r="A1059" i="1"/>
  <c r="I1059" i="1" s="1"/>
  <c r="B1059" i="1"/>
  <c r="C1059" i="1"/>
  <c r="K1059" i="1" s="1"/>
  <c r="D1059" i="1"/>
  <c r="L1059" i="1" s="1"/>
  <c r="E1059" i="1"/>
  <c r="M1059" i="1" s="1"/>
  <c r="F1059" i="1"/>
  <c r="N1059" i="1" s="1"/>
  <c r="G1059" i="1"/>
  <c r="O1059" i="1" s="1"/>
  <c r="A1060" i="1"/>
  <c r="I1060" i="1" s="1"/>
  <c r="B1060" i="1"/>
  <c r="C1060" i="1"/>
  <c r="K1060" i="1" s="1"/>
  <c r="D1060" i="1"/>
  <c r="L1060" i="1" s="1"/>
  <c r="E1060" i="1"/>
  <c r="M1060" i="1" s="1"/>
  <c r="F1060" i="1"/>
  <c r="N1060" i="1" s="1"/>
  <c r="G1060" i="1"/>
  <c r="O1060" i="1" s="1"/>
  <c r="A1061" i="1"/>
  <c r="I1061" i="1" s="1"/>
  <c r="B1061" i="1"/>
  <c r="C1061" i="1"/>
  <c r="K1061" i="1" s="1"/>
  <c r="D1061" i="1"/>
  <c r="L1061" i="1" s="1"/>
  <c r="E1061" i="1"/>
  <c r="M1061" i="1" s="1"/>
  <c r="F1061" i="1"/>
  <c r="N1061" i="1" s="1"/>
  <c r="G1061" i="1"/>
  <c r="O1061" i="1" s="1"/>
  <c r="A1062" i="1"/>
  <c r="I1062" i="1" s="1"/>
  <c r="B1062" i="1"/>
  <c r="C1062" i="1"/>
  <c r="K1062" i="1" s="1"/>
  <c r="D1062" i="1"/>
  <c r="L1062" i="1" s="1"/>
  <c r="E1062" i="1"/>
  <c r="M1062" i="1" s="1"/>
  <c r="F1062" i="1"/>
  <c r="N1062" i="1" s="1"/>
  <c r="G1062" i="1"/>
  <c r="O1062" i="1" s="1"/>
  <c r="A1063" i="1"/>
  <c r="I1063" i="1" s="1"/>
  <c r="B1063" i="1"/>
  <c r="C1063" i="1"/>
  <c r="K1063" i="1" s="1"/>
  <c r="D1063" i="1"/>
  <c r="L1063" i="1" s="1"/>
  <c r="E1063" i="1"/>
  <c r="M1063" i="1" s="1"/>
  <c r="F1063" i="1"/>
  <c r="N1063" i="1" s="1"/>
  <c r="G1063" i="1"/>
  <c r="O1063" i="1" s="1"/>
  <c r="A1064" i="1"/>
  <c r="I1064" i="1" s="1"/>
  <c r="B1064" i="1"/>
  <c r="C1064" i="1"/>
  <c r="K1064" i="1" s="1"/>
  <c r="D1064" i="1"/>
  <c r="L1064" i="1" s="1"/>
  <c r="E1064" i="1"/>
  <c r="M1064" i="1" s="1"/>
  <c r="F1064" i="1"/>
  <c r="N1064" i="1" s="1"/>
  <c r="G1064" i="1"/>
  <c r="O1064" i="1" s="1"/>
  <c r="A1065" i="1"/>
  <c r="I1065" i="1" s="1"/>
  <c r="B1065" i="1"/>
  <c r="C1065" i="1"/>
  <c r="K1065" i="1" s="1"/>
  <c r="D1065" i="1"/>
  <c r="L1065" i="1" s="1"/>
  <c r="E1065" i="1"/>
  <c r="M1065" i="1" s="1"/>
  <c r="F1065" i="1"/>
  <c r="N1065" i="1" s="1"/>
  <c r="G1065" i="1"/>
  <c r="O1065" i="1" s="1"/>
  <c r="A1066" i="1"/>
  <c r="I1066" i="1" s="1"/>
  <c r="B1066" i="1"/>
  <c r="C1066" i="1"/>
  <c r="K1066" i="1" s="1"/>
  <c r="D1066" i="1"/>
  <c r="L1066" i="1" s="1"/>
  <c r="E1066" i="1"/>
  <c r="M1066" i="1" s="1"/>
  <c r="F1066" i="1"/>
  <c r="N1066" i="1" s="1"/>
  <c r="G1066" i="1"/>
  <c r="O1066" i="1" s="1"/>
  <c r="A1067" i="1"/>
  <c r="I1067" i="1" s="1"/>
  <c r="B1067" i="1"/>
  <c r="C1067" i="1"/>
  <c r="K1067" i="1" s="1"/>
  <c r="D1067" i="1"/>
  <c r="L1067" i="1" s="1"/>
  <c r="E1067" i="1"/>
  <c r="M1067" i="1" s="1"/>
  <c r="F1067" i="1"/>
  <c r="N1067" i="1" s="1"/>
  <c r="G1067" i="1"/>
  <c r="O1067" i="1" s="1"/>
  <c r="A1068" i="1"/>
  <c r="I1068" i="1" s="1"/>
  <c r="B1068" i="1"/>
  <c r="C1068" i="1"/>
  <c r="K1068" i="1" s="1"/>
  <c r="D1068" i="1"/>
  <c r="L1068" i="1" s="1"/>
  <c r="E1068" i="1"/>
  <c r="M1068" i="1" s="1"/>
  <c r="F1068" i="1"/>
  <c r="N1068" i="1" s="1"/>
  <c r="G1068" i="1"/>
  <c r="O1068" i="1" s="1"/>
  <c r="A1069" i="1"/>
  <c r="I1069" i="1" s="1"/>
  <c r="B1069" i="1"/>
  <c r="C1069" i="1"/>
  <c r="K1069" i="1" s="1"/>
  <c r="D1069" i="1"/>
  <c r="L1069" i="1" s="1"/>
  <c r="E1069" i="1"/>
  <c r="M1069" i="1" s="1"/>
  <c r="F1069" i="1"/>
  <c r="N1069" i="1" s="1"/>
  <c r="G1069" i="1"/>
  <c r="O1069" i="1" s="1"/>
  <c r="A1070" i="1"/>
  <c r="I1070" i="1" s="1"/>
  <c r="B1070" i="1"/>
  <c r="C1070" i="1"/>
  <c r="K1070" i="1" s="1"/>
  <c r="D1070" i="1"/>
  <c r="L1070" i="1" s="1"/>
  <c r="E1070" i="1"/>
  <c r="M1070" i="1" s="1"/>
  <c r="F1070" i="1"/>
  <c r="N1070" i="1" s="1"/>
  <c r="G1070" i="1"/>
  <c r="O1070" i="1" s="1"/>
  <c r="A1071" i="1"/>
  <c r="I1071" i="1" s="1"/>
  <c r="B1071" i="1"/>
  <c r="C1071" i="1"/>
  <c r="K1071" i="1" s="1"/>
  <c r="D1071" i="1"/>
  <c r="L1071" i="1" s="1"/>
  <c r="E1071" i="1"/>
  <c r="M1071" i="1" s="1"/>
  <c r="F1071" i="1"/>
  <c r="N1071" i="1" s="1"/>
  <c r="G1071" i="1"/>
  <c r="O1071" i="1" s="1"/>
  <c r="A1072" i="1"/>
  <c r="I1072" i="1" s="1"/>
  <c r="B1072" i="1"/>
  <c r="C1072" i="1"/>
  <c r="K1072" i="1" s="1"/>
  <c r="D1072" i="1"/>
  <c r="L1072" i="1" s="1"/>
  <c r="E1072" i="1"/>
  <c r="M1072" i="1" s="1"/>
  <c r="F1072" i="1"/>
  <c r="N1072" i="1" s="1"/>
  <c r="G1072" i="1"/>
  <c r="O1072" i="1" s="1"/>
  <c r="A1073" i="1"/>
  <c r="I1073" i="1" s="1"/>
  <c r="B1073" i="1"/>
  <c r="C1073" i="1"/>
  <c r="K1073" i="1" s="1"/>
  <c r="D1073" i="1"/>
  <c r="L1073" i="1" s="1"/>
  <c r="E1073" i="1"/>
  <c r="M1073" i="1" s="1"/>
  <c r="F1073" i="1"/>
  <c r="N1073" i="1" s="1"/>
  <c r="G1073" i="1"/>
  <c r="O1073" i="1" s="1"/>
  <c r="A1074" i="1"/>
  <c r="I1074" i="1" s="1"/>
  <c r="B1074" i="1"/>
  <c r="C1074" i="1"/>
  <c r="K1074" i="1" s="1"/>
  <c r="D1074" i="1"/>
  <c r="L1074" i="1" s="1"/>
  <c r="E1074" i="1"/>
  <c r="M1074" i="1" s="1"/>
  <c r="F1074" i="1"/>
  <c r="N1074" i="1" s="1"/>
  <c r="G1074" i="1"/>
  <c r="O1074" i="1" s="1"/>
  <c r="A1075" i="1"/>
  <c r="I1075" i="1" s="1"/>
  <c r="B1075" i="1"/>
  <c r="C1075" i="1"/>
  <c r="K1075" i="1" s="1"/>
  <c r="D1075" i="1"/>
  <c r="L1075" i="1" s="1"/>
  <c r="E1075" i="1"/>
  <c r="M1075" i="1" s="1"/>
  <c r="F1075" i="1"/>
  <c r="N1075" i="1" s="1"/>
  <c r="G1075" i="1"/>
  <c r="O1075" i="1" s="1"/>
  <c r="A1076" i="1"/>
  <c r="I1076" i="1" s="1"/>
  <c r="B1076" i="1"/>
  <c r="C1076" i="1"/>
  <c r="K1076" i="1" s="1"/>
  <c r="D1076" i="1"/>
  <c r="L1076" i="1" s="1"/>
  <c r="E1076" i="1"/>
  <c r="M1076" i="1" s="1"/>
  <c r="F1076" i="1"/>
  <c r="N1076" i="1" s="1"/>
  <c r="G1076" i="1"/>
  <c r="O1076" i="1" s="1"/>
  <c r="A1077" i="1"/>
  <c r="I1077" i="1" s="1"/>
  <c r="B1077" i="1"/>
  <c r="C1077" i="1"/>
  <c r="K1077" i="1" s="1"/>
  <c r="D1077" i="1"/>
  <c r="L1077" i="1" s="1"/>
  <c r="E1077" i="1"/>
  <c r="M1077" i="1" s="1"/>
  <c r="F1077" i="1"/>
  <c r="N1077" i="1" s="1"/>
  <c r="G1077" i="1"/>
  <c r="O1077" i="1" s="1"/>
  <c r="A1078" i="1"/>
  <c r="I1078" i="1" s="1"/>
  <c r="B1078" i="1"/>
  <c r="C1078" i="1"/>
  <c r="K1078" i="1" s="1"/>
  <c r="D1078" i="1"/>
  <c r="L1078" i="1" s="1"/>
  <c r="E1078" i="1"/>
  <c r="M1078" i="1" s="1"/>
  <c r="F1078" i="1"/>
  <c r="N1078" i="1" s="1"/>
  <c r="G1078" i="1"/>
  <c r="O1078" i="1" s="1"/>
  <c r="A1079" i="1"/>
  <c r="I1079" i="1" s="1"/>
  <c r="B1079" i="1"/>
  <c r="C1079" i="1"/>
  <c r="K1079" i="1" s="1"/>
  <c r="D1079" i="1"/>
  <c r="L1079" i="1" s="1"/>
  <c r="E1079" i="1"/>
  <c r="M1079" i="1" s="1"/>
  <c r="F1079" i="1"/>
  <c r="N1079" i="1" s="1"/>
  <c r="G1079" i="1"/>
  <c r="O1079" i="1" s="1"/>
  <c r="A1080" i="1"/>
  <c r="I1080" i="1" s="1"/>
  <c r="B1080" i="1"/>
  <c r="C1080" i="1"/>
  <c r="K1080" i="1" s="1"/>
  <c r="D1080" i="1"/>
  <c r="L1080" i="1" s="1"/>
  <c r="E1080" i="1"/>
  <c r="M1080" i="1" s="1"/>
  <c r="F1080" i="1"/>
  <c r="N1080" i="1" s="1"/>
  <c r="G1080" i="1"/>
  <c r="O1080" i="1" s="1"/>
  <c r="A1081" i="1"/>
  <c r="I1081" i="1" s="1"/>
  <c r="B1081" i="1"/>
  <c r="C1081" i="1"/>
  <c r="K1081" i="1" s="1"/>
  <c r="D1081" i="1"/>
  <c r="L1081" i="1" s="1"/>
  <c r="E1081" i="1"/>
  <c r="M1081" i="1" s="1"/>
  <c r="F1081" i="1"/>
  <c r="N1081" i="1" s="1"/>
  <c r="G1081" i="1"/>
  <c r="O1081" i="1" s="1"/>
  <c r="A1082" i="1"/>
  <c r="I1082" i="1" s="1"/>
  <c r="B1082" i="1"/>
  <c r="C1082" i="1"/>
  <c r="K1082" i="1" s="1"/>
  <c r="D1082" i="1"/>
  <c r="L1082" i="1" s="1"/>
  <c r="E1082" i="1"/>
  <c r="M1082" i="1" s="1"/>
  <c r="F1082" i="1"/>
  <c r="N1082" i="1" s="1"/>
  <c r="G1082" i="1"/>
  <c r="O1082" i="1" s="1"/>
  <c r="A1083" i="1"/>
  <c r="I1083" i="1" s="1"/>
  <c r="B1083" i="1"/>
  <c r="C1083" i="1"/>
  <c r="K1083" i="1" s="1"/>
  <c r="D1083" i="1"/>
  <c r="L1083" i="1" s="1"/>
  <c r="E1083" i="1"/>
  <c r="M1083" i="1" s="1"/>
  <c r="F1083" i="1"/>
  <c r="N1083" i="1" s="1"/>
  <c r="G1083" i="1"/>
  <c r="O1083" i="1" s="1"/>
  <c r="A1084" i="1"/>
  <c r="I1084" i="1" s="1"/>
  <c r="B1084" i="1"/>
  <c r="C1084" i="1"/>
  <c r="K1084" i="1" s="1"/>
  <c r="D1084" i="1"/>
  <c r="L1084" i="1" s="1"/>
  <c r="E1084" i="1"/>
  <c r="M1084" i="1" s="1"/>
  <c r="F1084" i="1"/>
  <c r="N1084" i="1" s="1"/>
  <c r="G1084" i="1"/>
  <c r="O1084" i="1" s="1"/>
  <c r="A1085" i="1"/>
  <c r="I1085" i="1" s="1"/>
  <c r="B1085" i="1"/>
  <c r="C1085" i="1"/>
  <c r="K1085" i="1" s="1"/>
  <c r="D1085" i="1"/>
  <c r="L1085" i="1" s="1"/>
  <c r="E1085" i="1"/>
  <c r="M1085" i="1" s="1"/>
  <c r="F1085" i="1"/>
  <c r="N1085" i="1" s="1"/>
  <c r="G1085" i="1"/>
  <c r="O1085" i="1" s="1"/>
  <c r="A1086" i="1"/>
  <c r="I1086" i="1" s="1"/>
  <c r="B1086" i="1"/>
  <c r="C1086" i="1"/>
  <c r="K1086" i="1" s="1"/>
  <c r="D1086" i="1"/>
  <c r="L1086" i="1" s="1"/>
  <c r="E1086" i="1"/>
  <c r="M1086" i="1" s="1"/>
  <c r="F1086" i="1"/>
  <c r="N1086" i="1" s="1"/>
  <c r="G1086" i="1"/>
  <c r="O1086" i="1" s="1"/>
  <c r="A1087" i="1"/>
  <c r="I1087" i="1" s="1"/>
  <c r="B1087" i="1"/>
  <c r="C1087" i="1"/>
  <c r="K1087" i="1" s="1"/>
  <c r="D1087" i="1"/>
  <c r="L1087" i="1" s="1"/>
  <c r="E1087" i="1"/>
  <c r="M1087" i="1" s="1"/>
  <c r="F1087" i="1"/>
  <c r="N1087" i="1" s="1"/>
  <c r="G1087" i="1"/>
  <c r="O1087" i="1" s="1"/>
  <c r="A1088" i="1"/>
  <c r="I1088" i="1" s="1"/>
  <c r="B1088" i="1"/>
  <c r="C1088" i="1"/>
  <c r="K1088" i="1" s="1"/>
  <c r="D1088" i="1"/>
  <c r="L1088" i="1" s="1"/>
  <c r="E1088" i="1"/>
  <c r="M1088" i="1" s="1"/>
  <c r="F1088" i="1"/>
  <c r="N1088" i="1" s="1"/>
  <c r="G1088" i="1"/>
  <c r="O1088" i="1" s="1"/>
  <c r="A1089" i="1"/>
  <c r="I1089" i="1" s="1"/>
  <c r="B1089" i="1"/>
  <c r="C1089" i="1"/>
  <c r="K1089" i="1" s="1"/>
  <c r="D1089" i="1"/>
  <c r="L1089" i="1" s="1"/>
  <c r="E1089" i="1"/>
  <c r="M1089" i="1" s="1"/>
  <c r="F1089" i="1"/>
  <c r="N1089" i="1" s="1"/>
  <c r="G1089" i="1"/>
  <c r="O1089" i="1" s="1"/>
  <c r="A1090" i="1"/>
  <c r="I1090" i="1" s="1"/>
  <c r="B1090" i="1"/>
  <c r="C1090" i="1"/>
  <c r="K1090" i="1" s="1"/>
  <c r="D1090" i="1"/>
  <c r="L1090" i="1" s="1"/>
  <c r="E1090" i="1"/>
  <c r="M1090" i="1" s="1"/>
  <c r="F1090" i="1"/>
  <c r="N1090" i="1" s="1"/>
  <c r="G1090" i="1"/>
  <c r="O1090" i="1" s="1"/>
  <c r="A1091" i="1"/>
  <c r="I1091" i="1" s="1"/>
  <c r="B1091" i="1"/>
  <c r="C1091" i="1"/>
  <c r="K1091" i="1" s="1"/>
  <c r="D1091" i="1"/>
  <c r="L1091" i="1" s="1"/>
  <c r="E1091" i="1"/>
  <c r="M1091" i="1" s="1"/>
  <c r="F1091" i="1"/>
  <c r="N1091" i="1" s="1"/>
  <c r="G1091" i="1"/>
  <c r="O1091" i="1" s="1"/>
  <c r="A1092" i="1"/>
  <c r="I1092" i="1" s="1"/>
  <c r="B1092" i="1"/>
  <c r="C1092" i="1"/>
  <c r="K1092" i="1" s="1"/>
  <c r="D1092" i="1"/>
  <c r="L1092" i="1" s="1"/>
  <c r="E1092" i="1"/>
  <c r="M1092" i="1" s="1"/>
  <c r="F1092" i="1"/>
  <c r="N1092" i="1" s="1"/>
  <c r="G1092" i="1"/>
  <c r="O1092" i="1" s="1"/>
  <c r="A1093" i="1"/>
  <c r="I1093" i="1" s="1"/>
  <c r="B1093" i="1"/>
  <c r="C1093" i="1"/>
  <c r="K1093" i="1" s="1"/>
  <c r="D1093" i="1"/>
  <c r="L1093" i="1" s="1"/>
  <c r="E1093" i="1"/>
  <c r="M1093" i="1" s="1"/>
  <c r="F1093" i="1"/>
  <c r="N1093" i="1" s="1"/>
  <c r="G1093" i="1"/>
  <c r="O1093" i="1" s="1"/>
  <c r="A1094" i="1"/>
  <c r="I1094" i="1" s="1"/>
  <c r="B1094" i="1"/>
  <c r="C1094" i="1"/>
  <c r="K1094" i="1" s="1"/>
  <c r="D1094" i="1"/>
  <c r="L1094" i="1" s="1"/>
  <c r="E1094" i="1"/>
  <c r="M1094" i="1" s="1"/>
  <c r="F1094" i="1"/>
  <c r="N1094" i="1" s="1"/>
  <c r="G1094" i="1"/>
  <c r="O1094" i="1" s="1"/>
  <c r="A1095" i="1"/>
  <c r="I1095" i="1" s="1"/>
  <c r="B1095" i="1"/>
  <c r="C1095" i="1"/>
  <c r="K1095" i="1" s="1"/>
  <c r="D1095" i="1"/>
  <c r="L1095" i="1" s="1"/>
  <c r="E1095" i="1"/>
  <c r="M1095" i="1" s="1"/>
  <c r="F1095" i="1"/>
  <c r="N1095" i="1" s="1"/>
  <c r="G1095" i="1"/>
  <c r="O1095" i="1" s="1"/>
  <c r="A1096" i="1"/>
  <c r="I1096" i="1" s="1"/>
  <c r="B1096" i="1"/>
  <c r="C1096" i="1"/>
  <c r="K1096" i="1" s="1"/>
  <c r="D1096" i="1"/>
  <c r="L1096" i="1" s="1"/>
  <c r="E1096" i="1"/>
  <c r="M1096" i="1" s="1"/>
  <c r="F1096" i="1"/>
  <c r="N1096" i="1" s="1"/>
  <c r="G1096" i="1"/>
  <c r="O1096" i="1" s="1"/>
  <c r="A1097" i="1"/>
  <c r="I1097" i="1" s="1"/>
  <c r="B1097" i="1"/>
  <c r="C1097" i="1"/>
  <c r="K1097" i="1" s="1"/>
  <c r="D1097" i="1"/>
  <c r="L1097" i="1" s="1"/>
  <c r="E1097" i="1"/>
  <c r="M1097" i="1" s="1"/>
  <c r="F1097" i="1"/>
  <c r="N1097" i="1" s="1"/>
  <c r="G1097" i="1"/>
  <c r="O1097" i="1" s="1"/>
  <c r="A1098" i="1"/>
  <c r="I1098" i="1" s="1"/>
  <c r="B1098" i="1"/>
  <c r="C1098" i="1"/>
  <c r="K1098" i="1" s="1"/>
  <c r="D1098" i="1"/>
  <c r="L1098" i="1" s="1"/>
  <c r="E1098" i="1"/>
  <c r="M1098" i="1" s="1"/>
  <c r="F1098" i="1"/>
  <c r="N1098" i="1" s="1"/>
  <c r="G1098" i="1"/>
  <c r="O1098" i="1" s="1"/>
  <c r="A1099" i="1"/>
  <c r="I1099" i="1" s="1"/>
  <c r="B1099" i="1"/>
  <c r="C1099" i="1"/>
  <c r="K1099" i="1" s="1"/>
  <c r="D1099" i="1"/>
  <c r="L1099" i="1" s="1"/>
  <c r="E1099" i="1"/>
  <c r="M1099" i="1" s="1"/>
  <c r="F1099" i="1"/>
  <c r="N1099" i="1" s="1"/>
  <c r="G1099" i="1"/>
  <c r="O1099" i="1" s="1"/>
  <c r="A1100" i="1"/>
  <c r="I1100" i="1" s="1"/>
  <c r="B1100" i="1"/>
  <c r="C1100" i="1"/>
  <c r="K1100" i="1" s="1"/>
  <c r="D1100" i="1"/>
  <c r="L1100" i="1" s="1"/>
  <c r="E1100" i="1"/>
  <c r="M1100" i="1" s="1"/>
  <c r="F1100" i="1"/>
  <c r="N1100" i="1" s="1"/>
  <c r="G1100" i="1"/>
  <c r="O1100" i="1" s="1"/>
  <c r="A1101" i="1"/>
  <c r="I1101" i="1" s="1"/>
  <c r="B1101" i="1"/>
  <c r="C1101" i="1"/>
  <c r="K1101" i="1" s="1"/>
  <c r="D1101" i="1"/>
  <c r="L1101" i="1" s="1"/>
  <c r="E1101" i="1"/>
  <c r="M1101" i="1" s="1"/>
  <c r="F1101" i="1"/>
  <c r="N1101" i="1" s="1"/>
  <c r="G1101" i="1"/>
  <c r="O1101" i="1" s="1"/>
  <c r="A1102" i="1"/>
  <c r="I1102" i="1" s="1"/>
  <c r="B1102" i="1"/>
  <c r="C1102" i="1"/>
  <c r="K1102" i="1" s="1"/>
  <c r="D1102" i="1"/>
  <c r="L1102" i="1" s="1"/>
  <c r="E1102" i="1"/>
  <c r="M1102" i="1" s="1"/>
  <c r="F1102" i="1"/>
  <c r="N1102" i="1" s="1"/>
  <c r="G1102" i="1"/>
  <c r="O1102" i="1" s="1"/>
  <c r="A1103" i="1"/>
  <c r="I1103" i="1" s="1"/>
  <c r="B1103" i="1"/>
  <c r="C1103" i="1"/>
  <c r="K1103" i="1" s="1"/>
  <c r="D1103" i="1"/>
  <c r="L1103" i="1" s="1"/>
  <c r="E1103" i="1"/>
  <c r="M1103" i="1" s="1"/>
  <c r="F1103" i="1"/>
  <c r="N1103" i="1" s="1"/>
  <c r="G1103" i="1"/>
  <c r="O1103" i="1" s="1"/>
  <c r="A1104" i="1"/>
  <c r="I1104" i="1" s="1"/>
  <c r="B1104" i="1"/>
  <c r="C1104" i="1"/>
  <c r="K1104" i="1" s="1"/>
  <c r="D1104" i="1"/>
  <c r="L1104" i="1" s="1"/>
  <c r="E1104" i="1"/>
  <c r="M1104" i="1" s="1"/>
  <c r="F1104" i="1"/>
  <c r="N1104" i="1" s="1"/>
  <c r="G1104" i="1"/>
  <c r="O1104" i="1" s="1"/>
  <c r="A1105" i="1"/>
  <c r="I1105" i="1" s="1"/>
  <c r="B1105" i="1"/>
  <c r="C1105" i="1"/>
  <c r="K1105" i="1" s="1"/>
  <c r="D1105" i="1"/>
  <c r="L1105" i="1" s="1"/>
  <c r="E1105" i="1"/>
  <c r="M1105" i="1" s="1"/>
  <c r="F1105" i="1"/>
  <c r="N1105" i="1" s="1"/>
  <c r="G1105" i="1"/>
  <c r="O1105" i="1" s="1"/>
  <c r="A1106" i="1"/>
  <c r="I1106" i="1" s="1"/>
  <c r="B1106" i="1"/>
  <c r="C1106" i="1"/>
  <c r="K1106" i="1" s="1"/>
  <c r="D1106" i="1"/>
  <c r="L1106" i="1" s="1"/>
  <c r="E1106" i="1"/>
  <c r="M1106" i="1" s="1"/>
  <c r="F1106" i="1"/>
  <c r="N1106" i="1" s="1"/>
  <c r="G1106" i="1"/>
  <c r="O1106" i="1" s="1"/>
  <c r="A1107" i="1"/>
  <c r="I1107" i="1" s="1"/>
  <c r="B1107" i="1"/>
  <c r="C1107" i="1"/>
  <c r="K1107" i="1" s="1"/>
  <c r="D1107" i="1"/>
  <c r="L1107" i="1" s="1"/>
  <c r="E1107" i="1"/>
  <c r="M1107" i="1" s="1"/>
  <c r="F1107" i="1"/>
  <c r="N1107" i="1" s="1"/>
  <c r="G1107" i="1"/>
  <c r="O1107" i="1" s="1"/>
  <c r="A1108" i="1"/>
  <c r="I1108" i="1" s="1"/>
  <c r="B1108" i="1"/>
  <c r="C1108" i="1"/>
  <c r="K1108" i="1" s="1"/>
  <c r="D1108" i="1"/>
  <c r="L1108" i="1" s="1"/>
  <c r="E1108" i="1"/>
  <c r="M1108" i="1" s="1"/>
  <c r="F1108" i="1"/>
  <c r="N1108" i="1" s="1"/>
  <c r="G1108" i="1"/>
  <c r="O1108" i="1" s="1"/>
  <c r="A1109" i="1"/>
  <c r="I1109" i="1" s="1"/>
  <c r="B1109" i="1"/>
  <c r="C1109" i="1"/>
  <c r="K1109" i="1" s="1"/>
  <c r="D1109" i="1"/>
  <c r="L1109" i="1" s="1"/>
  <c r="E1109" i="1"/>
  <c r="M1109" i="1" s="1"/>
  <c r="F1109" i="1"/>
  <c r="N1109" i="1" s="1"/>
  <c r="G1109" i="1"/>
  <c r="O1109" i="1" s="1"/>
  <c r="A1110" i="1"/>
  <c r="I1110" i="1" s="1"/>
  <c r="B1110" i="1"/>
  <c r="C1110" i="1"/>
  <c r="K1110" i="1" s="1"/>
  <c r="D1110" i="1"/>
  <c r="L1110" i="1" s="1"/>
  <c r="E1110" i="1"/>
  <c r="M1110" i="1" s="1"/>
  <c r="F1110" i="1"/>
  <c r="N1110" i="1" s="1"/>
  <c r="G1110" i="1"/>
  <c r="O1110" i="1" s="1"/>
  <c r="A1111" i="1"/>
  <c r="I1111" i="1" s="1"/>
  <c r="B1111" i="1"/>
  <c r="C1111" i="1"/>
  <c r="K1111" i="1" s="1"/>
  <c r="D1111" i="1"/>
  <c r="L1111" i="1" s="1"/>
  <c r="E1111" i="1"/>
  <c r="M1111" i="1" s="1"/>
  <c r="F1111" i="1"/>
  <c r="N1111" i="1" s="1"/>
  <c r="G1111" i="1"/>
  <c r="O1111" i="1" s="1"/>
  <c r="A1112" i="1"/>
  <c r="I1112" i="1" s="1"/>
  <c r="B1112" i="1"/>
  <c r="C1112" i="1"/>
  <c r="K1112" i="1" s="1"/>
  <c r="D1112" i="1"/>
  <c r="L1112" i="1" s="1"/>
  <c r="E1112" i="1"/>
  <c r="M1112" i="1" s="1"/>
  <c r="F1112" i="1"/>
  <c r="N1112" i="1" s="1"/>
  <c r="G1112" i="1"/>
  <c r="O1112" i="1" s="1"/>
  <c r="A1113" i="1"/>
  <c r="I1113" i="1" s="1"/>
  <c r="B1113" i="1"/>
  <c r="C1113" i="1"/>
  <c r="K1113" i="1" s="1"/>
  <c r="D1113" i="1"/>
  <c r="L1113" i="1" s="1"/>
  <c r="E1113" i="1"/>
  <c r="M1113" i="1" s="1"/>
  <c r="F1113" i="1"/>
  <c r="N1113" i="1" s="1"/>
  <c r="G1113" i="1"/>
  <c r="O1113" i="1" s="1"/>
  <c r="A1114" i="1"/>
  <c r="I1114" i="1" s="1"/>
  <c r="B1114" i="1"/>
  <c r="C1114" i="1"/>
  <c r="K1114" i="1" s="1"/>
  <c r="D1114" i="1"/>
  <c r="L1114" i="1" s="1"/>
  <c r="E1114" i="1"/>
  <c r="M1114" i="1" s="1"/>
  <c r="F1114" i="1"/>
  <c r="N1114" i="1" s="1"/>
  <c r="G1114" i="1"/>
  <c r="O1114" i="1" s="1"/>
  <c r="A1115" i="1"/>
  <c r="I1115" i="1" s="1"/>
  <c r="B1115" i="1"/>
  <c r="C1115" i="1"/>
  <c r="K1115" i="1" s="1"/>
  <c r="D1115" i="1"/>
  <c r="L1115" i="1" s="1"/>
  <c r="E1115" i="1"/>
  <c r="M1115" i="1" s="1"/>
  <c r="F1115" i="1"/>
  <c r="N1115" i="1" s="1"/>
  <c r="G1115" i="1"/>
  <c r="O1115" i="1" s="1"/>
  <c r="A1116" i="1"/>
  <c r="I1116" i="1" s="1"/>
  <c r="B1116" i="1"/>
  <c r="C1116" i="1"/>
  <c r="K1116" i="1" s="1"/>
  <c r="D1116" i="1"/>
  <c r="L1116" i="1" s="1"/>
  <c r="E1116" i="1"/>
  <c r="M1116" i="1" s="1"/>
  <c r="F1116" i="1"/>
  <c r="N1116" i="1" s="1"/>
  <c r="G1116" i="1"/>
  <c r="O1116" i="1" s="1"/>
  <c r="A1117" i="1"/>
  <c r="I1117" i="1" s="1"/>
  <c r="B1117" i="1"/>
  <c r="C1117" i="1"/>
  <c r="K1117" i="1" s="1"/>
  <c r="D1117" i="1"/>
  <c r="L1117" i="1" s="1"/>
  <c r="E1117" i="1"/>
  <c r="M1117" i="1" s="1"/>
  <c r="F1117" i="1"/>
  <c r="N1117" i="1" s="1"/>
  <c r="G1117" i="1"/>
  <c r="O1117" i="1" s="1"/>
  <c r="A1118" i="1"/>
  <c r="I1118" i="1" s="1"/>
  <c r="B1118" i="1"/>
  <c r="C1118" i="1"/>
  <c r="K1118" i="1" s="1"/>
  <c r="D1118" i="1"/>
  <c r="L1118" i="1" s="1"/>
  <c r="E1118" i="1"/>
  <c r="M1118" i="1" s="1"/>
  <c r="F1118" i="1"/>
  <c r="N1118" i="1" s="1"/>
  <c r="G1118" i="1"/>
  <c r="O1118" i="1" s="1"/>
  <c r="A1119" i="1"/>
  <c r="I1119" i="1" s="1"/>
  <c r="B1119" i="1"/>
  <c r="C1119" i="1"/>
  <c r="K1119" i="1" s="1"/>
  <c r="D1119" i="1"/>
  <c r="L1119" i="1" s="1"/>
  <c r="E1119" i="1"/>
  <c r="M1119" i="1" s="1"/>
  <c r="F1119" i="1"/>
  <c r="N1119" i="1" s="1"/>
  <c r="G1119" i="1"/>
  <c r="O1119" i="1" s="1"/>
  <c r="A1120" i="1"/>
  <c r="I1120" i="1" s="1"/>
  <c r="B1120" i="1"/>
  <c r="C1120" i="1"/>
  <c r="K1120" i="1" s="1"/>
  <c r="D1120" i="1"/>
  <c r="L1120" i="1" s="1"/>
  <c r="E1120" i="1"/>
  <c r="M1120" i="1" s="1"/>
  <c r="F1120" i="1"/>
  <c r="N1120" i="1" s="1"/>
  <c r="G1120" i="1"/>
  <c r="O1120" i="1" s="1"/>
  <c r="A1121" i="1"/>
  <c r="I1121" i="1" s="1"/>
  <c r="B1121" i="1"/>
  <c r="C1121" i="1"/>
  <c r="K1121" i="1" s="1"/>
  <c r="D1121" i="1"/>
  <c r="L1121" i="1" s="1"/>
  <c r="E1121" i="1"/>
  <c r="M1121" i="1" s="1"/>
  <c r="F1121" i="1"/>
  <c r="N1121" i="1" s="1"/>
  <c r="G1121" i="1"/>
  <c r="O1121" i="1" s="1"/>
  <c r="A1122" i="1"/>
  <c r="I1122" i="1" s="1"/>
  <c r="B1122" i="1"/>
  <c r="C1122" i="1"/>
  <c r="K1122" i="1" s="1"/>
  <c r="D1122" i="1"/>
  <c r="L1122" i="1" s="1"/>
  <c r="E1122" i="1"/>
  <c r="M1122" i="1" s="1"/>
  <c r="F1122" i="1"/>
  <c r="N1122" i="1" s="1"/>
  <c r="G1122" i="1"/>
  <c r="O1122" i="1" s="1"/>
  <c r="A1123" i="1"/>
  <c r="I1123" i="1" s="1"/>
  <c r="B1123" i="1"/>
  <c r="C1123" i="1"/>
  <c r="K1123" i="1" s="1"/>
  <c r="D1123" i="1"/>
  <c r="L1123" i="1" s="1"/>
  <c r="E1123" i="1"/>
  <c r="M1123" i="1" s="1"/>
  <c r="F1123" i="1"/>
  <c r="N1123" i="1" s="1"/>
  <c r="G1123" i="1"/>
  <c r="O1123" i="1" s="1"/>
  <c r="A1124" i="1"/>
  <c r="I1124" i="1" s="1"/>
  <c r="B1124" i="1"/>
  <c r="C1124" i="1"/>
  <c r="K1124" i="1" s="1"/>
  <c r="D1124" i="1"/>
  <c r="L1124" i="1" s="1"/>
  <c r="E1124" i="1"/>
  <c r="M1124" i="1" s="1"/>
  <c r="F1124" i="1"/>
  <c r="N1124" i="1" s="1"/>
  <c r="G1124" i="1"/>
  <c r="O1124" i="1" s="1"/>
  <c r="A1125" i="1"/>
  <c r="I1125" i="1" s="1"/>
  <c r="B1125" i="1"/>
  <c r="C1125" i="1"/>
  <c r="K1125" i="1" s="1"/>
  <c r="D1125" i="1"/>
  <c r="L1125" i="1" s="1"/>
  <c r="E1125" i="1"/>
  <c r="M1125" i="1" s="1"/>
  <c r="F1125" i="1"/>
  <c r="N1125" i="1" s="1"/>
  <c r="G1125" i="1"/>
  <c r="O1125" i="1" s="1"/>
  <c r="A1126" i="1"/>
  <c r="I1126" i="1" s="1"/>
  <c r="B1126" i="1"/>
  <c r="C1126" i="1"/>
  <c r="K1126" i="1" s="1"/>
  <c r="D1126" i="1"/>
  <c r="L1126" i="1" s="1"/>
  <c r="E1126" i="1"/>
  <c r="M1126" i="1" s="1"/>
  <c r="F1126" i="1"/>
  <c r="N1126" i="1" s="1"/>
  <c r="G1126" i="1"/>
  <c r="O1126" i="1" s="1"/>
  <c r="A1127" i="1"/>
  <c r="I1127" i="1" s="1"/>
  <c r="B1127" i="1"/>
  <c r="C1127" i="1"/>
  <c r="K1127" i="1" s="1"/>
  <c r="D1127" i="1"/>
  <c r="L1127" i="1" s="1"/>
  <c r="E1127" i="1"/>
  <c r="M1127" i="1" s="1"/>
  <c r="F1127" i="1"/>
  <c r="N1127" i="1" s="1"/>
  <c r="G1127" i="1"/>
  <c r="O1127" i="1" s="1"/>
  <c r="A1128" i="1"/>
  <c r="I1128" i="1" s="1"/>
  <c r="B1128" i="1"/>
  <c r="C1128" i="1"/>
  <c r="K1128" i="1" s="1"/>
  <c r="D1128" i="1"/>
  <c r="L1128" i="1" s="1"/>
  <c r="E1128" i="1"/>
  <c r="M1128" i="1" s="1"/>
  <c r="F1128" i="1"/>
  <c r="N1128" i="1" s="1"/>
  <c r="G1128" i="1"/>
  <c r="O1128" i="1" s="1"/>
  <c r="A1129" i="1"/>
  <c r="I1129" i="1" s="1"/>
  <c r="B1129" i="1"/>
  <c r="C1129" i="1"/>
  <c r="K1129" i="1" s="1"/>
  <c r="D1129" i="1"/>
  <c r="L1129" i="1" s="1"/>
  <c r="E1129" i="1"/>
  <c r="M1129" i="1" s="1"/>
  <c r="F1129" i="1"/>
  <c r="N1129" i="1" s="1"/>
  <c r="G1129" i="1"/>
  <c r="O1129" i="1" s="1"/>
  <c r="A1130" i="1"/>
  <c r="I1130" i="1" s="1"/>
  <c r="B1130" i="1"/>
  <c r="C1130" i="1"/>
  <c r="K1130" i="1" s="1"/>
  <c r="D1130" i="1"/>
  <c r="L1130" i="1" s="1"/>
  <c r="E1130" i="1"/>
  <c r="M1130" i="1" s="1"/>
  <c r="F1130" i="1"/>
  <c r="N1130" i="1" s="1"/>
  <c r="G1130" i="1"/>
  <c r="O1130" i="1" s="1"/>
  <c r="A1131" i="1"/>
  <c r="I1131" i="1" s="1"/>
  <c r="B1131" i="1"/>
  <c r="C1131" i="1"/>
  <c r="K1131" i="1" s="1"/>
  <c r="D1131" i="1"/>
  <c r="L1131" i="1" s="1"/>
  <c r="E1131" i="1"/>
  <c r="M1131" i="1" s="1"/>
  <c r="F1131" i="1"/>
  <c r="N1131" i="1" s="1"/>
  <c r="G1131" i="1"/>
  <c r="O1131" i="1" s="1"/>
  <c r="A1132" i="1"/>
  <c r="I1132" i="1" s="1"/>
  <c r="B1132" i="1"/>
  <c r="C1132" i="1"/>
  <c r="K1132" i="1" s="1"/>
  <c r="D1132" i="1"/>
  <c r="L1132" i="1" s="1"/>
  <c r="E1132" i="1"/>
  <c r="M1132" i="1" s="1"/>
  <c r="F1132" i="1"/>
  <c r="N1132" i="1" s="1"/>
  <c r="G1132" i="1"/>
  <c r="O1132" i="1" s="1"/>
  <c r="A1133" i="1"/>
  <c r="I1133" i="1" s="1"/>
  <c r="B1133" i="1"/>
  <c r="C1133" i="1"/>
  <c r="K1133" i="1" s="1"/>
  <c r="D1133" i="1"/>
  <c r="L1133" i="1" s="1"/>
  <c r="E1133" i="1"/>
  <c r="M1133" i="1" s="1"/>
  <c r="F1133" i="1"/>
  <c r="N1133" i="1" s="1"/>
  <c r="G1133" i="1"/>
  <c r="O1133" i="1" s="1"/>
  <c r="A1134" i="1"/>
  <c r="I1134" i="1" s="1"/>
  <c r="B1134" i="1"/>
  <c r="C1134" i="1"/>
  <c r="K1134" i="1" s="1"/>
  <c r="D1134" i="1"/>
  <c r="L1134" i="1" s="1"/>
  <c r="E1134" i="1"/>
  <c r="M1134" i="1" s="1"/>
  <c r="F1134" i="1"/>
  <c r="N1134" i="1" s="1"/>
  <c r="G1134" i="1"/>
  <c r="O1134" i="1" s="1"/>
  <c r="A1135" i="1"/>
  <c r="I1135" i="1" s="1"/>
  <c r="B1135" i="1"/>
  <c r="C1135" i="1"/>
  <c r="K1135" i="1" s="1"/>
  <c r="D1135" i="1"/>
  <c r="L1135" i="1" s="1"/>
  <c r="E1135" i="1"/>
  <c r="M1135" i="1" s="1"/>
  <c r="F1135" i="1"/>
  <c r="N1135" i="1" s="1"/>
  <c r="G1135" i="1"/>
  <c r="O1135" i="1" s="1"/>
  <c r="A1136" i="1"/>
  <c r="I1136" i="1" s="1"/>
  <c r="B1136" i="1"/>
  <c r="C1136" i="1"/>
  <c r="K1136" i="1" s="1"/>
  <c r="D1136" i="1"/>
  <c r="L1136" i="1" s="1"/>
  <c r="E1136" i="1"/>
  <c r="M1136" i="1" s="1"/>
  <c r="F1136" i="1"/>
  <c r="N1136" i="1" s="1"/>
  <c r="G1136" i="1"/>
  <c r="O1136" i="1" s="1"/>
  <c r="A1137" i="1"/>
  <c r="I1137" i="1" s="1"/>
  <c r="B1137" i="1"/>
  <c r="C1137" i="1"/>
  <c r="K1137" i="1" s="1"/>
  <c r="D1137" i="1"/>
  <c r="L1137" i="1" s="1"/>
  <c r="E1137" i="1"/>
  <c r="M1137" i="1" s="1"/>
  <c r="F1137" i="1"/>
  <c r="N1137" i="1" s="1"/>
  <c r="G1137" i="1"/>
  <c r="O1137" i="1" s="1"/>
  <c r="A1138" i="1"/>
  <c r="I1138" i="1" s="1"/>
  <c r="B1138" i="1"/>
  <c r="C1138" i="1"/>
  <c r="K1138" i="1" s="1"/>
  <c r="D1138" i="1"/>
  <c r="L1138" i="1" s="1"/>
  <c r="E1138" i="1"/>
  <c r="M1138" i="1" s="1"/>
  <c r="F1138" i="1"/>
  <c r="N1138" i="1" s="1"/>
  <c r="G1138" i="1"/>
  <c r="O1138" i="1" s="1"/>
  <c r="A1139" i="1"/>
  <c r="I1139" i="1" s="1"/>
  <c r="B1139" i="1"/>
  <c r="C1139" i="1"/>
  <c r="K1139" i="1" s="1"/>
  <c r="D1139" i="1"/>
  <c r="L1139" i="1" s="1"/>
  <c r="E1139" i="1"/>
  <c r="M1139" i="1" s="1"/>
  <c r="F1139" i="1"/>
  <c r="N1139" i="1" s="1"/>
  <c r="G1139" i="1"/>
  <c r="O1139" i="1" s="1"/>
  <c r="A1140" i="1"/>
  <c r="I1140" i="1" s="1"/>
  <c r="B1140" i="1"/>
  <c r="C1140" i="1"/>
  <c r="K1140" i="1" s="1"/>
  <c r="D1140" i="1"/>
  <c r="L1140" i="1" s="1"/>
  <c r="E1140" i="1"/>
  <c r="M1140" i="1" s="1"/>
  <c r="F1140" i="1"/>
  <c r="N1140" i="1" s="1"/>
  <c r="G1140" i="1"/>
  <c r="O1140" i="1" s="1"/>
  <c r="A1141" i="1"/>
  <c r="I1141" i="1" s="1"/>
  <c r="B1141" i="1"/>
  <c r="C1141" i="1"/>
  <c r="K1141" i="1" s="1"/>
  <c r="D1141" i="1"/>
  <c r="L1141" i="1" s="1"/>
  <c r="E1141" i="1"/>
  <c r="M1141" i="1" s="1"/>
  <c r="F1141" i="1"/>
  <c r="N1141" i="1" s="1"/>
  <c r="G1141" i="1"/>
  <c r="O1141" i="1" s="1"/>
  <c r="A1142" i="1"/>
  <c r="I1142" i="1" s="1"/>
  <c r="B1142" i="1"/>
  <c r="C1142" i="1"/>
  <c r="K1142" i="1" s="1"/>
  <c r="D1142" i="1"/>
  <c r="L1142" i="1" s="1"/>
  <c r="E1142" i="1"/>
  <c r="M1142" i="1" s="1"/>
  <c r="F1142" i="1"/>
  <c r="N1142" i="1" s="1"/>
  <c r="G1142" i="1"/>
  <c r="O1142" i="1" s="1"/>
  <c r="A1143" i="1"/>
  <c r="I1143" i="1" s="1"/>
  <c r="B1143" i="1"/>
  <c r="C1143" i="1"/>
  <c r="K1143" i="1" s="1"/>
  <c r="D1143" i="1"/>
  <c r="L1143" i="1" s="1"/>
  <c r="E1143" i="1"/>
  <c r="M1143" i="1" s="1"/>
  <c r="F1143" i="1"/>
  <c r="N1143" i="1" s="1"/>
  <c r="G1143" i="1"/>
  <c r="O1143" i="1" s="1"/>
  <c r="A1144" i="1"/>
  <c r="I1144" i="1" s="1"/>
  <c r="B1144" i="1"/>
  <c r="C1144" i="1"/>
  <c r="K1144" i="1" s="1"/>
  <c r="D1144" i="1"/>
  <c r="L1144" i="1" s="1"/>
  <c r="E1144" i="1"/>
  <c r="M1144" i="1" s="1"/>
  <c r="F1144" i="1"/>
  <c r="N1144" i="1" s="1"/>
  <c r="G1144" i="1"/>
  <c r="O1144" i="1" s="1"/>
  <c r="A1145" i="1"/>
  <c r="I1145" i="1" s="1"/>
  <c r="B1145" i="1"/>
  <c r="C1145" i="1"/>
  <c r="K1145" i="1" s="1"/>
  <c r="D1145" i="1"/>
  <c r="L1145" i="1" s="1"/>
  <c r="E1145" i="1"/>
  <c r="M1145" i="1" s="1"/>
  <c r="F1145" i="1"/>
  <c r="N1145" i="1" s="1"/>
  <c r="G1145" i="1"/>
  <c r="O1145" i="1" s="1"/>
  <c r="A1146" i="1"/>
  <c r="I1146" i="1" s="1"/>
  <c r="B1146" i="1"/>
  <c r="C1146" i="1"/>
  <c r="K1146" i="1" s="1"/>
  <c r="D1146" i="1"/>
  <c r="L1146" i="1" s="1"/>
  <c r="E1146" i="1"/>
  <c r="M1146" i="1" s="1"/>
  <c r="F1146" i="1"/>
  <c r="N1146" i="1" s="1"/>
  <c r="G1146" i="1"/>
  <c r="O1146" i="1" s="1"/>
  <c r="A1147" i="1"/>
  <c r="I1147" i="1" s="1"/>
  <c r="B1147" i="1"/>
  <c r="C1147" i="1"/>
  <c r="K1147" i="1" s="1"/>
  <c r="D1147" i="1"/>
  <c r="L1147" i="1" s="1"/>
  <c r="E1147" i="1"/>
  <c r="M1147" i="1" s="1"/>
  <c r="F1147" i="1"/>
  <c r="N1147" i="1" s="1"/>
  <c r="G1147" i="1"/>
  <c r="O1147" i="1" s="1"/>
  <c r="A1148" i="1"/>
  <c r="I1148" i="1" s="1"/>
  <c r="B1148" i="1"/>
  <c r="C1148" i="1"/>
  <c r="K1148" i="1" s="1"/>
  <c r="D1148" i="1"/>
  <c r="L1148" i="1" s="1"/>
  <c r="E1148" i="1"/>
  <c r="M1148" i="1" s="1"/>
  <c r="F1148" i="1"/>
  <c r="N1148" i="1" s="1"/>
  <c r="G1148" i="1"/>
  <c r="O1148" i="1" s="1"/>
  <c r="A1149" i="1"/>
  <c r="I1149" i="1" s="1"/>
  <c r="B1149" i="1"/>
  <c r="C1149" i="1"/>
  <c r="K1149" i="1" s="1"/>
  <c r="D1149" i="1"/>
  <c r="L1149" i="1" s="1"/>
  <c r="E1149" i="1"/>
  <c r="M1149" i="1" s="1"/>
  <c r="F1149" i="1"/>
  <c r="N1149" i="1" s="1"/>
  <c r="G1149" i="1"/>
  <c r="O1149" i="1" s="1"/>
  <c r="A1150" i="1"/>
  <c r="I1150" i="1" s="1"/>
  <c r="B1150" i="1"/>
  <c r="C1150" i="1"/>
  <c r="K1150" i="1" s="1"/>
  <c r="D1150" i="1"/>
  <c r="L1150" i="1" s="1"/>
  <c r="E1150" i="1"/>
  <c r="M1150" i="1" s="1"/>
  <c r="F1150" i="1"/>
  <c r="N1150" i="1" s="1"/>
  <c r="G1150" i="1"/>
  <c r="O1150" i="1" s="1"/>
  <c r="A1151" i="1"/>
  <c r="I1151" i="1" s="1"/>
  <c r="B1151" i="1"/>
  <c r="C1151" i="1"/>
  <c r="K1151" i="1" s="1"/>
  <c r="D1151" i="1"/>
  <c r="L1151" i="1" s="1"/>
  <c r="E1151" i="1"/>
  <c r="M1151" i="1" s="1"/>
  <c r="F1151" i="1"/>
  <c r="N1151" i="1" s="1"/>
  <c r="G1151" i="1"/>
  <c r="O1151" i="1" s="1"/>
  <c r="A1152" i="1"/>
  <c r="I1152" i="1" s="1"/>
  <c r="B1152" i="1"/>
  <c r="C1152" i="1"/>
  <c r="K1152" i="1" s="1"/>
  <c r="D1152" i="1"/>
  <c r="L1152" i="1" s="1"/>
  <c r="E1152" i="1"/>
  <c r="M1152" i="1" s="1"/>
  <c r="F1152" i="1"/>
  <c r="N1152" i="1" s="1"/>
  <c r="G1152" i="1"/>
  <c r="O1152" i="1" s="1"/>
  <c r="A1153" i="1"/>
  <c r="I1153" i="1" s="1"/>
  <c r="B1153" i="1"/>
  <c r="C1153" i="1"/>
  <c r="K1153" i="1" s="1"/>
  <c r="D1153" i="1"/>
  <c r="L1153" i="1" s="1"/>
  <c r="E1153" i="1"/>
  <c r="M1153" i="1" s="1"/>
  <c r="F1153" i="1"/>
  <c r="N1153" i="1" s="1"/>
  <c r="G1153" i="1"/>
  <c r="O1153" i="1" s="1"/>
  <c r="A1154" i="1"/>
  <c r="I1154" i="1" s="1"/>
  <c r="B1154" i="1"/>
  <c r="C1154" i="1"/>
  <c r="K1154" i="1" s="1"/>
  <c r="D1154" i="1"/>
  <c r="L1154" i="1" s="1"/>
  <c r="E1154" i="1"/>
  <c r="M1154" i="1" s="1"/>
  <c r="F1154" i="1"/>
  <c r="N1154" i="1" s="1"/>
  <c r="G1154" i="1"/>
  <c r="O1154" i="1" s="1"/>
  <c r="A1155" i="1"/>
  <c r="I1155" i="1" s="1"/>
  <c r="B1155" i="1"/>
  <c r="C1155" i="1"/>
  <c r="K1155" i="1" s="1"/>
  <c r="D1155" i="1"/>
  <c r="L1155" i="1" s="1"/>
  <c r="E1155" i="1"/>
  <c r="M1155" i="1" s="1"/>
  <c r="F1155" i="1"/>
  <c r="N1155" i="1" s="1"/>
  <c r="G1155" i="1"/>
  <c r="O1155" i="1" s="1"/>
  <c r="A1156" i="1"/>
  <c r="I1156" i="1" s="1"/>
  <c r="B1156" i="1"/>
  <c r="C1156" i="1"/>
  <c r="K1156" i="1" s="1"/>
  <c r="D1156" i="1"/>
  <c r="L1156" i="1" s="1"/>
  <c r="E1156" i="1"/>
  <c r="M1156" i="1" s="1"/>
  <c r="F1156" i="1"/>
  <c r="N1156" i="1" s="1"/>
  <c r="G1156" i="1"/>
  <c r="O1156" i="1" s="1"/>
  <c r="A1157" i="1"/>
  <c r="I1157" i="1" s="1"/>
  <c r="B1157" i="1"/>
  <c r="C1157" i="1"/>
  <c r="K1157" i="1" s="1"/>
  <c r="D1157" i="1"/>
  <c r="L1157" i="1" s="1"/>
  <c r="E1157" i="1"/>
  <c r="M1157" i="1" s="1"/>
  <c r="F1157" i="1"/>
  <c r="N1157" i="1" s="1"/>
  <c r="G1157" i="1"/>
  <c r="O1157" i="1" s="1"/>
  <c r="A1158" i="1"/>
  <c r="I1158" i="1" s="1"/>
  <c r="B1158" i="1"/>
  <c r="C1158" i="1"/>
  <c r="K1158" i="1" s="1"/>
  <c r="D1158" i="1"/>
  <c r="L1158" i="1" s="1"/>
  <c r="E1158" i="1"/>
  <c r="M1158" i="1" s="1"/>
  <c r="F1158" i="1"/>
  <c r="N1158" i="1" s="1"/>
  <c r="G1158" i="1"/>
  <c r="O1158" i="1" s="1"/>
  <c r="A1159" i="1"/>
  <c r="I1159" i="1" s="1"/>
  <c r="B1159" i="1"/>
  <c r="C1159" i="1"/>
  <c r="K1159" i="1" s="1"/>
  <c r="D1159" i="1"/>
  <c r="L1159" i="1" s="1"/>
  <c r="E1159" i="1"/>
  <c r="M1159" i="1" s="1"/>
  <c r="F1159" i="1"/>
  <c r="N1159" i="1" s="1"/>
  <c r="G1159" i="1"/>
  <c r="O1159" i="1" s="1"/>
  <c r="A1160" i="1"/>
  <c r="I1160" i="1" s="1"/>
  <c r="B1160" i="1"/>
  <c r="C1160" i="1"/>
  <c r="K1160" i="1" s="1"/>
  <c r="D1160" i="1"/>
  <c r="L1160" i="1" s="1"/>
  <c r="E1160" i="1"/>
  <c r="M1160" i="1" s="1"/>
  <c r="F1160" i="1"/>
  <c r="N1160" i="1" s="1"/>
  <c r="G1160" i="1"/>
  <c r="O1160" i="1" s="1"/>
  <c r="A1161" i="1"/>
  <c r="I1161" i="1" s="1"/>
  <c r="B1161" i="1"/>
  <c r="C1161" i="1"/>
  <c r="K1161" i="1" s="1"/>
  <c r="D1161" i="1"/>
  <c r="L1161" i="1" s="1"/>
  <c r="E1161" i="1"/>
  <c r="M1161" i="1" s="1"/>
  <c r="F1161" i="1"/>
  <c r="N1161" i="1" s="1"/>
  <c r="G1161" i="1"/>
  <c r="O1161" i="1" s="1"/>
  <c r="A1162" i="1"/>
  <c r="I1162" i="1" s="1"/>
  <c r="B1162" i="1"/>
  <c r="C1162" i="1"/>
  <c r="K1162" i="1" s="1"/>
  <c r="D1162" i="1"/>
  <c r="L1162" i="1" s="1"/>
  <c r="E1162" i="1"/>
  <c r="M1162" i="1" s="1"/>
  <c r="F1162" i="1"/>
  <c r="N1162" i="1" s="1"/>
  <c r="G1162" i="1"/>
  <c r="O1162" i="1" s="1"/>
  <c r="A1163" i="1"/>
  <c r="I1163" i="1" s="1"/>
  <c r="B1163" i="1"/>
  <c r="C1163" i="1"/>
  <c r="K1163" i="1" s="1"/>
  <c r="D1163" i="1"/>
  <c r="L1163" i="1" s="1"/>
  <c r="E1163" i="1"/>
  <c r="M1163" i="1" s="1"/>
  <c r="F1163" i="1"/>
  <c r="N1163" i="1" s="1"/>
  <c r="G1163" i="1"/>
  <c r="O1163" i="1" s="1"/>
  <c r="A1164" i="1"/>
  <c r="I1164" i="1" s="1"/>
  <c r="B1164" i="1"/>
  <c r="C1164" i="1"/>
  <c r="K1164" i="1" s="1"/>
  <c r="D1164" i="1"/>
  <c r="L1164" i="1" s="1"/>
  <c r="E1164" i="1"/>
  <c r="M1164" i="1" s="1"/>
  <c r="F1164" i="1"/>
  <c r="N1164" i="1" s="1"/>
  <c r="G1164" i="1"/>
  <c r="O1164" i="1" s="1"/>
  <c r="A1165" i="1"/>
  <c r="I1165" i="1" s="1"/>
  <c r="B1165" i="1"/>
  <c r="C1165" i="1"/>
  <c r="K1165" i="1" s="1"/>
  <c r="D1165" i="1"/>
  <c r="L1165" i="1" s="1"/>
  <c r="E1165" i="1"/>
  <c r="M1165" i="1" s="1"/>
  <c r="F1165" i="1"/>
  <c r="N1165" i="1" s="1"/>
  <c r="G1165" i="1"/>
  <c r="O1165" i="1" s="1"/>
  <c r="A1166" i="1"/>
  <c r="I1166" i="1" s="1"/>
  <c r="B1166" i="1"/>
  <c r="C1166" i="1"/>
  <c r="K1166" i="1" s="1"/>
  <c r="D1166" i="1"/>
  <c r="L1166" i="1" s="1"/>
  <c r="E1166" i="1"/>
  <c r="M1166" i="1" s="1"/>
  <c r="F1166" i="1"/>
  <c r="N1166" i="1" s="1"/>
  <c r="G1166" i="1"/>
  <c r="O1166" i="1" s="1"/>
  <c r="A1167" i="1"/>
  <c r="I1167" i="1" s="1"/>
  <c r="B1167" i="1"/>
  <c r="C1167" i="1"/>
  <c r="K1167" i="1" s="1"/>
  <c r="D1167" i="1"/>
  <c r="L1167" i="1" s="1"/>
  <c r="E1167" i="1"/>
  <c r="M1167" i="1" s="1"/>
  <c r="F1167" i="1"/>
  <c r="N1167" i="1" s="1"/>
  <c r="G1167" i="1"/>
  <c r="O1167" i="1" s="1"/>
  <c r="A1168" i="1"/>
  <c r="I1168" i="1" s="1"/>
  <c r="B1168" i="1"/>
  <c r="C1168" i="1"/>
  <c r="K1168" i="1" s="1"/>
  <c r="D1168" i="1"/>
  <c r="L1168" i="1" s="1"/>
  <c r="E1168" i="1"/>
  <c r="M1168" i="1" s="1"/>
  <c r="F1168" i="1"/>
  <c r="N1168" i="1" s="1"/>
  <c r="G1168" i="1"/>
  <c r="O1168" i="1" s="1"/>
  <c r="A1169" i="1"/>
  <c r="I1169" i="1" s="1"/>
  <c r="B1169" i="1"/>
  <c r="C1169" i="1"/>
  <c r="K1169" i="1" s="1"/>
  <c r="D1169" i="1"/>
  <c r="L1169" i="1" s="1"/>
  <c r="E1169" i="1"/>
  <c r="M1169" i="1" s="1"/>
  <c r="F1169" i="1"/>
  <c r="N1169" i="1" s="1"/>
  <c r="G1169" i="1"/>
  <c r="O1169" i="1" s="1"/>
  <c r="A1170" i="1"/>
  <c r="I1170" i="1" s="1"/>
  <c r="B1170" i="1"/>
  <c r="C1170" i="1"/>
  <c r="K1170" i="1" s="1"/>
  <c r="D1170" i="1"/>
  <c r="L1170" i="1" s="1"/>
  <c r="E1170" i="1"/>
  <c r="M1170" i="1" s="1"/>
  <c r="F1170" i="1"/>
  <c r="N1170" i="1" s="1"/>
  <c r="G1170" i="1"/>
  <c r="O1170" i="1" s="1"/>
  <c r="A1171" i="1"/>
  <c r="I1171" i="1" s="1"/>
  <c r="B1171" i="1"/>
  <c r="C1171" i="1"/>
  <c r="K1171" i="1" s="1"/>
  <c r="D1171" i="1"/>
  <c r="L1171" i="1" s="1"/>
  <c r="E1171" i="1"/>
  <c r="M1171" i="1" s="1"/>
  <c r="F1171" i="1"/>
  <c r="N1171" i="1" s="1"/>
  <c r="G1171" i="1"/>
  <c r="O1171" i="1" s="1"/>
  <c r="A1172" i="1"/>
  <c r="I1172" i="1" s="1"/>
  <c r="B1172" i="1"/>
  <c r="C1172" i="1"/>
  <c r="K1172" i="1" s="1"/>
  <c r="D1172" i="1"/>
  <c r="L1172" i="1" s="1"/>
  <c r="E1172" i="1"/>
  <c r="M1172" i="1" s="1"/>
  <c r="F1172" i="1"/>
  <c r="N1172" i="1" s="1"/>
  <c r="G1172" i="1"/>
  <c r="O1172" i="1" s="1"/>
  <c r="A1173" i="1"/>
  <c r="I1173" i="1" s="1"/>
  <c r="B1173" i="1"/>
  <c r="C1173" i="1"/>
  <c r="K1173" i="1" s="1"/>
  <c r="D1173" i="1"/>
  <c r="L1173" i="1" s="1"/>
  <c r="E1173" i="1"/>
  <c r="M1173" i="1" s="1"/>
  <c r="F1173" i="1"/>
  <c r="N1173" i="1" s="1"/>
  <c r="G1173" i="1"/>
  <c r="O1173" i="1" s="1"/>
  <c r="A1174" i="1"/>
  <c r="I1174" i="1" s="1"/>
  <c r="B1174" i="1"/>
  <c r="C1174" i="1"/>
  <c r="K1174" i="1" s="1"/>
  <c r="D1174" i="1"/>
  <c r="L1174" i="1" s="1"/>
  <c r="E1174" i="1"/>
  <c r="M1174" i="1" s="1"/>
  <c r="F1174" i="1"/>
  <c r="N1174" i="1" s="1"/>
  <c r="G1174" i="1"/>
  <c r="O1174" i="1" s="1"/>
  <c r="A1175" i="1"/>
  <c r="I1175" i="1" s="1"/>
  <c r="B1175" i="1"/>
  <c r="C1175" i="1"/>
  <c r="K1175" i="1" s="1"/>
  <c r="D1175" i="1"/>
  <c r="L1175" i="1" s="1"/>
  <c r="E1175" i="1"/>
  <c r="M1175" i="1" s="1"/>
  <c r="F1175" i="1"/>
  <c r="N1175" i="1" s="1"/>
  <c r="G1175" i="1"/>
  <c r="O1175" i="1" s="1"/>
  <c r="A1176" i="1"/>
  <c r="I1176" i="1" s="1"/>
  <c r="B1176" i="1"/>
  <c r="C1176" i="1"/>
  <c r="K1176" i="1" s="1"/>
  <c r="D1176" i="1"/>
  <c r="L1176" i="1" s="1"/>
  <c r="E1176" i="1"/>
  <c r="M1176" i="1" s="1"/>
  <c r="F1176" i="1"/>
  <c r="N1176" i="1" s="1"/>
  <c r="G1176" i="1"/>
  <c r="O1176" i="1" s="1"/>
  <c r="A1177" i="1"/>
  <c r="I1177" i="1" s="1"/>
  <c r="B1177" i="1"/>
  <c r="C1177" i="1"/>
  <c r="K1177" i="1" s="1"/>
  <c r="D1177" i="1"/>
  <c r="L1177" i="1" s="1"/>
  <c r="E1177" i="1"/>
  <c r="M1177" i="1" s="1"/>
  <c r="F1177" i="1"/>
  <c r="N1177" i="1" s="1"/>
  <c r="G1177" i="1"/>
  <c r="O1177" i="1" s="1"/>
  <c r="A1178" i="1"/>
  <c r="I1178" i="1" s="1"/>
  <c r="B1178" i="1"/>
  <c r="C1178" i="1"/>
  <c r="K1178" i="1" s="1"/>
  <c r="D1178" i="1"/>
  <c r="L1178" i="1" s="1"/>
  <c r="E1178" i="1"/>
  <c r="M1178" i="1" s="1"/>
  <c r="F1178" i="1"/>
  <c r="N1178" i="1" s="1"/>
  <c r="G1178" i="1"/>
  <c r="O1178" i="1" s="1"/>
  <c r="A1179" i="1"/>
  <c r="I1179" i="1" s="1"/>
  <c r="B1179" i="1"/>
  <c r="C1179" i="1"/>
  <c r="K1179" i="1" s="1"/>
  <c r="D1179" i="1"/>
  <c r="L1179" i="1" s="1"/>
  <c r="E1179" i="1"/>
  <c r="M1179" i="1" s="1"/>
  <c r="F1179" i="1"/>
  <c r="N1179" i="1" s="1"/>
  <c r="G1179" i="1"/>
  <c r="O1179" i="1" s="1"/>
  <c r="A1180" i="1"/>
  <c r="I1180" i="1" s="1"/>
  <c r="B1180" i="1"/>
  <c r="C1180" i="1"/>
  <c r="K1180" i="1" s="1"/>
  <c r="D1180" i="1"/>
  <c r="L1180" i="1" s="1"/>
  <c r="E1180" i="1"/>
  <c r="M1180" i="1" s="1"/>
  <c r="F1180" i="1"/>
  <c r="N1180" i="1" s="1"/>
  <c r="G1180" i="1"/>
  <c r="O1180" i="1" s="1"/>
  <c r="A1181" i="1"/>
  <c r="I1181" i="1" s="1"/>
  <c r="B1181" i="1"/>
  <c r="C1181" i="1"/>
  <c r="K1181" i="1" s="1"/>
  <c r="D1181" i="1"/>
  <c r="L1181" i="1" s="1"/>
  <c r="E1181" i="1"/>
  <c r="M1181" i="1" s="1"/>
  <c r="F1181" i="1"/>
  <c r="N1181" i="1" s="1"/>
  <c r="G1181" i="1"/>
  <c r="O1181" i="1" s="1"/>
  <c r="A1182" i="1"/>
  <c r="I1182" i="1" s="1"/>
  <c r="B1182" i="1"/>
  <c r="C1182" i="1"/>
  <c r="K1182" i="1" s="1"/>
  <c r="D1182" i="1"/>
  <c r="L1182" i="1" s="1"/>
  <c r="E1182" i="1"/>
  <c r="M1182" i="1" s="1"/>
  <c r="F1182" i="1"/>
  <c r="N1182" i="1" s="1"/>
  <c r="G1182" i="1"/>
  <c r="O1182" i="1" s="1"/>
  <c r="A1183" i="1"/>
  <c r="I1183" i="1" s="1"/>
  <c r="B1183" i="1"/>
  <c r="C1183" i="1"/>
  <c r="K1183" i="1" s="1"/>
  <c r="D1183" i="1"/>
  <c r="L1183" i="1" s="1"/>
  <c r="E1183" i="1"/>
  <c r="M1183" i="1" s="1"/>
  <c r="F1183" i="1"/>
  <c r="N1183" i="1" s="1"/>
  <c r="G1183" i="1"/>
  <c r="O1183" i="1" s="1"/>
  <c r="A1184" i="1"/>
  <c r="I1184" i="1" s="1"/>
  <c r="B1184" i="1"/>
  <c r="C1184" i="1"/>
  <c r="K1184" i="1" s="1"/>
  <c r="D1184" i="1"/>
  <c r="L1184" i="1" s="1"/>
  <c r="E1184" i="1"/>
  <c r="M1184" i="1" s="1"/>
  <c r="F1184" i="1"/>
  <c r="N1184" i="1" s="1"/>
  <c r="G1184" i="1"/>
  <c r="O1184" i="1" s="1"/>
  <c r="A1185" i="1"/>
  <c r="I1185" i="1" s="1"/>
  <c r="B1185" i="1"/>
  <c r="C1185" i="1"/>
  <c r="K1185" i="1" s="1"/>
  <c r="D1185" i="1"/>
  <c r="L1185" i="1" s="1"/>
  <c r="E1185" i="1"/>
  <c r="M1185" i="1" s="1"/>
  <c r="F1185" i="1"/>
  <c r="N1185" i="1" s="1"/>
  <c r="G1185" i="1"/>
  <c r="O1185" i="1" s="1"/>
  <c r="A1186" i="1"/>
  <c r="I1186" i="1" s="1"/>
  <c r="B1186" i="1"/>
  <c r="C1186" i="1"/>
  <c r="K1186" i="1" s="1"/>
  <c r="D1186" i="1"/>
  <c r="L1186" i="1" s="1"/>
  <c r="E1186" i="1"/>
  <c r="M1186" i="1" s="1"/>
  <c r="F1186" i="1"/>
  <c r="N1186" i="1" s="1"/>
  <c r="G1186" i="1"/>
  <c r="O1186" i="1" s="1"/>
  <c r="A1187" i="1"/>
  <c r="I1187" i="1" s="1"/>
  <c r="B1187" i="1"/>
  <c r="C1187" i="1"/>
  <c r="K1187" i="1" s="1"/>
  <c r="D1187" i="1"/>
  <c r="L1187" i="1" s="1"/>
  <c r="E1187" i="1"/>
  <c r="M1187" i="1" s="1"/>
  <c r="F1187" i="1"/>
  <c r="N1187" i="1" s="1"/>
  <c r="G1187" i="1"/>
  <c r="O1187" i="1" s="1"/>
  <c r="A1188" i="1"/>
  <c r="I1188" i="1" s="1"/>
  <c r="B1188" i="1"/>
  <c r="C1188" i="1"/>
  <c r="K1188" i="1" s="1"/>
  <c r="D1188" i="1"/>
  <c r="L1188" i="1" s="1"/>
  <c r="E1188" i="1"/>
  <c r="M1188" i="1" s="1"/>
  <c r="F1188" i="1"/>
  <c r="N1188" i="1" s="1"/>
  <c r="G1188" i="1"/>
  <c r="O1188" i="1" s="1"/>
  <c r="A1189" i="1"/>
  <c r="I1189" i="1" s="1"/>
  <c r="B1189" i="1"/>
  <c r="C1189" i="1"/>
  <c r="K1189" i="1" s="1"/>
  <c r="D1189" i="1"/>
  <c r="L1189" i="1" s="1"/>
  <c r="E1189" i="1"/>
  <c r="M1189" i="1" s="1"/>
  <c r="F1189" i="1"/>
  <c r="N1189" i="1" s="1"/>
  <c r="G1189" i="1"/>
  <c r="O1189" i="1" s="1"/>
  <c r="A1190" i="1"/>
  <c r="I1190" i="1" s="1"/>
  <c r="B1190" i="1"/>
  <c r="C1190" i="1"/>
  <c r="K1190" i="1" s="1"/>
  <c r="D1190" i="1"/>
  <c r="L1190" i="1" s="1"/>
  <c r="E1190" i="1"/>
  <c r="M1190" i="1" s="1"/>
  <c r="F1190" i="1"/>
  <c r="N1190" i="1" s="1"/>
  <c r="G1190" i="1"/>
  <c r="O1190" i="1" s="1"/>
  <c r="A1191" i="1"/>
  <c r="I1191" i="1" s="1"/>
  <c r="B1191" i="1"/>
  <c r="C1191" i="1"/>
  <c r="K1191" i="1" s="1"/>
  <c r="D1191" i="1"/>
  <c r="L1191" i="1" s="1"/>
  <c r="E1191" i="1"/>
  <c r="M1191" i="1" s="1"/>
  <c r="F1191" i="1"/>
  <c r="N1191" i="1" s="1"/>
  <c r="G1191" i="1"/>
  <c r="O1191" i="1" s="1"/>
  <c r="A1192" i="1"/>
  <c r="I1192" i="1" s="1"/>
  <c r="B1192" i="1"/>
  <c r="C1192" i="1"/>
  <c r="K1192" i="1" s="1"/>
  <c r="D1192" i="1"/>
  <c r="L1192" i="1" s="1"/>
  <c r="E1192" i="1"/>
  <c r="M1192" i="1" s="1"/>
  <c r="F1192" i="1"/>
  <c r="N1192" i="1" s="1"/>
  <c r="G1192" i="1"/>
  <c r="O1192" i="1" s="1"/>
  <c r="A1193" i="1"/>
  <c r="I1193" i="1" s="1"/>
  <c r="B1193" i="1"/>
  <c r="C1193" i="1"/>
  <c r="K1193" i="1" s="1"/>
  <c r="D1193" i="1"/>
  <c r="L1193" i="1" s="1"/>
  <c r="E1193" i="1"/>
  <c r="M1193" i="1" s="1"/>
  <c r="F1193" i="1"/>
  <c r="N1193" i="1" s="1"/>
  <c r="G1193" i="1"/>
  <c r="O1193" i="1" s="1"/>
  <c r="A1194" i="1"/>
  <c r="I1194" i="1" s="1"/>
  <c r="B1194" i="1"/>
  <c r="C1194" i="1"/>
  <c r="K1194" i="1" s="1"/>
  <c r="D1194" i="1"/>
  <c r="L1194" i="1" s="1"/>
  <c r="E1194" i="1"/>
  <c r="M1194" i="1" s="1"/>
  <c r="F1194" i="1"/>
  <c r="N1194" i="1" s="1"/>
  <c r="G1194" i="1"/>
  <c r="O1194" i="1" s="1"/>
  <c r="A1195" i="1"/>
  <c r="I1195" i="1" s="1"/>
  <c r="B1195" i="1"/>
  <c r="C1195" i="1"/>
  <c r="K1195" i="1" s="1"/>
  <c r="D1195" i="1"/>
  <c r="L1195" i="1" s="1"/>
  <c r="E1195" i="1"/>
  <c r="M1195" i="1" s="1"/>
  <c r="F1195" i="1"/>
  <c r="N1195" i="1" s="1"/>
  <c r="G1195" i="1"/>
  <c r="O1195" i="1" s="1"/>
  <c r="A1196" i="1"/>
  <c r="I1196" i="1" s="1"/>
  <c r="B1196" i="1"/>
  <c r="C1196" i="1"/>
  <c r="K1196" i="1" s="1"/>
  <c r="D1196" i="1"/>
  <c r="L1196" i="1" s="1"/>
  <c r="E1196" i="1"/>
  <c r="M1196" i="1" s="1"/>
  <c r="F1196" i="1"/>
  <c r="N1196" i="1" s="1"/>
  <c r="G1196" i="1"/>
  <c r="O1196" i="1" s="1"/>
  <c r="A1197" i="1"/>
  <c r="I1197" i="1" s="1"/>
  <c r="B1197" i="1"/>
  <c r="C1197" i="1"/>
  <c r="K1197" i="1" s="1"/>
  <c r="D1197" i="1"/>
  <c r="L1197" i="1" s="1"/>
  <c r="E1197" i="1"/>
  <c r="M1197" i="1" s="1"/>
  <c r="F1197" i="1"/>
  <c r="N1197" i="1" s="1"/>
  <c r="G1197" i="1"/>
  <c r="O1197" i="1" s="1"/>
  <c r="A1198" i="1"/>
  <c r="I1198" i="1" s="1"/>
  <c r="B1198" i="1"/>
  <c r="C1198" i="1"/>
  <c r="K1198" i="1" s="1"/>
  <c r="D1198" i="1"/>
  <c r="L1198" i="1" s="1"/>
  <c r="E1198" i="1"/>
  <c r="M1198" i="1" s="1"/>
  <c r="F1198" i="1"/>
  <c r="N1198" i="1" s="1"/>
  <c r="G1198" i="1"/>
  <c r="O1198" i="1" s="1"/>
  <c r="A1199" i="1"/>
  <c r="I1199" i="1" s="1"/>
  <c r="B1199" i="1"/>
  <c r="C1199" i="1"/>
  <c r="K1199" i="1" s="1"/>
  <c r="D1199" i="1"/>
  <c r="L1199" i="1" s="1"/>
  <c r="E1199" i="1"/>
  <c r="M1199" i="1" s="1"/>
  <c r="F1199" i="1"/>
  <c r="N1199" i="1" s="1"/>
  <c r="G1199" i="1"/>
  <c r="O1199" i="1" s="1"/>
  <c r="A1200" i="1"/>
  <c r="I1200" i="1" s="1"/>
  <c r="B1200" i="1"/>
  <c r="C1200" i="1"/>
  <c r="K1200" i="1" s="1"/>
  <c r="D1200" i="1"/>
  <c r="L1200" i="1" s="1"/>
  <c r="E1200" i="1"/>
  <c r="M1200" i="1" s="1"/>
  <c r="F1200" i="1"/>
  <c r="N1200" i="1" s="1"/>
  <c r="G1200" i="1"/>
  <c r="O1200" i="1" s="1"/>
  <c r="A1201" i="1"/>
  <c r="I1201" i="1" s="1"/>
  <c r="B1201" i="1"/>
  <c r="C1201" i="1"/>
  <c r="K1201" i="1" s="1"/>
  <c r="D1201" i="1"/>
  <c r="L1201" i="1" s="1"/>
  <c r="E1201" i="1"/>
  <c r="M1201" i="1" s="1"/>
  <c r="F1201" i="1"/>
  <c r="N1201" i="1" s="1"/>
  <c r="G1201" i="1"/>
  <c r="O1201" i="1" s="1"/>
  <c r="A1202" i="1"/>
  <c r="I1202" i="1" s="1"/>
  <c r="B1202" i="1"/>
  <c r="C1202" i="1"/>
  <c r="K1202" i="1" s="1"/>
  <c r="D1202" i="1"/>
  <c r="L1202" i="1" s="1"/>
  <c r="E1202" i="1"/>
  <c r="M1202" i="1" s="1"/>
  <c r="F1202" i="1"/>
  <c r="N1202" i="1" s="1"/>
  <c r="G1202" i="1"/>
  <c r="O1202" i="1" s="1"/>
  <c r="A1203" i="1"/>
  <c r="I1203" i="1" s="1"/>
  <c r="B1203" i="1"/>
  <c r="C1203" i="1"/>
  <c r="K1203" i="1" s="1"/>
  <c r="D1203" i="1"/>
  <c r="L1203" i="1" s="1"/>
  <c r="E1203" i="1"/>
  <c r="M1203" i="1" s="1"/>
  <c r="F1203" i="1"/>
  <c r="N1203" i="1" s="1"/>
  <c r="G1203" i="1"/>
  <c r="O1203" i="1" s="1"/>
  <c r="A1204" i="1"/>
  <c r="I1204" i="1" s="1"/>
  <c r="B1204" i="1"/>
  <c r="C1204" i="1"/>
  <c r="K1204" i="1" s="1"/>
  <c r="D1204" i="1"/>
  <c r="L1204" i="1" s="1"/>
  <c r="E1204" i="1"/>
  <c r="M1204" i="1" s="1"/>
  <c r="F1204" i="1"/>
  <c r="N1204" i="1" s="1"/>
  <c r="G1204" i="1"/>
  <c r="O1204" i="1" s="1"/>
  <c r="A1205" i="1"/>
  <c r="I1205" i="1" s="1"/>
  <c r="B1205" i="1"/>
  <c r="C1205" i="1"/>
  <c r="K1205" i="1" s="1"/>
  <c r="D1205" i="1"/>
  <c r="L1205" i="1" s="1"/>
  <c r="E1205" i="1"/>
  <c r="M1205" i="1" s="1"/>
  <c r="F1205" i="1"/>
  <c r="N1205" i="1" s="1"/>
  <c r="G1205" i="1"/>
  <c r="O1205" i="1" s="1"/>
  <c r="A1206" i="1"/>
  <c r="I1206" i="1" s="1"/>
  <c r="B1206" i="1"/>
  <c r="C1206" i="1"/>
  <c r="K1206" i="1" s="1"/>
  <c r="D1206" i="1"/>
  <c r="L1206" i="1" s="1"/>
  <c r="E1206" i="1"/>
  <c r="M1206" i="1" s="1"/>
  <c r="F1206" i="1"/>
  <c r="N1206" i="1" s="1"/>
  <c r="G1206" i="1"/>
  <c r="O1206" i="1" s="1"/>
  <c r="A1207" i="1"/>
  <c r="I1207" i="1" s="1"/>
  <c r="B1207" i="1"/>
  <c r="C1207" i="1"/>
  <c r="K1207" i="1" s="1"/>
  <c r="D1207" i="1"/>
  <c r="L1207" i="1" s="1"/>
  <c r="E1207" i="1"/>
  <c r="M1207" i="1" s="1"/>
  <c r="F1207" i="1"/>
  <c r="N1207" i="1" s="1"/>
  <c r="G1207" i="1"/>
  <c r="O1207" i="1" s="1"/>
  <c r="A1208" i="1"/>
  <c r="I1208" i="1" s="1"/>
  <c r="B1208" i="1"/>
  <c r="C1208" i="1"/>
  <c r="K1208" i="1" s="1"/>
  <c r="D1208" i="1"/>
  <c r="L1208" i="1" s="1"/>
  <c r="E1208" i="1"/>
  <c r="M1208" i="1" s="1"/>
  <c r="F1208" i="1"/>
  <c r="N1208" i="1" s="1"/>
  <c r="G1208" i="1"/>
  <c r="O1208" i="1" s="1"/>
  <c r="A1209" i="1"/>
  <c r="I1209" i="1" s="1"/>
  <c r="B1209" i="1"/>
  <c r="C1209" i="1"/>
  <c r="K1209" i="1" s="1"/>
  <c r="D1209" i="1"/>
  <c r="L1209" i="1" s="1"/>
  <c r="E1209" i="1"/>
  <c r="M1209" i="1" s="1"/>
  <c r="F1209" i="1"/>
  <c r="N1209" i="1" s="1"/>
  <c r="G1209" i="1"/>
  <c r="O1209" i="1" s="1"/>
  <c r="A1210" i="1"/>
  <c r="I1210" i="1" s="1"/>
  <c r="B1210" i="1"/>
  <c r="C1210" i="1"/>
  <c r="K1210" i="1" s="1"/>
  <c r="D1210" i="1"/>
  <c r="L1210" i="1" s="1"/>
  <c r="E1210" i="1"/>
  <c r="M1210" i="1" s="1"/>
  <c r="F1210" i="1"/>
  <c r="N1210" i="1" s="1"/>
  <c r="G1210" i="1"/>
  <c r="O1210" i="1" s="1"/>
  <c r="A1211" i="1"/>
  <c r="I1211" i="1" s="1"/>
  <c r="B1211" i="1"/>
  <c r="C1211" i="1"/>
  <c r="K1211" i="1" s="1"/>
  <c r="D1211" i="1"/>
  <c r="L1211" i="1" s="1"/>
  <c r="E1211" i="1"/>
  <c r="M1211" i="1" s="1"/>
  <c r="F1211" i="1"/>
  <c r="N1211" i="1" s="1"/>
  <c r="G1211" i="1"/>
  <c r="O1211" i="1" s="1"/>
  <c r="A1212" i="1"/>
  <c r="I1212" i="1" s="1"/>
  <c r="B1212" i="1"/>
  <c r="C1212" i="1"/>
  <c r="K1212" i="1" s="1"/>
  <c r="D1212" i="1"/>
  <c r="L1212" i="1" s="1"/>
  <c r="E1212" i="1"/>
  <c r="M1212" i="1" s="1"/>
  <c r="F1212" i="1"/>
  <c r="N1212" i="1" s="1"/>
  <c r="G1212" i="1"/>
  <c r="O1212" i="1" s="1"/>
  <c r="A1213" i="1"/>
  <c r="I1213" i="1" s="1"/>
  <c r="B1213" i="1"/>
  <c r="C1213" i="1"/>
  <c r="K1213" i="1" s="1"/>
  <c r="D1213" i="1"/>
  <c r="L1213" i="1" s="1"/>
  <c r="E1213" i="1"/>
  <c r="M1213" i="1" s="1"/>
  <c r="F1213" i="1"/>
  <c r="N1213" i="1" s="1"/>
  <c r="G1213" i="1"/>
  <c r="O1213" i="1" s="1"/>
  <c r="A1214" i="1"/>
  <c r="I1214" i="1" s="1"/>
  <c r="B1214" i="1"/>
  <c r="C1214" i="1"/>
  <c r="K1214" i="1" s="1"/>
  <c r="D1214" i="1"/>
  <c r="L1214" i="1" s="1"/>
  <c r="E1214" i="1"/>
  <c r="M1214" i="1" s="1"/>
  <c r="F1214" i="1"/>
  <c r="N1214" i="1" s="1"/>
  <c r="G1214" i="1"/>
  <c r="O1214" i="1" s="1"/>
  <c r="A1215" i="1"/>
  <c r="I1215" i="1" s="1"/>
  <c r="B1215" i="1"/>
  <c r="C1215" i="1"/>
  <c r="K1215" i="1" s="1"/>
  <c r="D1215" i="1"/>
  <c r="L1215" i="1" s="1"/>
  <c r="E1215" i="1"/>
  <c r="M1215" i="1" s="1"/>
  <c r="F1215" i="1"/>
  <c r="N1215" i="1" s="1"/>
  <c r="G1215" i="1"/>
  <c r="O1215" i="1" s="1"/>
  <c r="A1216" i="1"/>
  <c r="I1216" i="1" s="1"/>
  <c r="B1216" i="1"/>
  <c r="C1216" i="1"/>
  <c r="K1216" i="1" s="1"/>
  <c r="D1216" i="1"/>
  <c r="L1216" i="1" s="1"/>
  <c r="E1216" i="1"/>
  <c r="M1216" i="1" s="1"/>
  <c r="F1216" i="1"/>
  <c r="N1216" i="1" s="1"/>
  <c r="G1216" i="1"/>
  <c r="O1216" i="1" s="1"/>
  <c r="A1217" i="1"/>
  <c r="I1217" i="1" s="1"/>
  <c r="B1217" i="1"/>
  <c r="C1217" i="1"/>
  <c r="K1217" i="1" s="1"/>
  <c r="D1217" i="1"/>
  <c r="L1217" i="1" s="1"/>
  <c r="E1217" i="1"/>
  <c r="M1217" i="1" s="1"/>
  <c r="F1217" i="1"/>
  <c r="N1217" i="1" s="1"/>
  <c r="G1217" i="1"/>
  <c r="O1217" i="1" s="1"/>
  <c r="A1218" i="1"/>
  <c r="I1218" i="1" s="1"/>
  <c r="B1218" i="1"/>
  <c r="C1218" i="1"/>
  <c r="K1218" i="1" s="1"/>
  <c r="D1218" i="1"/>
  <c r="L1218" i="1" s="1"/>
  <c r="E1218" i="1"/>
  <c r="M1218" i="1" s="1"/>
  <c r="F1218" i="1"/>
  <c r="N1218" i="1" s="1"/>
  <c r="G1218" i="1"/>
  <c r="O1218" i="1" s="1"/>
  <c r="A1219" i="1"/>
  <c r="I1219" i="1" s="1"/>
  <c r="B1219" i="1"/>
  <c r="C1219" i="1"/>
  <c r="K1219" i="1" s="1"/>
  <c r="D1219" i="1"/>
  <c r="L1219" i="1" s="1"/>
  <c r="E1219" i="1"/>
  <c r="M1219" i="1" s="1"/>
  <c r="F1219" i="1"/>
  <c r="N1219" i="1" s="1"/>
  <c r="G1219" i="1"/>
  <c r="O1219" i="1" s="1"/>
  <c r="A1220" i="1"/>
  <c r="I1220" i="1" s="1"/>
  <c r="B1220" i="1"/>
  <c r="C1220" i="1"/>
  <c r="K1220" i="1" s="1"/>
  <c r="D1220" i="1"/>
  <c r="L1220" i="1" s="1"/>
  <c r="E1220" i="1"/>
  <c r="M1220" i="1" s="1"/>
  <c r="F1220" i="1"/>
  <c r="N1220" i="1" s="1"/>
  <c r="G1220" i="1"/>
  <c r="O1220" i="1" s="1"/>
  <c r="A1221" i="1"/>
  <c r="I1221" i="1" s="1"/>
  <c r="B1221" i="1"/>
  <c r="C1221" i="1"/>
  <c r="K1221" i="1" s="1"/>
  <c r="D1221" i="1"/>
  <c r="L1221" i="1" s="1"/>
  <c r="E1221" i="1"/>
  <c r="M1221" i="1" s="1"/>
  <c r="F1221" i="1"/>
  <c r="N1221" i="1" s="1"/>
  <c r="G1221" i="1"/>
  <c r="O1221" i="1" s="1"/>
  <c r="A1222" i="1"/>
  <c r="I1222" i="1" s="1"/>
  <c r="B1222" i="1"/>
  <c r="C1222" i="1"/>
  <c r="K1222" i="1" s="1"/>
  <c r="D1222" i="1"/>
  <c r="L1222" i="1" s="1"/>
  <c r="E1222" i="1"/>
  <c r="M1222" i="1" s="1"/>
  <c r="F1222" i="1"/>
  <c r="N1222" i="1" s="1"/>
  <c r="G1222" i="1"/>
  <c r="O1222" i="1" s="1"/>
  <c r="A1223" i="1"/>
  <c r="I1223" i="1" s="1"/>
  <c r="B1223" i="1"/>
  <c r="C1223" i="1"/>
  <c r="K1223" i="1" s="1"/>
  <c r="D1223" i="1"/>
  <c r="L1223" i="1" s="1"/>
  <c r="E1223" i="1"/>
  <c r="M1223" i="1" s="1"/>
  <c r="F1223" i="1"/>
  <c r="N1223" i="1" s="1"/>
  <c r="G1223" i="1"/>
  <c r="O1223" i="1" s="1"/>
  <c r="A1224" i="1"/>
  <c r="I1224" i="1" s="1"/>
  <c r="B1224" i="1"/>
  <c r="C1224" i="1"/>
  <c r="K1224" i="1" s="1"/>
  <c r="D1224" i="1"/>
  <c r="L1224" i="1" s="1"/>
  <c r="E1224" i="1"/>
  <c r="M1224" i="1" s="1"/>
  <c r="F1224" i="1"/>
  <c r="N1224" i="1" s="1"/>
  <c r="G1224" i="1"/>
  <c r="O1224" i="1" s="1"/>
  <c r="A1225" i="1"/>
  <c r="I1225" i="1" s="1"/>
  <c r="B1225" i="1"/>
  <c r="C1225" i="1"/>
  <c r="K1225" i="1" s="1"/>
  <c r="D1225" i="1"/>
  <c r="L1225" i="1" s="1"/>
  <c r="E1225" i="1"/>
  <c r="M1225" i="1" s="1"/>
  <c r="F1225" i="1"/>
  <c r="N1225" i="1" s="1"/>
  <c r="G1225" i="1"/>
  <c r="O1225" i="1" s="1"/>
  <c r="A1226" i="1"/>
  <c r="I1226" i="1" s="1"/>
  <c r="B1226" i="1"/>
  <c r="C1226" i="1"/>
  <c r="K1226" i="1" s="1"/>
  <c r="D1226" i="1"/>
  <c r="L1226" i="1" s="1"/>
  <c r="E1226" i="1"/>
  <c r="M1226" i="1" s="1"/>
  <c r="F1226" i="1"/>
  <c r="N1226" i="1" s="1"/>
  <c r="G1226" i="1"/>
  <c r="O1226" i="1" s="1"/>
  <c r="A1227" i="1"/>
  <c r="I1227" i="1" s="1"/>
  <c r="B1227" i="1"/>
  <c r="C1227" i="1"/>
  <c r="K1227" i="1" s="1"/>
  <c r="D1227" i="1"/>
  <c r="L1227" i="1" s="1"/>
  <c r="E1227" i="1"/>
  <c r="M1227" i="1" s="1"/>
  <c r="F1227" i="1"/>
  <c r="N1227" i="1" s="1"/>
  <c r="G1227" i="1"/>
  <c r="O1227" i="1" s="1"/>
  <c r="A1228" i="1"/>
  <c r="I1228" i="1" s="1"/>
  <c r="B1228" i="1"/>
  <c r="C1228" i="1"/>
  <c r="K1228" i="1" s="1"/>
  <c r="D1228" i="1"/>
  <c r="L1228" i="1" s="1"/>
  <c r="E1228" i="1"/>
  <c r="M1228" i="1" s="1"/>
  <c r="F1228" i="1"/>
  <c r="N1228" i="1" s="1"/>
  <c r="G1228" i="1"/>
  <c r="O1228" i="1" s="1"/>
  <c r="A1229" i="1"/>
  <c r="I1229" i="1" s="1"/>
  <c r="B1229" i="1"/>
  <c r="C1229" i="1"/>
  <c r="K1229" i="1" s="1"/>
  <c r="D1229" i="1"/>
  <c r="L1229" i="1" s="1"/>
  <c r="E1229" i="1"/>
  <c r="M1229" i="1" s="1"/>
  <c r="F1229" i="1"/>
  <c r="N1229" i="1" s="1"/>
  <c r="G1229" i="1"/>
  <c r="O1229" i="1" s="1"/>
  <c r="A1230" i="1"/>
  <c r="I1230" i="1" s="1"/>
  <c r="B1230" i="1"/>
  <c r="C1230" i="1"/>
  <c r="K1230" i="1" s="1"/>
  <c r="D1230" i="1"/>
  <c r="L1230" i="1" s="1"/>
  <c r="E1230" i="1"/>
  <c r="M1230" i="1" s="1"/>
  <c r="F1230" i="1"/>
  <c r="N1230" i="1" s="1"/>
  <c r="G1230" i="1"/>
  <c r="O1230" i="1" s="1"/>
  <c r="A1231" i="1"/>
  <c r="I1231" i="1" s="1"/>
  <c r="B1231" i="1"/>
  <c r="C1231" i="1"/>
  <c r="K1231" i="1" s="1"/>
  <c r="D1231" i="1"/>
  <c r="L1231" i="1" s="1"/>
  <c r="E1231" i="1"/>
  <c r="M1231" i="1" s="1"/>
  <c r="F1231" i="1"/>
  <c r="N1231" i="1" s="1"/>
  <c r="G1231" i="1"/>
  <c r="O1231" i="1" s="1"/>
  <c r="A1232" i="1"/>
  <c r="I1232" i="1" s="1"/>
  <c r="B1232" i="1"/>
  <c r="C1232" i="1"/>
  <c r="K1232" i="1" s="1"/>
  <c r="D1232" i="1"/>
  <c r="L1232" i="1" s="1"/>
  <c r="E1232" i="1"/>
  <c r="M1232" i="1" s="1"/>
  <c r="F1232" i="1"/>
  <c r="N1232" i="1" s="1"/>
  <c r="G1232" i="1"/>
  <c r="O1232" i="1" s="1"/>
  <c r="A1233" i="1"/>
  <c r="I1233" i="1" s="1"/>
  <c r="B1233" i="1"/>
  <c r="C1233" i="1"/>
  <c r="K1233" i="1" s="1"/>
  <c r="D1233" i="1"/>
  <c r="L1233" i="1" s="1"/>
  <c r="E1233" i="1"/>
  <c r="M1233" i="1" s="1"/>
  <c r="F1233" i="1"/>
  <c r="N1233" i="1" s="1"/>
  <c r="G1233" i="1"/>
  <c r="O1233" i="1" s="1"/>
  <c r="A1234" i="1"/>
  <c r="I1234" i="1" s="1"/>
  <c r="B1234" i="1"/>
  <c r="C1234" i="1"/>
  <c r="K1234" i="1" s="1"/>
  <c r="D1234" i="1"/>
  <c r="L1234" i="1" s="1"/>
  <c r="E1234" i="1"/>
  <c r="M1234" i="1" s="1"/>
  <c r="F1234" i="1"/>
  <c r="N1234" i="1" s="1"/>
  <c r="G1234" i="1"/>
  <c r="O1234" i="1" s="1"/>
  <c r="A1235" i="1"/>
  <c r="I1235" i="1" s="1"/>
  <c r="B1235" i="1"/>
  <c r="C1235" i="1"/>
  <c r="K1235" i="1" s="1"/>
  <c r="D1235" i="1"/>
  <c r="L1235" i="1" s="1"/>
  <c r="E1235" i="1"/>
  <c r="M1235" i="1" s="1"/>
  <c r="F1235" i="1"/>
  <c r="N1235" i="1" s="1"/>
  <c r="G1235" i="1"/>
  <c r="O1235" i="1" s="1"/>
  <c r="A1236" i="1"/>
  <c r="I1236" i="1" s="1"/>
  <c r="B1236" i="1"/>
  <c r="C1236" i="1"/>
  <c r="K1236" i="1" s="1"/>
  <c r="D1236" i="1"/>
  <c r="L1236" i="1" s="1"/>
  <c r="E1236" i="1"/>
  <c r="M1236" i="1" s="1"/>
  <c r="F1236" i="1"/>
  <c r="N1236" i="1" s="1"/>
  <c r="G1236" i="1"/>
  <c r="O1236" i="1" s="1"/>
  <c r="A1237" i="1"/>
  <c r="I1237" i="1" s="1"/>
  <c r="B1237" i="1"/>
  <c r="C1237" i="1"/>
  <c r="K1237" i="1" s="1"/>
  <c r="D1237" i="1"/>
  <c r="L1237" i="1" s="1"/>
  <c r="E1237" i="1"/>
  <c r="M1237" i="1" s="1"/>
  <c r="F1237" i="1"/>
  <c r="N1237" i="1" s="1"/>
  <c r="G1237" i="1"/>
  <c r="O1237" i="1" s="1"/>
  <c r="A1238" i="1"/>
  <c r="I1238" i="1" s="1"/>
  <c r="B1238" i="1"/>
  <c r="C1238" i="1"/>
  <c r="K1238" i="1" s="1"/>
  <c r="D1238" i="1"/>
  <c r="L1238" i="1" s="1"/>
  <c r="E1238" i="1"/>
  <c r="M1238" i="1" s="1"/>
  <c r="F1238" i="1"/>
  <c r="N1238" i="1" s="1"/>
  <c r="G1238" i="1"/>
  <c r="O1238" i="1" s="1"/>
  <c r="A1239" i="1"/>
  <c r="I1239" i="1" s="1"/>
  <c r="B1239" i="1"/>
  <c r="C1239" i="1"/>
  <c r="K1239" i="1" s="1"/>
  <c r="D1239" i="1"/>
  <c r="L1239" i="1" s="1"/>
  <c r="E1239" i="1"/>
  <c r="M1239" i="1" s="1"/>
  <c r="F1239" i="1"/>
  <c r="N1239" i="1" s="1"/>
  <c r="G1239" i="1"/>
  <c r="O1239" i="1" s="1"/>
  <c r="A1240" i="1"/>
  <c r="I1240" i="1" s="1"/>
  <c r="B1240" i="1"/>
  <c r="C1240" i="1"/>
  <c r="K1240" i="1" s="1"/>
  <c r="D1240" i="1"/>
  <c r="L1240" i="1" s="1"/>
  <c r="E1240" i="1"/>
  <c r="M1240" i="1" s="1"/>
  <c r="F1240" i="1"/>
  <c r="N1240" i="1" s="1"/>
  <c r="G1240" i="1"/>
  <c r="O1240" i="1" s="1"/>
  <c r="A1241" i="1"/>
  <c r="I1241" i="1" s="1"/>
  <c r="B1241" i="1"/>
  <c r="C1241" i="1"/>
  <c r="K1241" i="1" s="1"/>
  <c r="D1241" i="1"/>
  <c r="L1241" i="1" s="1"/>
  <c r="E1241" i="1"/>
  <c r="M1241" i="1" s="1"/>
  <c r="F1241" i="1"/>
  <c r="N1241" i="1" s="1"/>
  <c r="G1241" i="1"/>
  <c r="O1241" i="1" s="1"/>
  <c r="A1242" i="1"/>
  <c r="I1242" i="1" s="1"/>
  <c r="B1242" i="1"/>
  <c r="C1242" i="1"/>
  <c r="K1242" i="1" s="1"/>
  <c r="D1242" i="1"/>
  <c r="L1242" i="1" s="1"/>
  <c r="E1242" i="1"/>
  <c r="M1242" i="1" s="1"/>
  <c r="F1242" i="1"/>
  <c r="N1242" i="1" s="1"/>
  <c r="G1242" i="1"/>
  <c r="O1242" i="1" s="1"/>
  <c r="A1243" i="1"/>
  <c r="I1243" i="1" s="1"/>
  <c r="B1243" i="1"/>
  <c r="C1243" i="1"/>
  <c r="K1243" i="1" s="1"/>
  <c r="D1243" i="1"/>
  <c r="L1243" i="1" s="1"/>
  <c r="E1243" i="1"/>
  <c r="M1243" i="1" s="1"/>
  <c r="F1243" i="1"/>
  <c r="N1243" i="1" s="1"/>
  <c r="G1243" i="1"/>
  <c r="O1243" i="1" s="1"/>
  <c r="A1244" i="1"/>
  <c r="I1244" i="1" s="1"/>
  <c r="B1244" i="1"/>
  <c r="C1244" i="1"/>
  <c r="K1244" i="1" s="1"/>
  <c r="D1244" i="1"/>
  <c r="L1244" i="1" s="1"/>
  <c r="E1244" i="1"/>
  <c r="M1244" i="1" s="1"/>
  <c r="F1244" i="1"/>
  <c r="N1244" i="1" s="1"/>
  <c r="G1244" i="1"/>
  <c r="O1244" i="1" s="1"/>
  <c r="A1245" i="1"/>
  <c r="I1245" i="1" s="1"/>
  <c r="B1245" i="1"/>
  <c r="C1245" i="1"/>
  <c r="K1245" i="1" s="1"/>
  <c r="D1245" i="1"/>
  <c r="L1245" i="1" s="1"/>
  <c r="E1245" i="1"/>
  <c r="M1245" i="1" s="1"/>
  <c r="F1245" i="1"/>
  <c r="N1245" i="1" s="1"/>
  <c r="G1245" i="1"/>
  <c r="O1245" i="1" s="1"/>
  <c r="A1246" i="1"/>
  <c r="I1246" i="1" s="1"/>
  <c r="B1246" i="1"/>
  <c r="C1246" i="1"/>
  <c r="K1246" i="1" s="1"/>
  <c r="D1246" i="1"/>
  <c r="L1246" i="1" s="1"/>
  <c r="E1246" i="1"/>
  <c r="M1246" i="1" s="1"/>
  <c r="F1246" i="1"/>
  <c r="N1246" i="1" s="1"/>
  <c r="G1246" i="1"/>
  <c r="O1246" i="1" s="1"/>
  <c r="A1247" i="1"/>
  <c r="I1247" i="1" s="1"/>
  <c r="B1247" i="1"/>
  <c r="C1247" i="1"/>
  <c r="K1247" i="1" s="1"/>
  <c r="D1247" i="1"/>
  <c r="L1247" i="1" s="1"/>
  <c r="E1247" i="1"/>
  <c r="M1247" i="1" s="1"/>
  <c r="F1247" i="1"/>
  <c r="N1247" i="1" s="1"/>
  <c r="G1247" i="1"/>
  <c r="O1247" i="1" s="1"/>
  <c r="A1248" i="1"/>
  <c r="I1248" i="1" s="1"/>
  <c r="B1248" i="1"/>
  <c r="C1248" i="1"/>
  <c r="K1248" i="1" s="1"/>
  <c r="D1248" i="1"/>
  <c r="L1248" i="1" s="1"/>
  <c r="E1248" i="1"/>
  <c r="M1248" i="1" s="1"/>
  <c r="F1248" i="1"/>
  <c r="N1248" i="1" s="1"/>
  <c r="G1248" i="1"/>
  <c r="O1248" i="1" s="1"/>
  <c r="A1249" i="1"/>
  <c r="I1249" i="1" s="1"/>
  <c r="B1249" i="1"/>
  <c r="C1249" i="1"/>
  <c r="K1249" i="1" s="1"/>
  <c r="D1249" i="1"/>
  <c r="L1249" i="1" s="1"/>
  <c r="E1249" i="1"/>
  <c r="M1249" i="1" s="1"/>
  <c r="F1249" i="1"/>
  <c r="N1249" i="1" s="1"/>
  <c r="G1249" i="1"/>
  <c r="O1249" i="1" s="1"/>
  <c r="A1250" i="1"/>
  <c r="I1250" i="1" s="1"/>
  <c r="B1250" i="1"/>
  <c r="C1250" i="1"/>
  <c r="K1250" i="1" s="1"/>
  <c r="D1250" i="1"/>
  <c r="L1250" i="1" s="1"/>
  <c r="E1250" i="1"/>
  <c r="M1250" i="1" s="1"/>
  <c r="F1250" i="1"/>
  <c r="N1250" i="1" s="1"/>
  <c r="G1250" i="1"/>
  <c r="O1250" i="1" s="1"/>
  <c r="A1251" i="1"/>
  <c r="I1251" i="1" s="1"/>
  <c r="B1251" i="1"/>
  <c r="C1251" i="1"/>
  <c r="K1251" i="1" s="1"/>
  <c r="D1251" i="1"/>
  <c r="L1251" i="1" s="1"/>
  <c r="E1251" i="1"/>
  <c r="M1251" i="1" s="1"/>
  <c r="F1251" i="1"/>
  <c r="N1251" i="1" s="1"/>
  <c r="G1251" i="1"/>
  <c r="O1251" i="1" s="1"/>
  <c r="A1252" i="1"/>
  <c r="I1252" i="1" s="1"/>
  <c r="B1252" i="1"/>
  <c r="C1252" i="1"/>
  <c r="K1252" i="1" s="1"/>
  <c r="D1252" i="1"/>
  <c r="L1252" i="1" s="1"/>
  <c r="E1252" i="1"/>
  <c r="M1252" i="1" s="1"/>
  <c r="F1252" i="1"/>
  <c r="N1252" i="1" s="1"/>
  <c r="G1252" i="1"/>
  <c r="O1252" i="1" s="1"/>
  <c r="A1253" i="1"/>
  <c r="I1253" i="1" s="1"/>
  <c r="B1253" i="1"/>
  <c r="C1253" i="1"/>
  <c r="K1253" i="1" s="1"/>
  <c r="D1253" i="1"/>
  <c r="L1253" i="1" s="1"/>
  <c r="E1253" i="1"/>
  <c r="M1253" i="1" s="1"/>
  <c r="F1253" i="1"/>
  <c r="N1253" i="1" s="1"/>
  <c r="G1253" i="1"/>
  <c r="O1253" i="1" s="1"/>
  <c r="A1254" i="1"/>
  <c r="I1254" i="1" s="1"/>
  <c r="B1254" i="1"/>
  <c r="C1254" i="1"/>
  <c r="K1254" i="1" s="1"/>
  <c r="D1254" i="1"/>
  <c r="L1254" i="1" s="1"/>
  <c r="E1254" i="1"/>
  <c r="M1254" i="1" s="1"/>
  <c r="F1254" i="1"/>
  <c r="N1254" i="1" s="1"/>
  <c r="G1254" i="1"/>
  <c r="O1254" i="1" s="1"/>
  <c r="A1255" i="1"/>
  <c r="I1255" i="1" s="1"/>
  <c r="B1255" i="1"/>
  <c r="C1255" i="1"/>
  <c r="K1255" i="1" s="1"/>
  <c r="D1255" i="1"/>
  <c r="L1255" i="1" s="1"/>
  <c r="E1255" i="1"/>
  <c r="M1255" i="1" s="1"/>
  <c r="F1255" i="1"/>
  <c r="N1255" i="1" s="1"/>
  <c r="G1255" i="1"/>
  <c r="O1255" i="1" s="1"/>
  <c r="A1256" i="1"/>
  <c r="I1256" i="1" s="1"/>
  <c r="B1256" i="1"/>
  <c r="C1256" i="1"/>
  <c r="K1256" i="1" s="1"/>
  <c r="D1256" i="1"/>
  <c r="L1256" i="1" s="1"/>
  <c r="E1256" i="1"/>
  <c r="M1256" i="1" s="1"/>
  <c r="F1256" i="1"/>
  <c r="N1256" i="1" s="1"/>
  <c r="G1256" i="1"/>
  <c r="O1256" i="1" s="1"/>
  <c r="A1257" i="1"/>
  <c r="I1257" i="1" s="1"/>
  <c r="B1257" i="1"/>
  <c r="C1257" i="1"/>
  <c r="K1257" i="1" s="1"/>
  <c r="D1257" i="1"/>
  <c r="L1257" i="1" s="1"/>
  <c r="E1257" i="1"/>
  <c r="M1257" i="1" s="1"/>
  <c r="F1257" i="1"/>
  <c r="N1257" i="1" s="1"/>
  <c r="G1257" i="1"/>
  <c r="O1257" i="1" s="1"/>
  <c r="A1258" i="1"/>
  <c r="I1258" i="1" s="1"/>
  <c r="B1258" i="1"/>
  <c r="C1258" i="1"/>
  <c r="K1258" i="1" s="1"/>
  <c r="D1258" i="1"/>
  <c r="L1258" i="1" s="1"/>
  <c r="E1258" i="1"/>
  <c r="M1258" i="1" s="1"/>
  <c r="F1258" i="1"/>
  <c r="N1258" i="1" s="1"/>
  <c r="G1258" i="1"/>
  <c r="O1258" i="1" s="1"/>
  <c r="A1259" i="1"/>
  <c r="I1259" i="1" s="1"/>
  <c r="B1259" i="1"/>
  <c r="C1259" i="1"/>
  <c r="K1259" i="1" s="1"/>
  <c r="D1259" i="1"/>
  <c r="L1259" i="1" s="1"/>
  <c r="E1259" i="1"/>
  <c r="M1259" i="1" s="1"/>
  <c r="F1259" i="1"/>
  <c r="N1259" i="1" s="1"/>
  <c r="G1259" i="1"/>
  <c r="O1259" i="1" s="1"/>
  <c r="A1260" i="1"/>
  <c r="I1260" i="1" s="1"/>
  <c r="B1260" i="1"/>
  <c r="C1260" i="1"/>
  <c r="K1260" i="1" s="1"/>
  <c r="D1260" i="1"/>
  <c r="L1260" i="1" s="1"/>
  <c r="E1260" i="1"/>
  <c r="M1260" i="1" s="1"/>
  <c r="F1260" i="1"/>
  <c r="N1260" i="1" s="1"/>
  <c r="G1260" i="1"/>
  <c r="O1260" i="1" s="1"/>
  <c r="A1261" i="1"/>
  <c r="I1261" i="1" s="1"/>
  <c r="B1261" i="1"/>
  <c r="C1261" i="1"/>
  <c r="K1261" i="1" s="1"/>
  <c r="D1261" i="1"/>
  <c r="L1261" i="1" s="1"/>
  <c r="E1261" i="1"/>
  <c r="M1261" i="1" s="1"/>
  <c r="F1261" i="1"/>
  <c r="N1261" i="1" s="1"/>
  <c r="G1261" i="1"/>
  <c r="O1261" i="1" s="1"/>
  <c r="A1262" i="1"/>
  <c r="I1262" i="1" s="1"/>
  <c r="B1262" i="1"/>
  <c r="C1262" i="1"/>
  <c r="K1262" i="1" s="1"/>
  <c r="D1262" i="1"/>
  <c r="L1262" i="1" s="1"/>
  <c r="E1262" i="1"/>
  <c r="M1262" i="1" s="1"/>
  <c r="F1262" i="1"/>
  <c r="N1262" i="1" s="1"/>
  <c r="G1262" i="1"/>
  <c r="O1262" i="1" s="1"/>
  <c r="A1263" i="1"/>
  <c r="I1263" i="1" s="1"/>
  <c r="B1263" i="1"/>
  <c r="C1263" i="1"/>
  <c r="K1263" i="1" s="1"/>
  <c r="D1263" i="1"/>
  <c r="L1263" i="1" s="1"/>
  <c r="E1263" i="1"/>
  <c r="M1263" i="1" s="1"/>
  <c r="F1263" i="1"/>
  <c r="N1263" i="1" s="1"/>
  <c r="G1263" i="1"/>
  <c r="O1263" i="1" s="1"/>
  <c r="A1264" i="1"/>
  <c r="I1264" i="1" s="1"/>
  <c r="B1264" i="1"/>
  <c r="C1264" i="1"/>
  <c r="K1264" i="1" s="1"/>
  <c r="D1264" i="1"/>
  <c r="L1264" i="1" s="1"/>
  <c r="E1264" i="1"/>
  <c r="M1264" i="1" s="1"/>
  <c r="F1264" i="1"/>
  <c r="N1264" i="1" s="1"/>
  <c r="G1264" i="1"/>
  <c r="O1264" i="1" s="1"/>
  <c r="A1265" i="1"/>
  <c r="I1265" i="1" s="1"/>
  <c r="B1265" i="1"/>
  <c r="C1265" i="1"/>
  <c r="K1265" i="1" s="1"/>
  <c r="D1265" i="1"/>
  <c r="L1265" i="1" s="1"/>
  <c r="E1265" i="1"/>
  <c r="M1265" i="1" s="1"/>
  <c r="F1265" i="1"/>
  <c r="N1265" i="1" s="1"/>
  <c r="G1265" i="1"/>
  <c r="O1265" i="1" s="1"/>
  <c r="A1266" i="1"/>
  <c r="I1266" i="1" s="1"/>
  <c r="B1266" i="1"/>
  <c r="C1266" i="1"/>
  <c r="K1266" i="1" s="1"/>
  <c r="D1266" i="1"/>
  <c r="L1266" i="1" s="1"/>
  <c r="E1266" i="1"/>
  <c r="M1266" i="1" s="1"/>
  <c r="F1266" i="1"/>
  <c r="N1266" i="1" s="1"/>
  <c r="G1266" i="1"/>
  <c r="O1266" i="1" s="1"/>
  <c r="A1267" i="1"/>
  <c r="I1267" i="1" s="1"/>
  <c r="B1267" i="1"/>
  <c r="C1267" i="1"/>
  <c r="K1267" i="1" s="1"/>
  <c r="D1267" i="1"/>
  <c r="L1267" i="1" s="1"/>
  <c r="E1267" i="1"/>
  <c r="M1267" i="1" s="1"/>
  <c r="F1267" i="1"/>
  <c r="N1267" i="1" s="1"/>
  <c r="G1267" i="1"/>
  <c r="O1267" i="1" s="1"/>
  <c r="A1268" i="1"/>
  <c r="I1268" i="1" s="1"/>
  <c r="B1268" i="1"/>
  <c r="C1268" i="1"/>
  <c r="K1268" i="1" s="1"/>
  <c r="D1268" i="1"/>
  <c r="L1268" i="1" s="1"/>
  <c r="E1268" i="1"/>
  <c r="M1268" i="1" s="1"/>
  <c r="F1268" i="1"/>
  <c r="N1268" i="1" s="1"/>
  <c r="G1268" i="1"/>
  <c r="O1268" i="1" s="1"/>
  <c r="A1269" i="1"/>
  <c r="I1269" i="1" s="1"/>
  <c r="B1269" i="1"/>
  <c r="C1269" i="1"/>
  <c r="K1269" i="1" s="1"/>
  <c r="D1269" i="1"/>
  <c r="L1269" i="1" s="1"/>
  <c r="E1269" i="1"/>
  <c r="M1269" i="1" s="1"/>
  <c r="F1269" i="1"/>
  <c r="N1269" i="1" s="1"/>
  <c r="G1269" i="1"/>
  <c r="O1269" i="1" s="1"/>
  <c r="A1270" i="1"/>
  <c r="I1270" i="1" s="1"/>
  <c r="B1270" i="1"/>
  <c r="C1270" i="1"/>
  <c r="K1270" i="1" s="1"/>
  <c r="D1270" i="1"/>
  <c r="L1270" i="1" s="1"/>
  <c r="E1270" i="1"/>
  <c r="M1270" i="1" s="1"/>
  <c r="F1270" i="1"/>
  <c r="N1270" i="1" s="1"/>
  <c r="G1270" i="1"/>
  <c r="O1270" i="1" s="1"/>
  <c r="A1271" i="1"/>
  <c r="I1271" i="1" s="1"/>
  <c r="B1271" i="1"/>
  <c r="C1271" i="1"/>
  <c r="K1271" i="1" s="1"/>
  <c r="D1271" i="1"/>
  <c r="L1271" i="1" s="1"/>
  <c r="E1271" i="1"/>
  <c r="M1271" i="1" s="1"/>
  <c r="F1271" i="1"/>
  <c r="N1271" i="1" s="1"/>
  <c r="G1271" i="1"/>
  <c r="O1271" i="1" s="1"/>
  <c r="A1272" i="1"/>
  <c r="I1272" i="1" s="1"/>
  <c r="B1272" i="1"/>
  <c r="C1272" i="1"/>
  <c r="K1272" i="1" s="1"/>
  <c r="D1272" i="1"/>
  <c r="L1272" i="1" s="1"/>
  <c r="E1272" i="1"/>
  <c r="M1272" i="1" s="1"/>
  <c r="F1272" i="1"/>
  <c r="N1272" i="1" s="1"/>
  <c r="G1272" i="1"/>
  <c r="O1272" i="1" s="1"/>
  <c r="A1273" i="1"/>
  <c r="I1273" i="1" s="1"/>
  <c r="B1273" i="1"/>
  <c r="C1273" i="1"/>
  <c r="K1273" i="1" s="1"/>
  <c r="D1273" i="1"/>
  <c r="L1273" i="1" s="1"/>
  <c r="E1273" i="1"/>
  <c r="M1273" i="1" s="1"/>
  <c r="F1273" i="1"/>
  <c r="N1273" i="1" s="1"/>
  <c r="G1273" i="1"/>
  <c r="O1273" i="1" s="1"/>
  <c r="A1274" i="1"/>
  <c r="I1274" i="1" s="1"/>
  <c r="B1274" i="1"/>
  <c r="C1274" i="1"/>
  <c r="K1274" i="1" s="1"/>
  <c r="D1274" i="1"/>
  <c r="L1274" i="1" s="1"/>
  <c r="E1274" i="1"/>
  <c r="M1274" i="1" s="1"/>
  <c r="F1274" i="1"/>
  <c r="N1274" i="1" s="1"/>
  <c r="G1274" i="1"/>
  <c r="O1274" i="1" s="1"/>
  <c r="A1275" i="1"/>
  <c r="I1275" i="1" s="1"/>
  <c r="B1275" i="1"/>
  <c r="C1275" i="1"/>
  <c r="K1275" i="1" s="1"/>
  <c r="D1275" i="1"/>
  <c r="L1275" i="1" s="1"/>
  <c r="E1275" i="1"/>
  <c r="M1275" i="1" s="1"/>
  <c r="F1275" i="1"/>
  <c r="N1275" i="1" s="1"/>
  <c r="G1275" i="1"/>
  <c r="O1275" i="1" s="1"/>
  <c r="A1276" i="1"/>
  <c r="I1276" i="1" s="1"/>
  <c r="B1276" i="1"/>
  <c r="C1276" i="1"/>
  <c r="K1276" i="1" s="1"/>
  <c r="D1276" i="1"/>
  <c r="L1276" i="1" s="1"/>
  <c r="E1276" i="1"/>
  <c r="M1276" i="1" s="1"/>
  <c r="F1276" i="1"/>
  <c r="N1276" i="1" s="1"/>
  <c r="G1276" i="1"/>
  <c r="O1276" i="1" s="1"/>
  <c r="A1277" i="1"/>
  <c r="I1277" i="1" s="1"/>
  <c r="B1277" i="1"/>
  <c r="C1277" i="1"/>
  <c r="K1277" i="1" s="1"/>
  <c r="D1277" i="1"/>
  <c r="L1277" i="1" s="1"/>
  <c r="E1277" i="1"/>
  <c r="M1277" i="1" s="1"/>
  <c r="F1277" i="1"/>
  <c r="N1277" i="1" s="1"/>
  <c r="G1277" i="1"/>
  <c r="O1277" i="1" s="1"/>
  <c r="A1278" i="1"/>
  <c r="I1278" i="1" s="1"/>
  <c r="B1278" i="1"/>
  <c r="C1278" i="1"/>
  <c r="K1278" i="1" s="1"/>
  <c r="D1278" i="1"/>
  <c r="L1278" i="1" s="1"/>
  <c r="E1278" i="1"/>
  <c r="M1278" i="1" s="1"/>
  <c r="F1278" i="1"/>
  <c r="N1278" i="1" s="1"/>
  <c r="G1278" i="1"/>
  <c r="O1278" i="1" s="1"/>
  <c r="A1279" i="1"/>
  <c r="I1279" i="1" s="1"/>
  <c r="B1279" i="1"/>
  <c r="C1279" i="1"/>
  <c r="K1279" i="1" s="1"/>
  <c r="D1279" i="1"/>
  <c r="L1279" i="1" s="1"/>
  <c r="E1279" i="1"/>
  <c r="M1279" i="1" s="1"/>
  <c r="F1279" i="1"/>
  <c r="N1279" i="1" s="1"/>
  <c r="G1279" i="1"/>
  <c r="O1279" i="1" s="1"/>
  <c r="A1280" i="1"/>
  <c r="I1280" i="1" s="1"/>
  <c r="B1280" i="1"/>
  <c r="C1280" i="1"/>
  <c r="K1280" i="1" s="1"/>
  <c r="D1280" i="1"/>
  <c r="L1280" i="1" s="1"/>
  <c r="E1280" i="1"/>
  <c r="M1280" i="1" s="1"/>
  <c r="F1280" i="1"/>
  <c r="N1280" i="1" s="1"/>
  <c r="G1280" i="1"/>
  <c r="O1280" i="1" s="1"/>
  <c r="A1281" i="1"/>
  <c r="I1281" i="1" s="1"/>
  <c r="B1281" i="1"/>
  <c r="C1281" i="1"/>
  <c r="K1281" i="1" s="1"/>
  <c r="D1281" i="1"/>
  <c r="L1281" i="1" s="1"/>
  <c r="E1281" i="1"/>
  <c r="M1281" i="1" s="1"/>
  <c r="F1281" i="1"/>
  <c r="N1281" i="1" s="1"/>
  <c r="G1281" i="1"/>
  <c r="O1281" i="1" s="1"/>
  <c r="A1282" i="1"/>
  <c r="I1282" i="1" s="1"/>
  <c r="B1282" i="1"/>
  <c r="C1282" i="1"/>
  <c r="K1282" i="1" s="1"/>
  <c r="D1282" i="1"/>
  <c r="L1282" i="1" s="1"/>
  <c r="E1282" i="1"/>
  <c r="M1282" i="1" s="1"/>
  <c r="F1282" i="1"/>
  <c r="N1282" i="1" s="1"/>
  <c r="G1282" i="1"/>
  <c r="O1282" i="1" s="1"/>
  <c r="A1283" i="1"/>
  <c r="I1283" i="1" s="1"/>
  <c r="B1283" i="1"/>
  <c r="C1283" i="1"/>
  <c r="K1283" i="1" s="1"/>
  <c r="D1283" i="1"/>
  <c r="L1283" i="1" s="1"/>
  <c r="E1283" i="1"/>
  <c r="M1283" i="1" s="1"/>
  <c r="F1283" i="1"/>
  <c r="N1283" i="1" s="1"/>
  <c r="G1283" i="1"/>
  <c r="O1283" i="1" s="1"/>
  <c r="A1284" i="1"/>
  <c r="I1284" i="1" s="1"/>
  <c r="B1284" i="1"/>
  <c r="C1284" i="1"/>
  <c r="K1284" i="1" s="1"/>
  <c r="D1284" i="1"/>
  <c r="L1284" i="1" s="1"/>
  <c r="E1284" i="1"/>
  <c r="M1284" i="1" s="1"/>
  <c r="F1284" i="1"/>
  <c r="N1284" i="1" s="1"/>
  <c r="G1284" i="1"/>
  <c r="O1284" i="1" s="1"/>
  <c r="A1285" i="1"/>
  <c r="I1285" i="1" s="1"/>
  <c r="B1285" i="1"/>
  <c r="C1285" i="1"/>
  <c r="K1285" i="1" s="1"/>
  <c r="D1285" i="1"/>
  <c r="L1285" i="1" s="1"/>
  <c r="E1285" i="1"/>
  <c r="M1285" i="1" s="1"/>
  <c r="F1285" i="1"/>
  <c r="N1285" i="1" s="1"/>
  <c r="G1285" i="1"/>
  <c r="O1285" i="1" s="1"/>
  <c r="A1286" i="1"/>
  <c r="I1286" i="1" s="1"/>
  <c r="B1286" i="1"/>
  <c r="C1286" i="1"/>
  <c r="K1286" i="1" s="1"/>
  <c r="D1286" i="1"/>
  <c r="L1286" i="1" s="1"/>
  <c r="E1286" i="1"/>
  <c r="M1286" i="1" s="1"/>
  <c r="F1286" i="1"/>
  <c r="N1286" i="1" s="1"/>
  <c r="G1286" i="1"/>
  <c r="O1286" i="1" s="1"/>
  <c r="A1287" i="1"/>
  <c r="I1287" i="1" s="1"/>
  <c r="B1287" i="1"/>
  <c r="C1287" i="1"/>
  <c r="K1287" i="1" s="1"/>
  <c r="D1287" i="1"/>
  <c r="L1287" i="1" s="1"/>
  <c r="E1287" i="1"/>
  <c r="M1287" i="1" s="1"/>
  <c r="F1287" i="1"/>
  <c r="N1287" i="1" s="1"/>
  <c r="G1287" i="1"/>
  <c r="O1287" i="1" s="1"/>
  <c r="A1288" i="1"/>
  <c r="I1288" i="1" s="1"/>
  <c r="B1288" i="1"/>
  <c r="C1288" i="1"/>
  <c r="K1288" i="1" s="1"/>
  <c r="D1288" i="1"/>
  <c r="L1288" i="1" s="1"/>
  <c r="E1288" i="1"/>
  <c r="M1288" i="1" s="1"/>
  <c r="F1288" i="1"/>
  <c r="N1288" i="1" s="1"/>
  <c r="G1288" i="1"/>
  <c r="O1288" i="1" s="1"/>
  <c r="A1289" i="1"/>
  <c r="I1289" i="1" s="1"/>
  <c r="B1289" i="1"/>
  <c r="C1289" i="1"/>
  <c r="K1289" i="1" s="1"/>
  <c r="D1289" i="1"/>
  <c r="L1289" i="1" s="1"/>
  <c r="E1289" i="1"/>
  <c r="M1289" i="1" s="1"/>
  <c r="F1289" i="1"/>
  <c r="N1289" i="1" s="1"/>
  <c r="G1289" i="1"/>
  <c r="O1289" i="1" s="1"/>
  <c r="A1290" i="1"/>
  <c r="I1290" i="1" s="1"/>
  <c r="B1290" i="1"/>
  <c r="C1290" i="1"/>
  <c r="K1290" i="1" s="1"/>
  <c r="D1290" i="1"/>
  <c r="L1290" i="1" s="1"/>
  <c r="E1290" i="1"/>
  <c r="M1290" i="1" s="1"/>
  <c r="F1290" i="1"/>
  <c r="N1290" i="1" s="1"/>
  <c r="G1290" i="1"/>
  <c r="O1290" i="1" s="1"/>
  <c r="A1291" i="1"/>
  <c r="I1291" i="1" s="1"/>
  <c r="B1291" i="1"/>
  <c r="C1291" i="1"/>
  <c r="K1291" i="1" s="1"/>
  <c r="D1291" i="1"/>
  <c r="L1291" i="1" s="1"/>
  <c r="E1291" i="1"/>
  <c r="M1291" i="1" s="1"/>
  <c r="F1291" i="1"/>
  <c r="N1291" i="1" s="1"/>
  <c r="G1291" i="1"/>
  <c r="O1291" i="1" s="1"/>
  <c r="A1292" i="1"/>
  <c r="I1292" i="1" s="1"/>
  <c r="B1292" i="1"/>
  <c r="C1292" i="1"/>
  <c r="K1292" i="1" s="1"/>
  <c r="D1292" i="1"/>
  <c r="L1292" i="1" s="1"/>
  <c r="E1292" i="1"/>
  <c r="M1292" i="1" s="1"/>
  <c r="F1292" i="1"/>
  <c r="N1292" i="1" s="1"/>
  <c r="G1292" i="1"/>
  <c r="O1292" i="1" s="1"/>
  <c r="A1293" i="1"/>
  <c r="I1293" i="1" s="1"/>
  <c r="B1293" i="1"/>
  <c r="C1293" i="1"/>
  <c r="K1293" i="1" s="1"/>
  <c r="D1293" i="1"/>
  <c r="L1293" i="1" s="1"/>
  <c r="E1293" i="1"/>
  <c r="M1293" i="1" s="1"/>
  <c r="F1293" i="1"/>
  <c r="N1293" i="1" s="1"/>
  <c r="G1293" i="1"/>
  <c r="O1293" i="1" s="1"/>
  <c r="A1294" i="1"/>
  <c r="I1294" i="1" s="1"/>
  <c r="B1294" i="1"/>
  <c r="C1294" i="1"/>
  <c r="K1294" i="1" s="1"/>
  <c r="D1294" i="1"/>
  <c r="L1294" i="1" s="1"/>
  <c r="E1294" i="1"/>
  <c r="M1294" i="1" s="1"/>
  <c r="F1294" i="1"/>
  <c r="N1294" i="1" s="1"/>
  <c r="G1294" i="1"/>
  <c r="O1294" i="1" s="1"/>
  <c r="A1295" i="1"/>
  <c r="I1295" i="1" s="1"/>
  <c r="B1295" i="1"/>
  <c r="C1295" i="1"/>
  <c r="K1295" i="1" s="1"/>
  <c r="D1295" i="1"/>
  <c r="L1295" i="1" s="1"/>
  <c r="E1295" i="1"/>
  <c r="M1295" i="1" s="1"/>
  <c r="F1295" i="1"/>
  <c r="N1295" i="1" s="1"/>
  <c r="G1295" i="1"/>
  <c r="O1295" i="1" s="1"/>
  <c r="A1296" i="1"/>
  <c r="I1296" i="1" s="1"/>
  <c r="B1296" i="1"/>
  <c r="C1296" i="1"/>
  <c r="K1296" i="1" s="1"/>
  <c r="D1296" i="1"/>
  <c r="L1296" i="1" s="1"/>
  <c r="E1296" i="1"/>
  <c r="M1296" i="1" s="1"/>
  <c r="F1296" i="1"/>
  <c r="N1296" i="1" s="1"/>
  <c r="G1296" i="1"/>
  <c r="O1296" i="1" s="1"/>
  <c r="A1297" i="1"/>
  <c r="I1297" i="1" s="1"/>
  <c r="B1297" i="1"/>
  <c r="C1297" i="1"/>
  <c r="K1297" i="1" s="1"/>
  <c r="D1297" i="1"/>
  <c r="L1297" i="1" s="1"/>
  <c r="E1297" i="1"/>
  <c r="M1297" i="1" s="1"/>
  <c r="F1297" i="1"/>
  <c r="N1297" i="1" s="1"/>
  <c r="G1297" i="1"/>
  <c r="O1297" i="1" s="1"/>
  <c r="A1298" i="1"/>
  <c r="I1298" i="1" s="1"/>
  <c r="B1298" i="1"/>
  <c r="C1298" i="1"/>
  <c r="K1298" i="1" s="1"/>
  <c r="D1298" i="1"/>
  <c r="L1298" i="1" s="1"/>
  <c r="E1298" i="1"/>
  <c r="M1298" i="1" s="1"/>
  <c r="F1298" i="1"/>
  <c r="N1298" i="1" s="1"/>
  <c r="G1298" i="1"/>
  <c r="O1298" i="1" s="1"/>
  <c r="A1299" i="1"/>
  <c r="I1299" i="1" s="1"/>
  <c r="B1299" i="1"/>
  <c r="C1299" i="1"/>
  <c r="K1299" i="1" s="1"/>
  <c r="D1299" i="1"/>
  <c r="L1299" i="1" s="1"/>
  <c r="E1299" i="1"/>
  <c r="M1299" i="1" s="1"/>
  <c r="F1299" i="1"/>
  <c r="N1299" i="1" s="1"/>
  <c r="G1299" i="1"/>
  <c r="O1299" i="1" s="1"/>
  <c r="A1300" i="1"/>
  <c r="I1300" i="1" s="1"/>
  <c r="B1300" i="1"/>
  <c r="C1300" i="1"/>
  <c r="K1300" i="1" s="1"/>
  <c r="D1300" i="1"/>
  <c r="L1300" i="1" s="1"/>
  <c r="E1300" i="1"/>
  <c r="M1300" i="1" s="1"/>
  <c r="F1300" i="1"/>
  <c r="N1300" i="1" s="1"/>
  <c r="G1300" i="1"/>
  <c r="O1300" i="1" s="1"/>
  <c r="A1301" i="1"/>
  <c r="I1301" i="1" s="1"/>
  <c r="B1301" i="1"/>
  <c r="C1301" i="1"/>
  <c r="K1301" i="1" s="1"/>
  <c r="D1301" i="1"/>
  <c r="L1301" i="1" s="1"/>
  <c r="E1301" i="1"/>
  <c r="M1301" i="1" s="1"/>
  <c r="F1301" i="1"/>
  <c r="N1301" i="1" s="1"/>
  <c r="G1301" i="1"/>
  <c r="O1301" i="1" s="1"/>
  <c r="A1302" i="1"/>
  <c r="I1302" i="1" s="1"/>
  <c r="B1302" i="1"/>
  <c r="C1302" i="1"/>
  <c r="K1302" i="1" s="1"/>
  <c r="D1302" i="1"/>
  <c r="L1302" i="1" s="1"/>
  <c r="E1302" i="1"/>
  <c r="M1302" i="1" s="1"/>
  <c r="F1302" i="1"/>
  <c r="N1302" i="1" s="1"/>
  <c r="G1302" i="1"/>
  <c r="O1302" i="1" s="1"/>
  <c r="A1303" i="1"/>
  <c r="I1303" i="1" s="1"/>
  <c r="B1303" i="1"/>
  <c r="C1303" i="1"/>
  <c r="K1303" i="1" s="1"/>
  <c r="D1303" i="1"/>
  <c r="L1303" i="1" s="1"/>
  <c r="E1303" i="1"/>
  <c r="M1303" i="1" s="1"/>
  <c r="F1303" i="1"/>
  <c r="N1303" i="1" s="1"/>
  <c r="G1303" i="1"/>
  <c r="O1303" i="1" s="1"/>
  <c r="A1304" i="1"/>
  <c r="I1304" i="1" s="1"/>
  <c r="B1304" i="1"/>
  <c r="C1304" i="1"/>
  <c r="K1304" i="1" s="1"/>
  <c r="D1304" i="1"/>
  <c r="L1304" i="1" s="1"/>
  <c r="E1304" i="1"/>
  <c r="M1304" i="1" s="1"/>
  <c r="F1304" i="1"/>
  <c r="N1304" i="1" s="1"/>
  <c r="G1304" i="1"/>
  <c r="O1304" i="1" s="1"/>
  <c r="A1305" i="1"/>
  <c r="I1305" i="1" s="1"/>
  <c r="B1305" i="1"/>
  <c r="C1305" i="1"/>
  <c r="K1305" i="1" s="1"/>
  <c r="D1305" i="1"/>
  <c r="L1305" i="1" s="1"/>
  <c r="E1305" i="1"/>
  <c r="M1305" i="1" s="1"/>
  <c r="F1305" i="1"/>
  <c r="N1305" i="1" s="1"/>
  <c r="G1305" i="1"/>
  <c r="O1305" i="1" s="1"/>
  <c r="A1306" i="1"/>
  <c r="I1306" i="1" s="1"/>
  <c r="B1306" i="1"/>
  <c r="C1306" i="1"/>
  <c r="K1306" i="1" s="1"/>
  <c r="D1306" i="1"/>
  <c r="L1306" i="1" s="1"/>
  <c r="E1306" i="1"/>
  <c r="M1306" i="1" s="1"/>
  <c r="F1306" i="1"/>
  <c r="N1306" i="1" s="1"/>
  <c r="G1306" i="1"/>
  <c r="O1306" i="1" s="1"/>
  <c r="A1307" i="1"/>
  <c r="I1307" i="1" s="1"/>
  <c r="B1307" i="1"/>
  <c r="C1307" i="1"/>
  <c r="K1307" i="1" s="1"/>
  <c r="D1307" i="1"/>
  <c r="L1307" i="1" s="1"/>
  <c r="E1307" i="1"/>
  <c r="M1307" i="1" s="1"/>
  <c r="F1307" i="1"/>
  <c r="N1307" i="1" s="1"/>
  <c r="G1307" i="1"/>
  <c r="O1307" i="1" s="1"/>
  <c r="A1308" i="1"/>
  <c r="I1308" i="1" s="1"/>
  <c r="B1308" i="1"/>
  <c r="C1308" i="1"/>
  <c r="K1308" i="1" s="1"/>
  <c r="D1308" i="1"/>
  <c r="L1308" i="1" s="1"/>
  <c r="E1308" i="1"/>
  <c r="M1308" i="1" s="1"/>
  <c r="F1308" i="1"/>
  <c r="N1308" i="1" s="1"/>
  <c r="G1308" i="1"/>
  <c r="O1308" i="1" s="1"/>
  <c r="A1309" i="1"/>
  <c r="I1309" i="1" s="1"/>
  <c r="B1309" i="1"/>
  <c r="C1309" i="1"/>
  <c r="K1309" i="1" s="1"/>
  <c r="D1309" i="1"/>
  <c r="L1309" i="1" s="1"/>
  <c r="E1309" i="1"/>
  <c r="M1309" i="1" s="1"/>
  <c r="F1309" i="1"/>
  <c r="N1309" i="1" s="1"/>
  <c r="G1309" i="1"/>
  <c r="O1309" i="1" s="1"/>
  <c r="A1310" i="1"/>
  <c r="I1310" i="1" s="1"/>
  <c r="B1310" i="1"/>
  <c r="C1310" i="1"/>
  <c r="K1310" i="1" s="1"/>
  <c r="D1310" i="1"/>
  <c r="L1310" i="1" s="1"/>
  <c r="E1310" i="1"/>
  <c r="M1310" i="1" s="1"/>
  <c r="F1310" i="1"/>
  <c r="N1310" i="1" s="1"/>
  <c r="G1310" i="1"/>
  <c r="O1310" i="1" s="1"/>
  <c r="A1311" i="1"/>
  <c r="I1311" i="1" s="1"/>
  <c r="B1311" i="1"/>
  <c r="C1311" i="1"/>
  <c r="K1311" i="1" s="1"/>
  <c r="D1311" i="1"/>
  <c r="L1311" i="1" s="1"/>
  <c r="E1311" i="1"/>
  <c r="M1311" i="1" s="1"/>
  <c r="F1311" i="1"/>
  <c r="N1311" i="1" s="1"/>
  <c r="G1311" i="1"/>
  <c r="O1311" i="1" s="1"/>
  <c r="A1312" i="1"/>
  <c r="I1312" i="1" s="1"/>
  <c r="B1312" i="1"/>
  <c r="C1312" i="1"/>
  <c r="K1312" i="1" s="1"/>
  <c r="D1312" i="1"/>
  <c r="L1312" i="1" s="1"/>
  <c r="E1312" i="1"/>
  <c r="M1312" i="1" s="1"/>
  <c r="F1312" i="1"/>
  <c r="N1312" i="1" s="1"/>
  <c r="G1312" i="1"/>
  <c r="O1312" i="1" s="1"/>
  <c r="A1313" i="1"/>
  <c r="I1313" i="1" s="1"/>
  <c r="B1313" i="1"/>
  <c r="C1313" i="1"/>
  <c r="K1313" i="1" s="1"/>
  <c r="D1313" i="1"/>
  <c r="L1313" i="1" s="1"/>
  <c r="E1313" i="1"/>
  <c r="M1313" i="1" s="1"/>
  <c r="F1313" i="1"/>
  <c r="N1313" i="1" s="1"/>
  <c r="G1313" i="1"/>
  <c r="O1313" i="1" s="1"/>
  <c r="A1314" i="1"/>
  <c r="I1314" i="1" s="1"/>
  <c r="B1314" i="1"/>
  <c r="C1314" i="1"/>
  <c r="K1314" i="1" s="1"/>
  <c r="D1314" i="1"/>
  <c r="L1314" i="1" s="1"/>
  <c r="E1314" i="1"/>
  <c r="M1314" i="1" s="1"/>
  <c r="F1314" i="1"/>
  <c r="N1314" i="1" s="1"/>
  <c r="G1314" i="1"/>
  <c r="O1314" i="1" s="1"/>
  <c r="A1315" i="1"/>
  <c r="I1315" i="1" s="1"/>
  <c r="B1315" i="1"/>
  <c r="C1315" i="1"/>
  <c r="K1315" i="1" s="1"/>
  <c r="D1315" i="1"/>
  <c r="L1315" i="1" s="1"/>
  <c r="E1315" i="1"/>
  <c r="M1315" i="1" s="1"/>
  <c r="F1315" i="1"/>
  <c r="N1315" i="1" s="1"/>
  <c r="G1315" i="1"/>
  <c r="O1315" i="1" s="1"/>
  <c r="A1316" i="1"/>
  <c r="I1316" i="1" s="1"/>
  <c r="B1316" i="1"/>
  <c r="C1316" i="1"/>
  <c r="K1316" i="1" s="1"/>
  <c r="D1316" i="1"/>
  <c r="L1316" i="1" s="1"/>
  <c r="E1316" i="1"/>
  <c r="M1316" i="1" s="1"/>
  <c r="F1316" i="1"/>
  <c r="N1316" i="1" s="1"/>
  <c r="G1316" i="1"/>
  <c r="O1316" i="1" s="1"/>
  <c r="A1317" i="1"/>
  <c r="I1317" i="1" s="1"/>
  <c r="B1317" i="1"/>
  <c r="C1317" i="1"/>
  <c r="K1317" i="1" s="1"/>
  <c r="D1317" i="1"/>
  <c r="L1317" i="1" s="1"/>
  <c r="E1317" i="1"/>
  <c r="M1317" i="1" s="1"/>
  <c r="F1317" i="1"/>
  <c r="N1317" i="1" s="1"/>
  <c r="G1317" i="1"/>
  <c r="O1317" i="1" s="1"/>
  <c r="A1318" i="1"/>
  <c r="I1318" i="1" s="1"/>
  <c r="B1318" i="1"/>
  <c r="C1318" i="1"/>
  <c r="K1318" i="1" s="1"/>
  <c r="D1318" i="1"/>
  <c r="L1318" i="1" s="1"/>
  <c r="E1318" i="1"/>
  <c r="M1318" i="1" s="1"/>
  <c r="F1318" i="1"/>
  <c r="N1318" i="1" s="1"/>
  <c r="G1318" i="1"/>
  <c r="O1318" i="1" s="1"/>
  <c r="A1319" i="1"/>
  <c r="I1319" i="1" s="1"/>
  <c r="B1319" i="1"/>
  <c r="C1319" i="1"/>
  <c r="K1319" i="1" s="1"/>
  <c r="D1319" i="1"/>
  <c r="L1319" i="1" s="1"/>
  <c r="E1319" i="1"/>
  <c r="M1319" i="1" s="1"/>
  <c r="F1319" i="1"/>
  <c r="N1319" i="1" s="1"/>
  <c r="G1319" i="1"/>
  <c r="O1319" i="1" s="1"/>
  <c r="A1320" i="1"/>
  <c r="I1320" i="1" s="1"/>
  <c r="B1320" i="1"/>
  <c r="C1320" i="1"/>
  <c r="K1320" i="1" s="1"/>
  <c r="D1320" i="1"/>
  <c r="L1320" i="1" s="1"/>
  <c r="E1320" i="1"/>
  <c r="M1320" i="1" s="1"/>
  <c r="F1320" i="1"/>
  <c r="N1320" i="1" s="1"/>
  <c r="G1320" i="1"/>
  <c r="O1320" i="1" s="1"/>
  <c r="A1321" i="1"/>
  <c r="I1321" i="1" s="1"/>
  <c r="B1321" i="1"/>
  <c r="C1321" i="1"/>
  <c r="K1321" i="1" s="1"/>
  <c r="D1321" i="1"/>
  <c r="L1321" i="1" s="1"/>
  <c r="E1321" i="1"/>
  <c r="M1321" i="1" s="1"/>
  <c r="F1321" i="1"/>
  <c r="N1321" i="1" s="1"/>
  <c r="G1321" i="1"/>
  <c r="O1321" i="1" s="1"/>
  <c r="A1322" i="1"/>
  <c r="I1322" i="1" s="1"/>
  <c r="B1322" i="1"/>
  <c r="C1322" i="1"/>
  <c r="K1322" i="1" s="1"/>
  <c r="D1322" i="1"/>
  <c r="L1322" i="1" s="1"/>
  <c r="E1322" i="1"/>
  <c r="M1322" i="1" s="1"/>
  <c r="F1322" i="1"/>
  <c r="N1322" i="1" s="1"/>
  <c r="G1322" i="1"/>
  <c r="O1322" i="1" s="1"/>
  <c r="A1323" i="1"/>
  <c r="I1323" i="1" s="1"/>
  <c r="B1323" i="1"/>
  <c r="C1323" i="1"/>
  <c r="K1323" i="1" s="1"/>
  <c r="D1323" i="1"/>
  <c r="L1323" i="1" s="1"/>
  <c r="E1323" i="1"/>
  <c r="M1323" i="1" s="1"/>
  <c r="F1323" i="1"/>
  <c r="N1323" i="1" s="1"/>
  <c r="G1323" i="1"/>
  <c r="O1323" i="1" s="1"/>
  <c r="A1324" i="1"/>
  <c r="I1324" i="1" s="1"/>
  <c r="B1324" i="1"/>
  <c r="C1324" i="1"/>
  <c r="K1324" i="1" s="1"/>
  <c r="D1324" i="1"/>
  <c r="L1324" i="1" s="1"/>
  <c r="E1324" i="1"/>
  <c r="M1324" i="1" s="1"/>
  <c r="F1324" i="1"/>
  <c r="N1324" i="1" s="1"/>
  <c r="G1324" i="1"/>
  <c r="O1324" i="1" s="1"/>
  <c r="A1325" i="1"/>
  <c r="I1325" i="1" s="1"/>
  <c r="B1325" i="1"/>
  <c r="C1325" i="1"/>
  <c r="K1325" i="1" s="1"/>
  <c r="D1325" i="1"/>
  <c r="L1325" i="1" s="1"/>
  <c r="E1325" i="1"/>
  <c r="M1325" i="1" s="1"/>
  <c r="F1325" i="1"/>
  <c r="N1325" i="1" s="1"/>
  <c r="G1325" i="1"/>
  <c r="O1325" i="1" s="1"/>
  <c r="A1326" i="1"/>
  <c r="I1326" i="1" s="1"/>
  <c r="B1326" i="1"/>
  <c r="C1326" i="1"/>
  <c r="K1326" i="1" s="1"/>
  <c r="D1326" i="1"/>
  <c r="L1326" i="1" s="1"/>
  <c r="E1326" i="1"/>
  <c r="M1326" i="1" s="1"/>
  <c r="F1326" i="1"/>
  <c r="N1326" i="1" s="1"/>
  <c r="G1326" i="1"/>
  <c r="O1326" i="1" s="1"/>
  <c r="A1327" i="1"/>
  <c r="I1327" i="1" s="1"/>
  <c r="B1327" i="1"/>
  <c r="C1327" i="1"/>
  <c r="K1327" i="1" s="1"/>
  <c r="D1327" i="1"/>
  <c r="L1327" i="1" s="1"/>
  <c r="E1327" i="1"/>
  <c r="M1327" i="1" s="1"/>
  <c r="F1327" i="1"/>
  <c r="N1327" i="1" s="1"/>
  <c r="G1327" i="1"/>
  <c r="O1327" i="1" s="1"/>
  <c r="A1328" i="1"/>
  <c r="I1328" i="1" s="1"/>
  <c r="B1328" i="1"/>
  <c r="C1328" i="1"/>
  <c r="K1328" i="1" s="1"/>
  <c r="D1328" i="1"/>
  <c r="L1328" i="1" s="1"/>
  <c r="E1328" i="1"/>
  <c r="M1328" i="1" s="1"/>
  <c r="F1328" i="1"/>
  <c r="N1328" i="1" s="1"/>
  <c r="G1328" i="1"/>
  <c r="O1328" i="1" s="1"/>
  <c r="A1329" i="1"/>
  <c r="I1329" i="1" s="1"/>
  <c r="B1329" i="1"/>
  <c r="C1329" i="1"/>
  <c r="K1329" i="1" s="1"/>
  <c r="D1329" i="1"/>
  <c r="L1329" i="1" s="1"/>
  <c r="E1329" i="1"/>
  <c r="M1329" i="1" s="1"/>
  <c r="F1329" i="1"/>
  <c r="N1329" i="1" s="1"/>
  <c r="G1329" i="1"/>
  <c r="O1329" i="1" s="1"/>
  <c r="A1330" i="1"/>
  <c r="I1330" i="1" s="1"/>
  <c r="B1330" i="1"/>
  <c r="C1330" i="1"/>
  <c r="K1330" i="1" s="1"/>
  <c r="D1330" i="1"/>
  <c r="L1330" i="1" s="1"/>
  <c r="E1330" i="1"/>
  <c r="M1330" i="1" s="1"/>
  <c r="F1330" i="1"/>
  <c r="N1330" i="1" s="1"/>
  <c r="G1330" i="1"/>
  <c r="O1330" i="1" s="1"/>
  <c r="A1331" i="1"/>
  <c r="I1331" i="1" s="1"/>
  <c r="B1331" i="1"/>
  <c r="C1331" i="1"/>
  <c r="K1331" i="1" s="1"/>
  <c r="D1331" i="1"/>
  <c r="L1331" i="1" s="1"/>
  <c r="E1331" i="1"/>
  <c r="M1331" i="1" s="1"/>
  <c r="F1331" i="1"/>
  <c r="N1331" i="1" s="1"/>
  <c r="G1331" i="1"/>
  <c r="O1331" i="1" s="1"/>
  <c r="A1332" i="1"/>
  <c r="I1332" i="1" s="1"/>
  <c r="B1332" i="1"/>
  <c r="C1332" i="1"/>
  <c r="K1332" i="1" s="1"/>
  <c r="D1332" i="1"/>
  <c r="L1332" i="1" s="1"/>
  <c r="E1332" i="1"/>
  <c r="M1332" i="1" s="1"/>
  <c r="F1332" i="1"/>
  <c r="N1332" i="1" s="1"/>
  <c r="G1332" i="1"/>
  <c r="O1332" i="1" s="1"/>
  <c r="A1333" i="1"/>
  <c r="I1333" i="1" s="1"/>
  <c r="B1333" i="1"/>
  <c r="C1333" i="1"/>
  <c r="K1333" i="1" s="1"/>
  <c r="D1333" i="1"/>
  <c r="L1333" i="1" s="1"/>
  <c r="E1333" i="1"/>
  <c r="M1333" i="1" s="1"/>
  <c r="F1333" i="1"/>
  <c r="N1333" i="1" s="1"/>
  <c r="G1333" i="1"/>
  <c r="O1333" i="1" s="1"/>
  <c r="A1334" i="1"/>
  <c r="I1334" i="1" s="1"/>
  <c r="B1334" i="1"/>
  <c r="C1334" i="1"/>
  <c r="K1334" i="1" s="1"/>
  <c r="D1334" i="1"/>
  <c r="L1334" i="1" s="1"/>
  <c r="E1334" i="1"/>
  <c r="M1334" i="1" s="1"/>
  <c r="F1334" i="1"/>
  <c r="N1334" i="1" s="1"/>
  <c r="G1334" i="1"/>
  <c r="O1334" i="1" s="1"/>
  <c r="A1335" i="1"/>
  <c r="I1335" i="1" s="1"/>
  <c r="B1335" i="1"/>
  <c r="C1335" i="1"/>
  <c r="K1335" i="1" s="1"/>
  <c r="D1335" i="1"/>
  <c r="L1335" i="1" s="1"/>
  <c r="E1335" i="1"/>
  <c r="M1335" i="1" s="1"/>
  <c r="F1335" i="1"/>
  <c r="N1335" i="1" s="1"/>
  <c r="G1335" i="1"/>
  <c r="O1335" i="1" s="1"/>
  <c r="A1336" i="1"/>
  <c r="I1336" i="1" s="1"/>
  <c r="B1336" i="1"/>
  <c r="C1336" i="1"/>
  <c r="K1336" i="1" s="1"/>
  <c r="D1336" i="1"/>
  <c r="L1336" i="1" s="1"/>
  <c r="E1336" i="1"/>
  <c r="M1336" i="1" s="1"/>
  <c r="F1336" i="1"/>
  <c r="N1336" i="1" s="1"/>
  <c r="G1336" i="1"/>
  <c r="O1336" i="1" s="1"/>
  <c r="A1337" i="1"/>
  <c r="I1337" i="1" s="1"/>
  <c r="B1337" i="1"/>
  <c r="C1337" i="1"/>
  <c r="K1337" i="1" s="1"/>
  <c r="D1337" i="1"/>
  <c r="L1337" i="1" s="1"/>
  <c r="E1337" i="1"/>
  <c r="M1337" i="1" s="1"/>
  <c r="F1337" i="1"/>
  <c r="N1337" i="1" s="1"/>
  <c r="G1337" i="1"/>
  <c r="O1337" i="1" s="1"/>
  <c r="A1338" i="1"/>
  <c r="I1338" i="1" s="1"/>
  <c r="B1338" i="1"/>
  <c r="C1338" i="1"/>
  <c r="K1338" i="1" s="1"/>
  <c r="D1338" i="1"/>
  <c r="L1338" i="1" s="1"/>
  <c r="E1338" i="1"/>
  <c r="M1338" i="1" s="1"/>
  <c r="F1338" i="1"/>
  <c r="N1338" i="1" s="1"/>
  <c r="G1338" i="1"/>
  <c r="O1338" i="1" s="1"/>
  <c r="A1339" i="1"/>
  <c r="I1339" i="1" s="1"/>
  <c r="B1339" i="1"/>
  <c r="C1339" i="1"/>
  <c r="K1339" i="1" s="1"/>
  <c r="D1339" i="1"/>
  <c r="L1339" i="1" s="1"/>
  <c r="E1339" i="1"/>
  <c r="M1339" i="1" s="1"/>
  <c r="F1339" i="1"/>
  <c r="N1339" i="1" s="1"/>
  <c r="G1339" i="1"/>
  <c r="O1339" i="1" s="1"/>
  <c r="A1340" i="1"/>
  <c r="I1340" i="1" s="1"/>
  <c r="B1340" i="1"/>
  <c r="C1340" i="1"/>
  <c r="K1340" i="1" s="1"/>
  <c r="D1340" i="1"/>
  <c r="L1340" i="1" s="1"/>
  <c r="E1340" i="1"/>
  <c r="M1340" i="1" s="1"/>
  <c r="F1340" i="1"/>
  <c r="N1340" i="1" s="1"/>
  <c r="G1340" i="1"/>
  <c r="O1340" i="1" s="1"/>
  <c r="A1341" i="1"/>
  <c r="I1341" i="1" s="1"/>
  <c r="B1341" i="1"/>
  <c r="C1341" i="1"/>
  <c r="K1341" i="1" s="1"/>
  <c r="D1341" i="1"/>
  <c r="L1341" i="1" s="1"/>
  <c r="E1341" i="1"/>
  <c r="M1341" i="1" s="1"/>
  <c r="F1341" i="1"/>
  <c r="N1341" i="1" s="1"/>
  <c r="G1341" i="1"/>
  <c r="O1341" i="1" s="1"/>
  <c r="A1342" i="1"/>
  <c r="I1342" i="1" s="1"/>
  <c r="B1342" i="1"/>
  <c r="C1342" i="1"/>
  <c r="K1342" i="1" s="1"/>
  <c r="D1342" i="1"/>
  <c r="L1342" i="1" s="1"/>
  <c r="E1342" i="1"/>
  <c r="M1342" i="1" s="1"/>
  <c r="F1342" i="1"/>
  <c r="N1342" i="1" s="1"/>
  <c r="G1342" i="1"/>
  <c r="O1342" i="1" s="1"/>
  <c r="A1343" i="1"/>
  <c r="I1343" i="1" s="1"/>
  <c r="B1343" i="1"/>
  <c r="C1343" i="1"/>
  <c r="K1343" i="1" s="1"/>
  <c r="D1343" i="1"/>
  <c r="L1343" i="1" s="1"/>
  <c r="E1343" i="1"/>
  <c r="M1343" i="1" s="1"/>
  <c r="F1343" i="1"/>
  <c r="N1343" i="1" s="1"/>
  <c r="G1343" i="1"/>
  <c r="O1343" i="1" s="1"/>
  <c r="A1344" i="1"/>
  <c r="I1344" i="1" s="1"/>
  <c r="B1344" i="1"/>
  <c r="C1344" i="1"/>
  <c r="K1344" i="1" s="1"/>
  <c r="D1344" i="1"/>
  <c r="L1344" i="1" s="1"/>
  <c r="E1344" i="1"/>
  <c r="M1344" i="1" s="1"/>
  <c r="F1344" i="1"/>
  <c r="N1344" i="1" s="1"/>
  <c r="G1344" i="1"/>
  <c r="O1344" i="1" s="1"/>
  <c r="A1345" i="1"/>
  <c r="B1345" i="1"/>
  <c r="C1345" i="1"/>
  <c r="K1345" i="1" s="1"/>
  <c r="D1345" i="1"/>
  <c r="L1345" i="1" s="1"/>
  <c r="E1345" i="1"/>
  <c r="M1345" i="1" s="1"/>
  <c r="F1345" i="1"/>
  <c r="N1345" i="1" s="1"/>
  <c r="G1345" i="1"/>
  <c r="O1345" i="1" s="1"/>
  <c r="A1346" i="1"/>
  <c r="B1346" i="1"/>
  <c r="C1346" i="1"/>
  <c r="K1346" i="1" s="1"/>
  <c r="D1346" i="1"/>
  <c r="L1346" i="1" s="1"/>
  <c r="E1346" i="1"/>
  <c r="M1346" i="1" s="1"/>
  <c r="F1346" i="1"/>
  <c r="N1346" i="1" s="1"/>
  <c r="G1346" i="1"/>
  <c r="O1346" i="1" s="1"/>
  <c r="A1347" i="1"/>
  <c r="B1347" i="1"/>
  <c r="C1347" i="1"/>
  <c r="K1347" i="1" s="1"/>
  <c r="D1347" i="1"/>
  <c r="L1347" i="1" s="1"/>
  <c r="E1347" i="1"/>
  <c r="M1347" i="1" s="1"/>
  <c r="F1347" i="1"/>
  <c r="N1347" i="1" s="1"/>
  <c r="G1347" i="1"/>
  <c r="O1347" i="1" s="1"/>
  <c r="A1348" i="1"/>
  <c r="I1348" i="1" s="1"/>
  <c r="B1348" i="1"/>
  <c r="C1348" i="1"/>
  <c r="K1348" i="1" s="1"/>
  <c r="D1348" i="1"/>
  <c r="L1348" i="1" s="1"/>
  <c r="E1348" i="1"/>
  <c r="M1348" i="1" s="1"/>
  <c r="F1348" i="1"/>
  <c r="N1348" i="1" s="1"/>
  <c r="G1348" i="1"/>
  <c r="O1348" i="1" s="1"/>
  <c r="A1349" i="1"/>
  <c r="I1349" i="1" s="1"/>
  <c r="B1349" i="1"/>
  <c r="C1349" i="1"/>
  <c r="K1349" i="1" s="1"/>
  <c r="D1349" i="1"/>
  <c r="L1349" i="1" s="1"/>
  <c r="E1349" i="1"/>
  <c r="M1349" i="1" s="1"/>
  <c r="F1349" i="1"/>
  <c r="N1349" i="1" s="1"/>
  <c r="G1349" i="1"/>
  <c r="O1349" i="1" s="1"/>
  <c r="A1350" i="1"/>
  <c r="I1350" i="1" s="1"/>
  <c r="B1350" i="1"/>
  <c r="C1350" i="1"/>
  <c r="K1350" i="1" s="1"/>
  <c r="D1350" i="1"/>
  <c r="L1350" i="1" s="1"/>
  <c r="E1350" i="1"/>
  <c r="M1350" i="1" s="1"/>
  <c r="F1350" i="1"/>
  <c r="N1350" i="1" s="1"/>
  <c r="G1350" i="1"/>
  <c r="O1350" i="1" s="1"/>
  <c r="A1351" i="1"/>
  <c r="I1351" i="1" s="1"/>
  <c r="B1351" i="1"/>
  <c r="C1351" i="1"/>
  <c r="K1351" i="1" s="1"/>
  <c r="D1351" i="1"/>
  <c r="L1351" i="1" s="1"/>
  <c r="E1351" i="1"/>
  <c r="M1351" i="1" s="1"/>
  <c r="F1351" i="1"/>
  <c r="N1351" i="1" s="1"/>
  <c r="G1351" i="1"/>
  <c r="O1351" i="1" s="1"/>
  <c r="A1352" i="1"/>
  <c r="I1352" i="1" s="1"/>
  <c r="B1352" i="1"/>
  <c r="C1352" i="1"/>
  <c r="K1352" i="1" s="1"/>
  <c r="D1352" i="1"/>
  <c r="L1352" i="1" s="1"/>
  <c r="E1352" i="1"/>
  <c r="M1352" i="1" s="1"/>
  <c r="F1352" i="1"/>
  <c r="N1352" i="1" s="1"/>
  <c r="G1352" i="1"/>
  <c r="O1352" i="1" s="1"/>
  <c r="A1353" i="1"/>
  <c r="I1353" i="1" s="1"/>
  <c r="B1353" i="1"/>
  <c r="C1353" i="1"/>
  <c r="K1353" i="1" s="1"/>
  <c r="D1353" i="1"/>
  <c r="L1353" i="1" s="1"/>
  <c r="E1353" i="1"/>
  <c r="M1353" i="1" s="1"/>
  <c r="F1353" i="1"/>
  <c r="N1353" i="1" s="1"/>
  <c r="G1353" i="1"/>
  <c r="O1353" i="1" s="1"/>
  <c r="A1354" i="1"/>
  <c r="I1354" i="1" s="1"/>
  <c r="B1354" i="1"/>
  <c r="C1354" i="1"/>
  <c r="K1354" i="1" s="1"/>
  <c r="D1354" i="1"/>
  <c r="L1354" i="1" s="1"/>
  <c r="E1354" i="1"/>
  <c r="M1354" i="1" s="1"/>
  <c r="F1354" i="1"/>
  <c r="N1354" i="1" s="1"/>
  <c r="G1354" i="1"/>
  <c r="O1354" i="1" s="1"/>
  <c r="A1355" i="1"/>
  <c r="I1355" i="1" s="1"/>
  <c r="B1355" i="1"/>
  <c r="C1355" i="1"/>
  <c r="K1355" i="1" s="1"/>
  <c r="D1355" i="1"/>
  <c r="L1355" i="1" s="1"/>
  <c r="E1355" i="1"/>
  <c r="M1355" i="1" s="1"/>
  <c r="F1355" i="1"/>
  <c r="N1355" i="1" s="1"/>
  <c r="G1355" i="1"/>
  <c r="O1355" i="1" s="1"/>
  <c r="A1356" i="1"/>
  <c r="I1356" i="1" s="1"/>
  <c r="B1356" i="1"/>
  <c r="C1356" i="1"/>
  <c r="K1356" i="1" s="1"/>
  <c r="D1356" i="1"/>
  <c r="L1356" i="1" s="1"/>
  <c r="E1356" i="1"/>
  <c r="M1356" i="1" s="1"/>
  <c r="F1356" i="1"/>
  <c r="N1356" i="1" s="1"/>
  <c r="G1356" i="1"/>
  <c r="O1356" i="1" s="1"/>
  <c r="A1357" i="1"/>
  <c r="B1357" i="1"/>
  <c r="C1357" i="1"/>
  <c r="K1357" i="1" s="1"/>
  <c r="D1357" i="1"/>
  <c r="L1357" i="1" s="1"/>
  <c r="E1357" i="1"/>
  <c r="M1357" i="1" s="1"/>
  <c r="F1357" i="1"/>
  <c r="N1357" i="1" s="1"/>
  <c r="G1357" i="1"/>
  <c r="O1357" i="1" s="1"/>
  <c r="A1358" i="1"/>
  <c r="B1358" i="1"/>
  <c r="C1358" i="1"/>
  <c r="K1358" i="1" s="1"/>
  <c r="D1358" i="1"/>
  <c r="L1358" i="1" s="1"/>
  <c r="E1358" i="1"/>
  <c r="M1358" i="1" s="1"/>
  <c r="F1358" i="1"/>
  <c r="N1358" i="1" s="1"/>
  <c r="G1358" i="1"/>
  <c r="O1358" i="1" s="1"/>
  <c r="A1359" i="1"/>
  <c r="B1359" i="1"/>
  <c r="C1359" i="1"/>
  <c r="K1359" i="1" s="1"/>
  <c r="D1359" i="1"/>
  <c r="L1359" i="1" s="1"/>
  <c r="E1359" i="1"/>
  <c r="M1359" i="1" s="1"/>
  <c r="F1359" i="1"/>
  <c r="N1359" i="1" s="1"/>
  <c r="G1359" i="1"/>
  <c r="O1359" i="1" s="1"/>
  <c r="A1360" i="1"/>
  <c r="B1360" i="1"/>
  <c r="C1360" i="1"/>
  <c r="K1360" i="1" s="1"/>
  <c r="D1360" i="1"/>
  <c r="L1360" i="1" s="1"/>
  <c r="E1360" i="1"/>
  <c r="M1360" i="1" s="1"/>
  <c r="F1360" i="1"/>
  <c r="N1360" i="1" s="1"/>
  <c r="G1360" i="1"/>
  <c r="O1360" i="1" s="1"/>
  <c r="A1361" i="1"/>
  <c r="B1361" i="1"/>
  <c r="C1361" i="1"/>
  <c r="K1361" i="1" s="1"/>
  <c r="D1361" i="1"/>
  <c r="L1361" i="1" s="1"/>
  <c r="E1361" i="1"/>
  <c r="M1361" i="1" s="1"/>
  <c r="F1361" i="1"/>
  <c r="N1361" i="1" s="1"/>
  <c r="G1361" i="1"/>
  <c r="O1361" i="1" s="1"/>
  <c r="A1362" i="1"/>
  <c r="I1362" i="1" s="1"/>
  <c r="B1362" i="1"/>
  <c r="C1362" i="1"/>
  <c r="K1362" i="1" s="1"/>
  <c r="D1362" i="1"/>
  <c r="L1362" i="1" s="1"/>
  <c r="E1362" i="1"/>
  <c r="M1362" i="1" s="1"/>
  <c r="F1362" i="1"/>
  <c r="N1362" i="1" s="1"/>
  <c r="G1362" i="1"/>
  <c r="O1362" i="1" s="1"/>
  <c r="A1363" i="1"/>
  <c r="I1363" i="1" s="1"/>
  <c r="B1363" i="1"/>
  <c r="C1363" i="1"/>
  <c r="K1363" i="1" s="1"/>
  <c r="D1363" i="1"/>
  <c r="L1363" i="1" s="1"/>
  <c r="E1363" i="1"/>
  <c r="M1363" i="1" s="1"/>
  <c r="F1363" i="1"/>
  <c r="N1363" i="1" s="1"/>
  <c r="G1363" i="1"/>
  <c r="O1363" i="1" s="1"/>
  <c r="A1364" i="1"/>
  <c r="I1364" i="1" s="1"/>
  <c r="B1364" i="1"/>
  <c r="C1364" i="1"/>
  <c r="K1364" i="1" s="1"/>
  <c r="D1364" i="1"/>
  <c r="L1364" i="1" s="1"/>
  <c r="E1364" i="1"/>
  <c r="M1364" i="1" s="1"/>
  <c r="F1364" i="1"/>
  <c r="N1364" i="1" s="1"/>
  <c r="G1364" i="1"/>
  <c r="O1364" i="1" s="1"/>
  <c r="A1365" i="1"/>
  <c r="I1365" i="1" s="1"/>
  <c r="B1365" i="1"/>
  <c r="C1365" i="1"/>
  <c r="K1365" i="1" s="1"/>
  <c r="D1365" i="1"/>
  <c r="L1365" i="1" s="1"/>
  <c r="E1365" i="1"/>
  <c r="M1365" i="1" s="1"/>
  <c r="F1365" i="1"/>
  <c r="N1365" i="1" s="1"/>
  <c r="G1365" i="1"/>
  <c r="O1365" i="1" s="1"/>
  <c r="A1366" i="1"/>
  <c r="I1366" i="1" s="1"/>
  <c r="B1366" i="1"/>
  <c r="C1366" i="1"/>
  <c r="K1366" i="1" s="1"/>
  <c r="D1366" i="1"/>
  <c r="L1366" i="1" s="1"/>
  <c r="E1366" i="1"/>
  <c r="M1366" i="1" s="1"/>
  <c r="F1366" i="1"/>
  <c r="N1366" i="1" s="1"/>
  <c r="G1366" i="1"/>
  <c r="O1366" i="1" s="1"/>
  <c r="A1367" i="1"/>
  <c r="I1367" i="1" s="1"/>
  <c r="B1367" i="1"/>
  <c r="C1367" i="1"/>
  <c r="K1367" i="1" s="1"/>
  <c r="D1367" i="1"/>
  <c r="L1367" i="1" s="1"/>
  <c r="E1367" i="1"/>
  <c r="M1367" i="1" s="1"/>
  <c r="F1367" i="1"/>
  <c r="N1367" i="1" s="1"/>
  <c r="G1367" i="1"/>
  <c r="O1367" i="1" s="1"/>
  <c r="A1368" i="1"/>
  <c r="I1368" i="1" s="1"/>
  <c r="B1368" i="1"/>
  <c r="C1368" i="1"/>
  <c r="K1368" i="1" s="1"/>
  <c r="D1368" i="1"/>
  <c r="L1368" i="1" s="1"/>
  <c r="E1368" i="1"/>
  <c r="M1368" i="1" s="1"/>
  <c r="F1368" i="1"/>
  <c r="N1368" i="1" s="1"/>
  <c r="G1368" i="1"/>
  <c r="O1368" i="1" s="1"/>
  <c r="A1369" i="1"/>
  <c r="I1369" i="1" s="1"/>
  <c r="B1369" i="1"/>
  <c r="C1369" i="1"/>
  <c r="K1369" i="1" s="1"/>
  <c r="D1369" i="1"/>
  <c r="L1369" i="1" s="1"/>
  <c r="E1369" i="1"/>
  <c r="M1369" i="1" s="1"/>
  <c r="F1369" i="1"/>
  <c r="N1369" i="1" s="1"/>
  <c r="G1369" i="1"/>
  <c r="O1369" i="1" s="1"/>
  <c r="A1370" i="1"/>
  <c r="I1370" i="1" s="1"/>
  <c r="B1370" i="1"/>
  <c r="C1370" i="1"/>
  <c r="K1370" i="1" s="1"/>
  <c r="D1370" i="1"/>
  <c r="L1370" i="1" s="1"/>
  <c r="E1370" i="1"/>
  <c r="M1370" i="1" s="1"/>
  <c r="F1370" i="1"/>
  <c r="N1370" i="1" s="1"/>
  <c r="G1370" i="1"/>
  <c r="O1370" i="1" s="1"/>
  <c r="A1371" i="1"/>
  <c r="I1371" i="1" s="1"/>
  <c r="B1371" i="1"/>
  <c r="C1371" i="1"/>
  <c r="K1371" i="1" s="1"/>
  <c r="D1371" i="1"/>
  <c r="L1371" i="1" s="1"/>
  <c r="E1371" i="1"/>
  <c r="M1371" i="1" s="1"/>
  <c r="F1371" i="1"/>
  <c r="N1371" i="1" s="1"/>
  <c r="G1371" i="1"/>
  <c r="O1371" i="1" s="1"/>
  <c r="A1372" i="1"/>
  <c r="I1372" i="1" s="1"/>
  <c r="B1372" i="1"/>
  <c r="C1372" i="1"/>
  <c r="K1372" i="1" s="1"/>
  <c r="D1372" i="1"/>
  <c r="L1372" i="1" s="1"/>
  <c r="E1372" i="1"/>
  <c r="M1372" i="1" s="1"/>
  <c r="F1372" i="1"/>
  <c r="N1372" i="1" s="1"/>
  <c r="G1372" i="1"/>
  <c r="O1372" i="1" s="1"/>
  <c r="A1373" i="1"/>
  <c r="I1373" i="1" s="1"/>
  <c r="B1373" i="1"/>
  <c r="C1373" i="1"/>
  <c r="K1373" i="1" s="1"/>
  <c r="D1373" i="1"/>
  <c r="L1373" i="1" s="1"/>
  <c r="E1373" i="1"/>
  <c r="M1373" i="1" s="1"/>
  <c r="F1373" i="1"/>
  <c r="N1373" i="1" s="1"/>
  <c r="G1373" i="1"/>
  <c r="O1373" i="1" s="1"/>
  <c r="A1374" i="1"/>
  <c r="I1374" i="1" s="1"/>
  <c r="B1374" i="1"/>
  <c r="C1374" i="1"/>
  <c r="K1374" i="1" s="1"/>
  <c r="D1374" i="1"/>
  <c r="L1374" i="1" s="1"/>
  <c r="E1374" i="1"/>
  <c r="M1374" i="1" s="1"/>
  <c r="F1374" i="1"/>
  <c r="N1374" i="1" s="1"/>
  <c r="G1374" i="1"/>
  <c r="O1374" i="1" s="1"/>
  <c r="A1375" i="1"/>
  <c r="I1375" i="1" s="1"/>
  <c r="B1375" i="1"/>
  <c r="C1375" i="1"/>
  <c r="K1375" i="1" s="1"/>
  <c r="D1375" i="1"/>
  <c r="L1375" i="1" s="1"/>
  <c r="E1375" i="1"/>
  <c r="M1375" i="1" s="1"/>
  <c r="F1375" i="1"/>
  <c r="N1375" i="1" s="1"/>
  <c r="G1375" i="1"/>
  <c r="O1375" i="1" s="1"/>
  <c r="A1376" i="1"/>
  <c r="I1376" i="1" s="1"/>
  <c r="B1376" i="1"/>
  <c r="C1376" i="1"/>
  <c r="K1376" i="1" s="1"/>
  <c r="D1376" i="1"/>
  <c r="L1376" i="1" s="1"/>
  <c r="E1376" i="1"/>
  <c r="M1376" i="1" s="1"/>
  <c r="F1376" i="1"/>
  <c r="N1376" i="1" s="1"/>
  <c r="G1376" i="1"/>
  <c r="O1376" i="1" s="1"/>
  <c r="A1377" i="1"/>
  <c r="I1377" i="1" s="1"/>
  <c r="B1377" i="1"/>
  <c r="C1377" i="1"/>
  <c r="K1377" i="1" s="1"/>
  <c r="D1377" i="1"/>
  <c r="L1377" i="1" s="1"/>
  <c r="E1377" i="1"/>
  <c r="M1377" i="1" s="1"/>
  <c r="F1377" i="1"/>
  <c r="N1377" i="1" s="1"/>
  <c r="G1377" i="1"/>
  <c r="O1377" i="1" s="1"/>
  <c r="A1378" i="1"/>
  <c r="I1378" i="1" s="1"/>
  <c r="B1378" i="1"/>
  <c r="C1378" i="1"/>
  <c r="K1378" i="1" s="1"/>
  <c r="D1378" i="1"/>
  <c r="L1378" i="1" s="1"/>
  <c r="E1378" i="1"/>
  <c r="M1378" i="1" s="1"/>
  <c r="F1378" i="1"/>
  <c r="N1378" i="1" s="1"/>
  <c r="G1378" i="1"/>
  <c r="O1378" i="1" s="1"/>
  <c r="A1379" i="1"/>
  <c r="I1379" i="1" s="1"/>
  <c r="B1379" i="1"/>
  <c r="C1379" i="1"/>
  <c r="K1379" i="1" s="1"/>
  <c r="D1379" i="1"/>
  <c r="L1379" i="1" s="1"/>
  <c r="E1379" i="1"/>
  <c r="M1379" i="1" s="1"/>
  <c r="F1379" i="1"/>
  <c r="N1379" i="1" s="1"/>
  <c r="G1379" i="1"/>
  <c r="O1379" i="1" s="1"/>
  <c r="A1380" i="1"/>
  <c r="I1380" i="1" s="1"/>
  <c r="B1380" i="1"/>
  <c r="C1380" i="1"/>
  <c r="K1380" i="1" s="1"/>
  <c r="D1380" i="1"/>
  <c r="L1380" i="1" s="1"/>
  <c r="E1380" i="1"/>
  <c r="M1380" i="1" s="1"/>
  <c r="F1380" i="1"/>
  <c r="N1380" i="1" s="1"/>
  <c r="G1380" i="1"/>
  <c r="O1380" i="1" s="1"/>
  <c r="A1381" i="1"/>
  <c r="I1381" i="1" s="1"/>
  <c r="B1381" i="1"/>
  <c r="C1381" i="1"/>
  <c r="K1381" i="1" s="1"/>
  <c r="D1381" i="1"/>
  <c r="L1381" i="1" s="1"/>
  <c r="E1381" i="1"/>
  <c r="M1381" i="1" s="1"/>
  <c r="F1381" i="1"/>
  <c r="N1381" i="1" s="1"/>
  <c r="G1381" i="1"/>
  <c r="O1381" i="1" s="1"/>
  <c r="A1382" i="1"/>
  <c r="I1382" i="1" s="1"/>
  <c r="B1382" i="1"/>
  <c r="C1382" i="1"/>
  <c r="K1382" i="1" s="1"/>
  <c r="D1382" i="1"/>
  <c r="L1382" i="1" s="1"/>
  <c r="E1382" i="1"/>
  <c r="M1382" i="1" s="1"/>
  <c r="F1382" i="1"/>
  <c r="N1382" i="1" s="1"/>
  <c r="G1382" i="1"/>
  <c r="O1382" i="1" s="1"/>
  <c r="A1383" i="1"/>
  <c r="I1383" i="1" s="1"/>
  <c r="B1383" i="1"/>
  <c r="C1383" i="1"/>
  <c r="K1383" i="1" s="1"/>
  <c r="D1383" i="1"/>
  <c r="L1383" i="1" s="1"/>
  <c r="E1383" i="1"/>
  <c r="M1383" i="1" s="1"/>
  <c r="F1383" i="1"/>
  <c r="N1383" i="1" s="1"/>
  <c r="G1383" i="1"/>
  <c r="O1383" i="1" s="1"/>
  <c r="A1384" i="1"/>
  <c r="I1384" i="1" s="1"/>
  <c r="B1384" i="1"/>
  <c r="C1384" i="1"/>
  <c r="K1384" i="1" s="1"/>
  <c r="D1384" i="1"/>
  <c r="L1384" i="1" s="1"/>
  <c r="E1384" i="1"/>
  <c r="M1384" i="1" s="1"/>
  <c r="F1384" i="1"/>
  <c r="N1384" i="1" s="1"/>
  <c r="G1384" i="1"/>
  <c r="O1384" i="1" s="1"/>
  <c r="A1385" i="1"/>
  <c r="I1385" i="1" s="1"/>
  <c r="B1385" i="1"/>
  <c r="C1385" i="1"/>
  <c r="K1385" i="1" s="1"/>
  <c r="D1385" i="1"/>
  <c r="L1385" i="1" s="1"/>
  <c r="E1385" i="1"/>
  <c r="M1385" i="1" s="1"/>
  <c r="F1385" i="1"/>
  <c r="N1385" i="1" s="1"/>
  <c r="G1385" i="1"/>
  <c r="O1385" i="1" s="1"/>
  <c r="A1386" i="1"/>
  <c r="I1386" i="1" s="1"/>
  <c r="B1386" i="1"/>
  <c r="C1386" i="1"/>
  <c r="K1386" i="1" s="1"/>
  <c r="D1386" i="1"/>
  <c r="L1386" i="1" s="1"/>
  <c r="E1386" i="1"/>
  <c r="M1386" i="1" s="1"/>
  <c r="F1386" i="1"/>
  <c r="N1386" i="1" s="1"/>
  <c r="G1386" i="1"/>
  <c r="O1386" i="1" s="1"/>
  <c r="A1387" i="1"/>
  <c r="I1387" i="1" s="1"/>
  <c r="B1387" i="1"/>
  <c r="C1387" i="1"/>
  <c r="K1387" i="1" s="1"/>
  <c r="D1387" i="1"/>
  <c r="L1387" i="1" s="1"/>
  <c r="E1387" i="1"/>
  <c r="M1387" i="1" s="1"/>
  <c r="F1387" i="1"/>
  <c r="N1387" i="1" s="1"/>
  <c r="G1387" i="1"/>
  <c r="O1387" i="1" s="1"/>
  <c r="A1388" i="1"/>
  <c r="I1388" i="1" s="1"/>
  <c r="B1388" i="1"/>
  <c r="C1388" i="1"/>
  <c r="K1388" i="1" s="1"/>
  <c r="D1388" i="1"/>
  <c r="L1388" i="1" s="1"/>
  <c r="E1388" i="1"/>
  <c r="M1388" i="1" s="1"/>
  <c r="F1388" i="1"/>
  <c r="N1388" i="1" s="1"/>
  <c r="G1388" i="1"/>
  <c r="O1388" i="1" s="1"/>
  <c r="A1389" i="1"/>
  <c r="I1389" i="1" s="1"/>
  <c r="B1389" i="1"/>
  <c r="C1389" i="1"/>
  <c r="K1389" i="1" s="1"/>
  <c r="D1389" i="1"/>
  <c r="L1389" i="1" s="1"/>
  <c r="E1389" i="1"/>
  <c r="M1389" i="1" s="1"/>
  <c r="F1389" i="1"/>
  <c r="N1389" i="1" s="1"/>
  <c r="G1389" i="1"/>
  <c r="O1389" i="1" s="1"/>
  <c r="A1390" i="1"/>
  <c r="I1390" i="1" s="1"/>
  <c r="B1390" i="1"/>
  <c r="C1390" i="1"/>
  <c r="K1390" i="1" s="1"/>
  <c r="D1390" i="1"/>
  <c r="L1390" i="1" s="1"/>
  <c r="E1390" i="1"/>
  <c r="M1390" i="1" s="1"/>
  <c r="F1390" i="1"/>
  <c r="N1390" i="1" s="1"/>
  <c r="G1390" i="1"/>
  <c r="O1390" i="1" s="1"/>
  <c r="A1391" i="1"/>
  <c r="B1391" i="1"/>
  <c r="C1391" i="1"/>
  <c r="K1391" i="1" s="1"/>
  <c r="D1391" i="1"/>
  <c r="L1391" i="1" s="1"/>
  <c r="E1391" i="1"/>
  <c r="M1391" i="1" s="1"/>
  <c r="F1391" i="1"/>
  <c r="N1391" i="1" s="1"/>
  <c r="G1391" i="1"/>
  <c r="O1391" i="1" s="1"/>
  <c r="A1392" i="1"/>
  <c r="B1392" i="1"/>
  <c r="C1392" i="1"/>
  <c r="K1392" i="1" s="1"/>
  <c r="D1392" i="1"/>
  <c r="L1392" i="1" s="1"/>
  <c r="E1392" i="1"/>
  <c r="M1392" i="1" s="1"/>
  <c r="F1392" i="1"/>
  <c r="N1392" i="1" s="1"/>
  <c r="G1392" i="1"/>
  <c r="O1392" i="1" s="1"/>
  <c r="A1393" i="1"/>
  <c r="B1393" i="1"/>
  <c r="C1393" i="1"/>
  <c r="K1393" i="1" s="1"/>
  <c r="D1393" i="1"/>
  <c r="L1393" i="1" s="1"/>
  <c r="E1393" i="1"/>
  <c r="M1393" i="1" s="1"/>
  <c r="F1393" i="1"/>
  <c r="N1393" i="1" s="1"/>
  <c r="G1393" i="1"/>
  <c r="O1393" i="1" s="1"/>
  <c r="A1394" i="1"/>
  <c r="B1394" i="1"/>
  <c r="C1394" i="1"/>
  <c r="K1394" i="1" s="1"/>
  <c r="D1394" i="1"/>
  <c r="L1394" i="1" s="1"/>
  <c r="E1394" i="1"/>
  <c r="M1394" i="1" s="1"/>
  <c r="F1394" i="1"/>
  <c r="N1394" i="1" s="1"/>
  <c r="G1394" i="1"/>
  <c r="O1394" i="1" s="1"/>
  <c r="A1395" i="1"/>
  <c r="B1395" i="1"/>
  <c r="C1395" i="1"/>
  <c r="K1395" i="1" s="1"/>
  <c r="D1395" i="1"/>
  <c r="L1395" i="1" s="1"/>
  <c r="E1395" i="1"/>
  <c r="M1395" i="1" s="1"/>
  <c r="F1395" i="1"/>
  <c r="N1395" i="1" s="1"/>
  <c r="G1395" i="1"/>
  <c r="O1395" i="1" s="1"/>
  <c r="A1396" i="1"/>
  <c r="B1396" i="1"/>
  <c r="C1396" i="1"/>
  <c r="K1396" i="1" s="1"/>
  <c r="D1396" i="1"/>
  <c r="L1396" i="1" s="1"/>
  <c r="E1396" i="1"/>
  <c r="M1396" i="1" s="1"/>
  <c r="F1396" i="1"/>
  <c r="N1396" i="1" s="1"/>
  <c r="G1396" i="1"/>
  <c r="O1396" i="1" s="1"/>
  <c r="A1397" i="1"/>
  <c r="B1397" i="1"/>
  <c r="C1397" i="1"/>
  <c r="K1397" i="1" s="1"/>
  <c r="D1397" i="1"/>
  <c r="L1397" i="1" s="1"/>
  <c r="E1397" i="1"/>
  <c r="M1397" i="1" s="1"/>
  <c r="F1397" i="1"/>
  <c r="N1397" i="1" s="1"/>
  <c r="G1397" i="1"/>
  <c r="O1397" i="1" s="1"/>
  <c r="A1398" i="1"/>
  <c r="B1398" i="1"/>
  <c r="C1398" i="1"/>
  <c r="K1398" i="1" s="1"/>
  <c r="D1398" i="1"/>
  <c r="L1398" i="1" s="1"/>
  <c r="E1398" i="1"/>
  <c r="M1398" i="1" s="1"/>
  <c r="F1398" i="1"/>
  <c r="N1398" i="1" s="1"/>
  <c r="G1398" i="1"/>
  <c r="O1398" i="1" s="1"/>
  <c r="A1399" i="1"/>
  <c r="B1399" i="1"/>
  <c r="C1399" i="1"/>
  <c r="K1399" i="1" s="1"/>
  <c r="D1399" i="1"/>
  <c r="L1399" i="1" s="1"/>
  <c r="E1399" i="1"/>
  <c r="M1399" i="1" s="1"/>
  <c r="F1399" i="1"/>
  <c r="N1399" i="1" s="1"/>
  <c r="G1399" i="1"/>
  <c r="O1399" i="1" s="1"/>
  <c r="A1400" i="1"/>
  <c r="B1400" i="1"/>
  <c r="C1400" i="1"/>
  <c r="K1400" i="1" s="1"/>
  <c r="D1400" i="1"/>
  <c r="L1400" i="1" s="1"/>
  <c r="E1400" i="1"/>
  <c r="M1400" i="1" s="1"/>
  <c r="F1400" i="1"/>
  <c r="N1400" i="1" s="1"/>
  <c r="G1400" i="1"/>
  <c r="O1400" i="1" s="1"/>
  <c r="A1401" i="1"/>
  <c r="B1401" i="1"/>
  <c r="C1401" i="1"/>
  <c r="K1401" i="1" s="1"/>
  <c r="D1401" i="1"/>
  <c r="L1401" i="1" s="1"/>
  <c r="E1401" i="1"/>
  <c r="M1401" i="1" s="1"/>
  <c r="F1401" i="1"/>
  <c r="N1401" i="1" s="1"/>
  <c r="G1401" i="1"/>
  <c r="O1401" i="1" s="1"/>
  <c r="A1402" i="1"/>
  <c r="B1402" i="1"/>
  <c r="C1402" i="1"/>
  <c r="K1402" i="1" s="1"/>
  <c r="D1402" i="1"/>
  <c r="L1402" i="1" s="1"/>
  <c r="E1402" i="1"/>
  <c r="M1402" i="1" s="1"/>
  <c r="F1402" i="1"/>
  <c r="N1402" i="1" s="1"/>
  <c r="G1402" i="1"/>
  <c r="O1402" i="1" s="1"/>
  <c r="A1403" i="1"/>
  <c r="B1403" i="1"/>
  <c r="C1403" i="1"/>
  <c r="K1403" i="1" s="1"/>
  <c r="D1403" i="1"/>
  <c r="L1403" i="1" s="1"/>
  <c r="E1403" i="1"/>
  <c r="M1403" i="1" s="1"/>
  <c r="F1403" i="1"/>
  <c r="N1403" i="1" s="1"/>
  <c r="G1403" i="1"/>
  <c r="O1403" i="1" s="1"/>
  <c r="A1404" i="1"/>
  <c r="B1404" i="1"/>
  <c r="C1404" i="1"/>
  <c r="K1404" i="1" s="1"/>
  <c r="D1404" i="1"/>
  <c r="L1404" i="1" s="1"/>
  <c r="E1404" i="1"/>
  <c r="M1404" i="1" s="1"/>
  <c r="F1404" i="1"/>
  <c r="N1404" i="1" s="1"/>
  <c r="G1404" i="1"/>
  <c r="O1404" i="1" s="1"/>
  <c r="A1405" i="1"/>
  <c r="B1405" i="1"/>
  <c r="C1405" i="1"/>
  <c r="K1405" i="1" s="1"/>
  <c r="D1405" i="1"/>
  <c r="L1405" i="1" s="1"/>
  <c r="E1405" i="1"/>
  <c r="M1405" i="1" s="1"/>
  <c r="F1405" i="1"/>
  <c r="N1405" i="1" s="1"/>
  <c r="G1405" i="1"/>
  <c r="O1405" i="1" s="1"/>
  <c r="A1406" i="1"/>
  <c r="B1406" i="1"/>
  <c r="C1406" i="1"/>
  <c r="K1406" i="1" s="1"/>
  <c r="D1406" i="1"/>
  <c r="L1406" i="1" s="1"/>
  <c r="E1406" i="1"/>
  <c r="M1406" i="1" s="1"/>
  <c r="F1406" i="1"/>
  <c r="N1406" i="1" s="1"/>
  <c r="G1406" i="1"/>
  <c r="O1406" i="1" s="1"/>
  <c r="A1407" i="1"/>
  <c r="B1407" i="1"/>
  <c r="C1407" i="1"/>
  <c r="K1407" i="1" s="1"/>
  <c r="D1407" i="1"/>
  <c r="L1407" i="1" s="1"/>
  <c r="E1407" i="1"/>
  <c r="M1407" i="1" s="1"/>
  <c r="F1407" i="1"/>
  <c r="N1407" i="1" s="1"/>
  <c r="G1407" i="1"/>
  <c r="O1407" i="1" s="1"/>
  <c r="A1408" i="1"/>
  <c r="B1408" i="1"/>
  <c r="C1408" i="1"/>
  <c r="K1408" i="1" s="1"/>
  <c r="D1408" i="1"/>
  <c r="L1408" i="1" s="1"/>
  <c r="E1408" i="1"/>
  <c r="M1408" i="1" s="1"/>
  <c r="F1408" i="1"/>
  <c r="N1408" i="1" s="1"/>
  <c r="G1408" i="1"/>
  <c r="O1408" i="1" s="1"/>
  <c r="A1409" i="1"/>
  <c r="B1409" i="1"/>
  <c r="C1409" i="1"/>
  <c r="K1409" i="1" s="1"/>
  <c r="D1409" i="1"/>
  <c r="L1409" i="1" s="1"/>
  <c r="E1409" i="1"/>
  <c r="M1409" i="1" s="1"/>
  <c r="F1409" i="1"/>
  <c r="N1409" i="1" s="1"/>
  <c r="G1409" i="1"/>
  <c r="O1409" i="1" s="1"/>
  <c r="A1410" i="1"/>
  <c r="B1410" i="1"/>
  <c r="C1410" i="1"/>
  <c r="K1410" i="1" s="1"/>
  <c r="D1410" i="1"/>
  <c r="L1410" i="1" s="1"/>
  <c r="E1410" i="1"/>
  <c r="M1410" i="1" s="1"/>
  <c r="F1410" i="1"/>
  <c r="N1410" i="1" s="1"/>
  <c r="G1410" i="1"/>
  <c r="O1410" i="1" s="1"/>
  <c r="A1411" i="1"/>
  <c r="B1411" i="1"/>
  <c r="C1411" i="1"/>
  <c r="K1411" i="1" s="1"/>
  <c r="D1411" i="1"/>
  <c r="L1411" i="1" s="1"/>
  <c r="E1411" i="1"/>
  <c r="M1411" i="1" s="1"/>
  <c r="F1411" i="1"/>
  <c r="N1411" i="1" s="1"/>
  <c r="G1411" i="1"/>
  <c r="O1411" i="1" s="1"/>
  <c r="A1412" i="1"/>
  <c r="B1412" i="1"/>
  <c r="C1412" i="1"/>
  <c r="K1412" i="1" s="1"/>
  <c r="D1412" i="1"/>
  <c r="L1412" i="1" s="1"/>
  <c r="E1412" i="1"/>
  <c r="M1412" i="1" s="1"/>
  <c r="F1412" i="1"/>
  <c r="N1412" i="1" s="1"/>
  <c r="G1412" i="1"/>
  <c r="O1412" i="1" s="1"/>
  <c r="A1413" i="1"/>
  <c r="B1413" i="1"/>
  <c r="C1413" i="1"/>
  <c r="K1413" i="1" s="1"/>
  <c r="D1413" i="1"/>
  <c r="L1413" i="1" s="1"/>
  <c r="E1413" i="1"/>
  <c r="M1413" i="1" s="1"/>
  <c r="F1413" i="1"/>
  <c r="N1413" i="1" s="1"/>
  <c r="G1413" i="1"/>
  <c r="O1413" i="1" s="1"/>
  <c r="A1414" i="1"/>
  <c r="B1414" i="1"/>
  <c r="C1414" i="1"/>
  <c r="K1414" i="1" s="1"/>
  <c r="D1414" i="1"/>
  <c r="L1414" i="1" s="1"/>
  <c r="E1414" i="1"/>
  <c r="M1414" i="1" s="1"/>
  <c r="F1414" i="1"/>
  <c r="N1414" i="1" s="1"/>
  <c r="G1414" i="1"/>
  <c r="O1414" i="1" s="1"/>
  <c r="A1415" i="1"/>
  <c r="B1415" i="1"/>
  <c r="C1415" i="1"/>
  <c r="K1415" i="1" s="1"/>
  <c r="D1415" i="1"/>
  <c r="L1415" i="1" s="1"/>
  <c r="E1415" i="1"/>
  <c r="M1415" i="1" s="1"/>
  <c r="F1415" i="1"/>
  <c r="N1415" i="1" s="1"/>
  <c r="G1415" i="1"/>
  <c r="O1415" i="1" s="1"/>
  <c r="A1416" i="1"/>
  <c r="B1416" i="1"/>
  <c r="C1416" i="1"/>
  <c r="K1416" i="1" s="1"/>
  <c r="D1416" i="1"/>
  <c r="L1416" i="1" s="1"/>
  <c r="E1416" i="1"/>
  <c r="M1416" i="1" s="1"/>
  <c r="F1416" i="1"/>
  <c r="N1416" i="1" s="1"/>
  <c r="G1416" i="1"/>
  <c r="O1416" i="1" s="1"/>
  <c r="A1417" i="1"/>
  <c r="B1417" i="1"/>
  <c r="C1417" i="1"/>
  <c r="K1417" i="1" s="1"/>
  <c r="D1417" i="1"/>
  <c r="L1417" i="1" s="1"/>
  <c r="E1417" i="1"/>
  <c r="M1417" i="1" s="1"/>
  <c r="F1417" i="1"/>
  <c r="N1417" i="1" s="1"/>
  <c r="G1417" i="1"/>
  <c r="O1417" i="1" s="1"/>
  <c r="A1418" i="1"/>
  <c r="B1418" i="1"/>
  <c r="C1418" i="1"/>
  <c r="K1418" i="1" s="1"/>
  <c r="D1418" i="1"/>
  <c r="L1418" i="1" s="1"/>
  <c r="E1418" i="1"/>
  <c r="M1418" i="1" s="1"/>
  <c r="F1418" i="1"/>
  <c r="N1418" i="1" s="1"/>
  <c r="G1418" i="1"/>
  <c r="O1418" i="1" s="1"/>
  <c r="A1419" i="1"/>
  <c r="B1419" i="1"/>
  <c r="C1419" i="1"/>
  <c r="K1419" i="1" s="1"/>
  <c r="D1419" i="1"/>
  <c r="L1419" i="1" s="1"/>
  <c r="E1419" i="1"/>
  <c r="M1419" i="1" s="1"/>
  <c r="F1419" i="1"/>
  <c r="N1419" i="1" s="1"/>
  <c r="G1419" i="1"/>
  <c r="O1419" i="1" s="1"/>
  <c r="A1420" i="1"/>
  <c r="B1420" i="1"/>
  <c r="C1420" i="1"/>
  <c r="K1420" i="1" s="1"/>
  <c r="D1420" i="1"/>
  <c r="L1420" i="1" s="1"/>
  <c r="E1420" i="1"/>
  <c r="M1420" i="1" s="1"/>
  <c r="F1420" i="1"/>
  <c r="N1420" i="1" s="1"/>
  <c r="G1420" i="1"/>
  <c r="O1420" i="1" s="1"/>
  <c r="A1421" i="1"/>
  <c r="B1421" i="1"/>
  <c r="C1421" i="1"/>
  <c r="K1421" i="1" s="1"/>
  <c r="D1421" i="1"/>
  <c r="L1421" i="1" s="1"/>
  <c r="E1421" i="1"/>
  <c r="M1421" i="1" s="1"/>
  <c r="F1421" i="1"/>
  <c r="N1421" i="1" s="1"/>
  <c r="G1421" i="1"/>
  <c r="O1421" i="1" s="1"/>
  <c r="A1422" i="1"/>
  <c r="B1422" i="1"/>
  <c r="C1422" i="1"/>
  <c r="K1422" i="1" s="1"/>
  <c r="D1422" i="1"/>
  <c r="L1422" i="1" s="1"/>
  <c r="E1422" i="1"/>
  <c r="M1422" i="1" s="1"/>
  <c r="F1422" i="1"/>
  <c r="N1422" i="1" s="1"/>
  <c r="G1422" i="1"/>
  <c r="O1422" i="1" s="1"/>
  <c r="A1423" i="1"/>
  <c r="B1423" i="1"/>
  <c r="C1423" i="1"/>
  <c r="K1423" i="1" s="1"/>
  <c r="D1423" i="1"/>
  <c r="L1423" i="1" s="1"/>
  <c r="E1423" i="1"/>
  <c r="M1423" i="1" s="1"/>
  <c r="F1423" i="1"/>
  <c r="N1423" i="1" s="1"/>
  <c r="G1423" i="1"/>
  <c r="O1423" i="1" s="1"/>
  <c r="A1424" i="1"/>
  <c r="B1424" i="1"/>
  <c r="C1424" i="1"/>
  <c r="K1424" i="1" s="1"/>
  <c r="D1424" i="1"/>
  <c r="L1424" i="1" s="1"/>
  <c r="E1424" i="1"/>
  <c r="M1424" i="1" s="1"/>
  <c r="F1424" i="1"/>
  <c r="N1424" i="1" s="1"/>
  <c r="G1424" i="1"/>
  <c r="O1424" i="1" s="1"/>
  <c r="A1425" i="1"/>
  <c r="B1425" i="1"/>
  <c r="C1425" i="1"/>
  <c r="K1425" i="1" s="1"/>
  <c r="D1425" i="1"/>
  <c r="L1425" i="1" s="1"/>
  <c r="E1425" i="1"/>
  <c r="M1425" i="1" s="1"/>
  <c r="F1425" i="1"/>
  <c r="N1425" i="1" s="1"/>
  <c r="G1425" i="1"/>
  <c r="O1425" i="1" s="1"/>
  <c r="A1426" i="1"/>
  <c r="B1426" i="1"/>
  <c r="C1426" i="1"/>
  <c r="K1426" i="1" s="1"/>
  <c r="D1426" i="1"/>
  <c r="L1426" i="1" s="1"/>
  <c r="E1426" i="1"/>
  <c r="M1426" i="1" s="1"/>
  <c r="F1426" i="1"/>
  <c r="N1426" i="1" s="1"/>
  <c r="G1426" i="1"/>
  <c r="O1426" i="1" s="1"/>
  <c r="A1427" i="1"/>
  <c r="B1427" i="1"/>
  <c r="C1427" i="1"/>
  <c r="K1427" i="1" s="1"/>
  <c r="D1427" i="1"/>
  <c r="L1427" i="1" s="1"/>
  <c r="E1427" i="1"/>
  <c r="M1427" i="1" s="1"/>
  <c r="F1427" i="1"/>
  <c r="N1427" i="1" s="1"/>
  <c r="G1427" i="1"/>
  <c r="O1427" i="1" s="1"/>
  <c r="A1428" i="1"/>
  <c r="B1428" i="1"/>
  <c r="C1428" i="1"/>
  <c r="K1428" i="1" s="1"/>
  <c r="D1428" i="1"/>
  <c r="L1428" i="1" s="1"/>
  <c r="E1428" i="1"/>
  <c r="M1428" i="1" s="1"/>
  <c r="F1428" i="1"/>
  <c r="N1428" i="1" s="1"/>
  <c r="G1428" i="1"/>
  <c r="O1428" i="1" s="1"/>
  <c r="A1429" i="1"/>
  <c r="B1429" i="1"/>
  <c r="C1429" i="1"/>
  <c r="K1429" i="1" s="1"/>
  <c r="D1429" i="1"/>
  <c r="L1429" i="1" s="1"/>
  <c r="E1429" i="1"/>
  <c r="M1429" i="1" s="1"/>
  <c r="F1429" i="1"/>
  <c r="N1429" i="1" s="1"/>
  <c r="G1429" i="1"/>
  <c r="O1429" i="1" s="1"/>
  <c r="A1430" i="1"/>
  <c r="B1430" i="1"/>
  <c r="C1430" i="1"/>
  <c r="K1430" i="1" s="1"/>
  <c r="D1430" i="1"/>
  <c r="L1430" i="1" s="1"/>
  <c r="E1430" i="1"/>
  <c r="M1430" i="1" s="1"/>
  <c r="F1430" i="1"/>
  <c r="N1430" i="1" s="1"/>
  <c r="G1430" i="1"/>
  <c r="O1430" i="1" s="1"/>
  <c r="A1431" i="1"/>
  <c r="B1431" i="1"/>
  <c r="C1431" i="1"/>
  <c r="K1431" i="1" s="1"/>
  <c r="D1431" i="1"/>
  <c r="L1431" i="1" s="1"/>
  <c r="E1431" i="1"/>
  <c r="M1431" i="1" s="1"/>
  <c r="F1431" i="1"/>
  <c r="N1431" i="1" s="1"/>
  <c r="G1431" i="1"/>
  <c r="O1431" i="1" s="1"/>
  <c r="A1432" i="1"/>
  <c r="B1432" i="1"/>
  <c r="C1432" i="1"/>
  <c r="K1432" i="1" s="1"/>
  <c r="D1432" i="1"/>
  <c r="L1432" i="1" s="1"/>
  <c r="E1432" i="1"/>
  <c r="M1432" i="1" s="1"/>
  <c r="F1432" i="1"/>
  <c r="N1432" i="1" s="1"/>
  <c r="G1432" i="1"/>
  <c r="O1432" i="1" s="1"/>
  <c r="A1433" i="1"/>
  <c r="B1433" i="1"/>
  <c r="C1433" i="1"/>
  <c r="K1433" i="1" s="1"/>
  <c r="D1433" i="1"/>
  <c r="L1433" i="1" s="1"/>
  <c r="E1433" i="1"/>
  <c r="M1433" i="1" s="1"/>
  <c r="F1433" i="1"/>
  <c r="N1433" i="1" s="1"/>
  <c r="G1433" i="1"/>
  <c r="O1433" i="1" s="1"/>
  <c r="A1434" i="1"/>
  <c r="B1434" i="1"/>
  <c r="C1434" i="1"/>
  <c r="K1434" i="1" s="1"/>
  <c r="D1434" i="1"/>
  <c r="L1434" i="1" s="1"/>
  <c r="E1434" i="1"/>
  <c r="M1434" i="1" s="1"/>
  <c r="F1434" i="1"/>
  <c r="N1434" i="1" s="1"/>
  <c r="G1434" i="1"/>
  <c r="O1434" i="1" s="1"/>
  <c r="A1435" i="1"/>
  <c r="B1435" i="1"/>
  <c r="C1435" i="1"/>
  <c r="K1435" i="1" s="1"/>
  <c r="D1435" i="1"/>
  <c r="L1435" i="1" s="1"/>
  <c r="E1435" i="1"/>
  <c r="M1435" i="1" s="1"/>
  <c r="F1435" i="1"/>
  <c r="N1435" i="1" s="1"/>
  <c r="G1435" i="1"/>
  <c r="O1435" i="1" s="1"/>
  <c r="A1436" i="1"/>
  <c r="B1436" i="1"/>
  <c r="C1436" i="1"/>
  <c r="K1436" i="1" s="1"/>
  <c r="D1436" i="1"/>
  <c r="L1436" i="1" s="1"/>
  <c r="E1436" i="1"/>
  <c r="M1436" i="1" s="1"/>
  <c r="F1436" i="1"/>
  <c r="N1436" i="1" s="1"/>
  <c r="G1436" i="1"/>
  <c r="O1436" i="1" s="1"/>
  <c r="A1437" i="1"/>
  <c r="B1437" i="1"/>
  <c r="C1437" i="1"/>
  <c r="K1437" i="1" s="1"/>
  <c r="D1437" i="1"/>
  <c r="L1437" i="1" s="1"/>
  <c r="E1437" i="1"/>
  <c r="M1437" i="1" s="1"/>
  <c r="F1437" i="1"/>
  <c r="N1437" i="1" s="1"/>
  <c r="G1437" i="1"/>
  <c r="O1437" i="1" s="1"/>
  <c r="A1438" i="1"/>
  <c r="B1438" i="1"/>
  <c r="C1438" i="1"/>
  <c r="K1438" i="1" s="1"/>
  <c r="D1438" i="1"/>
  <c r="L1438" i="1" s="1"/>
  <c r="E1438" i="1"/>
  <c r="M1438" i="1" s="1"/>
  <c r="F1438" i="1"/>
  <c r="N1438" i="1" s="1"/>
  <c r="G1438" i="1"/>
  <c r="O1438" i="1" s="1"/>
  <c r="A1439" i="1"/>
  <c r="B1439" i="1"/>
  <c r="C1439" i="1"/>
  <c r="K1439" i="1" s="1"/>
  <c r="D1439" i="1"/>
  <c r="L1439" i="1" s="1"/>
  <c r="E1439" i="1"/>
  <c r="M1439" i="1" s="1"/>
  <c r="F1439" i="1"/>
  <c r="N1439" i="1" s="1"/>
  <c r="G1439" i="1"/>
  <c r="O1439" i="1" s="1"/>
  <c r="A1440" i="1"/>
  <c r="B1440" i="1"/>
  <c r="C1440" i="1"/>
  <c r="K1440" i="1" s="1"/>
  <c r="D1440" i="1"/>
  <c r="L1440" i="1" s="1"/>
  <c r="E1440" i="1"/>
  <c r="M1440" i="1" s="1"/>
  <c r="F1440" i="1"/>
  <c r="N1440" i="1" s="1"/>
  <c r="G1440" i="1"/>
  <c r="O1440" i="1" s="1"/>
  <c r="A1441" i="1"/>
  <c r="B1441" i="1"/>
  <c r="C1441" i="1"/>
  <c r="K1441" i="1" s="1"/>
  <c r="D1441" i="1"/>
  <c r="L1441" i="1" s="1"/>
  <c r="E1441" i="1"/>
  <c r="M1441" i="1" s="1"/>
  <c r="F1441" i="1"/>
  <c r="N1441" i="1" s="1"/>
  <c r="G1441" i="1"/>
  <c r="O1441" i="1" s="1"/>
  <c r="A1442" i="1"/>
  <c r="I1442" i="1" s="1"/>
  <c r="B1442" i="1"/>
  <c r="C1442" i="1"/>
  <c r="K1442" i="1" s="1"/>
  <c r="D1442" i="1"/>
  <c r="L1442" i="1" s="1"/>
  <c r="E1442" i="1"/>
  <c r="M1442" i="1" s="1"/>
  <c r="F1442" i="1"/>
  <c r="N1442" i="1" s="1"/>
  <c r="G1442" i="1"/>
  <c r="O1442" i="1" s="1"/>
  <c r="A1443" i="1"/>
  <c r="I1443" i="1" s="1"/>
  <c r="B1443" i="1"/>
  <c r="C1443" i="1"/>
  <c r="K1443" i="1" s="1"/>
  <c r="D1443" i="1"/>
  <c r="L1443" i="1" s="1"/>
  <c r="E1443" i="1"/>
  <c r="M1443" i="1" s="1"/>
  <c r="F1443" i="1"/>
  <c r="N1443" i="1" s="1"/>
  <c r="G1443" i="1"/>
  <c r="O1443" i="1" s="1"/>
  <c r="A1444" i="1"/>
  <c r="I1444" i="1" s="1"/>
  <c r="B1444" i="1"/>
  <c r="C1444" i="1"/>
  <c r="K1444" i="1" s="1"/>
  <c r="D1444" i="1"/>
  <c r="L1444" i="1" s="1"/>
  <c r="E1444" i="1"/>
  <c r="M1444" i="1" s="1"/>
  <c r="F1444" i="1"/>
  <c r="N1444" i="1" s="1"/>
  <c r="G1444" i="1"/>
  <c r="O1444" i="1" s="1"/>
  <c r="A1445" i="1"/>
  <c r="I1445" i="1" s="1"/>
  <c r="B1445" i="1"/>
  <c r="C1445" i="1"/>
  <c r="K1445" i="1" s="1"/>
  <c r="D1445" i="1"/>
  <c r="L1445" i="1" s="1"/>
  <c r="E1445" i="1"/>
  <c r="M1445" i="1" s="1"/>
  <c r="F1445" i="1"/>
  <c r="N1445" i="1" s="1"/>
  <c r="G1445" i="1"/>
  <c r="O1445" i="1" s="1"/>
  <c r="A1446" i="1"/>
  <c r="I1446" i="1" s="1"/>
  <c r="B1446" i="1"/>
  <c r="C1446" i="1"/>
  <c r="K1446" i="1" s="1"/>
  <c r="D1446" i="1"/>
  <c r="L1446" i="1" s="1"/>
  <c r="E1446" i="1"/>
  <c r="M1446" i="1" s="1"/>
  <c r="F1446" i="1"/>
  <c r="N1446" i="1" s="1"/>
  <c r="G1446" i="1"/>
  <c r="O1446" i="1" s="1"/>
  <c r="A1447" i="1"/>
  <c r="I1447" i="1" s="1"/>
  <c r="B1447" i="1"/>
  <c r="C1447" i="1"/>
  <c r="K1447" i="1" s="1"/>
  <c r="D1447" i="1"/>
  <c r="L1447" i="1" s="1"/>
  <c r="E1447" i="1"/>
  <c r="M1447" i="1" s="1"/>
  <c r="F1447" i="1"/>
  <c r="N1447" i="1" s="1"/>
  <c r="G1447" i="1"/>
  <c r="O1447" i="1" s="1"/>
  <c r="A1448" i="1"/>
  <c r="I1448" i="1" s="1"/>
  <c r="B1448" i="1"/>
  <c r="C1448" i="1"/>
  <c r="K1448" i="1" s="1"/>
  <c r="D1448" i="1"/>
  <c r="L1448" i="1" s="1"/>
  <c r="E1448" i="1"/>
  <c r="M1448" i="1" s="1"/>
  <c r="F1448" i="1"/>
  <c r="N1448" i="1" s="1"/>
  <c r="G1448" i="1"/>
  <c r="O1448" i="1" s="1"/>
  <c r="A1449" i="1"/>
  <c r="I1449" i="1" s="1"/>
  <c r="B1449" i="1"/>
  <c r="C1449" i="1"/>
  <c r="K1449" i="1" s="1"/>
  <c r="D1449" i="1"/>
  <c r="L1449" i="1" s="1"/>
  <c r="E1449" i="1"/>
  <c r="M1449" i="1" s="1"/>
  <c r="F1449" i="1"/>
  <c r="N1449" i="1" s="1"/>
  <c r="G1449" i="1"/>
  <c r="O1449" i="1" s="1"/>
  <c r="A1450" i="1"/>
  <c r="I1450" i="1" s="1"/>
  <c r="B1450" i="1"/>
  <c r="C1450" i="1"/>
  <c r="K1450" i="1" s="1"/>
  <c r="D1450" i="1"/>
  <c r="L1450" i="1" s="1"/>
  <c r="E1450" i="1"/>
  <c r="M1450" i="1" s="1"/>
  <c r="F1450" i="1"/>
  <c r="N1450" i="1" s="1"/>
  <c r="G1450" i="1"/>
  <c r="O1450" i="1" s="1"/>
  <c r="A1451" i="1"/>
  <c r="I1451" i="1" s="1"/>
  <c r="B1451" i="1"/>
  <c r="C1451" i="1"/>
  <c r="K1451" i="1" s="1"/>
  <c r="D1451" i="1"/>
  <c r="L1451" i="1" s="1"/>
  <c r="E1451" i="1"/>
  <c r="M1451" i="1" s="1"/>
  <c r="F1451" i="1"/>
  <c r="N1451" i="1" s="1"/>
  <c r="G1451" i="1"/>
  <c r="O1451" i="1" s="1"/>
  <c r="A1452" i="1"/>
  <c r="I1452" i="1" s="1"/>
  <c r="B1452" i="1"/>
  <c r="C1452" i="1"/>
  <c r="K1452" i="1" s="1"/>
  <c r="D1452" i="1"/>
  <c r="L1452" i="1" s="1"/>
  <c r="E1452" i="1"/>
  <c r="M1452" i="1" s="1"/>
  <c r="F1452" i="1"/>
  <c r="N1452" i="1" s="1"/>
  <c r="G1452" i="1"/>
  <c r="O1452" i="1" s="1"/>
  <c r="A1453" i="1"/>
  <c r="I1453" i="1" s="1"/>
  <c r="B1453" i="1"/>
  <c r="C1453" i="1"/>
  <c r="K1453" i="1" s="1"/>
  <c r="D1453" i="1"/>
  <c r="L1453" i="1" s="1"/>
  <c r="E1453" i="1"/>
  <c r="M1453" i="1" s="1"/>
  <c r="F1453" i="1"/>
  <c r="N1453" i="1" s="1"/>
  <c r="G1453" i="1"/>
  <c r="O1453" i="1" s="1"/>
  <c r="A1454" i="1"/>
  <c r="I1454" i="1" s="1"/>
  <c r="B1454" i="1"/>
  <c r="C1454" i="1"/>
  <c r="K1454" i="1" s="1"/>
  <c r="D1454" i="1"/>
  <c r="L1454" i="1" s="1"/>
  <c r="E1454" i="1"/>
  <c r="M1454" i="1" s="1"/>
  <c r="F1454" i="1"/>
  <c r="N1454" i="1" s="1"/>
  <c r="G1454" i="1"/>
  <c r="O1454" i="1" s="1"/>
  <c r="A1455" i="1"/>
  <c r="I1455" i="1" s="1"/>
  <c r="B1455" i="1"/>
  <c r="C1455" i="1"/>
  <c r="K1455" i="1" s="1"/>
  <c r="D1455" i="1"/>
  <c r="L1455" i="1" s="1"/>
  <c r="E1455" i="1"/>
  <c r="M1455" i="1" s="1"/>
  <c r="F1455" i="1"/>
  <c r="N1455" i="1" s="1"/>
  <c r="G1455" i="1"/>
  <c r="O1455" i="1" s="1"/>
  <c r="A1456" i="1"/>
  <c r="I1456" i="1" s="1"/>
  <c r="B1456" i="1"/>
  <c r="C1456" i="1"/>
  <c r="K1456" i="1" s="1"/>
  <c r="D1456" i="1"/>
  <c r="L1456" i="1" s="1"/>
  <c r="E1456" i="1"/>
  <c r="M1456" i="1" s="1"/>
  <c r="F1456" i="1"/>
  <c r="N1456" i="1" s="1"/>
  <c r="G1456" i="1"/>
  <c r="O1456" i="1" s="1"/>
  <c r="A1457" i="1"/>
  <c r="I1457" i="1" s="1"/>
  <c r="B1457" i="1"/>
  <c r="C1457" i="1"/>
  <c r="K1457" i="1" s="1"/>
  <c r="D1457" i="1"/>
  <c r="L1457" i="1" s="1"/>
  <c r="E1457" i="1"/>
  <c r="M1457" i="1" s="1"/>
  <c r="F1457" i="1"/>
  <c r="N1457" i="1" s="1"/>
  <c r="G1457" i="1"/>
  <c r="O1457" i="1" s="1"/>
  <c r="A1458" i="1"/>
  <c r="I1458" i="1" s="1"/>
  <c r="B1458" i="1"/>
  <c r="C1458" i="1"/>
  <c r="K1458" i="1" s="1"/>
  <c r="D1458" i="1"/>
  <c r="L1458" i="1" s="1"/>
  <c r="E1458" i="1"/>
  <c r="M1458" i="1" s="1"/>
  <c r="F1458" i="1"/>
  <c r="N1458" i="1" s="1"/>
  <c r="G1458" i="1"/>
  <c r="O1458" i="1" s="1"/>
  <c r="A1459" i="1"/>
  <c r="I1459" i="1" s="1"/>
  <c r="B1459" i="1"/>
  <c r="C1459" i="1"/>
  <c r="K1459" i="1" s="1"/>
  <c r="D1459" i="1"/>
  <c r="L1459" i="1" s="1"/>
  <c r="E1459" i="1"/>
  <c r="M1459" i="1" s="1"/>
  <c r="F1459" i="1"/>
  <c r="N1459" i="1" s="1"/>
  <c r="G1459" i="1"/>
  <c r="O1459" i="1" s="1"/>
  <c r="A1460" i="1"/>
  <c r="I1460" i="1" s="1"/>
  <c r="B1460" i="1"/>
  <c r="C1460" i="1"/>
  <c r="K1460" i="1" s="1"/>
  <c r="D1460" i="1"/>
  <c r="L1460" i="1" s="1"/>
  <c r="E1460" i="1"/>
  <c r="M1460" i="1" s="1"/>
  <c r="F1460" i="1"/>
  <c r="N1460" i="1" s="1"/>
  <c r="G1460" i="1"/>
  <c r="O1460" i="1" s="1"/>
  <c r="A1461" i="1"/>
  <c r="I1461" i="1" s="1"/>
  <c r="B1461" i="1"/>
  <c r="C1461" i="1"/>
  <c r="K1461" i="1" s="1"/>
  <c r="D1461" i="1"/>
  <c r="L1461" i="1" s="1"/>
  <c r="E1461" i="1"/>
  <c r="M1461" i="1" s="1"/>
  <c r="F1461" i="1"/>
  <c r="N1461" i="1" s="1"/>
  <c r="G1461" i="1"/>
  <c r="O1461" i="1" s="1"/>
  <c r="A1462" i="1"/>
  <c r="I1462" i="1" s="1"/>
  <c r="B1462" i="1"/>
  <c r="C1462" i="1"/>
  <c r="K1462" i="1" s="1"/>
  <c r="D1462" i="1"/>
  <c r="L1462" i="1" s="1"/>
  <c r="E1462" i="1"/>
  <c r="M1462" i="1" s="1"/>
  <c r="F1462" i="1"/>
  <c r="N1462" i="1" s="1"/>
  <c r="G1462" i="1"/>
  <c r="O1462" i="1" s="1"/>
  <c r="A1463" i="1"/>
  <c r="I1463" i="1" s="1"/>
  <c r="B1463" i="1"/>
  <c r="C1463" i="1"/>
  <c r="K1463" i="1" s="1"/>
  <c r="D1463" i="1"/>
  <c r="L1463" i="1" s="1"/>
  <c r="E1463" i="1"/>
  <c r="M1463" i="1" s="1"/>
  <c r="F1463" i="1"/>
  <c r="N1463" i="1" s="1"/>
  <c r="G1463" i="1"/>
  <c r="O1463" i="1" s="1"/>
  <c r="A1464" i="1"/>
  <c r="I1464" i="1" s="1"/>
  <c r="B1464" i="1"/>
  <c r="C1464" i="1"/>
  <c r="K1464" i="1" s="1"/>
  <c r="D1464" i="1"/>
  <c r="L1464" i="1" s="1"/>
  <c r="E1464" i="1"/>
  <c r="M1464" i="1" s="1"/>
  <c r="F1464" i="1"/>
  <c r="N1464" i="1" s="1"/>
  <c r="G1464" i="1"/>
  <c r="O1464" i="1" s="1"/>
  <c r="A1465" i="1"/>
  <c r="I1465" i="1" s="1"/>
  <c r="B1465" i="1"/>
  <c r="C1465" i="1"/>
  <c r="K1465" i="1" s="1"/>
  <c r="D1465" i="1"/>
  <c r="L1465" i="1" s="1"/>
  <c r="E1465" i="1"/>
  <c r="M1465" i="1" s="1"/>
  <c r="F1465" i="1"/>
  <c r="N1465" i="1" s="1"/>
  <c r="G1465" i="1"/>
  <c r="O1465" i="1" s="1"/>
  <c r="A1466" i="1"/>
  <c r="I1466" i="1" s="1"/>
  <c r="B1466" i="1"/>
  <c r="C1466" i="1"/>
  <c r="K1466" i="1" s="1"/>
  <c r="D1466" i="1"/>
  <c r="L1466" i="1" s="1"/>
  <c r="E1466" i="1"/>
  <c r="M1466" i="1" s="1"/>
  <c r="F1466" i="1"/>
  <c r="N1466" i="1" s="1"/>
  <c r="G1466" i="1"/>
  <c r="O1466" i="1" s="1"/>
  <c r="A1467" i="1"/>
  <c r="I1467" i="1" s="1"/>
  <c r="B1467" i="1"/>
  <c r="C1467" i="1"/>
  <c r="K1467" i="1" s="1"/>
  <c r="D1467" i="1"/>
  <c r="L1467" i="1" s="1"/>
  <c r="E1467" i="1"/>
  <c r="M1467" i="1" s="1"/>
  <c r="F1467" i="1"/>
  <c r="N1467" i="1" s="1"/>
  <c r="G1467" i="1"/>
  <c r="O1467" i="1" s="1"/>
  <c r="A1468" i="1"/>
  <c r="I1468" i="1" s="1"/>
  <c r="B1468" i="1"/>
  <c r="C1468" i="1"/>
  <c r="K1468" i="1" s="1"/>
  <c r="D1468" i="1"/>
  <c r="L1468" i="1" s="1"/>
  <c r="E1468" i="1"/>
  <c r="M1468" i="1" s="1"/>
  <c r="F1468" i="1"/>
  <c r="N1468" i="1" s="1"/>
  <c r="G1468" i="1"/>
  <c r="O1468" i="1" s="1"/>
  <c r="A1469" i="1"/>
  <c r="I1469" i="1" s="1"/>
  <c r="B1469" i="1"/>
  <c r="C1469" i="1"/>
  <c r="K1469" i="1" s="1"/>
  <c r="D1469" i="1"/>
  <c r="L1469" i="1" s="1"/>
  <c r="E1469" i="1"/>
  <c r="M1469" i="1" s="1"/>
  <c r="F1469" i="1"/>
  <c r="N1469" i="1" s="1"/>
  <c r="G1469" i="1"/>
  <c r="O1469" i="1" s="1"/>
  <c r="A1470" i="1"/>
  <c r="I1470" i="1" s="1"/>
  <c r="B1470" i="1"/>
  <c r="C1470" i="1"/>
  <c r="K1470" i="1" s="1"/>
  <c r="D1470" i="1"/>
  <c r="L1470" i="1" s="1"/>
  <c r="E1470" i="1"/>
  <c r="M1470" i="1" s="1"/>
  <c r="F1470" i="1"/>
  <c r="N1470" i="1" s="1"/>
  <c r="G1470" i="1"/>
  <c r="O1470" i="1" s="1"/>
  <c r="A1471" i="1"/>
  <c r="I1471" i="1" s="1"/>
  <c r="B1471" i="1"/>
  <c r="C1471" i="1"/>
  <c r="K1471" i="1" s="1"/>
  <c r="D1471" i="1"/>
  <c r="L1471" i="1" s="1"/>
  <c r="E1471" i="1"/>
  <c r="M1471" i="1" s="1"/>
  <c r="F1471" i="1"/>
  <c r="N1471" i="1" s="1"/>
  <c r="G1471" i="1"/>
  <c r="O1471" i="1" s="1"/>
  <c r="A1472" i="1"/>
  <c r="I1472" i="1" s="1"/>
  <c r="B1472" i="1"/>
  <c r="C1472" i="1"/>
  <c r="K1472" i="1" s="1"/>
  <c r="D1472" i="1"/>
  <c r="L1472" i="1" s="1"/>
  <c r="E1472" i="1"/>
  <c r="M1472" i="1" s="1"/>
  <c r="F1472" i="1"/>
  <c r="N1472" i="1" s="1"/>
  <c r="G1472" i="1"/>
  <c r="O1472" i="1" s="1"/>
  <c r="A1473" i="1"/>
  <c r="I1473" i="1" s="1"/>
  <c r="B1473" i="1"/>
  <c r="C1473" i="1"/>
  <c r="K1473" i="1" s="1"/>
  <c r="D1473" i="1"/>
  <c r="L1473" i="1" s="1"/>
  <c r="E1473" i="1"/>
  <c r="M1473" i="1" s="1"/>
  <c r="F1473" i="1"/>
  <c r="N1473" i="1" s="1"/>
  <c r="G1473" i="1"/>
  <c r="O1473" i="1" s="1"/>
  <c r="A1474" i="1"/>
  <c r="I1474" i="1" s="1"/>
  <c r="B1474" i="1"/>
  <c r="C1474" i="1"/>
  <c r="K1474" i="1" s="1"/>
  <c r="D1474" i="1"/>
  <c r="L1474" i="1" s="1"/>
  <c r="E1474" i="1"/>
  <c r="M1474" i="1" s="1"/>
  <c r="F1474" i="1"/>
  <c r="N1474" i="1" s="1"/>
  <c r="G1474" i="1"/>
  <c r="O1474" i="1" s="1"/>
  <c r="A1475" i="1"/>
  <c r="I1475" i="1" s="1"/>
  <c r="B1475" i="1"/>
  <c r="C1475" i="1"/>
  <c r="K1475" i="1" s="1"/>
  <c r="D1475" i="1"/>
  <c r="L1475" i="1" s="1"/>
  <c r="E1475" i="1"/>
  <c r="M1475" i="1" s="1"/>
  <c r="F1475" i="1"/>
  <c r="N1475" i="1" s="1"/>
  <c r="G1475" i="1"/>
  <c r="O1475" i="1" s="1"/>
  <c r="A1476" i="1"/>
  <c r="I1476" i="1" s="1"/>
  <c r="B1476" i="1"/>
  <c r="C1476" i="1"/>
  <c r="K1476" i="1" s="1"/>
  <c r="D1476" i="1"/>
  <c r="L1476" i="1" s="1"/>
  <c r="E1476" i="1"/>
  <c r="M1476" i="1" s="1"/>
  <c r="F1476" i="1"/>
  <c r="N1476" i="1" s="1"/>
  <c r="G1476" i="1"/>
  <c r="O1476" i="1" s="1"/>
  <c r="A1477" i="1"/>
  <c r="I1477" i="1" s="1"/>
  <c r="B1477" i="1"/>
  <c r="C1477" i="1"/>
  <c r="K1477" i="1" s="1"/>
  <c r="D1477" i="1"/>
  <c r="L1477" i="1" s="1"/>
  <c r="E1477" i="1"/>
  <c r="M1477" i="1" s="1"/>
  <c r="F1477" i="1"/>
  <c r="N1477" i="1" s="1"/>
  <c r="G1477" i="1"/>
  <c r="O1477" i="1" s="1"/>
  <c r="A1478" i="1"/>
  <c r="I1478" i="1" s="1"/>
  <c r="B1478" i="1"/>
  <c r="C1478" i="1"/>
  <c r="K1478" i="1" s="1"/>
  <c r="D1478" i="1"/>
  <c r="L1478" i="1" s="1"/>
  <c r="E1478" i="1"/>
  <c r="M1478" i="1" s="1"/>
  <c r="F1478" i="1"/>
  <c r="N1478" i="1" s="1"/>
  <c r="G1478" i="1"/>
  <c r="O1478" i="1" s="1"/>
  <c r="A1479" i="1"/>
  <c r="I1479" i="1" s="1"/>
  <c r="B1479" i="1"/>
  <c r="C1479" i="1"/>
  <c r="K1479" i="1" s="1"/>
  <c r="D1479" i="1"/>
  <c r="L1479" i="1" s="1"/>
  <c r="E1479" i="1"/>
  <c r="M1479" i="1" s="1"/>
  <c r="F1479" i="1"/>
  <c r="N1479" i="1" s="1"/>
  <c r="G1479" i="1"/>
  <c r="O1479" i="1" s="1"/>
  <c r="A1480" i="1"/>
  <c r="I1480" i="1" s="1"/>
  <c r="B1480" i="1"/>
  <c r="C1480" i="1"/>
  <c r="K1480" i="1" s="1"/>
  <c r="D1480" i="1"/>
  <c r="L1480" i="1" s="1"/>
  <c r="E1480" i="1"/>
  <c r="M1480" i="1" s="1"/>
  <c r="F1480" i="1"/>
  <c r="N1480" i="1" s="1"/>
  <c r="G1480" i="1"/>
  <c r="O1480" i="1" s="1"/>
  <c r="A1481" i="1"/>
  <c r="I1481" i="1" s="1"/>
  <c r="B1481" i="1"/>
  <c r="C1481" i="1"/>
  <c r="K1481" i="1" s="1"/>
  <c r="D1481" i="1"/>
  <c r="L1481" i="1" s="1"/>
  <c r="E1481" i="1"/>
  <c r="M1481" i="1" s="1"/>
  <c r="F1481" i="1"/>
  <c r="N1481" i="1" s="1"/>
  <c r="G1481" i="1"/>
  <c r="O1481" i="1" s="1"/>
  <c r="A1482" i="1"/>
  <c r="I1482" i="1" s="1"/>
  <c r="B1482" i="1"/>
  <c r="C1482" i="1"/>
  <c r="K1482" i="1" s="1"/>
  <c r="D1482" i="1"/>
  <c r="L1482" i="1" s="1"/>
  <c r="E1482" i="1"/>
  <c r="M1482" i="1" s="1"/>
  <c r="F1482" i="1"/>
  <c r="N1482" i="1" s="1"/>
  <c r="G1482" i="1"/>
  <c r="O1482" i="1" s="1"/>
  <c r="A1483" i="1"/>
  <c r="I1483" i="1" s="1"/>
  <c r="B1483" i="1"/>
  <c r="C1483" i="1"/>
  <c r="K1483" i="1" s="1"/>
  <c r="D1483" i="1"/>
  <c r="L1483" i="1" s="1"/>
  <c r="E1483" i="1"/>
  <c r="M1483" i="1" s="1"/>
  <c r="F1483" i="1"/>
  <c r="N1483" i="1" s="1"/>
  <c r="G1483" i="1"/>
  <c r="O1483" i="1" s="1"/>
  <c r="A1484" i="1"/>
  <c r="I1484" i="1" s="1"/>
  <c r="B1484" i="1"/>
  <c r="C1484" i="1"/>
  <c r="K1484" i="1" s="1"/>
  <c r="D1484" i="1"/>
  <c r="L1484" i="1" s="1"/>
  <c r="E1484" i="1"/>
  <c r="M1484" i="1" s="1"/>
  <c r="F1484" i="1"/>
  <c r="N1484" i="1" s="1"/>
  <c r="G1484" i="1"/>
  <c r="O1484" i="1" s="1"/>
  <c r="A1485" i="1"/>
  <c r="B1485" i="1"/>
  <c r="C1485" i="1"/>
  <c r="K1485" i="1" s="1"/>
  <c r="D1485" i="1"/>
  <c r="L1485" i="1" s="1"/>
  <c r="E1485" i="1"/>
  <c r="M1485" i="1" s="1"/>
  <c r="F1485" i="1"/>
  <c r="N1485" i="1" s="1"/>
  <c r="G1485" i="1"/>
  <c r="O1485" i="1" s="1"/>
  <c r="A1486" i="1"/>
  <c r="B1486" i="1"/>
  <c r="C1486" i="1"/>
  <c r="K1486" i="1" s="1"/>
  <c r="D1486" i="1"/>
  <c r="L1486" i="1" s="1"/>
  <c r="E1486" i="1"/>
  <c r="M1486" i="1" s="1"/>
  <c r="F1486" i="1"/>
  <c r="N1486" i="1" s="1"/>
  <c r="G1486" i="1"/>
  <c r="O1486" i="1" s="1"/>
  <c r="A1487" i="1"/>
  <c r="B1487" i="1"/>
  <c r="C1487" i="1"/>
  <c r="K1487" i="1" s="1"/>
  <c r="D1487" i="1"/>
  <c r="L1487" i="1" s="1"/>
  <c r="E1487" i="1"/>
  <c r="M1487" i="1" s="1"/>
  <c r="F1487" i="1"/>
  <c r="N1487" i="1" s="1"/>
  <c r="G1487" i="1"/>
  <c r="O1487" i="1" s="1"/>
  <c r="A1488" i="1"/>
  <c r="B1488" i="1"/>
  <c r="C1488" i="1"/>
  <c r="K1488" i="1" s="1"/>
  <c r="D1488" i="1"/>
  <c r="L1488" i="1" s="1"/>
  <c r="E1488" i="1"/>
  <c r="M1488" i="1" s="1"/>
  <c r="F1488" i="1"/>
  <c r="N1488" i="1" s="1"/>
  <c r="G1488" i="1"/>
  <c r="O1488" i="1" s="1"/>
  <c r="A1489" i="1"/>
  <c r="B1489" i="1"/>
  <c r="C1489" i="1"/>
  <c r="K1489" i="1" s="1"/>
  <c r="D1489" i="1"/>
  <c r="L1489" i="1" s="1"/>
  <c r="E1489" i="1"/>
  <c r="M1489" i="1" s="1"/>
  <c r="F1489" i="1"/>
  <c r="N1489" i="1" s="1"/>
  <c r="G1489" i="1"/>
  <c r="O1489" i="1" s="1"/>
  <c r="A1490" i="1"/>
  <c r="B1490" i="1"/>
  <c r="C1490" i="1"/>
  <c r="K1490" i="1" s="1"/>
  <c r="D1490" i="1"/>
  <c r="L1490" i="1" s="1"/>
  <c r="E1490" i="1"/>
  <c r="M1490" i="1" s="1"/>
  <c r="F1490" i="1"/>
  <c r="N1490" i="1" s="1"/>
  <c r="G1490" i="1"/>
  <c r="O1490" i="1" s="1"/>
  <c r="A1491" i="1"/>
  <c r="B1491" i="1"/>
  <c r="C1491" i="1"/>
  <c r="K1491" i="1" s="1"/>
  <c r="D1491" i="1"/>
  <c r="L1491" i="1" s="1"/>
  <c r="E1491" i="1"/>
  <c r="M1491" i="1" s="1"/>
  <c r="F1491" i="1"/>
  <c r="N1491" i="1" s="1"/>
  <c r="G1491" i="1"/>
  <c r="O1491" i="1" s="1"/>
  <c r="A1492" i="1"/>
  <c r="B1492" i="1"/>
  <c r="C1492" i="1"/>
  <c r="K1492" i="1" s="1"/>
  <c r="D1492" i="1"/>
  <c r="L1492" i="1" s="1"/>
  <c r="E1492" i="1"/>
  <c r="M1492" i="1" s="1"/>
  <c r="F1492" i="1"/>
  <c r="N1492" i="1" s="1"/>
  <c r="G1492" i="1"/>
  <c r="O1492" i="1" s="1"/>
  <c r="A1493" i="1"/>
  <c r="B1493" i="1"/>
  <c r="C1493" i="1"/>
  <c r="K1493" i="1" s="1"/>
  <c r="D1493" i="1"/>
  <c r="L1493" i="1" s="1"/>
  <c r="E1493" i="1"/>
  <c r="M1493" i="1" s="1"/>
  <c r="F1493" i="1"/>
  <c r="N1493" i="1" s="1"/>
  <c r="G1493" i="1"/>
  <c r="O1493" i="1" s="1"/>
  <c r="A1494" i="1"/>
  <c r="B1494" i="1"/>
  <c r="C1494" i="1"/>
  <c r="K1494" i="1" s="1"/>
  <c r="D1494" i="1"/>
  <c r="L1494" i="1" s="1"/>
  <c r="E1494" i="1"/>
  <c r="M1494" i="1" s="1"/>
  <c r="F1494" i="1"/>
  <c r="N1494" i="1" s="1"/>
  <c r="G1494" i="1"/>
  <c r="O1494" i="1" s="1"/>
  <c r="A1495" i="1"/>
  <c r="B1495" i="1"/>
  <c r="C1495" i="1"/>
  <c r="K1495" i="1" s="1"/>
  <c r="D1495" i="1"/>
  <c r="L1495" i="1" s="1"/>
  <c r="E1495" i="1"/>
  <c r="M1495" i="1" s="1"/>
  <c r="F1495" i="1"/>
  <c r="N1495" i="1" s="1"/>
  <c r="G1495" i="1"/>
  <c r="O1495" i="1" s="1"/>
  <c r="A1496" i="1"/>
  <c r="B1496" i="1"/>
  <c r="C1496" i="1"/>
  <c r="K1496" i="1" s="1"/>
  <c r="D1496" i="1"/>
  <c r="L1496" i="1" s="1"/>
  <c r="E1496" i="1"/>
  <c r="M1496" i="1" s="1"/>
  <c r="F1496" i="1"/>
  <c r="N1496" i="1" s="1"/>
  <c r="G1496" i="1"/>
  <c r="O1496" i="1" s="1"/>
  <c r="A1497" i="1"/>
  <c r="B1497" i="1"/>
  <c r="C1497" i="1"/>
  <c r="K1497" i="1" s="1"/>
  <c r="D1497" i="1"/>
  <c r="L1497" i="1" s="1"/>
  <c r="E1497" i="1"/>
  <c r="M1497" i="1" s="1"/>
  <c r="F1497" i="1"/>
  <c r="N1497" i="1" s="1"/>
  <c r="G1497" i="1"/>
  <c r="O1497" i="1" s="1"/>
  <c r="A1498" i="1"/>
  <c r="I1498" i="1" s="1"/>
  <c r="B1498" i="1"/>
  <c r="C1498" i="1"/>
  <c r="K1498" i="1" s="1"/>
  <c r="D1498" i="1"/>
  <c r="L1498" i="1" s="1"/>
  <c r="E1498" i="1"/>
  <c r="M1498" i="1" s="1"/>
  <c r="F1498" i="1"/>
  <c r="N1498" i="1" s="1"/>
  <c r="G1498" i="1"/>
  <c r="O1498" i="1" s="1"/>
  <c r="A1499" i="1"/>
  <c r="I1499" i="1" s="1"/>
  <c r="B1499" i="1"/>
  <c r="C1499" i="1"/>
  <c r="K1499" i="1" s="1"/>
  <c r="D1499" i="1"/>
  <c r="L1499" i="1" s="1"/>
  <c r="E1499" i="1"/>
  <c r="M1499" i="1" s="1"/>
  <c r="F1499" i="1"/>
  <c r="N1499" i="1" s="1"/>
  <c r="G1499" i="1"/>
  <c r="O1499" i="1" s="1"/>
  <c r="A1500" i="1"/>
  <c r="I1500" i="1" s="1"/>
  <c r="B1500" i="1"/>
  <c r="C1500" i="1"/>
  <c r="K1500" i="1" s="1"/>
  <c r="D1500" i="1"/>
  <c r="L1500" i="1" s="1"/>
  <c r="E1500" i="1"/>
  <c r="M1500" i="1" s="1"/>
  <c r="F1500" i="1"/>
  <c r="N1500" i="1" s="1"/>
  <c r="G1500" i="1"/>
  <c r="O1500" i="1" s="1"/>
  <c r="A1501" i="1"/>
  <c r="I1501" i="1" s="1"/>
  <c r="B1501" i="1"/>
  <c r="C1501" i="1"/>
  <c r="K1501" i="1" s="1"/>
  <c r="D1501" i="1"/>
  <c r="L1501" i="1" s="1"/>
  <c r="E1501" i="1"/>
  <c r="M1501" i="1" s="1"/>
  <c r="F1501" i="1"/>
  <c r="N1501" i="1" s="1"/>
  <c r="G1501" i="1"/>
  <c r="O1501" i="1" s="1"/>
  <c r="A1502" i="1"/>
  <c r="I1502" i="1" s="1"/>
  <c r="B1502" i="1"/>
  <c r="C1502" i="1"/>
  <c r="K1502" i="1" s="1"/>
  <c r="D1502" i="1"/>
  <c r="L1502" i="1" s="1"/>
  <c r="E1502" i="1"/>
  <c r="M1502" i="1" s="1"/>
  <c r="F1502" i="1"/>
  <c r="N1502" i="1" s="1"/>
  <c r="G1502" i="1"/>
  <c r="O1502" i="1" s="1"/>
  <c r="A1503" i="1"/>
  <c r="I1503" i="1" s="1"/>
  <c r="B1503" i="1"/>
  <c r="C1503" i="1"/>
  <c r="K1503" i="1" s="1"/>
  <c r="D1503" i="1"/>
  <c r="L1503" i="1" s="1"/>
  <c r="E1503" i="1"/>
  <c r="M1503" i="1" s="1"/>
  <c r="F1503" i="1"/>
  <c r="N1503" i="1" s="1"/>
  <c r="G1503" i="1"/>
  <c r="O1503" i="1" s="1"/>
  <c r="A1504" i="1"/>
  <c r="I1504" i="1" s="1"/>
  <c r="B1504" i="1"/>
  <c r="C1504" i="1"/>
  <c r="K1504" i="1" s="1"/>
  <c r="D1504" i="1"/>
  <c r="L1504" i="1" s="1"/>
  <c r="E1504" i="1"/>
  <c r="M1504" i="1" s="1"/>
  <c r="F1504" i="1"/>
  <c r="N1504" i="1" s="1"/>
  <c r="G1504" i="1"/>
  <c r="O1504" i="1" s="1"/>
  <c r="A1505" i="1"/>
  <c r="I1505" i="1" s="1"/>
  <c r="B1505" i="1"/>
  <c r="C1505" i="1"/>
  <c r="K1505" i="1" s="1"/>
  <c r="D1505" i="1"/>
  <c r="L1505" i="1" s="1"/>
  <c r="E1505" i="1"/>
  <c r="M1505" i="1" s="1"/>
  <c r="F1505" i="1"/>
  <c r="N1505" i="1" s="1"/>
  <c r="G1505" i="1"/>
  <c r="O1505" i="1" s="1"/>
  <c r="A1506" i="1"/>
  <c r="I1506" i="1" s="1"/>
  <c r="B1506" i="1"/>
  <c r="C1506" i="1"/>
  <c r="K1506" i="1" s="1"/>
  <c r="D1506" i="1"/>
  <c r="L1506" i="1" s="1"/>
  <c r="E1506" i="1"/>
  <c r="M1506" i="1" s="1"/>
  <c r="F1506" i="1"/>
  <c r="N1506" i="1" s="1"/>
  <c r="G1506" i="1"/>
  <c r="O1506" i="1" s="1"/>
  <c r="A1507" i="1"/>
  <c r="I1507" i="1" s="1"/>
  <c r="B1507" i="1"/>
  <c r="C1507" i="1"/>
  <c r="K1507" i="1" s="1"/>
  <c r="D1507" i="1"/>
  <c r="L1507" i="1" s="1"/>
  <c r="E1507" i="1"/>
  <c r="M1507" i="1" s="1"/>
  <c r="F1507" i="1"/>
  <c r="N1507" i="1" s="1"/>
  <c r="G1507" i="1"/>
  <c r="O1507" i="1" s="1"/>
  <c r="A1508" i="1"/>
  <c r="I1508" i="1" s="1"/>
  <c r="B1508" i="1"/>
  <c r="C1508" i="1"/>
  <c r="K1508" i="1" s="1"/>
  <c r="D1508" i="1"/>
  <c r="L1508" i="1" s="1"/>
  <c r="E1508" i="1"/>
  <c r="M1508" i="1" s="1"/>
  <c r="F1508" i="1"/>
  <c r="N1508" i="1" s="1"/>
  <c r="G1508" i="1"/>
  <c r="O1508" i="1" s="1"/>
  <c r="A1509" i="1"/>
  <c r="I1509" i="1" s="1"/>
  <c r="B1509" i="1"/>
  <c r="C1509" i="1"/>
  <c r="K1509" i="1" s="1"/>
  <c r="D1509" i="1"/>
  <c r="L1509" i="1" s="1"/>
  <c r="E1509" i="1"/>
  <c r="M1509" i="1" s="1"/>
  <c r="F1509" i="1"/>
  <c r="N1509" i="1" s="1"/>
  <c r="G1509" i="1"/>
  <c r="O1509" i="1" s="1"/>
  <c r="A1510" i="1"/>
  <c r="I1510" i="1" s="1"/>
  <c r="B1510" i="1"/>
  <c r="C1510" i="1"/>
  <c r="K1510" i="1" s="1"/>
  <c r="D1510" i="1"/>
  <c r="L1510" i="1" s="1"/>
  <c r="E1510" i="1"/>
  <c r="M1510" i="1" s="1"/>
  <c r="F1510" i="1"/>
  <c r="N1510" i="1" s="1"/>
  <c r="G1510" i="1"/>
  <c r="O1510" i="1" s="1"/>
  <c r="A1511" i="1"/>
  <c r="I1511" i="1" s="1"/>
  <c r="B1511" i="1"/>
  <c r="C1511" i="1"/>
  <c r="K1511" i="1" s="1"/>
  <c r="D1511" i="1"/>
  <c r="L1511" i="1" s="1"/>
  <c r="E1511" i="1"/>
  <c r="M1511" i="1" s="1"/>
  <c r="F1511" i="1"/>
  <c r="N1511" i="1" s="1"/>
  <c r="G1511" i="1"/>
  <c r="O1511" i="1" s="1"/>
  <c r="A1512" i="1"/>
  <c r="I1512" i="1" s="1"/>
  <c r="B1512" i="1"/>
  <c r="C1512" i="1"/>
  <c r="K1512" i="1" s="1"/>
  <c r="D1512" i="1"/>
  <c r="L1512" i="1" s="1"/>
  <c r="E1512" i="1"/>
  <c r="M1512" i="1" s="1"/>
  <c r="F1512" i="1"/>
  <c r="N1512" i="1" s="1"/>
  <c r="G1512" i="1"/>
  <c r="O1512" i="1" s="1"/>
  <c r="A1513" i="1"/>
  <c r="I1513" i="1" s="1"/>
  <c r="B1513" i="1"/>
  <c r="C1513" i="1"/>
  <c r="K1513" i="1" s="1"/>
  <c r="D1513" i="1"/>
  <c r="L1513" i="1" s="1"/>
  <c r="E1513" i="1"/>
  <c r="M1513" i="1" s="1"/>
  <c r="F1513" i="1"/>
  <c r="N1513" i="1" s="1"/>
  <c r="G1513" i="1"/>
  <c r="O1513" i="1" s="1"/>
  <c r="A1514" i="1"/>
  <c r="I1514" i="1" s="1"/>
  <c r="B1514" i="1"/>
  <c r="C1514" i="1"/>
  <c r="K1514" i="1" s="1"/>
  <c r="D1514" i="1"/>
  <c r="L1514" i="1" s="1"/>
  <c r="E1514" i="1"/>
  <c r="M1514" i="1" s="1"/>
  <c r="F1514" i="1"/>
  <c r="N1514" i="1" s="1"/>
  <c r="G1514" i="1"/>
  <c r="O1514" i="1" s="1"/>
  <c r="A1515" i="1"/>
  <c r="I1515" i="1" s="1"/>
  <c r="B1515" i="1"/>
  <c r="C1515" i="1"/>
  <c r="K1515" i="1" s="1"/>
  <c r="D1515" i="1"/>
  <c r="L1515" i="1" s="1"/>
  <c r="E1515" i="1"/>
  <c r="M1515" i="1" s="1"/>
  <c r="F1515" i="1"/>
  <c r="N1515" i="1" s="1"/>
  <c r="G1515" i="1"/>
  <c r="O1515" i="1" s="1"/>
  <c r="A1516" i="1"/>
  <c r="I1516" i="1" s="1"/>
  <c r="B1516" i="1"/>
  <c r="C1516" i="1"/>
  <c r="K1516" i="1" s="1"/>
  <c r="D1516" i="1"/>
  <c r="L1516" i="1" s="1"/>
  <c r="E1516" i="1"/>
  <c r="M1516" i="1" s="1"/>
  <c r="F1516" i="1"/>
  <c r="N1516" i="1" s="1"/>
  <c r="G1516" i="1"/>
  <c r="O1516" i="1" s="1"/>
  <c r="A1517" i="1"/>
  <c r="I1517" i="1" s="1"/>
  <c r="B1517" i="1"/>
  <c r="C1517" i="1"/>
  <c r="K1517" i="1" s="1"/>
  <c r="D1517" i="1"/>
  <c r="L1517" i="1" s="1"/>
  <c r="E1517" i="1"/>
  <c r="M1517" i="1" s="1"/>
  <c r="F1517" i="1"/>
  <c r="N1517" i="1" s="1"/>
  <c r="G1517" i="1"/>
  <c r="O1517" i="1" s="1"/>
  <c r="A1518" i="1"/>
  <c r="I1518" i="1" s="1"/>
  <c r="B1518" i="1"/>
  <c r="C1518" i="1"/>
  <c r="K1518" i="1" s="1"/>
  <c r="D1518" i="1"/>
  <c r="L1518" i="1" s="1"/>
  <c r="E1518" i="1"/>
  <c r="M1518" i="1" s="1"/>
  <c r="F1518" i="1"/>
  <c r="N1518" i="1" s="1"/>
  <c r="G1518" i="1"/>
  <c r="O1518" i="1" s="1"/>
  <c r="A1519" i="1"/>
  <c r="I1519" i="1" s="1"/>
  <c r="B1519" i="1"/>
  <c r="C1519" i="1"/>
  <c r="K1519" i="1" s="1"/>
  <c r="D1519" i="1"/>
  <c r="L1519" i="1" s="1"/>
  <c r="E1519" i="1"/>
  <c r="M1519" i="1" s="1"/>
  <c r="F1519" i="1"/>
  <c r="N1519" i="1" s="1"/>
  <c r="G1519" i="1"/>
  <c r="O1519" i="1" s="1"/>
  <c r="A1520" i="1"/>
  <c r="I1520" i="1" s="1"/>
  <c r="B1520" i="1"/>
  <c r="C1520" i="1"/>
  <c r="K1520" i="1" s="1"/>
  <c r="D1520" i="1"/>
  <c r="L1520" i="1" s="1"/>
  <c r="E1520" i="1"/>
  <c r="M1520" i="1" s="1"/>
  <c r="F1520" i="1"/>
  <c r="N1520" i="1" s="1"/>
  <c r="G1520" i="1"/>
  <c r="O1520" i="1" s="1"/>
  <c r="A1521" i="1"/>
  <c r="I1521" i="1" s="1"/>
  <c r="B1521" i="1"/>
  <c r="C1521" i="1"/>
  <c r="K1521" i="1" s="1"/>
  <c r="D1521" i="1"/>
  <c r="L1521" i="1" s="1"/>
  <c r="E1521" i="1"/>
  <c r="M1521" i="1" s="1"/>
  <c r="F1521" i="1"/>
  <c r="N1521" i="1" s="1"/>
  <c r="G1521" i="1"/>
  <c r="O1521" i="1" s="1"/>
  <c r="A1522" i="1"/>
  <c r="I1522" i="1" s="1"/>
  <c r="B1522" i="1"/>
  <c r="C1522" i="1"/>
  <c r="K1522" i="1" s="1"/>
  <c r="D1522" i="1"/>
  <c r="L1522" i="1" s="1"/>
  <c r="E1522" i="1"/>
  <c r="M1522" i="1" s="1"/>
  <c r="F1522" i="1"/>
  <c r="N1522" i="1" s="1"/>
  <c r="G1522" i="1"/>
  <c r="O1522" i="1" s="1"/>
  <c r="A1523" i="1"/>
  <c r="I1523" i="1" s="1"/>
  <c r="B1523" i="1"/>
  <c r="C1523" i="1"/>
  <c r="K1523" i="1" s="1"/>
  <c r="D1523" i="1"/>
  <c r="L1523" i="1" s="1"/>
  <c r="E1523" i="1"/>
  <c r="M1523" i="1" s="1"/>
  <c r="F1523" i="1"/>
  <c r="N1523" i="1" s="1"/>
  <c r="G1523" i="1"/>
  <c r="O1523" i="1" s="1"/>
  <c r="A1524" i="1"/>
  <c r="I1524" i="1" s="1"/>
  <c r="B1524" i="1"/>
  <c r="C1524" i="1"/>
  <c r="K1524" i="1" s="1"/>
  <c r="D1524" i="1"/>
  <c r="L1524" i="1" s="1"/>
  <c r="E1524" i="1"/>
  <c r="M1524" i="1" s="1"/>
  <c r="F1524" i="1"/>
  <c r="N1524" i="1" s="1"/>
  <c r="G1524" i="1"/>
  <c r="O1524" i="1" s="1"/>
  <c r="A1525" i="1"/>
  <c r="I1525" i="1" s="1"/>
  <c r="B1525" i="1"/>
  <c r="C1525" i="1"/>
  <c r="K1525" i="1" s="1"/>
  <c r="D1525" i="1"/>
  <c r="L1525" i="1" s="1"/>
  <c r="E1525" i="1"/>
  <c r="M1525" i="1" s="1"/>
  <c r="F1525" i="1"/>
  <c r="N1525" i="1" s="1"/>
  <c r="G1525" i="1"/>
  <c r="O1525" i="1" s="1"/>
  <c r="A1526" i="1"/>
  <c r="I1526" i="1" s="1"/>
  <c r="B1526" i="1"/>
  <c r="C1526" i="1"/>
  <c r="K1526" i="1" s="1"/>
  <c r="D1526" i="1"/>
  <c r="L1526" i="1" s="1"/>
  <c r="E1526" i="1"/>
  <c r="M1526" i="1" s="1"/>
  <c r="F1526" i="1"/>
  <c r="N1526" i="1" s="1"/>
  <c r="G1526" i="1"/>
  <c r="O1526" i="1" s="1"/>
  <c r="A1527" i="1"/>
  <c r="I1527" i="1" s="1"/>
  <c r="B1527" i="1"/>
  <c r="C1527" i="1"/>
  <c r="K1527" i="1" s="1"/>
  <c r="D1527" i="1"/>
  <c r="L1527" i="1" s="1"/>
  <c r="E1527" i="1"/>
  <c r="M1527" i="1" s="1"/>
  <c r="F1527" i="1"/>
  <c r="N1527" i="1" s="1"/>
  <c r="G1527" i="1"/>
  <c r="O1527" i="1" s="1"/>
  <c r="A1528" i="1"/>
  <c r="I1528" i="1" s="1"/>
  <c r="B1528" i="1"/>
  <c r="C1528" i="1"/>
  <c r="K1528" i="1" s="1"/>
  <c r="D1528" i="1"/>
  <c r="L1528" i="1" s="1"/>
  <c r="E1528" i="1"/>
  <c r="M1528" i="1" s="1"/>
  <c r="F1528" i="1"/>
  <c r="N1528" i="1" s="1"/>
  <c r="G1528" i="1"/>
  <c r="O1528" i="1" s="1"/>
  <c r="A1529" i="1"/>
  <c r="I1529" i="1" s="1"/>
  <c r="B1529" i="1"/>
  <c r="C1529" i="1"/>
  <c r="K1529" i="1" s="1"/>
  <c r="D1529" i="1"/>
  <c r="L1529" i="1" s="1"/>
  <c r="E1529" i="1"/>
  <c r="M1529" i="1" s="1"/>
  <c r="F1529" i="1"/>
  <c r="N1529" i="1" s="1"/>
  <c r="G1529" i="1"/>
  <c r="O1529" i="1" s="1"/>
  <c r="A1530" i="1"/>
  <c r="I1530" i="1" s="1"/>
  <c r="B1530" i="1"/>
  <c r="C1530" i="1"/>
  <c r="K1530" i="1" s="1"/>
  <c r="D1530" i="1"/>
  <c r="L1530" i="1" s="1"/>
  <c r="E1530" i="1"/>
  <c r="M1530" i="1" s="1"/>
  <c r="F1530" i="1"/>
  <c r="N1530" i="1" s="1"/>
  <c r="G1530" i="1"/>
  <c r="O1530" i="1" s="1"/>
  <c r="A1531" i="1"/>
  <c r="I1531" i="1" s="1"/>
  <c r="B1531" i="1"/>
  <c r="C1531" i="1"/>
  <c r="K1531" i="1" s="1"/>
  <c r="D1531" i="1"/>
  <c r="L1531" i="1" s="1"/>
  <c r="E1531" i="1"/>
  <c r="M1531" i="1" s="1"/>
  <c r="F1531" i="1"/>
  <c r="N1531" i="1" s="1"/>
  <c r="G1531" i="1"/>
  <c r="O1531" i="1" s="1"/>
  <c r="A1532" i="1"/>
  <c r="I1532" i="1" s="1"/>
  <c r="B1532" i="1"/>
  <c r="C1532" i="1"/>
  <c r="K1532" i="1" s="1"/>
  <c r="D1532" i="1"/>
  <c r="L1532" i="1" s="1"/>
  <c r="E1532" i="1"/>
  <c r="M1532" i="1" s="1"/>
  <c r="F1532" i="1"/>
  <c r="N1532" i="1" s="1"/>
  <c r="G1532" i="1"/>
  <c r="O1532" i="1" s="1"/>
  <c r="A1533" i="1"/>
  <c r="I1533" i="1" s="1"/>
  <c r="B1533" i="1"/>
  <c r="C1533" i="1"/>
  <c r="K1533" i="1" s="1"/>
  <c r="D1533" i="1"/>
  <c r="L1533" i="1" s="1"/>
  <c r="E1533" i="1"/>
  <c r="M1533" i="1" s="1"/>
  <c r="F1533" i="1"/>
  <c r="N1533" i="1" s="1"/>
  <c r="G1533" i="1"/>
  <c r="O1533" i="1" s="1"/>
  <c r="A1534" i="1"/>
  <c r="I1534" i="1" s="1"/>
  <c r="B1534" i="1"/>
  <c r="C1534" i="1"/>
  <c r="K1534" i="1" s="1"/>
  <c r="D1534" i="1"/>
  <c r="L1534" i="1" s="1"/>
  <c r="E1534" i="1"/>
  <c r="M1534" i="1" s="1"/>
  <c r="F1534" i="1"/>
  <c r="N1534" i="1" s="1"/>
  <c r="G1534" i="1"/>
  <c r="O1534" i="1" s="1"/>
  <c r="A1535" i="1"/>
  <c r="I1535" i="1" s="1"/>
  <c r="B1535" i="1"/>
  <c r="C1535" i="1"/>
  <c r="K1535" i="1" s="1"/>
  <c r="D1535" i="1"/>
  <c r="L1535" i="1" s="1"/>
  <c r="E1535" i="1"/>
  <c r="M1535" i="1" s="1"/>
  <c r="F1535" i="1"/>
  <c r="N1535" i="1" s="1"/>
  <c r="G1535" i="1"/>
  <c r="O1535" i="1" s="1"/>
  <c r="A1536" i="1"/>
  <c r="I1536" i="1" s="1"/>
  <c r="B1536" i="1"/>
  <c r="C1536" i="1"/>
  <c r="K1536" i="1" s="1"/>
  <c r="D1536" i="1"/>
  <c r="L1536" i="1" s="1"/>
  <c r="E1536" i="1"/>
  <c r="M1536" i="1" s="1"/>
  <c r="F1536" i="1"/>
  <c r="N1536" i="1" s="1"/>
  <c r="G1536" i="1"/>
  <c r="O1536" i="1" s="1"/>
  <c r="A1537" i="1"/>
  <c r="I1537" i="1" s="1"/>
  <c r="B1537" i="1"/>
  <c r="C1537" i="1"/>
  <c r="K1537" i="1" s="1"/>
  <c r="D1537" i="1"/>
  <c r="L1537" i="1" s="1"/>
  <c r="E1537" i="1"/>
  <c r="M1537" i="1" s="1"/>
  <c r="F1537" i="1"/>
  <c r="N1537" i="1" s="1"/>
  <c r="G1537" i="1"/>
  <c r="O1537" i="1" s="1"/>
  <c r="A1538" i="1"/>
  <c r="I1538" i="1" s="1"/>
  <c r="B1538" i="1"/>
  <c r="C1538" i="1"/>
  <c r="K1538" i="1" s="1"/>
  <c r="D1538" i="1"/>
  <c r="L1538" i="1" s="1"/>
  <c r="E1538" i="1"/>
  <c r="M1538" i="1" s="1"/>
  <c r="F1538" i="1"/>
  <c r="N1538" i="1" s="1"/>
  <c r="G1538" i="1"/>
  <c r="O1538" i="1" s="1"/>
  <c r="A1539" i="1"/>
  <c r="I1539" i="1" s="1"/>
  <c r="B1539" i="1"/>
  <c r="C1539" i="1"/>
  <c r="K1539" i="1" s="1"/>
  <c r="D1539" i="1"/>
  <c r="L1539" i="1" s="1"/>
  <c r="E1539" i="1"/>
  <c r="M1539" i="1" s="1"/>
  <c r="F1539" i="1"/>
  <c r="N1539" i="1" s="1"/>
  <c r="G1539" i="1"/>
  <c r="O1539" i="1" s="1"/>
  <c r="A1540" i="1"/>
  <c r="I1540" i="1" s="1"/>
  <c r="B1540" i="1"/>
  <c r="C1540" i="1"/>
  <c r="K1540" i="1" s="1"/>
  <c r="D1540" i="1"/>
  <c r="L1540" i="1" s="1"/>
  <c r="E1540" i="1"/>
  <c r="M1540" i="1" s="1"/>
  <c r="F1540" i="1"/>
  <c r="N1540" i="1" s="1"/>
  <c r="G1540" i="1"/>
  <c r="O1540" i="1" s="1"/>
  <c r="A1541" i="1"/>
  <c r="I1541" i="1" s="1"/>
  <c r="B1541" i="1"/>
  <c r="C1541" i="1"/>
  <c r="K1541" i="1" s="1"/>
  <c r="D1541" i="1"/>
  <c r="L1541" i="1" s="1"/>
  <c r="E1541" i="1"/>
  <c r="M1541" i="1" s="1"/>
  <c r="F1541" i="1"/>
  <c r="N1541" i="1" s="1"/>
  <c r="G1541" i="1"/>
  <c r="O1541" i="1" s="1"/>
  <c r="A1542" i="1"/>
  <c r="I1542" i="1" s="1"/>
  <c r="B1542" i="1"/>
  <c r="C1542" i="1"/>
  <c r="K1542" i="1" s="1"/>
  <c r="D1542" i="1"/>
  <c r="L1542" i="1" s="1"/>
  <c r="E1542" i="1"/>
  <c r="M1542" i="1" s="1"/>
  <c r="F1542" i="1"/>
  <c r="N1542" i="1" s="1"/>
  <c r="G1542" i="1"/>
  <c r="O1542" i="1" s="1"/>
  <c r="A1543" i="1"/>
  <c r="I1543" i="1" s="1"/>
  <c r="B1543" i="1"/>
  <c r="C1543" i="1"/>
  <c r="K1543" i="1" s="1"/>
  <c r="D1543" i="1"/>
  <c r="L1543" i="1" s="1"/>
  <c r="E1543" i="1"/>
  <c r="M1543" i="1" s="1"/>
  <c r="F1543" i="1"/>
  <c r="N1543" i="1" s="1"/>
  <c r="G1543" i="1"/>
  <c r="O1543" i="1" s="1"/>
  <c r="A1544" i="1"/>
  <c r="I1544" i="1" s="1"/>
  <c r="B1544" i="1"/>
  <c r="C1544" i="1"/>
  <c r="K1544" i="1" s="1"/>
  <c r="D1544" i="1"/>
  <c r="L1544" i="1" s="1"/>
  <c r="E1544" i="1"/>
  <c r="M1544" i="1" s="1"/>
  <c r="F1544" i="1"/>
  <c r="N1544" i="1" s="1"/>
  <c r="G1544" i="1"/>
  <c r="O1544" i="1" s="1"/>
  <c r="A1545" i="1"/>
  <c r="I1545" i="1" s="1"/>
  <c r="B1545" i="1"/>
  <c r="C1545" i="1"/>
  <c r="K1545" i="1" s="1"/>
  <c r="D1545" i="1"/>
  <c r="L1545" i="1" s="1"/>
  <c r="E1545" i="1"/>
  <c r="M1545" i="1" s="1"/>
  <c r="F1545" i="1"/>
  <c r="N1545" i="1" s="1"/>
  <c r="G1545" i="1"/>
  <c r="O1545" i="1" s="1"/>
  <c r="A1546" i="1"/>
  <c r="I1546" i="1" s="1"/>
  <c r="B1546" i="1"/>
  <c r="C1546" i="1"/>
  <c r="K1546" i="1" s="1"/>
  <c r="D1546" i="1"/>
  <c r="L1546" i="1" s="1"/>
  <c r="E1546" i="1"/>
  <c r="M1546" i="1" s="1"/>
  <c r="F1546" i="1"/>
  <c r="N1546" i="1" s="1"/>
  <c r="G1546" i="1"/>
  <c r="O1546" i="1" s="1"/>
  <c r="A1547" i="1"/>
  <c r="I1547" i="1" s="1"/>
  <c r="B1547" i="1"/>
  <c r="C1547" i="1"/>
  <c r="K1547" i="1" s="1"/>
  <c r="D1547" i="1"/>
  <c r="L1547" i="1" s="1"/>
  <c r="E1547" i="1"/>
  <c r="M1547" i="1" s="1"/>
  <c r="F1547" i="1"/>
  <c r="N1547" i="1" s="1"/>
  <c r="G1547" i="1"/>
  <c r="O1547" i="1" s="1"/>
  <c r="A1548" i="1"/>
  <c r="I1548" i="1" s="1"/>
  <c r="B1548" i="1"/>
  <c r="C1548" i="1"/>
  <c r="K1548" i="1" s="1"/>
  <c r="D1548" i="1"/>
  <c r="L1548" i="1" s="1"/>
  <c r="E1548" i="1"/>
  <c r="M1548" i="1" s="1"/>
  <c r="F1548" i="1"/>
  <c r="N1548" i="1" s="1"/>
  <c r="G1548" i="1"/>
  <c r="O1548" i="1" s="1"/>
  <c r="A1549" i="1"/>
  <c r="I1549" i="1" s="1"/>
  <c r="B1549" i="1"/>
  <c r="C1549" i="1"/>
  <c r="K1549" i="1" s="1"/>
  <c r="D1549" i="1"/>
  <c r="L1549" i="1" s="1"/>
  <c r="E1549" i="1"/>
  <c r="M1549" i="1" s="1"/>
  <c r="F1549" i="1"/>
  <c r="N1549" i="1" s="1"/>
  <c r="G1549" i="1"/>
  <c r="O1549" i="1" s="1"/>
  <c r="A1550" i="1"/>
  <c r="I1550" i="1" s="1"/>
  <c r="B1550" i="1"/>
  <c r="C1550" i="1"/>
  <c r="K1550" i="1" s="1"/>
  <c r="D1550" i="1"/>
  <c r="L1550" i="1" s="1"/>
  <c r="E1550" i="1"/>
  <c r="M1550" i="1" s="1"/>
  <c r="F1550" i="1"/>
  <c r="N1550" i="1" s="1"/>
  <c r="G1550" i="1"/>
  <c r="O1550" i="1" s="1"/>
  <c r="A1551" i="1"/>
  <c r="I1551" i="1" s="1"/>
  <c r="B1551" i="1"/>
  <c r="C1551" i="1"/>
  <c r="K1551" i="1" s="1"/>
  <c r="D1551" i="1"/>
  <c r="L1551" i="1" s="1"/>
  <c r="E1551" i="1"/>
  <c r="M1551" i="1" s="1"/>
  <c r="F1551" i="1"/>
  <c r="N1551" i="1" s="1"/>
  <c r="G1551" i="1"/>
  <c r="O1551" i="1" s="1"/>
  <c r="A1552" i="1"/>
  <c r="I1552" i="1" s="1"/>
  <c r="B1552" i="1"/>
  <c r="C1552" i="1"/>
  <c r="K1552" i="1" s="1"/>
  <c r="D1552" i="1"/>
  <c r="L1552" i="1" s="1"/>
  <c r="E1552" i="1"/>
  <c r="M1552" i="1" s="1"/>
  <c r="F1552" i="1"/>
  <c r="N1552" i="1" s="1"/>
  <c r="G1552" i="1"/>
  <c r="O1552" i="1" s="1"/>
  <c r="A1553" i="1"/>
  <c r="I1553" i="1" s="1"/>
  <c r="B1553" i="1"/>
  <c r="C1553" i="1"/>
  <c r="K1553" i="1" s="1"/>
  <c r="D1553" i="1"/>
  <c r="L1553" i="1" s="1"/>
  <c r="E1553" i="1"/>
  <c r="M1553" i="1" s="1"/>
  <c r="F1553" i="1"/>
  <c r="N1553" i="1" s="1"/>
  <c r="G1553" i="1"/>
  <c r="O1553" i="1" s="1"/>
  <c r="A1554" i="1"/>
  <c r="I1554" i="1" s="1"/>
  <c r="B1554" i="1"/>
  <c r="C1554" i="1"/>
  <c r="K1554" i="1" s="1"/>
  <c r="D1554" i="1"/>
  <c r="L1554" i="1" s="1"/>
  <c r="E1554" i="1"/>
  <c r="M1554" i="1" s="1"/>
  <c r="F1554" i="1"/>
  <c r="N1554" i="1" s="1"/>
  <c r="G1554" i="1"/>
  <c r="O1554" i="1" s="1"/>
  <c r="A1555" i="1"/>
  <c r="I1555" i="1" s="1"/>
  <c r="B1555" i="1"/>
  <c r="C1555" i="1"/>
  <c r="K1555" i="1" s="1"/>
  <c r="D1555" i="1"/>
  <c r="L1555" i="1" s="1"/>
  <c r="E1555" i="1"/>
  <c r="M1555" i="1" s="1"/>
  <c r="F1555" i="1"/>
  <c r="N1555" i="1" s="1"/>
  <c r="G1555" i="1"/>
  <c r="O1555" i="1" s="1"/>
  <c r="A1556" i="1"/>
  <c r="I1556" i="1" s="1"/>
  <c r="B1556" i="1"/>
  <c r="C1556" i="1"/>
  <c r="K1556" i="1" s="1"/>
  <c r="D1556" i="1"/>
  <c r="L1556" i="1" s="1"/>
  <c r="E1556" i="1"/>
  <c r="M1556" i="1" s="1"/>
  <c r="F1556" i="1"/>
  <c r="N1556" i="1" s="1"/>
  <c r="G1556" i="1"/>
  <c r="O1556" i="1" s="1"/>
  <c r="A1557" i="1"/>
  <c r="I1557" i="1" s="1"/>
  <c r="B1557" i="1"/>
  <c r="C1557" i="1"/>
  <c r="K1557" i="1" s="1"/>
  <c r="D1557" i="1"/>
  <c r="L1557" i="1" s="1"/>
  <c r="E1557" i="1"/>
  <c r="M1557" i="1" s="1"/>
  <c r="F1557" i="1"/>
  <c r="N1557" i="1" s="1"/>
  <c r="G1557" i="1"/>
  <c r="O1557" i="1" s="1"/>
  <c r="A1558" i="1"/>
  <c r="I1558" i="1" s="1"/>
  <c r="B1558" i="1"/>
  <c r="C1558" i="1"/>
  <c r="K1558" i="1" s="1"/>
  <c r="D1558" i="1"/>
  <c r="L1558" i="1" s="1"/>
  <c r="E1558" i="1"/>
  <c r="M1558" i="1" s="1"/>
  <c r="F1558" i="1"/>
  <c r="N1558" i="1" s="1"/>
  <c r="G1558" i="1"/>
  <c r="O1558" i="1" s="1"/>
  <c r="A1559" i="1"/>
  <c r="I1559" i="1" s="1"/>
  <c r="B1559" i="1"/>
  <c r="C1559" i="1"/>
  <c r="K1559" i="1" s="1"/>
  <c r="D1559" i="1"/>
  <c r="L1559" i="1" s="1"/>
  <c r="E1559" i="1"/>
  <c r="M1559" i="1" s="1"/>
  <c r="F1559" i="1"/>
  <c r="N1559" i="1" s="1"/>
  <c r="G1559" i="1"/>
  <c r="O1559" i="1" s="1"/>
  <c r="A1560" i="1"/>
  <c r="I1560" i="1" s="1"/>
  <c r="B1560" i="1"/>
  <c r="C1560" i="1"/>
  <c r="K1560" i="1" s="1"/>
  <c r="D1560" i="1"/>
  <c r="L1560" i="1" s="1"/>
  <c r="E1560" i="1"/>
  <c r="M1560" i="1" s="1"/>
  <c r="F1560" i="1"/>
  <c r="N1560" i="1" s="1"/>
  <c r="G1560" i="1"/>
  <c r="O1560" i="1" s="1"/>
  <c r="A1561" i="1"/>
  <c r="I1561" i="1" s="1"/>
  <c r="B1561" i="1"/>
  <c r="C1561" i="1"/>
  <c r="K1561" i="1" s="1"/>
  <c r="D1561" i="1"/>
  <c r="L1561" i="1" s="1"/>
  <c r="E1561" i="1"/>
  <c r="M1561" i="1" s="1"/>
  <c r="F1561" i="1"/>
  <c r="N1561" i="1" s="1"/>
  <c r="G1561" i="1"/>
  <c r="O1561" i="1" s="1"/>
  <c r="A1562" i="1"/>
  <c r="I1562" i="1" s="1"/>
  <c r="B1562" i="1"/>
  <c r="C1562" i="1"/>
  <c r="K1562" i="1" s="1"/>
  <c r="D1562" i="1"/>
  <c r="L1562" i="1" s="1"/>
  <c r="E1562" i="1"/>
  <c r="M1562" i="1" s="1"/>
  <c r="F1562" i="1"/>
  <c r="N1562" i="1" s="1"/>
  <c r="G1562" i="1"/>
  <c r="O1562" i="1" s="1"/>
  <c r="A1563" i="1"/>
  <c r="B1563" i="1"/>
  <c r="C1563" i="1"/>
  <c r="K1563" i="1" s="1"/>
  <c r="D1563" i="1"/>
  <c r="L1563" i="1" s="1"/>
  <c r="E1563" i="1"/>
  <c r="M1563" i="1" s="1"/>
  <c r="F1563" i="1"/>
  <c r="N1563" i="1" s="1"/>
  <c r="G1563" i="1"/>
  <c r="O1563" i="1" s="1"/>
  <c r="A1564" i="1"/>
  <c r="B1564" i="1"/>
  <c r="C1564" i="1"/>
  <c r="K1564" i="1" s="1"/>
  <c r="D1564" i="1"/>
  <c r="L1564" i="1" s="1"/>
  <c r="E1564" i="1"/>
  <c r="M1564" i="1" s="1"/>
  <c r="F1564" i="1"/>
  <c r="N1564" i="1" s="1"/>
  <c r="G1564" i="1"/>
  <c r="O1564" i="1" s="1"/>
  <c r="A1565" i="1"/>
  <c r="B1565" i="1"/>
  <c r="C1565" i="1"/>
  <c r="K1565" i="1" s="1"/>
  <c r="D1565" i="1"/>
  <c r="L1565" i="1" s="1"/>
  <c r="E1565" i="1"/>
  <c r="M1565" i="1" s="1"/>
  <c r="F1565" i="1"/>
  <c r="N1565" i="1" s="1"/>
  <c r="G1565" i="1"/>
  <c r="O1565" i="1" s="1"/>
  <c r="A1566" i="1"/>
  <c r="B1566" i="1"/>
  <c r="C1566" i="1"/>
  <c r="K1566" i="1" s="1"/>
  <c r="D1566" i="1"/>
  <c r="L1566" i="1" s="1"/>
  <c r="E1566" i="1"/>
  <c r="M1566" i="1" s="1"/>
  <c r="F1566" i="1"/>
  <c r="N1566" i="1" s="1"/>
  <c r="G1566" i="1"/>
  <c r="O1566" i="1" s="1"/>
  <c r="A1567" i="1"/>
  <c r="B1567" i="1"/>
  <c r="C1567" i="1"/>
  <c r="K1567" i="1" s="1"/>
  <c r="D1567" i="1"/>
  <c r="L1567" i="1" s="1"/>
  <c r="E1567" i="1"/>
  <c r="M1567" i="1" s="1"/>
  <c r="F1567" i="1"/>
  <c r="N1567" i="1" s="1"/>
  <c r="G1567" i="1"/>
  <c r="O1567" i="1" s="1"/>
  <c r="A1568" i="1"/>
  <c r="B1568" i="1"/>
  <c r="C1568" i="1"/>
  <c r="K1568" i="1" s="1"/>
  <c r="D1568" i="1"/>
  <c r="L1568" i="1" s="1"/>
  <c r="E1568" i="1"/>
  <c r="M1568" i="1" s="1"/>
  <c r="F1568" i="1"/>
  <c r="N1568" i="1" s="1"/>
  <c r="G1568" i="1"/>
  <c r="O1568" i="1" s="1"/>
  <c r="A1569" i="1"/>
  <c r="B1569" i="1"/>
  <c r="C1569" i="1"/>
  <c r="K1569" i="1" s="1"/>
  <c r="D1569" i="1"/>
  <c r="L1569" i="1" s="1"/>
  <c r="E1569" i="1"/>
  <c r="M1569" i="1" s="1"/>
  <c r="F1569" i="1"/>
  <c r="N1569" i="1" s="1"/>
  <c r="G1569" i="1"/>
  <c r="O1569" i="1" s="1"/>
  <c r="A1570" i="1"/>
  <c r="I1570" i="1" s="1"/>
  <c r="B1570" i="1"/>
  <c r="C1570" i="1"/>
  <c r="K1570" i="1" s="1"/>
  <c r="D1570" i="1"/>
  <c r="L1570" i="1" s="1"/>
  <c r="E1570" i="1"/>
  <c r="M1570" i="1" s="1"/>
  <c r="F1570" i="1"/>
  <c r="N1570" i="1" s="1"/>
  <c r="G1570" i="1"/>
  <c r="O1570" i="1" s="1"/>
  <c r="A1571" i="1"/>
  <c r="I1571" i="1" s="1"/>
  <c r="B1571" i="1"/>
  <c r="C1571" i="1"/>
  <c r="K1571" i="1" s="1"/>
  <c r="D1571" i="1"/>
  <c r="L1571" i="1" s="1"/>
  <c r="E1571" i="1"/>
  <c r="M1571" i="1" s="1"/>
  <c r="F1571" i="1"/>
  <c r="N1571" i="1" s="1"/>
  <c r="G1571" i="1"/>
  <c r="O1571" i="1" s="1"/>
  <c r="A1572" i="1"/>
  <c r="I1572" i="1" s="1"/>
  <c r="B1572" i="1"/>
  <c r="C1572" i="1"/>
  <c r="K1572" i="1" s="1"/>
  <c r="D1572" i="1"/>
  <c r="L1572" i="1" s="1"/>
  <c r="E1572" i="1"/>
  <c r="M1572" i="1" s="1"/>
  <c r="F1572" i="1"/>
  <c r="N1572" i="1" s="1"/>
  <c r="G1572" i="1"/>
  <c r="O1572" i="1" s="1"/>
  <c r="A1573" i="1"/>
  <c r="I1573" i="1" s="1"/>
  <c r="B1573" i="1"/>
  <c r="C1573" i="1"/>
  <c r="K1573" i="1" s="1"/>
  <c r="D1573" i="1"/>
  <c r="L1573" i="1" s="1"/>
  <c r="E1573" i="1"/>
  <c r="M1573" i="1" s="1"/>
  <c r="F1573" i="1"/>
  <c r="N1573" i="1" s="1"/>
  <c r="G1573" i="1"/>
  <c r="O1573" i="1" s="1"/>
  <c r="A1574" i="1"/>
  <c r="I1574" i="1" s="1"/>
  <c r="B1574" i="1"/>
  <c r="C1574" i="1"/>
  <c r="K1574" i="1" s="1"/>
  <c r="D1574" i="1"/>
  <c r="L1574" i="1" s="1"/>
  <c r="E1574" i="1"/>
  <c r="M1574" i="1" s="1"/>
  <c r="F1574" i="1"/>
  <c r="N1574" i="1" s="1"/>
  <c r="G1574" i="1"/>
  <c r="O1574" i="1" s="1"/>
  <c r="A1575" i="1"/>
  <c r="I1575" i="1" s="1"/>
  <c r="B1575" i="1"/>
  <c r="C1575" i="1"/>
  <c r="K1575" i="1" s="1"/>
  <c r="D1575" i="1"/>
  <c r="L1575" i="1" s="1"/>
  <c r="E1575" i="1"/>
  <c r="M1575" i="1" s="1"/>
  <c r="F1575" i="1"/>
  <c r="N1575" i="1" s="1"/>
  <c r="G1575" i="1"/>
  <c r="O1575" i="1" s="1"/>
  <c r="A1576" i="1"/>
  <c r="I1576" i="1" s="1"/>
  <c r="B1576" i="1"/>
  <c r="C1576" i="1"/>
  <c r="K1576" i="1" s="1"/>
  <c r="D1576" i="1"/>
  <c r="L1576" i="1" s="1"/>
  <c r="E1576" i="1"/>
  <c r="M1576" i="1" s="1"/>
  <c r="F1576" i="1"/>
  <c r="N1576" i="1" s="1"/>
  <c r="G1576" i="1"/>
  <c r="O1576" i="1" s="1"/>
  <c r="A1577" i="1"/>
  <c r="I1577" i="1" s="1"/>
  <c r="B1577" i="1"/>
  <c r="C1577" i="1"/>
  <c r="K1577" i="1" s="1"/>
  <c r="D1577" i="1"/>
  <c r="L1577" i="1" s="1"/>
  <c r="E1577" i="1"/>
  <c r="M1577" i="1" s="1"/>
  <c r="F1577" i="1"/>
  <c r="N1577" i="1" s="1"/>
  <c r="G1577" i="1"/>
  <c r="O1577" i="1" s="1"/>
  <c r="A1578" i="1"/>
  <c r="I1578" i="1" s="1"/>
  <c r="B1578" i="1"/>
  <c r="C1578" i="1"/>
  <c r="K1578" i="1" s="1"/>
  <c r="D1578" i="1"/>
  <c r="L1578" i="1" s="1"/>
  <c r="E1578" i="1"/>
  <c r="M1578" i="1" s="1"/>
  <c r="F1578" i="1"/>
  <c r="N1578" i="1" s="1"/>
  <c r="G1578" i="1"/>
  <c r="O1578" i="1" s="1"/>
  <c r="A1579" i="1"/>
  <c r="I1579" i="1" s="1"/>
  <c r="B1579" i="1"/>
  <c r="C1579" i="1"/>
  <c r="K1579" i="1" s="1"/>
  <c r="D1579" i="1"/>
  <c r="L1579" i="1" s="1"/>
  <c r="E1579" i="1"/>
  <c r="M1579" i="1" s="1"/>
  <c r="F1579" i="1"/>
  <c r="N1579" i="1" s="1"/>
  <c r="G1579" i="1"/>
  <c r="O1579" i="1" s="1"/>
  <c r="A1580" i="1"/>
  <c r="I1580" i="1" s="1"/>
  <c r="B1580" i="1"/>
  <c r="C1580" i="1"/>
  <c r="K1580" i="1" s="1"/>
  <c r="D1580" i="1"/>
  <c r="L1580" i="1" s="1"/>
  <c r="E1580" i="1"/>
  <c r="M1580" i="1" s="1"/>
  <c r="F1580" i="1"/>
  <c r="N1580" i="1" s="1"/>
  <c r="G1580" i="1"/>
  <c r="O1580" i="1" s="1"/>
  <c r="A1581" i="1"/>
  <c r="I1581" i="1" s="1"/>
  <c r="B1581" i="1"/>
  <c r="C1581" i="1"/>
  <c r="K1581" i="1" s="1"/>
  <c r="D1581" i="1"/>
  <c r="L1581" i="1" s="1"/>
  <c r="E1581" i="1"/>
  <c r="M1581" i="1" s="1"/>
  <c r="F1581" i="1"/>
  <c r="N1581" i="1" s="1"/>
  <c r="G1581" i="1"/>
  <c r="O1581" i="1" s="1"/>
  <c r="A1582" i="1"/>
  <c r="I1582" i="1" s="1"/>
  <c r="B1582" i="1"/>
  <c r="C1582" i="1"/>
  <c r="K1582" i="1" s="1"/>
  <c r="D1582" i="1"/>
  <c r="L1582" i="1" s="1"/>
  <c r="E1582" i="1"/>
  <c r="M1582" i="1" s="1"/>
  <c r="F1582" i="1"/>
  <c r="N1582" i="1" s="1"/>
  <c r="G1582" i="1"/>
  <c r="O1582" i="1" s="1"/>
  <c r="A1583" i="1"/>
  <c r="I1583" i="1" s="1"/>
  <c r="B1583" i="1"/>
  <c r="C1583" i="1"/>
  <c r="K1583" i="1" s="1"/>
  <c r="D1583" i="1"/>
  <c r="L1583" i="1" s="1"/>
  <c r="E1583" i="1"/>
  <c r="M1583" i="1" s="1"/>
  <c r="F1583" i="1"/>
  <c r="N1583" i="1" s="1"/>
  <c r="G1583" i="1"/>
  <c r="O1583" i="1" s="1"/>
  <c r="A1584" i="1"/>
  <c r="I1584" i="1" s="1"/>
  <c r="B1584" i="1"/>
  <c r="C1584" i="1"/>
  <c r="K1584" i="1" s="1"/>
  <c r="D1584" i="1"/>
  <c r="L1584" i="1" s="1"/>
  <c r="E1584" i="1"/>
  <c r="M1584" i="1" s="1"/>
  <c r="F1584" i="1"/>
  <c r="N1584" i="1" s="1"/>
  <c r="G1584" i="1"/>
  <c r="O1584" i="1" s="1"/>
  <c r="A1585" i="1"/>
  <c r="I1585" i="1" s="1"/>
  <c r="B1585" i="1"/>
  <c r="C1585" i="1"/>
  <c r="K1585" i="1" s="1"/>
  <c r="D1585" i="1"/>
  <c r="L1585" i="1" s="1"/>
  <c r="E1585" i="1"/>
  <c r="M1585" i="1" s="1"/>
  <c r="F1585" i="1"/>
  <c r="N1585" i="1" s="1"/>
  <c r="G1585" i="1"/>
  <c r="O1585" i="1" s="1"/>
  <c r="A1586" i="1"/>
  <c r="B1586" i="1"/>
  <c r="C1586" i="1"/>
  <c r="K1586" i="1" s="1"/>
  <c r="D1586" i="1"/>
  <c r="L1586" i="1" s="1"/>
  <c r="E1586" i="1"/>
  <c r="M1586" i="1" s="1"/>
  <c r="F1586" i="1"/>
  <c r="N1586" i="1" s="1"/>
  <c r="G1586" i="1"/>
  <c r="O1586" i="1" s="1"/>
  <c r="A1587" i="1"/>
  <c r="B1587" i="1"/>
  <c r="C1587" i="1"/>
  <c r="K1587" i="1" s="1"/>
  <c r="D1587" i="1"/>
  <c r="L1587" i="1" s="1"/>
  <c r="E1587" i="1"/>
  <c r="M1587" i="1" s="1"/>
  <c r="F1587" i="1"/>
  <c r="N1587" i="1" s="1"/>
  <c r="G1587" i="1"/>
  <c r="O1587" i="1" s="1"/>
  <c r="A1588" i="1"/>
  <c r="I1588" i="1" s="1"/>
  <c r="B1588" i="1"/>
  <c r="C1588" i="1"/>
  <c r="K1588" i="1" s="1"/>
  <c r="D1588" i="1"/>
  <c r="L1588" i="1" s="1"/>
  <c r="E1588" i="1"/>
  <c r="M1588" i="1" s="1"/>
  <c r="F1588" i="1"/>
  <c r="N1588" i="1" s="1"/>
  <c r="G1588" i="1"/>
  <c r="O1588" i="1" s="1"/>
  <c r="A1589" i="1"/>
  <c r="I1589" i="1" s="1"/>
  <c r="B1589" i="1"/>
  <c r="C1589" i="1"/>
  <c r="K1589" i="1" s="1"/>
  <c r="D1589" i="1"/>
  <c r="L1589" i="1" s="1"/>
  <c r="E1589" i="1"/>
  <c r="M1589" i="1" s="1"/>
  <c r="F1589" i="1"/>
  <c r="N1589" i="1" s="1"/>
  <c r="G1589" i="1"/>
  <c r="O1589" i="1" s="1"/>
  <c r="A1590" i="1"/>
  <c r="I1590" i="1" s="1"/>
  <c r="B1590" i="1"/>
  <c r="C1590" i="1"/>
  <c r="K1590" i="1" s="1"/>
  <c r="D1590" i="1"/>
  <c r="L1590" i="1" s="1"/>
  <c r="E1590" i="1"/>
  <c r="M1590" i="1" s="1"/>
  <c r="F1590" i="1"/>
  <c r="N1590" i="1" s="1"/>
  <c r="G1590" i="1"/>
  <c r="O1590" i="1" s="1"/>
  <c r="A1591" i="1"/>
  <c r="I1591" i="1" s="1"/>
  <c r="B1591" i="1"/>
  <c r="C1591" i="1"/>
  <c r="K1591" i="1" s="1"/>
  <c r="D1591" i="1"/>
  <c r="L1591" i="1" s="1"/>
  <c r="E1591" i="1"/>
  <c r="M1591" i="1" s="1"/>
  <c r="F1591" i="1"/>
  <c r="N1591" i="1" s="1"/>
  <c r="G1591" i="1"/>
  <c r="O1591" i="1" s="1"/>
  <c r="A1592" i="1"/>
  <c r="I1592" i="1" s="1"/>
  <c r="B1592" i="1"/>
  <c r="C1592" i="1"/>
  <c r="K1592" i="1" s="1"/>
  <c r="D1592" i="1"/>
  <c r="L1592" i="1" s="1"/>
  <c r="E1592" i="1"/>
  <c r="M1592" i="1" s="1"/>
  <c r="F1592" i="1"/>
  <c r="N1592" i="1" s="1"/>
  <c r="G1592" i="1"/>
  <c r="O1592" i="1" s="1"/>
  <c r="A1593" i="1"/>
  <c r="I1593" i="1" s="1"/>
  <c r="B1593" i="1"/>
  <c r="C1593" i="1"/>
  <c r="K1593" i="1" s="1"/>
  <c r="D1593" i="1"/>
  <c r="L1593" i="1" s="1"/>
  <c r="E1593" i="1"/>
  <c r="M1593" i="1" s="1"/>
  <c r="F1593" i="1"/>
  <c r="N1593" i="1" s="1"/>
  <c r="G1593" i="1"/>
  <c r="O1593" i="1" s="1"/>
  <c r="A1594" i="1"/>
  <c r="I1594" i="1" s="1"/>
  <c r="B1594" i="1"/>
  <c r="C1594" i="1"/>
  <c r="K1594" i="1" s="1"/>
  <c r="D1594" i="1"/>
  <c r="L1594" i="1" s="1"/>
  <c r="E1594" i="1"/>
  <c r="M1594" i="1" s="1"/>
  <c r="F1594" i="1"/>
  <c r="N1594" i="1" s="1"/>
  <c r="G1594" i="1"/>
  <c r="O1594" i="1" s="1"/>
  <c r="A1595" i="1"/>
  <c r="I1595" i="1" s="1"/>
  <c r="B1595" i="1"/>
  <c r="C1595" i="1"/>
  <c r="K1595" i="1" s="1"/>
  <c r="D1595" i="1"/>
  <c r="L1595" i="1" s="1"/>
  <c r="E1595" i="1"/>
  <c r="M1595" i="1" s="1"/>
  <c r="F1595" i="1"/>
  <c r="N1595" i="1" s="1"/>
  <c r="G1595" i="1"/>
  <c r="O1595" i="1" s="1"/>
  <c r="A1596" i="1"/>
  <c r="I1596" i="1" s="1"/>
  <c r="B1596" i="1"/>
  <c r="C1596" i="1"/>
  <c r="K1596" i="1" s="1"/>
  <c r="D1596" i="1"/>
  <c r="L1596" i="1" s="1"/>
  <c r="E1596" i="1"/>
  <c r="M1596" i="1" s="1"/>
  <c r="F1596" i="1"/>
  <c r="N1596" i="1" s="1"/>
  <c r="G1596" i="1"/>
  <c r="O1596" i="1" s="1"/>
  <c r="A1597" i="1"/>
  <c r="I1597" i="1" s="1"/>
  <c r="B1597" i="1"/>
  <c r="C1597" i="1"/>
  <c r="K1597" i="1" s="1"/>
  <c r="D1597" i="1"/>
  <c r="L1597" i="1" s="1"/>
  <c r="E1597" i="1"/>
  <c r="M1597" i="1" s="1"/>
  <c r="F1597" i="1"/>
  <c r="N1597" i="1" s="1"/>
  <c r="G1597" i="1"/>
  <c r="O1597" i="1" s="1"/>
  <c r="A1598" i="1"/>
  <c r="I1598" i="1" s="1"/>
  <c r="B1598" i="1"/>
  <c r="C1598" i="1"/>
  <c r="K1598" i="1" s="1"/>
  <c r="D1598" i="1"/>
  <c r="L1598" i="1" s="1"/>
  <c r="E1598" i="1"/>
  <c r="M1598" i="1" s="1"/>
  <c r="F1598" i="1"/>
  <c r="N1598" i="1" s="1"/>
  <c r="G1598" i="1"/>
  <c r="O1598" i="1" s="1"/>
  <c r="A1599" i="1"/>
  <c r="I1599" i="1" s="1"/>
  <c r="B1599" i="1"/>
  <c r="C1599" i="1"/>
  <c r="K1599" i="1" s="1"/>
  <c r="D1599" i="1"/>
  <c r="L1599" i="1" s="1"/>
  <c r="E1599" i="1"/>
  <c r="M1599" i="1" s="1"/>
  <c r="F1599" i="1"/>
  <c r="N1599" i="1" s="1"/>
  <c r="G1599" i="1"/>
  <c r="O1599" i="1" s="1"/>
  <c r="A1600" i="1"/>
  <c r="I1600" i="1" s="1"/>
  <c r="B1600" i="1"/>
  <c r="C1600" i="1"/>
  <c r="K1600" i="1" s="1"/>
  <c r="D1600" i="1"/>
  <c r="L1600" i="1" s="1"/>
  <c r="E1600" i="1"/>
  <c r="M1600" i="1" s="1"/>
  <c r="F1600" i="1"/>
  <c r="N1600" i="1" s="1"/>
  <c r="G1600" i="1"/>
  <c r="O1600" i="1" s="1"/>
  <c r="A1601" i="1"/>
  <c r="I1601" i="1" s="1"/>
  <c r="B1601" i="1"/>
  <c r="C1601" i="1"/>
  <c r="K1601" i="1" s="1"/>
  <c r="D1601" i="1"/>
  <c r="L1601" i="1" s="1"/>
  <c r="E1601" i="1"/>
  <c r="M1601" i="1" s="1"/>
  <c r="F1601" i="1"/>
  <c r="N1601" i="1" s="1"/>
  <c r="G1601" i="1"/>
  <c r="O1601" i="1" s="1"/>
  <c r="A1602" i="1"/>
  <c r="I1602" i="1" s="1"/>
  <c r="B1602" i="1"/>
  <c r="C1602" i="1"/>
  <c r="K1602" i="1" s="1"/>
  <c r="D1602" i="1"/>
  <c r="L1602" i="1" s="1"/>
  <c r="E1602" i="1"/>
  <c r="M1602" i="1" s="1"/>
  <c r="F1602" i="1"/>
  <c r="N1602" i="1" s="1"/>
  <c r="G1602" i="1"/>
  <c r="O1602" i="1" s="1"/>
  <c r="A1603" i="1"/>
  <c r="I1603" i="1" s="1"/>
  <c r="B1603" i="1"/>
  <c r="C1603" i="1"/>
  <c r="K1603" i="1" s="1"/>
  <c r="D1603" i="1"/>
  <c r="L1603" i="1" s="1"/>
  <c r="E1603" i="1"/>
  <c r="M1603" i="1" s="1"/>
  <c r="F1603" i="1"/>
  <c r="N1603" i="1" s="1"/>
  <c r="G1603" i="1"/>
  <c r="O1603" i="1" s="1"/>
  <c r="A1604" i="1"/>
  <c r="I1604" i="1" s="1"/>
  <c r="B1604" i="1"/>
  <c r="C1604" i="1"/>
  <c r="K1604" i="1" s="1"/>
  <c r="D1604" i="1"/>
  <c r="L1604" i="1" s="1"/>
  <c r="E1604" i="1"/>
  <c r="M1604" i="1" s="1"/>
  <c r="F1604" i="1"/>
  <c r="N1604" i="1" s="1"/>
  <c r="G1604" i="1"/>
  <c r="O1604" i="1" s="1"/>
  <c r="A1605" i="1"/>
  <c r="I1605" i="1" s="1"/>
  <c r="B1605" i="1"/>
  <c r="C1605" i="1"/>
  <c r="K1605" i="1" s="1"/>
  <c r="D1605" i="1"/>
  <c r="L1605" i="1" s="1"/>
  <c r="E1605" i="1"/>
  <c r="M1605" i="1" s="1"/>
  <c r="F1605" i="1"/>
  <c r="N1605" i="1" s="1"/>
  <c r="G1605" i="1"/>
  <c r="O1605" i="1" s="1"/>
  <c r="A1606" i="1"/>
  <c r="I1606" i="1" s="1"/>
  <c r="B1606" i="1"/>
  <c r="C1606" i="1"/>
  <c r="K1606" i="1" s="1"/>
  <c r="D1606" i="1"/>
  <c r="L1606" i="1" s="1"/>
  <c r="E1606" i="1"/>
  <c r="M1606" i="1" s="1"/>
  <c r="F1606" i="1"/>
  <c r="N1606" i="1" s="1"/>
  <c r="G1606" i="1"/>
  <c r="O1606" i="1" s="1"/>
  <c r="A1607" i="1"/>
  <c r="I1607" i="1" s="1"/>
  <c r="B1607" i="1"/>
  <c r="C1607" i="1"/>
  <c r="K1607" i="1" s="1"/>
  <c r="D1607" i="1"/>
  <c r="L1607" i="1" s="1"/>
  <c r="E1607" i="1"/>
  <c r="M1607" i="1" s="1"/>
  <c r="F1607" i="1"/>
  <c r="N1607" i="1" s="1"/>
  <c r="G1607" i="1"/>
  <c r="O1607" i="1" s="1"/>
  <c r="A1608" i="1"/>
  <c r="I1608" i="1" s="1"/>
  <c r="B1608" i="1"/>
  <c r="C1608" i="1"/>
  <c r="K1608" i="1" s="1"/>
  <c r="D1608" i="1"/>
  <c r="L1608" i="1" s="1"/>
  <c r="E1608" i="1"/>
  <c r="M1608" i="1" s="1"/>
  <c r="F1608" i="1"/>
  <c r="N1608" i="1" s="1"/>
  <c r="G1608" i="1"/>
  <c r="O1608" i="1" s="1"/>
  <c r="A1609" i="1"/>
  <c r="I1609" i="1" s="1"/>
  <c r="B1609" i="1"/>
  <c r="C1609" i="1"/>
  <c r="K1609" i="1" s="1"/>
  <c r="D1609" i="1"/>
  <c r="L1609" i="1" s="1"/>
  <c r="E1609" i="1"/>
  <c r="M1609" i="1" s="1"/>
  <c r="F1609" i="1"/>
  <c r="N1609" i="1" s="1"/>
  <c r="G1609" i="1"/>
  <c r="O1609" i="1" s="1"/>
  <c r="A1610" i="1"/>
  <c r="I1610" i="1" s="1"/>
  <c r="B1610" i="1"/>
  <c r="C1610" i="1"/>
  <c r="K1610" i="1" s="1"/>
  <c r="D1610" i="1"/>
  <c r="L1610" i="1" s="1"/>
  <c r="E1610" i="1"/>
  <c r="M1610" i="1" s="1"/>
  <c r="F1610" i="1"/>
  <c r="N1610" i="1" s="1"/>
  <c r="G1610" i="1"/>
  <c r="O1610" i="1" s="1"/>
  <c r="A1611" i="1"/>
  <c r="I1611" i="1" s="1"/>
  <c r="B1611" i="1"/>
  <c r="C1611" i="1"/>
  <c r="K1611" i="1" s="1"/>
  <c r="D1611" i="1"/>
  <c r="L1611" i="1" s="1"/>
  <c r="E1611" i="1"/>
  <c r="M1611" i="1" s="1"/>
  <c r="F1611" i="1"/>
  <c r="N1611" i="1" s="1"/>
  <c r="G1611" i="1"/>
  <c r="O1611" i="1" s="1"/>
  <c r="A1612" i="1"/>
  <c r="I1612" i="1" s="1"/>
  <c r="B1612" i="1"/>
  <c r="C1612" i="1"/>
  <c r="K1612" i="1" s="1"/>
  <c r="D1612" i="1"/>
  <c r="L1612" i="1" s="1"/>
  <c r="E1612" i="1"/>
  <c r="M1612" i="1" s="1"/>
  <c r="F1612" i="1"/>
  <c r="N1612" i="1" s="1"/>
  <c r="G1612" i="1"/>
  <c r="O1612" i="1" s="1"/>
  <c r="A1613" i="1"/>
  <c r="I1613" i="1" s="1"/>
  <c r="B1613" i="1"/>
  <c r="C1613" i="1"/>
  <c r="K1613" i="1" s="1"/>
  <c r="D1613" i="1"/>
  <c r="L1613" i="1" s="1"/>
  <c r="E1613" i="1"/>
  <c r="M1613" i="1" s="1"/>
  <c r="F1613" i="1"/>
  <c r="N1613" i="1" s="1"/>
  <c r="G1613" i="1"/>
  <c r="O1613" i="1" s="1"/>
  <c r="A1614" i="1"/>
  <c r="I1614" i="1" s="1"/>
  <c r="B1614" i="1"/>
  <c r="C1614" i="1"/>
  <c r="K1614" i="1" s="1"/>
  <c r="D1614" i="1"/>
  <c r="L1614" i="1" s="1"/>
  <c r="E1614" i="1"/>
  <c r="M1614" i="1" s="1"/>
  <c r="F1614" i="1"/>
  <c r="N1614" i="1" s="1"/>
  <c r="G1614" i="1"/>
  <c r="O1614" i="1" s="1"/>
  <c r="A1615" i="1"/>
  <c r="I1615" i="1" s="1"/>
  <c r="B1615" i="1"/>
  <c r="C1615" i="1"/>
  <c r="K1615" i="1" s="1"/>
  <c r="D1615" i="1"/>
  <c r="L1615" i="1" s="1"/>
  <c r="E1615" i="1"/>
  <c r="M1615" i="1" s="1"/>
  <c r="F1615" i="1"/>
  <c r="N1615" i="1" s="1"/>
  <c r="G1615" i="1"/>
  <c r="O1615" i="1" s="1"/>
  <c r="A1616" i="1"/>
  <c r="I1616" i="1" s="1"/>
  <c r="B1616" i="1"/>
  <c r="C1616" i="1"/>
  <c r="K1616" i="1" s="1"/>
  <c r="D1616" i="1"/>
  <c r="L1616" i="1" s="1"/>
  <c r="E1616" i="1"/>
  <c r="M1616" i="1" s="1"/>
  <c r="F1616" i="1"/>
  <c r="N1616" i="1" s="1"/>
  <c r="G1616" i="1"/>
  <c r="O1616" i="1" s="1"/>
  <c r="A1617" i="1"/>
  <c r="I1617" i="1" s="1"/>
  <c r="B1617" i="1"/>
  <c r="C1617" i="1"/>
  <c r="K1617" i="1" s="1"/>
  <c r="D1617" i="1"/>
  <c r="L1617" i="1" s="1"/>
  <c r="E1617" i="1"/>
  <c r="M1617" i="1" s="1"/>
  <c r="F1617" i="1"/>
  <c r="N1617" i="1" s="1"/>
  <c r="G1617" i="1"/>
  <c r="O1617" i="1" s="1"/>
  <c r="A1618" i="1"/>
  <c r="I1618" i="1" s="1"/>
  <c r="B1618" i="1"/>
  <c r="C1618" i="1"/>
  <c r="K1618" i="1" s="1"/>
  <c r="D1618" i="1"/>
  <c r="L1618" i="1" s="1"/>
  <c r="E1618" i="1"/>
  <c r="M1618" i="1" s="1"/>
  <c r="F1618" i="1"/>
  <c r="N1618" i="1" s="1"/>
  <c r="G1618" i="1"/>
  <c r="O1618" i="1" s="1"/>
  <c r="A1619" i="1"/>
  <c r="I1619" i="1" s="1"/>
  <c r="B1619" i="1"/>
  <c r="C1619" i="1"/>
  <c r="K1619" i="1" s="1"/>
  <c r="D1619" i="1"/>
  <c r="L1619" i="1" s="1"/>
  <c r="E1619" i="1"/>
  <c r="M1619" i="1" s="1"/>
  <c r="F1619" i="1"/>
  <c r="N1619" i="1" s="1"/>
  <c r="G1619" i="1"/>
  <c r="O1619" i="1" s="1"/>
  <c r="A1620" i="1"/>
  <c r="I1620" i="1" s="1"/>
  <c r="B1620" i="1"/>
  <c r="C1620" i="1"/>
  <c r="K1620" i="1" s="1"/>
  <c r="D1620" i="1"/>
  <c r="L1620" i="1" s="1"/>
  <c r="E1620" i="1"/>
  <c r="M1620" i="1" s="1"/>
  <c r="F1620" i="1"/>
  <c r="N1620" i="1" s="1"/>
  <c r="G1620" i="1"/>
  <c r="O1620" i="1" s="1"/>
  <c r="A1621" i="1"/>
  <c r="I1621" i="1" s="1"/>
  <c r="B1621" i="1"/>
  <c r="C1621" i="1"/>
  <c r="K1621" i="1" s="1"/>
  <c r="D1621" i="1"/>
  <c r="L1621" i="1" s="1"/>
  <c r="E1621" i="1"/>
  <c r="M1621" i="1" s="1"/>
  <c r="F1621" i="1"/>
  <c r="N1621" i="1" s="1"/>
  <c r="G1621" i="1"/>
  <c r="O1621" i="1" s="1"/>
  <c r="A1622" i="1"/>
  <c r="I1622" i="1" s="1"/>
  <c r="B1622" i="1"/>
  <c r="C1622" i="1"/>
  <c r="K1622" i="1" s="1"/>
  <c r="D1622" i="1"/>
  <c r="L1622" i="1" s="1"/>
  <c r="E1622" i="1"/>
  <c r="M1622" i="1" s="1"/>
  <c r="F1622" i="1"/>
  <c r="N1622" i="1" s="1"/>
  <c r="G1622" i="1"/>
  <c r="O1622" i="1" s="1"/>
  <c r="A1623" i="1"/>
  <c r="I1623" i="1" s="1"/>
  <c r="B1623" i="1"/>
  <c r="C1623" i="1"/>
  <c r="K1623" i="1" s="1"/>
  <c r="D1623" i="1"/>
  <c r="L1623" i="1" s="1"/>
  <c r="E1623" i="1"/>
  <c r="M1623" i="1" s="1"/>
  <c r="F1623" i="1"/>
  <c r="N1623" i="1" s="1"/>
  <c r="G1623" i="1"/>
  <c r="O1623" i="1" s="1"/>
  <c r="A1624" i="1"/>
  <c r="I1624" i="1" s="1"/>
  <c r="B1624" i="1"/>
  <c r="C1624" i="1"/>
  <c r="K1624" i="1" s="1"/>
  <c r="D1624" i="1"/>
  <c r="L1624" i="1" s="1"/>
  <c r="E1624" i="1"/>
  <c r="M1624" i="1" s="1"/>
  <c r="F1624" i="1"/>
  <c r="N1624" i="1" s="1"/>
  <c r="G1624" i="1"/>
  <c r="O1624" i="1" s="1"/>
  <c r="A1625" i="1"/>
  <c r="I1625" i="1" s="1"/>
  <c r="B1625" i="1"/>
  <c r="C1625" i="1"/>
  <c r="K1625" i="1" s="1"/>
  <c r="D1625" i="1"/>
  <c r="L1625" i="1" s="1"/>
  <c r="E1625" i="1"/>
  <c r="M1625" i="1" s="1"/>
  <c r="F1625" i="1"/>
  <c r="N1625" i="1" s="1"/>
  <c r="G1625" i="1"/>
  <c r="O1625" i="1" s="1"/>
  <c r="A1626" i="1"/>
  <c r="I1626" i="1" s="1"/>
  <c r="B1626" i="1"/>
  <c r="C1626" i="1"/>
  <c r="K1626" i="1" s="1"/>
  <c r="D1626" i="1"/>
  <c r="L1626" i="1" s="1"/>
  <c r="E1626" i="1"/>
  <c r="M1626" i="1" s="1"/>
  <c r="F1626" i="1"/>
  <c r="N1626" i="1" s="1"/>
  <c r="G1626" i="1"/>
  <c r="O1626" i="1" s="1"/>
  <c r="A1627" i="1"/>
  <c r="I1627" i="1" s="1"/>
  <c r="B1627" i="1"/>
  <c r="C1627" i="1"/>
  <c r="K1627" i="1" s="1"/>
  <c r="D1627" i="1"/>
  <c r="L1627" i="1" s="1"/>
  <c r="E1627" i="1"/>
  <c r="M1627" i="1" s="1"/>
  <c r="F1627" i="1"/>
  <c r="N1627" i="1" s="1"/>
  <c r="G1627" i="1"/>
  <c r="O1627" i="1" s="1"/>
  <c r="A1628" i="1"/>
  <c r="I1628" i="1" s="1"/>
  <c r="B1628" i="1"/>
  <c r="C1628" i="1"/>
  <c r="K1628" i="1" s="1"/>
  <c r="D1628" i="1"/>
  <c r="L1628" i="1" s="1"/>
  <c r="E1628" i="1"/>
  <c r="M1628" i="1" s="1"/>
  <c r="F1628" i="1"/>
  <c r="N1628" i="1" s="1"/>
  <c r="G1628" i="1"/>
  <c r="O1628" i="1" s="1"/>
  <c r="A1629" i="1"/>
  <c r="I1629" i="1" s="1"/>
  <c r="B1629" i="1"/>
  <c r="C1629" i="1"/>
  <c r="K1629" i="1" s="1"/>
  <c r="D1629" i="1"/>
  <c r="L1629" i="1" s="1"/>
  <c r="E1629" i="1"/>
  <c r="M1629" i="1" s="1"/>
  <c r="F1629" i="1"/>
  <c r="N1629" i="1" s="1"/>
  <c r="G1629" i="1"/>
  <c r="O1629" i="1" s="1"/>
  <c r="A1630" i="1"/>
  <c r="I1630" i="1" s="1"/>
  <c r="B1630" i="1"/>
  <c r="C1630" i="1"/>
  <c r="K1630" i="1" s="1"/>
  <c r="D1630" i="1"/>
  <c r="L1630" i="1" s="1"/>
  <c r="E1630" i="1"/>
  <c r="M1630" i="1" s="1"/>
  <c r="F1630" i="1"/>
  <c r="N1630" i="1" s="1"/>
  <c r="G1630" i="1"/>
  <c r="O1630" i="1" s="1"/>
  <c r="A1631" i="1"/>
  <c r="I1631" i="1" s="1"/>
  <c r="B1631" i="1"/>
  <c r="C1631" i="1"/>
  <c r="K1631" i="1" s="1"/>
  <c r="D1631" i="1"/>
  <c r="L1631" i="1" s="1"/>
  <c r="E1631" i="1"/>
  <c r="M1631" i="1" s="1"/>
  <c r="F1631" i="1"/>
  <c r="N1631" i="1" s="1"/>
  <c r="G1631" i="1"/>
  <c r="O1631" i="1" s="1"/>
  <c r="A1632" i="1"/>
  <c r="I1632" i="1" s="1"/>
  <c r="B1632" i="1"/>
  <c r="C1632" i="1"/>
  <c r="K1632" i="1" s="1"/>
  <c r="D1632" i="1"/>
  <c r="L1632" i="1" s="1"/>
  <c r="E1632" i="1"/>
  <c r="M1632" i="1" s="1"/>
  <c r="F1632" i="1"/>
  <c r="N1632" i="1" s="1"/>
  <c r="G1632" i="1"/>
  <c r="O1632" i="1" s="1"/>
  <c r="A1633" i="1"/>
  <c r="I1633" i="1" s="1"/>
  <c r="B1633" i="1"/>
  <c r="C1633" i="1"/>
  <c r="K1633" i="1" s="1"/>
  <c r="D1633" i="1"/>
  <c r="L1633" i="1" s="1"/>
  <c r="E1633" i="1"/>
  <c r="M1633" i="1" s="1"/>
  <c r="F1633" i="1"/>
  <c r="N1633" i="1" s="1"/>
  <c r="G1633" i="1"/>
  <c r="O1633" i="1" s="1"/>
  <c r="A1634" i="1"/>
  <c r="I1634" i="1" s="1"/>
  <c r="B1634" i="1"/>
  <c r="C1634" i="1"/>
  <c r="K1634" i="1" s="1"/>
  <c r="D1634" i="1"/>
  <c r="L1634" i="1" s="1"/>
  <c r="E1634" i="1"/>
  <c r="M1634" i="1" s="1"/>
  <c r="F1634" i="1"/>
  <c r="N1634" i="1" s="1"/>
  <c r="G1634" i="1"/>
  <c r="O1634" i="1" s="1"/>
  <c r="A1635" i="1"/>
  <c r="I1635" i="1" s="1"/>
  <c r="B1635" i="1"/>
  <c r="C1635" i="1"/>
  <c r="K1635" i="1" s="1"/>
  <c r="D1635" i="1"/>
  <c r="L1635" i="1" s="1"/>
  <c r="E1635" i="1"/>
  <c r="M1635" i="1" s="1"/>
  <c r="F1635" i="1"/>
  <c r="N1635" i="1" s="1"/>
  <c r="G1635" i="1"/>
  <c r="O1635" i="1" s="1"/>
  <c r="A1636" i="1"/>
  <c r="I1636" i="1" s="1"/>
  <c r="B1636" i="1"/>
  <c r="C1636" i="1"/>
  <c r="K1636" i="1" s="1"/>
  <c r="D1636" i="1"/>
  <c r="L1636" i="1" s="1"/>
  <c r="E1636" i="1"/>
  <c r="M1636" i="1" s="1"/>
  <c r="F1636" i="1"/>
  <c r="N1636" i="1" s="1"/>
  <c r="G1636" i="1"/>
  <c r="O1636" i="1" s="1"/>
  <c r="A1637" i="1"/>
  <c r="I1637" i="1" s="1"/>
  <c r="B1637" i="1"/>
  <c r="C1637" i="1"/>
  <c r="K1637" i="1" s="1"/>
  <c r="D1637" i="1"/>
  <c r="L1637" i="1" s="1"/>
  <c r="E1637" i="1"/>
  <c r="M1637" i="1" s="1"/>
  <c r="F1637" i="1"/>
  <c r="N1637" i="1" s="1"/>
  <c r="G1637" i="1"/>
  <c r="O1637" i="1" s="1"/>
  <c r="A1638" i="1"/>
  <c r="I1638" i="1" s="1"/>
  <c r="B1638" i="1"/>
  <c r="C1638" i="1"/>
  <c r="K1638" i="1" s="1"/>
  <c r="D1638" i="1"/>
  <c r="L1638" i="1" s="1"/>
  <c r="E1638" i="1"/>
  <c r="M1638" i="1" s="1"/>
  <c r="F1638" i="1"/>
  <c r="N1638" i="1" s="1"/>
  <c r="G1638" i="1"/>
  <c r="O1638" i="1" s="1"/>
  <c r="A1639" i="1"/>
  <c r="I1639" i="1" s="1"/>
  <c r="B1639" i="1"/>
  <c r="C1639" i="1"/>
  <c r="K1639" i="1" s="1"/>
  <c r="D1639" i="1"/>
  <c r="L1639" i="1" s="1"/>
  <c r="E1639" i="1"/>
  <c r="M1639" i="1" s="1"/>
  <c r="F1639" i="1"/>
  <c r="N1639" i="1" s="1"/>
  <c r="G1639" i="1"/>
  <c r="O1639" i="1" s="1"/>
  <c r="A1640" i="1"/>
  <c r="I1640" i="1" s="1"/>
  <c r="B1640" i="1"/>
  <c r="C1640" i="1"/>
  <c r="K1640" i="1" s="1"/>
  <c r="D1640" i="1"/>
  <c r="L1640" i="1" s="1"/>
  <c r="E1640" i="1"/>
  <c r="M1640" i="1" s="1"/>
  <c r="F1640" i="1"/>
  <c r="N1640" i="1" s="1"/>
  <c r="G1640" i="1"/>
  <c r="O1640" i="1" s="1"/>
  <c r="A1641" i="1"/>
  <c r="I1641" i="1" s="1"/>
  <c r="B1641" i="1"/>
  <c r="C1641" i="1"/>
  <c r="K1641" i="1" s="1"/>
  <c r="D1641" i="1"/>
  <c r="L1641" i="1" s="1"/>
  <c r="E1641" i="1"/>
  <c r="M1641" i="1" s="1"/>
  <c r="F1641" i="1"/>
  <c r="N1641" i="1" s="1"/>
  <c r="G1641" i="1"/>
  <c r="O1641" i="1" s="1"/>
  <c r="A1642" i="1"/>
  <c r="I1642" i="1" s="1"/>
  <c r="B1642" i="1"/>
  <c r="C1642" i="1"/>
  <c r="K1642" i="1" s="1"/>
  <c r="D1642" i="1"/>
  <c r="L1642" i="1" s="1"/>
  <c r="E1642" i="1"/>
  <c r="M1642" i="1" s="1"/>
  <c r="F1642" i="1"/>
  <c r="N1642" i="1" s="1"/>
  <c r="G1642" i="1"/>
  <c r="O1642" i="1" s="1"/>
  <c r="A1643" i="1"/>
  <c r="I1643" i="1" s="1"/>
  <c r="B1643" i="1"/>
  <c r="C1643" i="1"/>
  <c r="K1643" i="1" s="1"/>
  <c r="D1643" i="1"/>
  <c r="L1643" i="1" s="1"/>
  <c r="E1643" i="1"/>
  <c r="M1643" i="1" s="1"/>
  <c r="F1643" i="1"/>
  <c r="N1643" i="1" s="1"/>
  <c r="G1643" i="1"/>
  <c r="O1643" i="1" s="1"/>
  <c r="A1644" i="1"/>
  <c r="I1644" i="1" s="1"/>
  <c r="B1644" i="1"/>
  <c r="C1644" i="1"/>
  <c r="K1644" i="1" s="1"/>
  <c r="D1644" i="1"/>
  <c r="L1644" i="1" s="1"/>
  <c r="E1644" i="1"/>
  <c r="M1644" i="1" s="1"/>
  <c r="F1644" i="1"/>
  <c r="N1644" i="1" s="1"/>
  <c r="G1644" i="1"/>
  <c r="O1644" i="1" s="1"/>
  <c r="A1645" i="1"/>
  <c r="I1645" i="1" s="1"/>
  <c r="B1645" i="1"/>
  <c r="C1645" i="1"/>
  <c r="K1645" i="1" s="1"/>
  <c r="D1645" i="1"/>
  <c r="L1645" i="1" s="1"/>
  <c r="E1645" i="1"/>
  <c r="M1645" i="1" s="1"/>
  <c r="F1645" i="1"/>
  <c r="N1645" i="1" s="1"/>
  <c r="G1645" i="1"/>
  <c r="O1645" i="1" s="1"/>
  <c r="A1646" i="1"/>
  <c r="I1646" i="1" s="1"/>
  <c r="B1646" i="1"/>
  <c r="C1646" i="1"/>
  <c r="K1646" i="1" s="1"/>
  <c r="D1646" i="1"/>
  <c r="L1646" i="1" s="1"/>
  <c r="E1646" i="1"/>
  <c r="M1646" i="1" s="1"/>
  <c r="F1646" i="1"/>
  <c r="N1646" i="1" s="1"/>
  <c r="G1646" i="1"/>
  <c r="O1646" i="1" s="1"/>
  <c r="A1647" i="1"/>
  <c r="I1647" i="1" s="1"/>
  <c r="B1647" i="1"/>
  <c r="C1647" i="1"/>
  <c r="K1647" i="1" s="1"/>
  <c r="D1647" i="1"/>
  <c r="L1647" i="1" s="1"/>
  <c r="E1647" i="1"/>
  <c r="M1647" i="1" s="1"/>
  <c r="F1647" i="1"/>
  <c r="N1647" i="1" s="1"/>
  <c r="G1647" i="1"/>
  <c r="O1647" i="1" s="1"/>
  <c r="A1648" i="1"/>
  <c r="I1648" i="1" s="1"/>
  <c r="B1648" i="1"/>
  <c r="C1648" i="1"/>
  <c r="K1648" i="1" s="1"/>
  <c r="D1648" i="1"/>
  <c r="L1648" i="1" s="1"/>
  <c r="E1648" i="1"/>
  <c r="M1648" i="1" s="1"/>
  <c r="F1648" i="1"/>
  <c r="N1648" i="1" s="1"/>
  <c r="G1648" i="1"/>
  <c r="O1648" i="1" s="1"/>
  <c r="A1649" i="1"/>
  <c r="I1649" i="1" s="1"/>
  <c r="B1649" i="1"/>
  <c r="C1649" i="1"/>
  <c r="K1649" i="1" s="1"/>
  <c r="D1649" i="1"/>
  <c r="L1649" i="1" s="1"/>
  <c r="E1649" i="1"/>
  <c r="M1649" i="1" s="1"/>
  <c r="F1649" i="1"/>
  <c r="N1649" i="1" s="1"/>
  <c r="G1649" i="1"/>
  <c r="O1649" i="1" s="1"/>
  <c r="A1650" i="1"/>
  <c r="I1650" i="1" s="1"/>
  <c r="B1650" i="1"/>
  <c r="C1650" i="1"/>
  <c r="K1650" i="1" s="1"/>
  <c r="D1650" i="1"/>
  <c r="L1650" i="1" s="1"/>
  <c r="E1650" i="1"/>
  <c r="M1650" i="1" s="1"/>
  <c r="F1650" i="1"/>
  <c r="N1650" i="1" s="1"/>
  <c r="G1650" i="1"/>
  <c r="O1650" i="1" s="1"/>
  <c r="A1651" i="1"/>
  <c r="I1651" i="1" s="1"/>
  <c r="B1651" i="1"/>
  <c r="C1651" i="1"/>
  <c r="K1651" i="1" s="1"/>
  <c r="D1651" i="1"/>
  <c r="L1651" i="1" s="1"/>
  <c r="E1651" i="1"/>
  <c r="M1651" i="1" s="1"/>
  <c r="F1651" i="1"/>
  <c r="N1651" i="1" s="1"/>
  <c r="G1651" i="1"/>
  <c r="O1651" i="1" s="1"/>
  <c r="A1652" i="1"/>
  <c r="I1652" i="1" s="1"/>
  <c r="B1652" i="1"/>
  <c r="C1652" i="1"/>
  <c r="K1652" i="1" s="1"/>
  <c r="D1652" i="1"/>
  <c r="L1652" i="1" s="1"/>
  <c r="E1652" i="1"/>
  <c r="M1652" i="1" s="1"/>
  <c r="F1652" i="1"/>
  <c r="N1652" i="1" s="1"/>
  <c r="G1652" i="1"/>
  <c r="O1652" i="1" s="1"/>
  <c r="A1653" i="1"/>
  <c r="I1653" i="1" s="1"/>
  <c r="B1653" i="1"/>
  <c r="C1653" i="1"/>
  <c r="K1653" i="1" s="1"/>
  <c r="D1653" i="1"/>
  <c r="L1653" i="1" s="1"/>
  <c r="E1653" i="1"/>
  <c r="M1653" i="1" s="1"/>
  <c r="F1653" i="1"/>
  <c r="N1653" i="1" s="1"/>
  <c r="G1653" i="1"/>
  <c r="O1653" i="1" s="1"/>
  <c r="A1654" i="1"/>
  <c r="I1654" i="1" s="1"/>
  <c r="B1654" i="1"/>
  <c r="C1654" i="1"/>
  <c r="K1654" i="1" s="1"/>
  <c r="D1654" i="1"/>
  <c r="L1654" i="1" s="1"/>
  <c r="E1654" i="1"/>
  <c r="M1654" i="1" s="1"/>
  <c r="F1654" i="1"/>
  <c r="N1654" i="1" s="1"/>
  <c r="G1654" i="1"/>
  <c r="O1654" i="1" s="1"/>
  <c r="A1655" i="1"/>
  <c r="I1655" i="1" s="1"/>
  <c r="B1655" i="1"/>
  <c r="C1655" i="1"/>
  <c r="K1655" i="1" s="1"/>
  <c r="D1655" i="1"/>
  <c r="L1655" i="1" s="1"/>
  <c r="E1655" i="1"/>
  <c r="M1655" i="1" s="1"/>
  <c r="F1655" i="1"/>
  <c r="N1655" i="1" s="1"/>
  <c r="G1655" i="1"/>
  <c r="O1655" i="1" s="1"/>
  <c r="A1656" i="1"/>
  <c r="I1656" i="1" s="1"/>
  <c r="B1656" i="1"/>
  <c r="C1656" i="1"/>
  <c r="K1656" i="1" s="1"/>
  <c r="D1656" i="1"/>
  <c r="L1656" i="1" s="1"/>
  <c r="E1656" i="1"/>
  <c r="M1656" i="1" s="1"/>
  <c r="F1656" i="1"/>
  <c r="N1656" i="1" s="1"/>
  <c r="G1656" i="1"/>
  <c r="O1656" i="1" s="1"/>
  <c r="A1657" i="1"/>
  <c r="I1657" i="1" s="1"/>
  <c r="B1657" i="1"/>
  <c r="C1657" i="1"/>
  <c r="K1657" i="1" s="1"/>
  <c r="D1657" i="1"/>
  <c r="L1657" i="1" s="1"/>
  <c r="E1657" i="1"/>
  <c r="M1657" i="1" s="1"/>
  <c r="F1657" i="1"/>
  <c r="N1657" i="1" s="1"/>
  <c r="G1657" i="1"/>
  <c r="O1657" i="1" s="1"/>
  <c r="A1658" i="1"/>
  <c r="I1658" i="1" s="1"/>
  <c r="B1658" i="1"/>
  <c r="C1658" i="1"/>
  <c r="K1658" i="1" s="1"/>
  <c r="D1658" i="1"/>
  <c r="L1658" i="1" s="1"/>
  <c r="E1658" i="1"/>
  <c r="M1658" i="1" s="1"/>
  <c r="F1658" i="1"/>
  <c r="N1658" i="1" s="1"/>
  <c r="G1658" i="1"/>
  <c r="O1658" i="1" s="1"/>
  <c r="A1659" i="1"/>
  <c r="I1659" i="1" s="1"/>
  <c r="B1659" i="1"/>
  <c r="C1659" i="1"/>
  <c r="K1659" i="1" s="1"/>
  <c r="D1659" i="1"/>
  <c r="L1659" i="1" s="1"/>
  <c r="E1659" i="1"/>
  <c r="M1659" i="1" s="1"/>
  <c r="F1659" i="1"/>
  <c r="N1659" i="1" s="1"/>
  <c r="G1659" i="1"/>
  <c r="O1659" i="1" s="1"/>
  <c r="A1660" i="1"/>
  <c r="I1660" i="1" s="1"/>
  <c r="B1660" i="1"/>
  <c r="C1660" i="1"/>
  <c r="K1660" i="1" s="1"/>
  <c r="D1660" i="1"/>
  <c r="L1660" i="1" s="1"/>
  <c r="E1660" i="1"/>
  <c r="M1660" i="1" s="1"/>
  <c r="F1660" i="1"/>
  <c r="N1660" i="1" s="1"/>
  <c r="G1660" i="1"/>
  <c r="O1660" i="1" s="1"/>
  <c r="A1661" i="1"/>
  <c r="I1661" i="1" s="1"/>
  <c r="B1661" i="1"/>
  <c r="C1661" i="1"/>
  <c r="K1661" i="1" s="1"/>
  <c r="D1661" i="1"/>
  <c r="L1661" i="1" s="1"/>
  <c r="E1661" i="1"/>
  <c r="M1661" i="1" s="1"/>
  <c r="F1661" i="1"/>
  <c r="N1661" i="1" s="1"/>
  <c r="G1661" i="1"/>
  <c r="O1661" i="1" s="1"/>
  <c r="A1662" i="1"/>
  <c r="I1662" i="1" s="1"/>
  <c r="B1662" i="1"/>
  <c r="C1662" i="1"/>
  <c r="K1662" i="1" s="1"/>
  <c r="D1662" i="1"/>
  <c r="L1662" i="1" s="1"/>
  <c r="E1662" i="1"/>
  <c r="M1662" i="1" s="1"/>
  <c r="F1662" i="1"/>
  <c r="N1662" i="1" s="1"/>
  <c r="G1662" i="1"/>
  <c r="O1662" i="1" s="1"/>
  <c r="A1663" i="1"/>
  <c r="I1663" i="1" s="1"/>
  <c r="B1663" i="1"/>
  <c r="C1663" i="1"/>
  <c r="K1663" i="1" s="1"/>
  <c r="D1663" i="1"/>
  <c r="L1663" i="1" s="1"/>
  <c r="E1663" i="1"/>
  <c r="M1663" i="1" s="1"/>
  <c r="F1663" i="1"/>
  <c r="N1663" i="1" s="1"/>
  <c r="G1663" i="1"/>
  <c r="O1663" i="1" s="1"/>
  <c r="A1664" i="1"/>
  <c r="I1664" i="1" s="1"/>
  <c r="B1664" i="1"/>
  <c r="C1664" i="1"/>
  <c r="K1664" i="1" s="1"/>
  <c r="D1664" i="1"/>
  <c r="L1664" i="1" s="1"/>
  <c r="E1664" i="1"/>
  <c r="M1664" i="1" s="1"/>
  <c r="F1664" i="1"/>
  <c r="N1664" i="1" s="1"/>
  <c r="G1664" i="1"/>
  <c r="O1664" i="1" s="1"/>
  <c r="A1665" i="1"/>
  <c r="I1665" i="1" s="1"/>
  <c r="B1665" i="1"/>
  <c r="C1665" i="1"/>
  <c r="K1665" i="1" s="1"/>
  <c r="D1665" i="1"/>
  <c r="L1665" i="1" s="1"/>
  <c r="E1665" i="1"/>
  <c r="M1665" i="1" s="1"/>
  <c r="F1665" i="1"/>
  <c r="N1665" i="1" s="1"/>
  <c r="G1665" i="1"/>
  <c r="O1665" i="1" s="1"/>
  <c r="A1666" i="1"/>
  <c r="I1666" i="1" s="1"/>
  <c r="B1666" i="1"/>
  <c r="C1666" i="1"/>
  <c r="K1666" i="1" s="1"/>
  <c r="D1666" i="1"/>
  <c r="L1666" i="1" s="1"/>
  <c r="E1666" i="1"/>
  <c r="M1666" i="1" s="1"/>
  <c r="F1666" i="1"/>
  <c r="N1666" i="1" s="1"/>
  <c r="G1666" i="1"/>
  <c r="O1666" i="1" s="1"/>
  <c r="A1667" i="1"/>
  <c r="I1667" i="1" s="1"/>
  <c r="B1667" i="1"/>
  <c r="C1667" i="1"/>
  <c r="K1667" i="1" s="1"/>
  <c r="D1667" i="1"/>
  <c r="L1667" i="1" s="1"/>
  <c r="E1667" i="1"/>
  <c r="M1667" i="1" s="1"/>
  <c r="F1667" i="1"/>
  <c r="N1667" i="1" s="1"/>
  <c r="G1667" i="1"/>
  <c r="O1667" i="1" s="1"/>
  <c r="A1668" i="1"/>
  <c r="I1668" i="1" s="1"/>
  <c r="B1668" i="1"/>
  <c r="C1668" i="1"/>
  <c r="K1668" i="1" s="1"/>
  <c r="D1668" i="1"/>
  <c r="L1668" i="1" s="1"/>
  <c r="E1668" i="1"/>
  <c r="M1668" i="1" s="1"/>
  <c r="F1668" i="1"/>
  <c r="N1668" i="1" s="1"/>
  <c r="G1668" i="1"/>
  <c r="O1668" i="1" s="1"/>
  <c r="A1669" i="1"/>
  <c r="I1669" i="1" s="1"/>
  <c r="B1669" i="1"/>
  <c r="C1669" i="1"/>
  <c r="K1669" i="1" s="1"/>
  <c r="D1669" i="1"/>
  <c r="L1669" i="1" s="1"/>
  <c r="E1669" i="1"/>
  <c r="M1669" i="1" s="1"/>
  <c r="F1669" i="1"/>
  <c r="N1669" i="1" s="1"/>
  <c r="G1669" i="1"/>
  <c r="O1669" i="1" s="1"/>
  <c r="A1670" i="1"/>
  <c r="I1670" i="1" s="1"/>
  <c r="B1670" i="1"/>
  <c r="C1670" i="1"/>
  <c r="K1670" i="1" s="1"/>
  <c r="D1670" i="1"/>
  <c r="L1670" i="1" s="1"/>
  <c r="E1670" i="1"/>
  <c r="M1670" i="1" s="1"/>
  <c r="F1670" i="1"/>
  <c r="N1670" i="1" s="1"/>
  <c r="G1670" i="1"/>
  <c r="O1670" i="1" s="1"/>
  <c r="A1671" i="1"/>
  <c r="B1671" i="1"/>
  <c r="C1671" i="1"/>
  <c r="K1671" i="1" s="1"/>
  <c r="D1671" i="1"/>
  <c r="L1671" i="1" s="1"/>
  <c r="E1671" i="1"/>
  <c r="M1671" i="1" s="1"/>
  <c r="F1671" i="1"/>
  <c r="N1671" i="1" s="1"/>
  <c r="G1671" i="1"/>
  <c r="O1671" i="1" s="1"/>
  <c r="A1672" i="1"/>
  <c r="I1672" i="1" s="1"/>
  <c r="B1672" i="1"/>
  <c r="C1672" i="1"/>
  <c r="K1672" i="1" s="1"/>
  <c r="D1672" i="1"/>
  <c r="L1672" i="1" s="1"/>
  <c r="E1672" i="1"/>
  <c r="M1672" i="1" s="1"/>
  <c r="F1672" i="1"/>
  <c r="N1672" i="1" s="1"/>
  <c r="G1672" i="1"/>
  <c r="O1672" i="1" s="1"/>
  <c r="A1673" i="1"/>
  <c r="I1673" i="1" s="1"/>
  <c r="B1673" i="1"/>
  <c r="C1673" i="1"/>
  <c r="K1673" i="1" s="1"/>
  <c r="D1673" i="1"/>
  <c r="L1673" i="1" s="1"/>
  <c r="E1673" i="1"/>
  <c r="M1673" i="1" s="1"/>
  <c r="F1673" i="1"/>
  <c r="N1673" i="1" s="1"/>
  <c r="G1673" i="1"/>
  <c r="O1673" i="1" s="1"/>
  <c r="A1674" i="1"/>
  <c r="I1674" i="1" s="1"/>
  <c r="B1674" i="1"/>
  <c r="C1674" i="1"/>
  <c r="K1674" i="1" s="1"/>
  <c r="D1674" i="1"/>
  <c r="L1674" i="1" s="1"/>
  <c r="E1674" i="1"/>
  <c r="M1674" i="1" s="1"/>
  <c r="F1674" i="1"/>
  <c r="N1674" i="1" s="1"/>
  <c r="G1674" i="1"/>
  <c r="O1674" i="1" s="1"/>
  <c r="A1675" i="1"/>
  <c r="I1675" i="1" s="1"/>
  <c r="B1675" i="1"/>
  <c r="C1675" i="1"/>
  <c r="K1675" i="1" s="1"/>
  <c r="D1675" i="1"/>
  <c r="L1675" i="1" s="1"/>
  <c r="E1675" i="1"/>
  <c r="M1675" i="1" s="1"/>
  <c r="F1675" i="1"/>
  <c r="N1675" i="1" s="1"/>
  <c r="G1675" i="1"/>
  <c r="O1675" i="1" s="1"/>
  <c r="A1676" i="1"/>
  <c r="I1676" i="1" s="1"/>
  <c r="B1676" i="1"/>
  <c r="C1676" i="1"/>
  <c r="K1676" i="1" s="1"/>
  <c r="D1676" i="1"/>
  <c r="L1676" i="1" s="1"/>
  <c r="E1676" i="1"/>
  <c r="M1676" i="1" s="1"/>
  <c r="F1676" i="1"/>
  <c r="N1676" i="1" s="1"/>
  <c r="G1676" i="1"/>
  <c r="O1676" i="1" s="1"/>
  <c r="A1677" i="1"/>
  <c r="I1677" i="1" s="1"/>
  <c r="B1677" i="1"/>
  <c r="C1677" i="1"/>
  <c r="K1677" i="1" s="1"/>
  <c r="D1677" i="1"/>
  <c r="L1677" i="1" s="1"/>
  <c r="E1677" i="1"/>
  <c r="M1677" i="1" s="1"/>
  <c r="F1677" i="1"/>
  <c r="N1677" i="1" s="1"/>
  <c r="G1677" i="1"/>
  <c r="O1677" i="1" s="1"/>
  <c r="A1678" i="1"/>
  <c r="I1678" i="1" s="1"/>
  <c r="B1678" i="1"/>
  <c r="C1678" i="1"/>
  <c r="K1678" i="1" s="1"/>
  <c r="D1678" i="1"/>
  <c r="L1678" i="1" s="1"/>
  <c r="E1678" i="1"/>
  <c r="M1678" i="1" s="1"/>
  <c r="F1678" i="1"/>
  <c r="N1678" i="1" s="1"/>
  <c r="G1678" i="1"/>
  <c r="O1678" i="1" s="1"/>
  <c r="A1679" i="1"/>
  <c r="I1679" i="1" s="1"/>
  <c r="B1679" i="1"/>
  <c r="C1679" i="1"/>
  <c r="K1679" i="1" s="1"/>
  <c r="D1679" i="1"/>
  <c r="L1679" i="1" s="1"/>
  <c r="E1679" i="1"/>
  <c r="M1679" i="1" s="1"/>
  <c r="F1679" i="1"/>
  <c r="N1679" i="1" s="1"/>
  <c r="G1679" i="1"/>
  <c r="O1679" i="1" s="1"/>
  <c r="A1680" i="1"/>
  <c r="I1680" i="1" s="1"/>
  <c r="B1680" i="1"/>
  <c r="C1680" i="1"/>
  <c r="K1680" i="1" s="1"/>
  <c r="D1680" i="1"/>
  <c r="L1680" i="1" s="1"/>
  <c r="E1680" i="1"/>
  <c r="M1680" i="1" s="1"/>
  <c r="F1680" i="1"/>
  <c r="N1680" i="1" s="1"/>
  <c r="G1680" i="1"/>
  <c r="O1680" i="1" s="1"/>
  <c r="A1681" i="1"/>
  <c r="I1681" i="1" s="1"/>
  <c r="B1681" i="1"/>
  <c r="C1681" i="1"/>
  <c r="K1681" i="1" s="1"/>
  <c r="D1681" i="1"/>
  <c r="L1681" i="1" s="1"/>
  <c r="E1681" i="1"/>
  <c r="M1681" i="1" s="1"/>
  <c r="F1681" i="1"/>
  <c r="N1681" i="1" s="1"/>
  <c r="G1681" i="1"/>
  <c r="O1681" i="1" s="1"/>
  <c r="A1682" i="1"/>
  <c r="I1682" i="1" s="1"/>
  <c r="B1682" i="1"/>
  <c r="C1682" i="1"/>
  <c r="K1682" i="1" s="1"/>
  <c r="D1682" i="1"/>
  <c r="L1682" i="1" s="1"/>
  <c r="E1682" i="1"/>
  <c r="M1682" i="1" s="1"/>
  <c r="F1682" i="1"/>
  <c r="N1682" i="1" s="1"/>
  <c r="G1682" i="1"/>
  <c r="O1682" i="1" s="1"/>
  <c r="A1683" i="1"/>
  <c r="I1683" i="1" s="1"/>
  <c r="B1683" i="1"/>
  <c r="C1683" i="1"/>
  <c r="K1683" i="1" s="1"/>
  <c r="D1683" i="1"/>
  <c r="L1683" i="1" s="1"/>
  <c r="E1683" i="1"/>
  <c r="M1683" i="1" s="1"/>
  <c r="F1683" i="1"/>
  <c r="N1683" i="1" s="1"/>
  <c r="G1683" i="1"/>
  <c r="O1683" i="1" s="1"/>
  <c r="A1684" i="1"/>
  <c r="I1684" i="1" s="1"/>
  <c r="B1684" i="1"/>
  <c r="C1684" i="1"/>
  <c r="K1684" i="1" s="1"/>
  <c r="D1684" i="1"/>
  <c r="L1684" i="1" s="1"/>
  <c r="E1684" i="1"/>
  <c r="M1684" i="1" s="1"/>
  <c r="F1684" i="1"/>
  <c r="N1684" i="1" s="1"/>
  <c r="G1684" i="1"/>
  <c r="O1684" i="1" s="1"/>
  <c r="A1685" i="1"/>
  <c r="I1685" i="1" s="1"/>
  <c r="B1685" i="1"/>
  <c r="C1685" i="1"/>
  <c r="K1685" i="1" s="1"/>
  <c r="D1685" i="1"/>
  <c r="L1685" i="1" s="1"/>
  <c r="E1685" i="1"/>
  <c r="M1685" i="1" s="1"/>
  <c r="F1685" i="1"/>
  <c r="N1685" i="1" s="1"/>
  <c r="G1685" i="1"/>
  <c r="O1685" i="1" s="1"/>
  <c r="A1686" i="1"/>
  <c r="I1686" i="1" s="1"/>
  <c r="B1686" i="1"/>
  <c r="C1686" i="1"/>
  <c r="K1686" i="1" s="1"/>
  <c r="D1686" i="1"/>
  <c r="L1686" i="1" s="1"/>
  <c r="E1686" i="1"/>
  <c r="M1686" i="1" s="1"/>
  <c r="F1686" i="1"/>
  <c r="N1686" i="1" s="1"/>
  <c r="G1686" i="1"/>
  <c r="O1686" i="1" s="1"/>
  <c r="A1687" i="1"/>
  <c r="I1687" i="1" s="1"/>
  <c r="B1687" i="1"/>
  <c r="C1687" i="1"/>
  <c r="K1687" i="1" s="1"/>
  <c r="D1687" i="1"/>
  <c r="L1687" i="1" s="1"/>
  <c r="E1687" i="1"/>
  <c r="M1687" i="1" s="1"/>
  <c r="F1687" i="1"/>
  <c r="N1687" i="1" s="1"/>
  <c r="G1687" i="1"/>
  <c r="O1687" i="1" s="1"/>
  <c r="A1688" i="1"/>
  <c r="I1688" i="1" s="1"/>
  <c r="B1688" i="1"/>
  <c r="C1688" i="1"/>
  <c r="K1688" i="1" s="1"/>
  <c r="D1688" i="1"/>
  <c r="L1688" i="1" s="1"/>
  <c r="E1688" i="1"/>
  <c r="M1688" i="1" s="1"/>
  <c r="F1688" i="1"/>
  <c r="N1688" i="1" s="1"/>
  <c r="G1688" i="1"/>
  <c r="O1688" i="1" s="1"/>
  <c r="A1689" i="1"/>
  <c r="I1689" i="1" s="1"/>
  <c r="B1689" i="1"/>
  <c r="C1689" i="1"/>
  <c r="K1689" i="1" s="1"/>
  <c r="D1689" i="1"/>
  <c r="L1689" i="1" s="1"/>
  <c r="E1689" i="1"/>
  <c r="M1689" i="1" s="1"/>
  <c r="F1689" i="1"/>
  <c r="N1689" i="1" s="1"/>
  <c r="G1689" i="1"/>
  <c r="O1689" i="1" s="1"/>
  <c r="A1690" i="1"/>
  <c r="I1690" i="1" s="1"/>
  <c r="B1690" i="1"/>
  <c r="C1690" i="1"/>
  <c r="K1690" i="1" s="1"/>
  <c r="D1690" i="1"/>
  <c r="L1690" i="1" s="1"/>
  <c r="E1690" i="1"/>
  <c r="M1690" i="1" s="1"/>
  <c r="F1690" i="1"/>
  <c r="N1690" i="1" s="1"/>
  <c r="G1690" i="1"/>
  <c r="O1690" i="1" s="1"/>
  <c r="A1691" i="1"/>
  <c r="I1691" i="1" s="1"/>
  <c r="B1691" i="1"/>
  <c r="C1691" i="1"/>
  <c r="K1691" i="1" s="1"/>
  <c r="D1691" i="1"/>
  <c r="L1691" i="1" s="1"/>
  <c r="E1691" i="1"/>
  <c r="M1691" i="1" s="1"/>
  <c r="F1691" i="1"/>
  <c r="N1691" i="1" s="1"/>
  <c r="G1691" i="1"/>
  <c r="O1691" i="1" s="1"/>
  <c r="A1692" i="1"/>
  <c r="I1692" i="1" s="1"/>
  <c r="B1692" i="1"/>
  <c r="C1692" i="1"/>
  <c r="K1692" i="1" s="1"/>
  <c r="D1692" i="1"/>
  <c r="L1692" i="1" s="1"/>
  <c r="E1692" i="1"/>
  <c r="M1692" i="1" s="1"/>
  <c r="F1692" i="1"/>
  <c r="N1692" i="1" s="1"/>
  <c r="G1692" i="1"/>
  <c r="O1692" i="1" s="1"/>
  <c r="A1693" i="1"/>
  <c r="I1693" i="1" s="1"/>
  <c r="B1693" i="1"/>
  <c r="C1693" i="1"/>
  <c r="K1693" i="1" s="1"/>
  <c r="D1693" i="1"/>
  <c r="L1693" i="1" s="1"/>
  <c r="E1693" i="1"/>
  <c r="M1693" i="1" s="1"/>
  <c r="F1693" i="1"/>
  <c r="N1693" i="1" s="1"/>
  <c r="G1693" i="1"/>
  <c r="O1693" i="1" s="1"/>
  <c r="A1694" i="1"/>
  <c r="I1694" i="1" s="1"/>
  <c r="B1694" i="1"/>
  <c r="C1694" i="1"/>
  <c r="K1694" i="1" s="1"/>
  <c r="D1694" i="1"/>
  <c r="L1694" i="1" s="1"/>
  <c r="E1694" i="1"/>
  <c r="M1694" i="1" s="1"/>
  <c r="F1694" i="1"/>
  <c r="N1694" i="1" s="1"/>
  <c r="G1694" i="1"/>
  <c r="O1694" i="1" s="1"/>
  <c r="A1695" i="1"/>
  <c r="I1695" i="1" s="1"/>
  <c r="B1695" i="1"/>
  <c r="C1695" i="1"/>
  <c r="K1695" i="1" s="1"/>
  <c r="D1695" i="1"/>
  <c r="L1695" i="1" s="1"/>
  <c r="E1695" i="1"/>
  <c r="M1695" i="1" s="1"/>
  <c r="F1695" i="1"/>
  <c r="N1695" i="1" s="1"/>
  <c r="G1695" i="1"/>
  <c r="O1695" i="1" s="1"/>
  <c r="A1696" i="1"/>
  <c r="I1696" i="1" s="1"/>
  <c r="B1696" i="1"/>
  <c r="C1696" i="1"/>
  <c r="K1696" i="1" s="1"/>
  <c r="D1696" i="1"/>
  <c r="L1696" i="1" s="1"/>
  <c r="E1696" i="1"/>
  <c r="M1696" i="1" s="1"/>
  <c r="F1696" i="1"/>
  <c r="N1696" i="1" s="1"/>
  <c r="G1696" i="1"/>
  <c r="O1696" i="1" s="1"/>
  <c r="A1697" i="1"/>
  <c r="I1697" i="1" s="1"/>
  <c r="B1697" i="1"/>
  <c r="C1697" i="1"/>
  <c r="K1697" i="1" s="1"/>
  <c r="D1697" i="1"/>
  <c r="L1697" i="1" s="1"/>
  <c r="E1697" i="1"/>
  <c r="M1697" i="1" s="1"/>
  <c r="F1697" i="1"/>
  <c r="N1697" i="1" s="1"/>
  <c r="G1697" i="1"/>
  <c r="O1697" i="1" s="1"/>
  <c r="A1698" i="1"/>
  <c r="I1698" i="1" s="1"/>
  <c r="B1698" i="1"/>
  <c r="C1698" i="1"/>
  <c r="K1698" i="1" s="1"/>
  <c r="D1698" i="1"/>
  <c r="L1698" i="1" s="1"/>
  <c r="E1698" i="1"/>
  <c r="M1698" i="1" s="1"/>
  <c r="F1698" i="1"/>
  <c r="N1698" i="1" s="1"/>
  <c r="G1698" i="1"/>
  <c r="O1698" i="1" s="1"/>
  <c r="A1699" i="1"/>
  <c r="I1699" i="1" s="1"/>
  <c r="B1699" i="1"/>
  <c r="C1699" i="1"/>
  <c r="K1699" i="1" s="1"/>
  <c r="D1699" i="1"/>
  <c r="L1699" i="1" s="1"/>
  <c r="E1699" i="1"/>
  <c r="M1699" i="1" s="1"/>
  <c r="F1699" i="1"/>
  <c r="N1699" i="1" s="1"/>
  <c r="G1699" i="1"/>
  <c r="O1699" i="1" s="1"/>
  <c r="A1700" i="1"/>
  <c r="I1700" i="1" s="1"/>
  <c r="B1700" i="1"/>
  <c r="C1700" i="1"/>
  <c r="K1700" i="1" s="1"/>
  <c r="D1700" i="1"/>
  <c r="L1700" i="1" s="1"/>
  <c r="E1700" i="1"/>
  <c r="M1700" i="1" s="1"/>
  <c r="F1700" i="1"/>
  <c r="N1700" i="1" s="1"/>
  <c r="G1700" i="1"/>
  <c r="O1700" i="1" s="1"/>
  <c r="A1701" i="1"/>
  <c r="I1701" i="1" s="1"/>
  <c r="B1701" i="1"/>
  <c r="C1701" i="1"/>
  <c r="K1701" i="1" s="1"/>
  <c r="D1701" i="1"/>
  <c r="L1701" i="1" s="1"/>
  <c r="E1701" i="1"/>
  <c r="M1701" i="1" s="1"/>
  <c r="F1701" i="1"/>
  <c r="N1701" i="1" s="1"/>
  <c r="G1701" i="1"/>
  <c r="O1701" i="1" s="1"/>
  <c r="A1702" i="1"/>
  <c r="I1702" i="1" s="1"/>
  <c r="B1702" i="1"/>
  <c r="C1702" i="1"/>
  <c r="K1702" i="1" s="1"/>
  <c r="D1702" i="1"/>
  <c r="L1702" i="1" s="1"/>
  <c r="E1702" i="1"/>
  <c r="M1702" i="1" s="1"/>
  <c r="F1702" i="1"/>
  <c r="N1702" i="1" s="1"/>
  <c r="G1702" i="1"/>
  <c r="O1702" i="1" s="1"/>
  <c r="A1703" i="1"/>
  <c r="I1703" i="1" s="1"/>
  <c r="B1703" i="1"/>
  <c r="C1703" i="1"/>
  <c r="K1703" i="1" s="1"/>
  <c r="D1703" i="1"/>
  <c r="L1703" i="1" s="1"/>
  <c r="E1703" i="1"/>
  <c r="M1703" i="1" s="1"/>
  <c r="F1703" i="1"/>
  <c r="N1703" i="1" s="1"/>
  <c r="G1703" i="1"/>
  <c r="O1703" i="1" s="1"/>
  <c r="A1704" i="1"/>
  <c r="I1704" i="1" s="1"/>
  <c r="B1704" i="1"/>
  <c r="C1704" i="1"/>
  <c r="K1704" i="1" s="1"/>
  <c r="D1704" i="1"/>
  <c r="L1704" i="1" s="1"/>
  <c r="E1704" i="1"/>
  <c r="M1704" i="1" s="1"/>
  <c r="F1704" i="1"/>
  <c r="N1704" i="1" s="1"/>
  <c r="G1704" i="1"/>
  <c r="O1704" i="1" s="1"/>
  <c r="A1705" i="1"/>
  <c r="I1705" i="1" s="1"/>
  <c r="B1705" i="1"/>
  <c r="C1705" i="1"/>
  <c r="K1705" i="1" s="1"/>
  <c r="D1705" i="1"/>
  <c r="L1705" i="1" s="1"/>
  <c r="E1705" i="1"/>
  <c r="M1705" i="1" s="1"/>
  <c r="F1705" i="1"/>
  <c r="N1705" i="1" s="1"/>
  <c r="G1705" i="1"/>
  <c r="O1705" i="1" s="1"/>
  <c r="A1706" i="1"/>
  <c r="B1706" i="1"/>
  <c r="C1706" i="1"/>
  <c r="K1706" i="1" s="1"/>
  <c r="D1706" i="1"/>
  <c r="L1706" i="1" s="1"/>
  <c r="E1706" i="1"/>
  <c r="M1706" i="1" s="1"/>
  <c r="F1706" i="1"/>
  <c r="N1706" i="1" s="1"/>
  <c r="G1706" i="1"/>
  <c r="O1706" i="1" s="1"/>
  <c r="A1707" i="1"/>
  <c r="B1707" i="1"/>
  <c r="C1707" i="1"/>
  <c r="K1707" i="1" s="1"/>
  <c r="D1707" i="1"/>
  <c r="L1707" i="1" s="1"/>
  <c r="E1707" i="1"/>
  <c r="M1707" i="1" s="1"/>
  <c r="F1707" i="1"/>
  <c r="N1707" i="1" s="1"/>
  <c r="G1707" i="1"/>
  <c r="O1707" i="1" s="1"/>
  <c r="A1708" i="1"/>
  <c r="B1708" i="1"/>
  <c r="C1708" i="1"/>
  <c r="K1708" i="1" s="1"/>
  <c r="D1708" i="1"/>
  <c r="L1708" i="1" s="1"/>
  <c r="E1708" i="1"/>
  <c r="M1708" i="1" s="1"/>
  <c r="F1708" i="1"/>
  <c r="N1708" i="1" s="1"/>
  <c r="G1708" i="1"/>
  <c r="O1708" i="1" s="1"/>
  <c r="A1709" i="1"/>
  <c r="B1709" i="1"/>
  <c r="C1709" i="1"/>
  <c r="K1709" i="1" s="1"/>
  <c r="D1709" i="1"/>
  <c r="L1709" i="1" s="1"/>
  <c r="E1709" i="1"/>
  <c r="M1709" i="1" s="1"/>
  <c r="F1709" i="1"/>
  <c r="N1709" i="1" s="1"/>
  <c r="G1709" i="1"/>
  <c r="O1709" i="1" s="1"/>
  <c r="A1710" i="1"/>
  <c r="B1710" i="1"/>
  <c r="C1710" i="1"/>
  <c r="K1710" i="1" s="1"/>
  <c r="D1710" i="1"/>
  <c r="L1710" i="1" s="1"/>
  <c r="E1710" i="1"/>
  <c r="M1710" i="1" s="1"/>
  <c r="F1710" i="1"/>
  <c r="N1710" i="1" s="1"/>
  <c r="G1710" i="1"/>
  <c r="O1710" i="1" s="1"/>
  <c r="A1711" i="1"/>
  <c r="B1711" i="1"/>
  <c r="C1711" i="1"/>
  <c r="K1711" i="1" s="1"/>
  <c r="D1711" i="1"/>
  <c r="L1711" i="1" s="1"/>
  <c r="E1711" i="1"/>
  <c r="M1711" i="1" s="1"/>
  <c r="F1711" i="1"/>
  <c r="N1711" i="1" s="1"/>
  <c r="G1711" i="1"/>
  <c r="O1711" i="1" s="1"/>
  <c r="A1712" i="1"/>
  <c r="B1712" i="1"/>
  <c r="C1712" i="1"/>
  <c r="K1712" i="1" s="1"/>
  <c r="D1712" i="1"/>
  <c r="L1712" i="1" s="1"/>
  <c r="E1712" i="1"/>
  <c r="M1712" i="1" s="1"/>
  <c r="F1712" i="1"/>
  <c r="N1712" i="1" s="1"/>
  <c r="G1712" i="1"/>
  <c r="O1712" i="1" s="1"/>
  <c r="A1713" i="1"/>
  <c r="B1713" i="1"/>
  <c r="C1713" i="1"/>
  <c r="K1713" i="1" s="1"/>
  <c r="D1713" i="1"/>
  <c r="L1713" i="1" s="1"/>
  <c r="E1713" i="1"/>
  <c r="M1713" i="1" s="1"/>
  <c r="F1713" i="1"/>
  <c r="N1713" i="1" s="1"/>
  <c r="G1713" i="1"/>
  <c r="O1713" i="1" s="1"/>
  <c r="A1714" i="1"/>
  <c r="B1714" i="1"/>
  <c r="C1714" i="1"/>
  <c r="K1714" i="1" s="1"/>
  <c r="D1714" i="1"/>
  <c r="L1714" i="1" s="1"/>
  <c r="E1714" i="1"/>
  <c r="M1714" i="1" s="1"/>
  <c r="F1714" i="1"/>
  <c r="N1714" i="1" s="1"/>
  <c r="G1714" i="1"/>
  <c r="O1714" i="1" s="1"/>
  <c r="A1715" i="1"/>
  <c r="B1715" i="1"/>
  <c r="C1715" i="1"/>
  <c r="K1715" i="1" s="1"/>
  <c r="D1715" i="1"/>
  <c r="L1715" i="1" s="1"/>
  <c r="E1715" i="1"/>
  <c r="M1715" i="1" s="1"/>
  <c r="F1715" i="1"/>
  <c r="N1715" i="1" s="1"/>
  <c r="G1715" i="1"/>
  <c r="O1715" i="1" s="1"/>
  <c r="A1716" i="1"/>
  <c r="B1716" i="1"/>
  <c r="C1716" i="1"/>
  <c r="K1716" i="1" s="1"/>
  <c r="D1716" i="1"/>
  <c r="L1716" i="1" s="1"/>
  <c r="E1716" i="1"/>
  <c r="M1716" i="1" s="1"/>
  <c r="F1716" i="1"/>
  <c r="N1716" i="1" s="1"/>
  <c r="G1716" i="1"/>
  <c r="O1716" i="1" s="1"/>
  <c r="A1717" i="1"/>
  <c r="B1717" i="1"/>
  <c r="C1717" i="1"/>
  <c r="K1717" i="1" s="1"/>
  <c r="D1717" i="1"/>
  <c r="L1717" i="1" s="1"/>
  <c r="E1717" i="1"/>
  <c r="M1717" i="1" s="1"/>
  <c r="F1717" i="1"/>
  <c r="N1717" i="1" s="1"/>
  <c r="G1717" i="1"/>
  <c r="O1717" i="1" s="1"/>
  <c r="A1718" i="1"/>
  <c r="B1718" i="1"/>
  <c r="C1718" i="1"/>
  <c r="K1718" i="1" s="1"/>
  <c r="D1718" i="1"/>
  <c r="L1718" i="1" s="1"/>
  <c r="E1718" i="1"/>
  <c r="M1718" i="1" s="1"/>
  <c r="F1718" i="1"/>
  <c r="N1718" i="1" s="1"/>
  <c r="G1718" i="1"/>
  <c r="O1718" i="1" s="1"/>
  <c r="A1719" i="1"/>
  <c r="B1719" i="1"/>
  <c r="C1719" i="1"/>
  <c r="K1719" i="1" s="1"/>
  <c r="D1719" i="1"/>
  <c r="L1719" i="1" s="1"/>
  <c r="E1719" i="1"/>
  <c r="M1719" i="1" s="1"/>
  <c r="F1719" i="1"/>
  <c r="N1719" i="1" s="1"/>
  <c r="G1719" i="1"/>
  <c r="O1719" i="1" s="1"/>
  <c r="A1720" i="1"/>
  <c r="B1720" i="1"/>
  <c r="C1720" i="1"/>
  <c r="K1720" i="1" s="1"/>
  <c r="D1720" i="1"/>
  <c r="L1720" i="1" s="1"/>
  <c r="E1720" i="1"/>
  <c r="M1720" i="1" s="1"/>
  <c r="F1720" i="1"/>
  <c r="N1720" i="1" s="1"/>
  <c r="G1720" i="1"/>
  <c r="O1720" i="1" s="1"/>
  <c r="A1721" i="1"/>
  <c r="B1721" i="1"/>
  <c r="C1721" i="1"/>
  <c r="K1721" i="1" s="1"/>
  <c r="D1721" i="1"/>
  <c r="L1721" i="1" s="1"/>
  <c r="E1721" i="1"/>
  <c r="M1721" i="1" s="1"/>
  <c r="F1721" i="1"/>
  <c r="N1721" i="1" s="1"/>
  <c r="G1721" i="1"/>
  <c r="O1721" i="1" s="1"/>
  <c r="A1722" i="1"/>
  <c r="B1722" i="1"/>
  <c r="C1722" i="1"/>
  <c r="K1722" i="1" s="1"/>
  <c r="D1722" i="1"/>
  <c r="L1722" i="1" s="1"/>
  <c r="E1722" i="1"/>
  <c r="M1722" i="1" s="1"/>
  <c r="F1722" i="1"/>
  <c r="N1722" i="1" s="1"/>
  <c r="G1722" i="1"/>
  <c r="O1722" i="1" s="1"/>
  <c r="A1723" i="1"/>
  <c r="B1723" i="1"/>
  <c r="C1723" i="1"/>
  <c r="K1723" i="1" s="1"/>
  <c r="D1723" i="1"/>
  <c r="L1723" i="1" s="1"/>
  <c r="E1723" i="1"/>
  <c r="M1723" i="1" s="1"/>
  <c r="F1723" i="1"/>
  <c r="N1723" i="1" s="1"/>
  <c r="G1723" i="1"/>
  <c r="O1723" i="1" s="1"/>
  <c r="A1724" i="1"/>
  <c r="B1724" i="1"/>
  <c r="C1724" i="1"/>
  <c r="K1724" i="1" s="1"/>
  <c r="D1724" i="1"/>
  <c r="L1724" i="1" s="1"/>
  <c r="E1724" i="1"/>
  <c r="M1724" i="1" s="1"/>
  <c r="F1724" i="1"/>
  <c r="N1724" i="1" s="1"/>
  <c r="G1724" i="1"/>
  <c r="O1724" i="1" s="1"/>
  <c r="A1725" i="1"/>
  <c r="B1725" i="1"/>
  <c r="C1725" i="1"/>
  <c r="K1725" i="1" s="1"/>
  <c r="D1725" i="1"/>
  <c r="L1725" i="1" s="1"/>
  <c r="E1725" i="1"/>
  <c r="M1725" i="1" s="1"/>
  <c r="F1725" i="1"/>
  <c r="N1725" i="1" s="1"/>
  <c r="G1725" i="1"/>
  <c r="O1725" i="1" s="1"/>
  <c r="A1726" i="1"/>
  <c r="B1726" i="1"/>
  <c r="C1726" i="1"/>
  <c r="K1726" i="1" s="1"/>
  <c r="D1726" i="1"/>
  <c r="L1726" i="1" s="1"/>
  <c r="E1726" i="1"/>
  <c r="M1726" i="1" s="1"/>
  <c r="F1726" i="1"/>
  <c r="N1726" i="1" s="1"/>
  <c r="G1726" i="1"/>
  <c r="O1726" i="1" s="1"/>
  <c r="A1727" i="1"/>
  <c r="I1727" i="1" s="1"/>
  <c r="B1727" i="1"/>
  <c r="C1727" i="1"/>
  <c r="K1727" i="1" s="1"/>
  <c r="D1727" i="1"/>
  <c r="L1727" i="1" s="1"/>
  <c r="E1727" i="1"/>
  <c r="M1727" i="1" s="1"/>
  <c r="F1727" i="1"/>
  <c r="N1727" i="1" s="1"/>
  <c r="G1727" i="1"/>
  <c r="O1727" i="1" s="1"/>
  <c r="A1728" i="1"/>
  <c r="I1728" i="1" s="1"/>
  <c r="B1728" i="1"/>
  <c r="C1728" i="1"/>
  <c r="K1728" i="1" s="1"/>
  <c r="D1728" i="1"/>
  <c r="L1728" i="1" s="1"/>
  <c r="E1728" i="1"/>
  <c r="M1728" i="1" s="1"/>
  <c r="F1728" i="1"/>
  <c r="N1728" i="1" s="1"/>
  <c r="G1728" i="1"/>
  <c r="O1728" i="1" s="1"/>
  <c r="A1729" i="1"/>
  <c r="I1729" i="1" s="1"/>
  <c r="B1729" i="1"/>
  <c r="C1729" i="1"/>
  <c r="K1729" i="1" s="1"/>
  <c r="D1729" i="1"/>
  <c r="L1729" i="1" s="1"/>
  <c r="E1729" i="1"/>
  <c r="M1729" i="1" s="1"/>
  <c r="F1729" i="1"/>
  <c r="N1729" i="1" s="1"/>
  <c r="G1729" i="1"/>
  <c r="O1729" i="1" s="1"/>
  <c r="A1730" i="1"/>
  <c r="I1730" i="1" s="1"/>
  <c r="B1730" i="1"/>
  <c r="C1730" i="1"/>
  <c r="K1730" i="1" s="1"/>
  <c r="D1730" i="1"/>
  <c r="L1730" i="1" s="1"/>
  <c r="E1730" i="1"/>
  <c r="M1730" i="1" s="1"/>
  <c r="F1730" i="1"/>
  <c r="N1730" i="1" s="1"/>
  <c r="G1730" i="1"/>
  <c r="O1730" i="1" s="1"/>
  <c r="A1731" i="1"/>
  <c r="I1731" i="1" s="1"/>
  <c r="B1731" i="1"/>
  <c r="C1731" i="1"/>
  <c r="K1731" i="1" s="1"/>
  <c r="D1731" i="1"/>
  <c r="L1731" i="1" s="1"/>
  <c r="E1731" i="1"/>
  <c r="M1731" i="1" s="1"/>
  <c r="F1731" i="1"/>
  <c r="N1731" i="1" s="1"/>
  <c r="G1731" i="1"/>
  <c r="O1731" i="1" s="1"/>
  <c r="A1732" i="1"/>
  <c r="I1732" i="1" s="1"/>
  <c r="B1732" i="1"/>
  <c r="C1732" i="1"/>
  <c r="K1732" i="1" s="1"/>
  <c r="D1732" i="1"/>
  <c r="L1732" i="1" s="1"/>
  <c r="E1732" i="1"/>
  <c r="M1732" i="1" s="1"/>
  <c r="F1732" i="1"/>
  <c r="N1732" i="1" s="1"/>
  <c r="G1732" i="1"/>
  <c r="O1732" i="1" s="1"/>
  <c r="A1733" i="1"/>
  <c r="I1733" i="1" s="1"/>
  <c r="B1733" i="1"/>
  <c r="C1733" i="1"/>
  <c r="K1733" i="1" s="1"/>
  <c r="D1733" i="1"/>
  <c r="L1733" i="1" s="1"/>
  <c r="E1733" i="1"/>
  <c r="M1733" i="1" s="1"/>
  <c r="F1733" i="1"/>
  <c r="N1733" i="1" s="1"/>
  <c r="G1733" i="1"/>
  <c r="O1733" i="1" s="1"/>
  <c r="A1734" i="1"/>
  <c r="I1734" i="1" s="1"/>
  <c r="B1734" i="1"/>
  <c r="C1734" i="1"/>
  <c r="K1734" i="1" s="1"/>
  <c r="D1734" i="1"/>
  <c r="L1734" i="1" s="1"/>
  <c r="E1734" i="1"/>
  <c r="M1734" i="1" s="1"/>
  <c r="F1734" i="1"/>
  <c r="N1734" i="1" s="1"/>
  <c r="G1734" i="1"/>
  <c r="O1734" i="1" s="1"/>
  <c r="A1735" i="1"/>
  <c r="I1735" i="1" s="1"/>
  <c r="B1735" i="1"/>
  <c r="C1735" i="1"/>
  <c r="K1735" i="1" s="1"/>
  <c r="D1735" i="1"/>
  <c r="L1735" i="1" s="1"/>
  <c r="E1735" i="1"/>
  <c r="M1735" i="1" s="1"/>
  <c r="F1735" i="1"/>
  <c r="N1735" i="1" s="1"/>
  <c r="G1735" i="1"/>
  <c r="O1735" i="1" s="1"/>
  <c r="A1736" i="1"/>
  <c r="I1736" i="1" s="1"/>
  <c r="B1736" i="1"/>
  <c r="C1736" i="1"/>
  <c r="K1736" i="1" s="1"/>
  <c r="D1736" i="1"/>
  <c r="L1736" i="1" s="1"/>
  <c r="E1736" i="1"/>
  <c r="M1736" i="1" s="1"/>
  <c r="F1736" i="1"/>
  <c r="N1736" i="1" s="1"/>
  <c r="G1736" i="1"/>
  <c r="O1736" i="1" s="1"/>
  <c r="A1737" i="1"/>
  <c r="I1737" i="1" s="1"/>
  <c r="B1737" i="1"/>
  <c r="C1737" i="1"/>
  <c r="K1737" i="1" s="1"/>
  <c r="D1737" i="1"/>
  <c r="L1737" i="1" s="1"/>
  <c r="E1737" i="1"/>
  <c r="M1737" i="1" s="1"/>
  <c r="F1737" i="1"/>
  <c r="N1737" i="1" s="1"/>
  <c r="G1737" i="1"/>
  <c r="O1737" i="1" s="1"/>
  <c r="A1738" i="1"/>
  <c r="I1738" i="1" s="1"/>
  <c r="B1738" i="1"/>
  <c r="C1738" i="1"/>
  <c r="K1738" i="1" s="1"/>
  <c r="D1738" i="1"/>
  <c r="L1738" i="1" s="1"/>
  <c r="E1738" i="1"/>
  <c r="M1738" i="1" s="1"/>
  <c r="F1738" i="1"/>
  <c r="N1738" i="1" s="1"/>
  <c r="G1738" i="1"/>
  <c r="O1738" i="1" s="1"/>
  <c r="A1739" i="1"/>
  <c r="I1739" i="1" s="1"/>
  <c r="B1739" i="1"/>
  <c r="C1739" i="1"/>
  <c r="K1739" i="1" s="1"/>
  <c r="D1739" i="1"/>
  <c r="L1739" i="1" s="1"/>
  <c r="E1739" i="1"/>
  <c r="M1739" i="1" s="1"/>
  <c r="F1739" i="1"/>
  <c r="N1739" i="1" s="1"/>
  <c r="G1739" i="1"/>
  <c r="O1739" i="1" s="1"/>
  <c r="A1740" i="1"/>
  <c r="I1740" i="1" s="1"/>
  <c r="B1740" i="1"/>
  <c r="C1740" i="1"/>
  <c r="K1740" i="1" s="1"/>
  <c r="D1740" i="1"/>
  <c r="L1740" i="1" s="1"/>
  <c r="E1740" i="1"/>
  <c r="M1740" i="1" s="1"/>
  <c r="F1740" i="1"/>
  <c r="N1740" i="1" s="1"/>
  <c r="G1740" i="1"/>
  <c r="O1740" i="1" s="1"/>
  <c r="A1741" i="1"/>
  <c r="I1741" i="1" s="1"/>
  <c r="B1741" i="1"/>
  <c r="C1741" i="1"/>
  <c r="K1741" i="1" s="1"/>
  <c r="D1741" i="1"/>
  <c r="L1741" i="1" s="1"/>
  <c r="E1741" i="1"/>
  <c r="M1741" i="1" s="1"/>
  <c r="F1741" i="1"/>
  <c r="N1741" i="1" s="1"/>
  <c r="G1741" i="1"/>
  <c r="O1741" i="1" s="1"/>
  <c r="A1742" i="1"/>
  <c r="I1742" i="1" s="1"/>
  <c r="B1742" i="1"/>
  <c r="C1742" i="1"/>
  <c r="K1742" i="1" s="1"/>
  <c r="D1742" i="1"/>
  <c r="L1742" i="1" s="1"/>
  <c r="E1742" i="1"/>
  <c r="M1742" i="1" s="1"/>
  <c r="F1742" i="1"/>
  <c r="N1742" i="1" s="1"/>
  <c r="G1742" i="1"/>
  <c r="O1742" i="1" s="1"/>
  <c r="A1743" i="1"/>
  <c r="I1743" i="1" s="1"/>
  <c r="B1743" i="1"/>
  <c r="C1743" i="1"/>
  <c r="K1743" i="1" s="1"/>
  <c r="D1743" i="1"/>
  <c r="L1743" i="1" s="1"/>
  <c r="E1743" i="1"/>
  <c r="M1743" i="1" s="1"/>
  <c r="F1743" i="1"/>
  <c r="N1743" i="1" s="1"/>
  <c r="G1743" i="1"/>
  <c r="O1743" i="1" s="1"/>
  <c r="A1744" i="1"/>
  <c r="I1744" i="1" s="1"/>
  <c r="B1744" i="1"/>
  <c r="C1744" i="1"/>
  <c r="K1744" i="1" s="1"/>
  <c r="D1744" i="1"/>
  <c r="L1744" i="1" s="1"/>
  <c r="E1744" i="1"/>
  <c r="M1744" i="1" s="1"/>
  <c r="F1744" i="1"/>
  <c r="N1744" i="1" s="1"/>
  <c r="G1744" i="1"/>
  <c r="O1744" i="1" s="1"/>
  <c r="A1745" i="1"/>
  <c r="I1745" i="1" s="1"/>
  <c r="B1745" i="1"/>
  <c r="C1745" i="1"/>
  <c r="K1745" i="1" s="1"/>
  <c r="D1745" i="1"/>
  <c r="L1745" i="1" s="1"/>
  <c r="E1745" i="1"/>
  <c r="M1745" i="1" s="1"/>
  <c r="F1745" i="1"/>
  <c r="N1745" i="1" s="1"/>
  <c r="G1745" i="1"/>
  <c r="O1745" i="1" s="1"/>
  <c r="A1746" i="1"/>
  <c r="I1746" i="1" s="1"/>
  <c r="B1746" i="1"/>
  <c r="C1746" i="1"/>
  <c r="K1746" i="1" s="1"/>
  <c r="D1746" i="1"/>
  <c r="L1746" i="1" s="1"/>
  <c r="E1746" i="1"/>
  <c r="M1746" i="1" s="1"/>
  <c r="F1746" i="1"/>
  <c r="N1746" i="1" s="1"/>
  <c r="G1746" i="1"/>
  <c r="O1746" i="1" s="1"/>
  <c r="A1747" i="1"/>
  <c r="I1747" i="1" s="1"/>
  <c r="B1747" i="1"/>
  <c r="C1747" i="1"/>
  <c r="K1747" i="1" s="1"/>
  <c r="D1747" i="1"/>
  <c r="L1747" i="1" s="1"/>
  <c r="E1747" i="1"/>
  <c r="M1747" i="1" s="1"/>
  <c r="F1747" i="1"/>
  <c r="N1747" i="1" s="1"/>
  <c r="G1747" i="1"/>
  <c r="O1747" i="1" s="1"/>
  <c r="A1748" i="1"/>
  <c r="I1748" i="1" s="1"/>
  <c r="B1748" i="1"/>
  <c r="C1748" i="1"/>
  <c r="K1748" i="1" s="1"/>
  <c r="D1748" i="1"/>
  <c r="L1748" i="1" s="1"/>
  <c r="E1748" i="1"/>
  <c r="M1748" i="1" s="1"/>
  <c r="F1748" i="1"/>
  <c r="N1748" i="1" s="1"/>
  <c r="G1748" i="1"/>
  <c r="O1748" i="1" s="1"/>
  <c r="A1749" i="1"/>
  <c r="I1749" i="1" s="1"/>
  <c r="B1749" i="1"/>
  <c r="C1749" i="1"/>
  <c r="K1749" i="1" s="1"/>
  <c r="D1749" i="1"/>
  <c r="L1749" i="1" s="1"/>
  <c r="E1749" i="1"/>
  <c r="M1749" i="1" s="1"/>
  <c r="F1749" i="1"/>
  <c r="N1749" i="1" s="1"/>
  <c r="G1749" i="1"/>
  <c r="O1749" i="1" s="1"/>
  <c r="A1750" i="1"/>
  <c r="I1750" i="1" s="1"/>
  <c r="B1750" i="1"/>
  <c r="C1750" i="1"/>
  <c r="K1750" i="1" s="1"/>
  <c r="D1750" i="1"/>
  <c r="L1750" i="1" s="1"/>
  <c r="E1750" i="1"/>
  <c r="M1750" i="1" s="1"/>
  <c r="F1750" i="1"/>
  <c r="N1750" i="1" s="1"/>
  <c r="G1750" i="1"/>
  <c r="O1750" i="1" s="1"/>
  <c r="A1751" i="1"/>
  <c r="I1751" i="1" s="1"/>
  <c r="B1751" i="1"/>
  <c r="C1751" i="1"/>
  <c r="K1751" i="1" s="1"/>
  <c r="D1751" i="1"/>
  <c r="L1751" i="1" s="1"/>
  <c r="E1751" i="1"/>
  <c r="M1751" i="1" s="1"/>
  <c r="F1751" i="1"/>
  <c r="N1751" i="1" s="1"/>
  <c r="G1751" i="1"/>
  <c r="O1751" i="1" s="1"/>
  <c r="A1752" i="1"/>
  <c r="I1752" i="1" s="1"/>
  <c r="B1752" i="1"/>
  <c r="C1752" i="1"/>
  <c r="K1752" i="1" s="1"/>
  <c r="D1752" i="1"/>
  <c r="L1752" i="1" s="1"/>
  <c r="E1752" i="1"/>
  <c r="M1752" i="1" s="1"/>
  <c r="F1752" i="1"/>
  <c r="N1752" i="1" s="1"/>
  <c r="G1752" i="1"/>
  <c r="O1752" i="1" s="1"/>
  <c r="A1753" i="1"/>
  <c r="I1753" i="1" s="1"/>
  <c r="B1753" i="1"/>
  <c r="C1753" i="1"/>
  <c r="K1753" i="1" s="1"/>
  <c r="D1753" i="1"/>
  <c r="L1753" i="1" s="1"/>
  <c r="E1753" i="1"/>
  <c r="M1753" i="1" s="1"/>
  <c r="F1753" i="1"/>
  <c r="N1753" i="1" s="1"/>
  <c r="G1753" i="1"/>
  <c r="O1753" i="1" s="1"/>
  <c r="A1754" i="1"/>
  <c r="I1754" i="1" s="1"/>
  <c r="B1754" i="1"/>
  <c r="C1754" i="1"/>
  <c r="K1754" i="1" s="1"/>
  <c r="D1754" i="1"/>
  <c r="L1754" i="1" s="1"/>
  <c r="E1754" i="1"/>
  <c r="M1754" i="1" s="1"/>
  <c r="F1754" i="1"/>
  <c r="N1754" i="1" s="1"/>
  <c r="G1754" i="1"/>
  <c r="O1754" i="1" s="1"/>
  <c r="A1755" i="1"/>
  <c r="I1755" i="1" s="1"/>
  <c r="B1755" i="1"/>
  <c r="C1755" i="1"/>
  <c r="K1755" i="1" s="1"/>
  <c r="D1755" i="1"/>
  <c r="L1755" i="1" s="1"/>
  <c r="E1755" i="1"/>
  <c r="M1755" i="1" s="1"/>
  <c r="F1755" i="1"/>
  <c r="N1755" i="1" s="1"/>
  <c r="G1755" i="1"/>
  <c r="O1755" i="1" s="1"/>
  <c r="A1756" i="1"/>
  <c r="I1756" i="1" s="1"/>
  <c r="B1756" i="1"/>
  <c r="C1756" i="1"/>
  <c r="K1756" i="1" s="1"/>
  <c r="D1756" i="1"/>
  <c r="L1756" i="1" s="1"/>
  <c r="E1756" i="1"/>
  <c r="M1756" i="1" s="1"/>
  <c r="F1756" i="1"/>
  <c r="N1756" i="1" s="1"/>
  <c r="G1756" i="1"/>
  <c r="O1756" i="1" s="1"/>
  <c r="A1757" i="1"/>
  <c r="I1757" i="1" s="1"/>
  <c r="B1757" i="1"/>
  <c r="C1757" i="1"/>
  <c r="K1757" i="1" s="1"/>
  <c r="D1757" i="1"/>
  <c r="L1757" i="1" s="1"/>
  <c r="E1757" i="1"/>
  <c r="M1757" i="1" s="1"/>
  <c r="F1757" i="1"/>
  <c r="N1757" i="1" s="1"/>
  <c r="G1757" i="1"/>
  <c r="O1757" i="1" s="1"/>
  <c r="A1758" i="1"/>
  <c r="I1758" i="1" s="1"/>
  <c r="B1758" i="1"/>
  <c r="C1758" i="1"/>
  <c r="K1758" i="1" s="1"/>
  <c r="D1758" i="1"/>
  <c r="L1758" i="1" s="1"/>
  <c r="E1758" i="1"/>
  <c r="M1758" i="1" s="1"/>
  <c r="F1758" i="1"/>
  <c r="N1758" i="1" s="1"/>
  <c r="G1758" i="1"/>
  <c r="O1758" i="1" s="1"/>
  <c r="A1759" i="1"/>
  <c r="I1759" i="1" s="1"/>
  <c r="B1759" i="1"/>
  <c r="C1759" i="1"/>
  <c r="K1759" i="1" s="1"/>
  <c r="D1759" i="1"/>
  <c r="L1759" i="1" s="1"/>
  <c r="E1759" i="1"/>
  <c r="M1759" i="1" s="1"/>
  <c r="F1759" i="1"/>
  <c r="N1759" i="1" s="1"/>
  <c r="G1759" i="1"/>
  <c r="O1759" i="1" s="1"/>
  <c r="A1760" i="1"/>
  <c r="I1760" i="1" s="1"/>
  <c r="B1760" i="1"/>
  <c r="C1760" i="1"/>
  <c r="K1760" i="1" s="1"/>
  <c r="D1760" i="1"/>
  <c r="L1760" i="1" s="1"/>
  <c r="E1760" i="1"/>
  <c r="M1760" i="1" s="1"/>
  <c r="F1760" i="1"/>
  <c r="N1760" i="1" s="1"/>
  <c r="G1760" i="1"/>
  <c r="O1760" i="1" s="1"/>
  <c r="A1761" i="1"/>
  <c r="I1761" i="1" s="1"/>
  <c r="B1761" i="1"/>
  <c r="C1761" i="1"/>
  <c r="K1761" i="1" s="1"/>
  <c r="D1761" i="1"/>
  <c r="L1761" i="1" s="1"/>
  <c r="E1761" i="1"/>
  <c r="M1761" i="1" s="1"/>
  <c r="F1761" i="1"/>
  <c r="N1761" i="1" s="1"/>
  <c r="G1761" i="1"/>
  <c r="O1761" i="1" s="1"/>
  <c r="A1762" i="1"/>
  <c r="I1762" i="1" s="1"/>
  <c r="B1762" i="1"/>
  <c r="C1762" i="1"/>
  <c r="K1762" i="1" s="1"/>
  <c r="D1762" i="1"/>
  <c r="L1762" i="1" s="1"/>
  <c r="E1762" i="1"/>
  <c r="M1762" i="1" s="1"/>
  <c r="F1762" i="1"/>
  <c r="N1762" i="1" s="1"/>
  <c r="G1762" i="1"/>
  <c r="O1762" i="1" s="1"/>
  <c r="A1763" i="1"/>
  <c r="I1763" i="1" s="1"/>
  <c r="B1763" i="1"/>
  <c r="C1763" i="1"/>
  <c r="K1763" i="1" s="1"/>
  <c r="D1763" i="1"/>
  <c r="L1763" i="1" s="1"/>
  <c r="E1763" i="1"/>
  <c r="M1763" i="1" s="1"/>
  <c r="F1763" i="1"/>
  <c r="N1763" i="1" s="1"/>
  <c r="G1763" i="1"/>
  <c r="O1763" i="1" s="1"/>
  <c r="A1764" i="1"/>
  <c r="I1764" i="1" s="1"/>
  <c r="B1764" i="1"/>
  <c r="C1764" i="1"/>
  <c r="K1764" i="1" s="1"/>
  <c r="D1764" i="1"/>
  <c r="L1764" i="1" s="1"/>
  <c r="E1764" i="1"/>
  <c r="M1764" i="1" s="1"/>
  <c r="F1764" i="1"/>
  <c r="N1764" i="1" s="1"/>
  <c r="G1764" i="1"/>
  <c r="O1764" i="1" s="1"/>
  <c r="A1765" i="1"/>
  <c r="I1765" i="1" s="1"/>
  <c r="B1765" i="1"/>
  <c r="C1765" i="1"/>
  <c r="K1765" i="1" s="1"/>
  <c r="D1765" i="1"/>
  <c r="L1765" i="1" s="1"/>
  <c r="E1765" i="1"/>
  <c r="M1765" i="1" s="1"/>
  <c r="F1765" i="1"/>
  <c r="N1765" i="1" s="1"/>
  <c r="G1765" i="1"/>
  <c r="O1765" i="1" s="1"/>
  <c r="A1766" i="1"/>
  <c r="I1766" i="1" s="1"/>
  <c r="B1766" i="1"/>
  <c r="C1766" i="1"/>
  <c r="K1766" i="1" s="1"/>
  <c r="D1766" i="1"/>
  <c r="L1766" i="1" s="1"/>
  <c r="E1766" i="1"/>
  <c r="M1766" i="1" s="1"/>
  <c r="F1766" i="1"/>
  <c r="N1766" i="1" s="1"/>
  <c r="G1766" i="1"/>
  <c r="O1766" i="1" s="1"/>
  <c r="A1767" i="1"/>
  <c r="I1767" i="1" s="1"/>
  <c r="B1767" i="1"/>
  <c r="C1767" i="1"/>
  <c r="K1767" i="1" s="1"/>
  <c r="D1767" i="1"/>
  <c r="L1767" i="1" s="1"/>
  <c r="E1767" i="1"/>
  <c r="M1767" i="1" s="1"/>
  <c r="F1767" i="1"/>
  <c r="N1767" i="1" s="1"/>
  <c r="G1767" i="1"/>
  <c r="O1767" i="1" s="1"/>
  <c r="A1768" i="1"/>
  <c r="I1768" i="1" s="1"/>
  <c r="B1768" i="1"/>
  <c r="C1768" i="1"/>
  <c r="K1768" i="1" s="1"/>
  <c r="D1768" i="1"/>
  <c r="L1768" i="1" s="1"/>
  <c r="E1768" i="1"/>
  <c r="M1768" i="1" s="1"/>
  <c r="F1768" i="1"/>
  <c r="N1768" i="1" s="1"/>
  <c r="G1768" i="1"/>
  <c r="O1768" i="1" s="1"/>
  <c r="A1769" i="1"/>
  <c r="I1769" i="1" s="1"/>
  <c r="B1769" i="1"/>
  <c r="C1769" i="1"/>
  <c r="K1769" i="1" s="1"/>
  <c r="D1769" i="1"/>
  <c r="L1769" i="1" s="1"/>
  <c r="E1769" i="1"/>
  <c r="M1769" i="1" s="1"/>
  <c r="F1769" i="1"/>
  <c r="N1769" i="1" s="1"/>
  <c r="G1769" i="1"/>
  <c r="O1769" i="1" s="1"/>
  <c r="A1770" i="1"/>
  <c r="I1770" i="1" s="1"/>
  <c r="B1770" i="1"/>
  <c r="C1770" i="1"/>
  <c r="K1770" i="1" s="1"/>
  <c r="D1770" i="1"/>
  <c r="L1770" i="1" s="1"/>
  <c r="E1770" i="1"/>
  <c r="M1770" i="1" s="1"/>
  <c r="F1770" i="1"/>
  <c r="N1770" i="1" s="1"/>
  <c r="G1770" i="1"/>
  <c r="O1770" i="1" s="1"/>
  <c r="A1771" i="1"/>
  <c r="I1771" i="1" s="1"/>
  <c r="B1771" i="1"/>
  <c r="C1771" i="1"/>
  <c r="K1771" i="1" s="1"/>
  <c r="D1771" i="1"/>
  <c r="L1771" i="1" s="1"/>
  <c r="E1771" i="1"/>
  <c r="M1771" i="1" s="1"/>
  <c r="F1771" i="1"/>
  <c r="N1771" i="1" s="1"/>
  <c r="G1771" i="1"/>
  <c r="O1771" i="1" s="1"/>
  <c r="A1772" i="1"/>
  <c r="I1772" i="1" s="1"/>
  <c r="B1772" i="1"/>
  <c r="C1772" i="1"/>
  <c r="K1772" i="1" s="1"/>
  <c r="D1772" i="1"/>
  <c r="L1772" i="1" s="1"/>
  <c r="E1772" i="1"/>
  <c r="M1772" i="1" s="1"/>
  <c r="F1772" i="1"/>
  <c r="N1772" i="1" s="1"/>
  <c r="G1772" i="1"/>
  <c r="O1772" i="1" s="1"/>
  <c r="A1773" i="1"/>
  <c r="I1773" i="1" s="1"/>
  <c r="B1773" i="1"/>
  <c r="C1773" i="1"/>
  <c r="K1773" i="1" s="1"/>
  <c r="D1773" i="1"/>
  <c r="L1773" i="1" s="1"/>
  <c r="E1773" i="1"/>
  <c r="M1773" i="1" s="1"/>
  <c r="F1773" i="1"/>
  <c r="N1773" i="1" s="1"/>
  <c r="G1773" i="1"/>
  <c r="O1773" i="1" s="1"/>
  <c r="A1774" i="1"/>
  <c r="I1774" i="1" s="1"/>
  <c r="B1774" i="1"/>
  <c r="C1774" i="1"/>
  <c r="K1774" i="1" s="1"/>
  <c r="D1774" i="1"/>
  <c r="L1774" i="1" s="1"/>
  <c r="E1774" i="1"/>
  <c r="M1774" i="1" s="1"/>
  <c r="F1774" i="1"/>
  <c r="N1774" i="1" s="1"/>
  <c r="G1774" i="1"/>
  <c r="O1774" i="1" s="1"/>
  <c r="A1775" i="1"/>
  <c r="I1775" i="1" s="1"/>
  <c r="B1775" i="1"/>
  <c r="C1775" i="1"/>
  <c r="K1775" i="1" s="1"/>
  <c r="D1775" i="1"/>
  <c r="L1775" i="1" s="1"/>
  <c r="E1775" i="1"/>
  <c r="M1775" i="1" s="1"/>
  <c r="F1775" i="1"/>
  <c r="N1775" i="1" s="1"/>
  <c r="G1775" i="1"/>
  <c r="O1775" i="1" s="1"/>
  <c r="A1776" i="1"/>
  <c r="I1776" i="1" s="1"/>
  <c r="B1776" i="1"/>
  <c r="C1776" i="1"/>
  <c r="K1776" i="1" s="1"/>
  <c r="D1776" i="1"/>
  <c r="L1776" i="1" s="1"/>
  <c r="E1776" i="1"/>
  <c r="M1776" i="1" s="1"/>
  <c r="F1776" i="1"/>
  <c r="N1776" i="1" s="1"/>
  <c r="G1776" i="1"/>
  <c r="O1776" i="1" s="1"/>
  <c r="A1777" i="1"/>
  <c r="I1777" i="1" s="1"/>
  <c r="B1777" i="1"/>
  <c r="C1777" i="1"/>
  <c r="K1777" i="1" s="1"/>
  <c r="D1777" i="1"/>
  <c r="L1777" i="1" s="1"/>
  <c r="E1777" i="1"/>
  <c r="M1777" i="1" s="1"/>
  <c r="F1777" i="1"/>
  <c r="N1777" i="1" s="1"/>
  <c r="G1777" i="1"/>
  <c r="O1777" i="1" s="1"/>
  <c r="A1778" i="1"/>
  <c r="I1778" i="1" s="1"/>
  <c r="B1778" i="1"/>
  <c r="C1778" i="1"/>
  <c r="K1778" i="1" s="1"/>
  <c r="D1778" i="1"/>
  <c r="L1778" i="1" s="1"/>
  <c r="E1778" i="1"/>
  <c r="M1778" i="1" s="1"/>
  <c r="F1778" i="1"/>
  <c r="N1778" i="1" s="1"/>
  <c r="G1778" i="1"/>
  <c r="O1778" i="1" s="1"/>
  <c r="A1779" i="1"/>
  <c r="I1779" i="1" s="1"/>
  <c r="B1779" i="1"/>
  <c r="C1779" i="1"/>
  <c r="K1779" i="1" s="1"/>
  <c r="D1779" i="1"/>
  <c r="L1779" i="1" s="1"/>
  <c r="E1779" i="1"/>
  <c r="M1779" i="1" s="1"/>
  <c r="F1779" i="1"/>
  <c r="N1779" i="1" s="1"/>
  <c r="G1779" i="1"/>
  <c r="O1779" i="1" s="1"/>
  <c r="A1780" i="1"/>
  <c r="I1780" i="1" s="1"/>
  <c r="B1780" i="1"/>
  <c r="C1780" i="1"/>
  <c r="K1780" i="1" s="1"/>
  <c r="D1780" i="1"/>
  <c r="L1780" i="1" s="1"/>
  <c r="E1780" i="1"/>
  <c r="M1780" i="1" s="1"/>
  <c r="F1780" i="1"/>
  <c r="N1780" i="1" s="1"/>
  <c r="G1780" i="1"/>
  <c r="O1780" i="1" s="1"/>
  <c r="A1781" i="1"/>
  <c r="I1781" i="1" s="1"/>
  <c r="B1781" i="1"/>
  <c r="C1781" i="1"/>
  <c r="K1781" i="1" s="1"/>
  <c r="D1781" i="1"/>
  <c r="L1781" i="1" s="1"/>
  <c r="E1781" i="1"/>
  <c r="M1781" i="1" s="1"/>
  <c r="F1781" i="1"/>
  <c r="N1781" i="1" s="1"/>
  <c r="G1781" i="1"/>
  <c r="O1781" i="1" s="1"/>
  <c r="A1782" i="1"/>
  <c r="I1782" i="1" s="1"/>
  <c r="B1782" i="1"/>
  <c r="C1782" i="1"/>
  <c r="K1782" i="1" s="1"/>
  <c r="D1782" i="1"/>
  <c r="L1782" i="1" s="1"/>
  <c r="E1782" i="1"/>
  <c r="M1782" i="1" s="1"/>
  <c r="F1782" i="1"/>
  <c r="N1782" i="1" s="1"/>
  <c r="G1782" i="1"/>
  <c r="O1782" i="1" s="1"/>
  <c r="A1783" i="1"/>
  <c r="I1783" i="1" s="1"/>
  <c r="B1783" i="1"/>
  <c r="C1783" i="1"/>
  <c r="K1783" i="1" s="1"/>
  <c r="D1783" i="1"/>
  <c r="L1783" i="1" s="1"/>
  <c r="E1783" i="1"/>
  <c r="M1783" i="1" s="1"/>
  <c r="F1783" i="1"/>
  <c r="N1783" i="1" s="1"/>
  <c r="G1783" i="1"/>
  <c r="O1783" i="1" s="1"/>
  <c r="A1784" i="1"/>
  <c r="I1784" i="1" s="1"/>
  <c r="B1784" i="1"/>
  <c r="C1784" i="1"/>
  <c r="K1784" i="1" s="1"/>
  <c r="D1784" i="1"/>
  <c r="L1784" i="1" s="1"/>
  <c r="E1784" i="1"/>
  <c r="M1784" i="1" s="1"/>
  <c r="F1784" i="1"/>
  <c r="N1784" i="1" s="1"/>
  <c r="G1784" i="1"/>
  <c r="O1784" i="1" s="1"/>
  <c r="A1785" i="1"/>
  <c r="I1785" i="1" s="1"/>
  <c r="B1785" i="1"/>
  <c r="C1785" i="1"/>
  <c r="K1785" i="1" s="1"/>
  <c r="D1785" i="1"/>
  <c r="L1785" i="1" s="1"/>
  <c r="E1785" i="1"/>
  <c r="M1785" i="1" s="1"/>
  <c r="F1785" i="1"/>
  <c r="N1785" i="1" s="1"/>
  <c r="G1785" i="1"/>
  <c r="O1785" i="1" s="1"/>
  <c r="A1786" i="1"/>
  <c r="I1786" i="1" s="1"/>
  <c r="B1786" i="1"/>
  <c r="C1786" i="1"/>
  <c r="K1786" i="1" s="1"/>
  <c r="D1786" i="1"/>
  <c r="L1786" i="1" s="1"/>
  <c r="E1786" i="1"/>
  <c r="M1786" i="1" s="1"/>
  <c r="F1786" i="1"/>
  <c r="N1786" i="1" s="1"/>
  <c r="G1786" i="1"/>
  <c r="O1786" i="1" s="1"/>
  <c r="A1787" i="1"/>
  <c r="I1787" i="1" s="1"/>
  <c r="B1787" i="1"/>
  <c r="C1787" i="1"/>
  <c r="K1787" i="1" s="1"/>
  <c r="D1787" i="1"/>
  <c r="L1787" i="1" s="1"/>
  <c r="E1787" i="1"/>
  <c r="M1787" i="1" s="1"/>
  <c r="F1787" i="1"/>
  <c r="N1787" i="1" s="1"/>
  <c r="G1787" i="1"/>
  <c r="O1787" i="1" s="1"/>
  <c r="A1788" i="1"/>
  <c r="I1788" i="1" s="1"/>
  <c r="B1788" i="1"/>
  <c r="C1788" i="1"/>
  <c r="K1788" i="1" s="1"/>
  <c r="D1788" i="1"/>
  <c r="L1788" i="1" s="1"/>
  <c r="E1788" i="1"/>
  <c r="M1788" i="1" s="1"/>
  <c r="F1788" i="1"/>
  <c r="N1788" i="1" s="1"/>
  <c r="G1788" i="1"/>
  <c r="O1788" i="1" s="1"/>
  <c r="A1789" i="1"/>
  <c r="I1789" i="1" s="1"/>
  <c r="B1789" i="1"/>
  <c r="C1789" i="1"/>
  <c r="K1789" i="1" s="1"/>
  <c r="D1789" i="1"/>
  <c r="L1789" i="1" s="1"/>
  <c r="E1789" i="1"/>
  <c r="M1789" i="1" s="1"/>
  <c r="F1789" i="1"/>
  <c r="N1789" i="1" s="1"/>
  <c r="G1789" i="1"/>
  <c r="O1789" i="1" s="1"/>
  <c r="A1790" i="1"/>
  <c r="I1790" i="1" s="1"/>
  <c r="B1790" i="1"/>
  <c r="C1790" i="1"/>
  <c r="K1790" i="1" s="1"/>
  <c r="D1790" i="1"/>
  <c r="L1790" i="1" s="1"/>
  <c r="E1790" i="1"/>
  <c r="M1790" i="1" s="1"/>
  <c r="F1790" i="1"/>
  <c r="N1790" i="1" s="1"/>
  <c r="G1790" i="1"/>
  <c r="O1790" i="1" s="1"/>
  <c r="A1791" i="1"/>
  <c r="I1791" i="1" s="1"/>
  <c r="B1791" i="1"/>
  <c r="C1791" i="1"/>
  <c r="K1791" i="1" s="1"/>
  <c r="D1791" i="1"/>
  <c r="L1791" i="1" s="1"/>
  <c r="E1791" i="1"/>
  <c r="M1791" i="1" s="1"/>
  <c r="F1791" i="1"/>
  <c r="N1791" i="1" s="1"/>
  <c r="G1791" i="1"/>
  <c r="O1791" i="1" s="1"/>
  <c r="A1792" i="1"/>
  <c r="I1792" i="1" s="1"/>
  <c r="B1792" i="1"/>
  <c r="C1792" i="1"/>
  <c r="K1792" i="1" s="1"/>
  <c r="D1792" i="1"/>
  <c r="L1792" i="1" s="1"/>
  <c r="E1792" i="1"/>
  <c r="M1792" i="1" s="1"/>
  <c r="F1792" i="1"/>
  <c r="N1792" i="1" s="1"/>
  <c r="G1792" i="1"/>
  <c r="O1792" i="1" s="1"/>
  <c r="A1793" i="1"/>
  <c r="I1793" i="1" s="1"/>
  <c r="B1793" i="1"/>
  <c r="C1793" i="1"/>
  <c r="K1793" i="1" s="1"/>
  <c r="D1793" i="1"/>
  <c r="L1793" i="1" s="1"/>
  <c r="E1793" i="1"/>
  <c r="M1793" i="1" s="1"/>
  <c r="F1793" i="1"/>
  <c r="N1793" i="1" s="1"/>
  <c r="G1793" i="1"/>
  <c r="O1793" i="1" s="1"/>
  <c r="A1794" i="1"/>
  <c r="I1794" i="1" s="1"/>
  <c r="B1794" i="1"/>
  <c r="C1794" i="1"/>
  <c r="K1794" i="1" s="1"/>
  <c r="D1794" i="1"/>
  <c r="L1794" i="1" s="1"/>
  <c r="E1794" i="1"/>
  <c r="M1794" i="1" s="1"/>
  <c r="F1794" i="1"/>
  <c r="N1794" i="1" s="1"/>
  <c r="G1794" i="1"/>
  <c r="O1794" i="1" s="1"/>
  <c r="A1795" i="1"/>
  <c r="I1795" i="1" s="1"/>
  <c r="B1795" i="1"/>
  <c r="C1795" i="1"/>
  <c r="K1795" i="1" s="1"/>
  <c r="D1795" i="1"/>
  <c r="L1795" i="1" s="1"/>
  <c r="E1795" i="1"/>
  <c r="M1795" i="1" s="1"/>
  <c r="F1795" i="1"/>
  <c r="N1795" i="1" s="1"/>
  <c r="G1795" i="1"/>
  <c r="O1795" i="1" s="1"/>
  <c r="A1796" i="1"/>
  <c r="I1796" i="1" s="1"/>
  <c r="B1796" i="1"/>
  <c r="C1796" i="1"/>
  <c r="K1796" i="1" s="1"/>
  <c r="D1796" i="1"/>
  <c r="L1796" i="1" s="1"/>
  <c r="E1796" i="1"/>
  <c r="M1796" i="1" s="1"/>
  <c r="F1796" i="1"/>
  <c r="N1796" i="1" s="1"/>
  <c r="G1796" i="1"/>
  <c r="O1796" i="1" s="1"/>
  <c r="A1797" i="1"/>
  <c r="I1797" i="1" s="1"/>
  <c r="B1797" i="1"/>
  <c r="C1797" i="1"/>
  <c r="K1797" i="1" s="1"/>
  <c r="D1797" i="1"/>
  <c r="L1797" i="1" s="1"/>
  <c r="E1797" i="1"/>
  <c r="M1797" i="1" s="1"/>
  <c r="F1797" i="1"/>
  <c r="N1797" i="1" s="1"/>
  <c r="G1797" i="1"/>
  <c r="O1797" i="1" s="1"/>
  <c r="A1798" i="1"/>
  <c r="I1798" i="1" s="1"/>
  <c r="B1798" i="1"/>
  <c r="C1798" i="1"/>
  <c r="K1798" i="1" s="1"/>
  <c r="D1798" i="1"/>
  <c r="L1798" i="1" s="1"/>
  <c r="E1798" i="1"/>
  <c r="M1798" i="1" s="1"/>
  <c r="F1798" i="1"/>
  <c r="N1798" i="1" s="1"/>
  <c r="G1798" i="1"/>
  <c r="O1798" i="1" s="1"/>
  <c r="A1799" i="1"/>
  <c r="I1799" i="1" s="1"/>
  <c r="B1799" i="1"/>
  <c r="C1799" i="1"/>
  <c r="K1799" i="1" s="1"/>
  <c r="D1799" i="1"/>
  <c r="L1799" i="1" s="1"/>
  <c r="E1799" i="1"/>
  <c r="M1799" i="1" s="1"/>
  <c r="F1799" i="1"/>
  <c r="N1799" i="1" s="1"/>
  <c r="G1799" i="1"/>
  <c r="O1799" i="1" s="1"/>
  <c r="A1800" i="1"/>
  <c r="I1800" i="1" s="1"/>
  <c r="B1800" i="1"/>
  <c r="C1800" i="1"/>
  <c r="K1800" i="1" s="1"/>
  <c r="D1800" i="1"/>
  <c r="L1800" i="1" s="1"/>
  <c r="E1800" i="1"/>
  <c r="M1800" i="1" s="1"/>
  <c r="F1800" i="1"/>
  <c r="N1800" i="1" s="1"/>
  <c r="G1800" i="1"/>
  <c r="O1800" i="1" s="1"/>
  <c r="A1801" i="1"/>
  <c r="I1801" i="1" s="1"/>
  <c r="B1801" i="1"/>
  <c r="C1801" i="1"/>
  <c r="K1801" i="1" s="1"/>
  <c r="D1801" i="1"/>
  <c r="L1801" i="1" s="1"/>
  <c r="E1801" i="1"/>
  <c r="M1801" i="1" s="1"/>
  <c r="F1801" i="1"/>
  <c r="N1801" i="1" s="1"/>
  <c r="G1801" i="1"/>
  <c r="O1801" i="1" s="1"/>
  <c r="A1802" i="1"/>
  <c r="I1802" i="1" s="1"/>
  <c r="B1802" i="1"/>
  <c r="C1802" i="1"/>
  <c r="K1802" i="1" s="1"/>
  <c r="D1802" i="1"/>
  <c r="L1802" i="1" s="1"/>
  <c r="E1802" i="1"/>
  <c r="M1802" i="1" s="1"/>
  <c r="F1802" i="1"/>
  <c r="N1802" i="1" s="1"/>
  <c r="G1802" i="1"/>
  <c r="O1802" i="1" s="1"/>
  <c r="A1803" i="1"/>
  <c r="I1803" i="1" s="1"/>
  <c r="B1803" i="1"/>
  <c r="C1803" i="1"/>
  <c r="K1803" i="1" s="1"/>
  <c r="D1803" i="1"/>
  <c r="L1803" i="1" s="1"/>
  <c r="E1803" i="1"/>
  <c r="M1803" i="1" s="1"/>
  <c r="F1803" i="1"/>
  <c r="N1803" i="1" s="1"/>
  <c r="G1803" i="1"/>
  <c r="O1803" i="1" s="1"/>
  <c r="A1804" i="1"/>
  <c r="I1804" i="1" s="1"/>
  <c r="B1804" i="1"/>
  <c r="C1804" i="1"/>
  <c r="K1804" i="1" s="1"/>
  <c r="D1804" i="1"/>
  <c r="L1804" i="1" s="1"/>
  <c r="E1804" i="1"/>
  <c r="M1804" i="1" s="1"/>
  <c r="F1804" i="1"/>
  <c r="N1804" i="1" s="1"/>
  <c r="G1804" i="1"/>
  <c r="O1804" i="1" s="1"/>
  <c r="A1805" i="1"/>
  <c r="I1805" i="1" s="1"/>
  <c r="B1805" i="1"/>
  <c r="C1805" i="1"/>
  <c r="K1805" i="1" s="1"/>
  <c r="D1805" i="1"/>
  <c r="L1805" i="1" s="1"/>
  <c r="E1805" i="1"/>
  <c r="M1805" i="1" s="1"/>
  <c r="F1805" i="1"/>
  <c r="N1805" i="1" s="1"/>
  <c r="G1805" i="1"/>
  <c r="O1805" i="1" s="1"/>
  <c r="A1806" i="1"/>
  <c r="I1806" i="1" s="1"/>
  <c r="B1806" i="1"/>
  <c r="C1806" i="1"/>
  <c r="K1806" i="1" s="1"/>
  <c r="D1806" i="1"/>
  <c r="L1806" i="1" s="1"/>
  <c r="E1806" i="1"/>
  <c r="M1806" i="1" s="1"/>
  <c r="F1806" i="1"/>
  <c r="N1806" i="1" s="1"/>
  <c r="G1806" i="1"/>
  <c r="O1806" i="1" s="1"/>
  <c r="A1807" i="1"/>
  <c r="I1807" i="1" s="1"/>
  <c r="B1807" i="1"/>
  <c r="C1807" i="1"/>
  <c r="K1807" i="1" s="1"/>
  <c r="D1807" i="1"/>
  <c r="L1807" i="1" s="1"/>
  <c r="E1807" i="1"/>
  <c r="M1807" i="1" s="1"/>
  <c r="F1807" i="1"/>
  <c r="N1807" i="1" s="1"/>
  <c r="G1807" i="1"/>
  <c r="O1807" i="1" s="1"/>
  <c r="A1808" i="1"/>
  <c r="I1808" i="1" s="1"/>
  <c r="B1808" i="1"/>
  <c r="C1808" i="1"/>
  <c r="K1808" i="1" s="1"/>
  <c r="D1808" i="1"/>
  <c r="L1808" i="1" s="1"/>
  <c r="E1808" i="1"/>
  <c r="M1808" i="1" s="1"/>
  <c r="F1808" i="1"/>
  <c r="N1808" i="1" s="1"/>
  <c r="G1808" i="1"/>
  <c r="O1808" i="1" s="1"/>
  <c r="A1809" i="1"/>
  <c r="I1809" i="1" s="1"/>
  <c r="B1809" i="1"/>
  <c r="C1809" i="1"/>
  <c r="K1809" i="1" s="1"/>
  <c r="D1809" i="1"/>
  <c r="L1809" i="1" s="1"/>
  <c r="E1809" i="1"/>
  <c r="M1809" i="1" s="1"/>
  <c r="F1809" i="1"/>
  <c r="N1809" i="1" s="1"/>
  <c r="G1809" i="1"/>
  <c r="O1809" i="1" s="1"/>
  <c r="A1810" i="1"/>
  <c r="I1810" i="1" s="1"/>
  <c r="B1810" i="1"/>
  <c r="C1810" i="1"/>
  <c r="K1810" i="1" s="1"/>
  <c r="D1810" i="1"/>
  <c r="L1810" i="1" s="1"/>
  <c r="E1810" i="1"/>
  <c r="M1810" i="1" s="1"/>
  <c r="F1810" i="1"/>
  <c r="N1810" i="1" s="1"/>
  <c r="G1810" i="1"/>
  <c r="O1810" i="1" s="1"/>
  <c r="A1811" i="1"/>
  <c r="I1811" i="1" s="1"/>
  <c r="B1811" i="1"/>
  <c r="C1811" i="1"/>
  <c r="K1811" i="1" s="1"/>
  <c r="D1811" i="1"/>
  <c r="L1811" i="1" s="1"/>
  <c r="E1811" i="1"/>
  <c r="M1811" i="1" s="1"/>
  <c r="F1811" i="1"/>
  <c r="N1811" i="1" s="1"/>
  <c r="G1811" i="1"/>
  <c r="O1811" i="1" s="1"/>
  <c r="A1812" i="1"/>
  <c r="I1812" i="1" s="1"/>
  <c r="B1812" i="1"/>
  <c r="C1812" i="1"/>
  <c r="K1812" i="1" s="1"/>
  <c r="D1812" i="1"/>
  <c r="L1812" i="1" s="1"/>
  <c r="E1812" i="1"/>
  <c r="M1812" i="1" s="1"/>
  <c r="F1812" i="1"/>
  <c r="N1812" i="1" s="1"/>
  <c r="G1812" i="1"/>
  <c r="O1812" i="1" s="1"/>
  <c r="A1813" i="1"/>
  <c r="I1813" i="1" s="1"/>
  <c r="B1813" i="1"/>
  <c r="C1813" i="1"/>
  <c r="K1813" i="1" s="1"/>
  <c r="D1813" i="1"/>
  <c r="L1813" i="1" s="1"/>
  <c r="E1813" i="1"/>
  <c r="M1813" i="1" s="1"/>
  <c r="F1813" i="1"/>
  <c r="N1813" i="1" s="1"/>
  <c r="G1813" i="1"/>
  <c r="O1813" i="1" s="1"/>
  <c r="A1814" i="1"/>
  <c r="I1814" i="1" s="1"/>
  <c r="B1814" i="1"/>
  <c r="C1814" i="1"/>
  <c r="K1814" i="1" s="1"/>
  <c r="D1814" i="1"/>
  <c r="L1814" i="1" s="1"/>
  <c r="E1814" i="1"/>
  <c r="M1814" i="1" s="1"/>
  <c r="F1814" i="1"/>
  <c r="N1814" i="1" s="1"/>
  <c r="G1814" i="1"/>
  <c r="O1814" i="1" s="1"/>
  <c r="A1815" i="1"/>
  <c r="I1815" i="1" s="1"/>
  <c r="B1815" i="1"/>
  <c r="C1815" i="1"/>
  <c r="K1815" i="1" s="1"/>
  <c r="D1815" i="1"/>
  <c r="L1815" i="1" s="1"/>
  <c r="E1815" i="1"/>
  <c r="M1815" i="1" s="1"/>
  <c r="F1815" i="1"/>
  <c r="N1815" i="1" s="1"/>
  <c r="G1815" i="1"/>
  <c r="O1815" i="1" s="1"/>
  <c r="A1816" i="1"/>
  <c r="I1816" i="1" s="1"/>
  <c r="B1816" i="1"/>
  <c r="C1816" i="1"/>
  <c r="K1816" i="1" s="1"/>
  <c r="D1816" i="1"/>
  <c r="L1816" i="1" s="1"/>
  <c r="E1816" i="1"/>
  <c r="M1816" i="1" s="1"/>
  <c r="F1816" i="1"/>
  <c r="N1816" i="1" s="1"/>
  <c r="G1816" i="1"/>
  <c r="O1816" i="1" s="1"/>
  <c r="A1817" i="1"/>
  <c r="I1817" i="1" s="1"/>
  <c r="B1817" i="1"/>
  <c r="C1817" i="1"/>
  <c r="K1817" i="1" s="1"/>
  <c r="D1817" i="1"/>
  <c r="L1817" i="1" s="1"/>
  <c r="E1817" i="1"/>
  <c r="M1817" i="1" s="1"/>
  <c r="F1817" i="1"/>
  <c r="N1817" i="1" s="1"/>
  <c r="G1817" i="1"/>
  <c r="O1817" i="1" s="1"/>
  <c r="A1818" i="1"/>
  <c r="I1818" i="1" s="1"/>
  <c r="B1818" i="1"/>
  <c r="C1818" i="1"/>
  <c r="K1818" i="1" s="1"/>
  <c r="D1818" i="1"/>
  <c r="L1818" i="1" s="1"/>
  <c r="E1818" i="1"/>
  <c r="M1818" i="1" s="1"/>
  <c r="F1818" i="1"/>
  <c r="N1818" i="1" s="1"/>
  <c r="G1818" i="1"/>
  <c r="O1818" i="1" s="1"/>
  <c r="A1819" i="1"/>
  <c r="I1819" i="1" s="1"/>
  <c r="B1819" i="1"/>
  <c r="C1819" i="1"/>
  <c r="K1819" i="1" s="1"/>
  <c r="D1819" i="1"/>
  <c r="L1819" i="1" s="1"/>
  <c r="E1819" i="1"/>
  <c r="M1819" i="1" s="1"/>
  <c r="F1819" i="1"/>
  <c r="N1819" i="1" s="1"/>
  <c r="G1819" i="1"/>
  <c r="O1819" i="1" s="1"/>
  <c r="A1820" i="1"/>
  <c r="I1820" i="1" s="1"/>
  <c r="B1820" i="1"/>
  <c r="C1820" i="1"/>
  <c r="K1820" i="1" s="1"/>
  <c r="D1820" i="1"/>
  <c r="L1820" i="1" s="1"/>
  <c r="E1820" i="1"/>
  <c r="M1820" i="1" s="1"/>
  <c r="F1820" i="1"/>
  <c r="N1820" i="1" s="1"/>
  <c r="G1820" i="1"/>
  <c r="O1820" i="1" s="1"/>
  <c r="A1821" i="1"/>
  <c r="I1821" i="1" s="1"/>
  <c r="B1821" i="1"/>
  <c r="C1821" i="1"/>
  <c r="K1821" i="1" s="1"/>
  <c r="D1821" i="1"/>
  <c r="L1821" i="1" s="1"/>
  <c r="E1821" i="1"/>
  <c r="M1821" i="1" s="1"/>
  <c r="F1821" i="1"/>
  <c r="N1821" i="1" s="1"/>
  <c r="G1821" i="1"/>
  <c r="O1821" i="1" s="1"/>
  <c r="A1822" i="1"/>
  <c r="I1822" i="1" s="1"/>
  <c r="B1822" i="1"/>
  <c r="C1822" i="1"/>
  <c r="K1822" i="1" s="1"/>
  <c r="D1822" i="1"/>
  <c r="L1822" i="1" s="1"/>
  <c r="E1822" i="1"/>
  <c r="M1822" i="1" s="1"/>
  <c r="F1822" i="1"/>
  <c r="N1822" i="1" s="1"/>
  <c r="G1822" i="1"/>
  <c r="O1822" i="1" s="1"/>
  <c r="A1823" i="1"/>
  <c r="I1823" i="1" s="1"/>
  <c r="B1823" i="1"/>
  <c r="C1823" i="1"/>
  <c r="K1823" i="1" s="1"/>
  <c r="D1823" i="1"/>
  <c r="L1823" i="1" s="1"/>
  <c r="E1823" i="1"/>
  <c r="M1823" i="1" s="1"/>
  <c r="F1823" i="1"/>
  <c r="N1823" i="1" s="1"/>
  <c r="G1823" i="1"/>
  <c r="O1823" i="1" s="1"/>
  <c r="A1824" i="1"/>
  <c r="I1824" i="1" s="1"/>
  <c r="B1824" i="1"/>
  <c r="C1824" i="1"/>
  <c r="K1824" i="1" s="1"/>
  <c r="D1824" i="1"/>
  <c r="L1824" i="1" s="1"/>
  <c r="E1824" i="1"/>
  <c r="M1824" i="1" s="1"/>
  <c r="F1824" i="1"/>
  <c r="N1824" i="1" s="1"/>
  <c r="G1824" i="1"/>
  <c r="O1824" i="1" s="1"/>
  <c r="A1825" i="1"/>
  <c r="I1825" i="1" s="1"/>
  <c r="B1825" i="1"/>
  <c r="C1825" i="1"/>
  <c r="K1825" i="1" s="1"/>
  <c r="D1825" i="1"/>
  <c r="L1825" i="1" s="1"/>
  <c r="E1825" i="1"/>
  <c r="M1825" i="1" s="1"/>
  <c r="F1825" i="1"/>
  <c r="N1825" i="1" s="1"/>
  <c r="G1825" i="1"/>
  <c r="O1825" i="1" s="1"/>
  <c r="A1826" i="1"/>
  <c r="I1826" i="1" s="1"/>
  <c r="B1826" i="1"/>
  <c r="C1826" i="1"/>
  <c r="K1826" i="1" s="1"/>
  <c r="D1826" i="1"/>
  <c r="L1826" i="1" s="1"/>
  <c r="E1826" i="1"/>
  <c r="M1826" i="1" s="1"/>
  <c r="F1826" i="1"/>
  <c r="N1826" i="1" s="1"/>
  <c r="G1826" i="1"/>
  <c r="O1826" i="1" s="1"/>
  <c r="A1827" i="1"/>
  <c r="I1827" i="1" s="1"/>
  <c r="B1827" i="1"/>
  <c r="C1827" i="1"/>
  <c r="K1827" i="1" s="1"/>
  <c r="D1827" i="1"/>
  <c r="L1827" i="1" s="1"/>
  <c r="E1827" i="1"/>
  <c r="M1827" i="1" s="1"/>
  <c r="F1827" i="1"/>
  <c r="N1827" i="1" s="1"/>
  <c r="G1827" i="1"/>
  <c r="O1827" i="1" s="1"/>
  <c r="A1828" i="1"/>
  <c r="I1828" i="1" s="1"/>
  <c r="B1828" i="1"/>
  <c r="C1828" i="1"/>
  <c r="K1828" i="1" s="1"/>
  <c r="D1828" i="1"/>
  <c r="L1828" i="1" s="1"/>
  <c r="E1828" i="1"/>
  <c r="M1828" i="1" s="1"/>
  <c r="F1828" i="1"/>
  <c r="N1828" i="1" s="1"/>
  <c r="G1828" i="1"/>
  <c r="O1828" i="1" s="1"/>
  <c r="A1829" i="1"/>
  <c r="I1829" i="1" s="1"/>
  <c r="B1829" i="1"/>
  <c r="C1829" i="1"/>
  <c r="K1829" i="1" s="1"/>
  <c r="D1829" i="1"/>
  <c r="L1829" i="1" s="1"/>
  <c r="E1829" i="1"/>
  <c r="M1829" i="1" s="1"/>
  <c r="F1829" i="1"/>
  <c r="N1829" i="1" s="1"/>
  <c r="G1829" i="1"/>
  <c r="O1829" i="1" s="1"/>
  <c r="A1830" i="1"/>
  <c r="I1830" i="1" s="1"/>
  <c r="B1830" i="1"/>
  <c r="C1830" i="1"/>
  <c r="K1830" i="1" s="1"/>
  <c r="D1830" i="1"/>
  <c r="L1830" i="1" s="1"/>
  <c r="E1830" i="1"/>
  <c r="M1830" i="1" s="1"/>
  <c r="F1830" i="1"/>
  <c r="N1830" i="1" s="1"/>
  <c r="G1830" i="1"/>
  <c r="O1830" i="1" s="1"/>
  <c r="A1831" i="1"/>
  <c r="I1831" i="1" s="1"/>
  <c r="B1831" i="1"/>
  <c r="C1831" i="1"/>
  <c r="K1831" i="1" s="1"/>
  <c r="D1831" i="1"/>
  <c r="L1831" i="1" s="1"/>
  <c r="E1831" i="1"/>
  <c r="M1831" i="1" s="1"/>
  <c r="F1831" i="1"/>
  <c r="N1831" i="1" s="1"/>
  <c r="G1831" i="1"/>
  <c r="O1831" i="1" s="1"/>
  <c r="A1832" i="1"/>
  <c r="I1832" i="1" s="1"/>
  <c r="B1832" i="1"/>
  <c r="C1832" i="1"/>
  <c r="K1832" i="1" s="1"/>
  <c r="D1832" i="1"/>
  <c r="L1832" i="1" s="1"/>
  <c r="E1832" i="1"/>
  <c r="M1832" i="1" s="1"/>
  <c r="F1832" i="1"/>
  <c r="N1832" i="1" s="1"/>
  <c r="G1832" i="1"/>
  <c r="O1832" i="1" s="1"/>
  <c r="A1833" i="1"/>
  <c r="I1833" i="1" s="1"/>
  <c r="B1833" i="1"/>
  <c r="C1833" i="1"/>
  <c r="K1833" i="1" s="1"/>
  <c r="D1833" i="1"/>
  <c r="L1833" i="1" s="1"/>
  <c r="E1833" i="1"/>
  <c r="M1833" i="1" s="1"/>
  <c r="F1833" i="1"/>
  <c r="N1833" i="1" s="1"/>
  <c r="G1833" i="1"/>
  <c r="O1833" i="1" s="1"/>
  <c r="A1834" i="1"/>
  <c r="I1834" i="1" s="1"/>
  <c r="B1834" i="1"/>
  <c r="C1834" i="1"/>
  <c r="K1834" i="1" s="1"/>
  <c r="D1834" i="1"/>
  <c r="L1834" i="1" s="1"/>
  <c r="E1834" i="1"/>
  <c r="M1834" i="1" s="1"/>
  <c r="F1834" i="1"/>
  <c r="N1834" i="1" s="1"/>
  <c r="G1834" i="1"/>
  <c r="O1834" i="1" s="1"/>
  <c r="A1835" i="1"/>
  <c r="I1835" i="1" s="1"/>
  <c r="B1835" i="1"/>
  <c r="C1835" i="1"/>
  <c r="K1835" i="1" s="1"/>
  <c r="D1835" i="1"/>
  <c r="L1835" i="1" s="1"/>
  <c r="E1835" i="1"/>
  <c r="M1835" i="1" s="1"/>
  <c r="F1835" i="1"/>
  <c r="N1835" i="1" s="1"/>
  <c r="G1835" i="1"/>
  <c r="O1835" i="1" s="1"/>
  <c r="A1836" i="1"/>
  <c r="I1836" i="1" s="1"/>
  <c r="B1836" i="1"/>
  <c r="C1836" i="1"/>
  <c r="K1836" i="1" s="1"/>
  <c r="D1836" i="1"/>
  <c r="L1836" i="1" s="1"/>
  <c r="E1836" i="1"/>
  <c r="M1836" i="1" s="1"/>
  <c r="F1836" i="1"/>
  <c r="N1836" i="1" s="1"/>
  <c r="G1836" i="1"/>
  <c r="O1836" i="1" s="1"/>
  <c r="A1837" i="1"/>
  <c r="I1837" i="1" s="1"/>
  <c r="B1837" i="1"/>
  <c r="C1837" i="1"/>
  <c r="K1837" i="1" s="1"/>
  <c r="D1837" i="1"/>
  <c r="L1837" i="1" s="1"/>
  <c r="E1837" i="1"/>
  <c r="M1837" i="1" s="1"/>
  <c r="F1837" i="1"/>
  <c r="N1837" i="1" s="1"/>
  <c r="G1837" i="1"/>
  <c r="O1837" i="1" s="1"/>
  <c r="A1838" i="1"/>
  <c r="I1838" i="1" s="1"/>
  <c r="B1838" i="1"/>
  <c r="C1838" i="1"/>
  <c r="K1838" i="1" s="1"/>
  <c r="D1838" i="1"/>
  <c r="L1838" i="1" s="1"/>
  <c r="E1838" i="1"/>
  <c r="M1838" i="1" s="1"/>
  <c r="F1838" i="1"/>
  <c r="N1838" i="1" s="1"/>
  <c r="G1838" i="1"/>
  <c r="O1838" i="1" s="1"/>
  <c r="A1839" i="1"/>
  <c r="I1839" i="1" s="1"/>
  <c r="B1839" i="1"/>
  <c r="C1839" i="1"/>
  <c r="K1839" i="1" s="1"/>
  <c r="D1839" i="1"/>
  <c r="L1839" i="1" s="1"/>
  <c r="E1839" i="1"/>
  <c r="M1839" i="1" s="1"/>
  <c r="F1839" i="1"/>
  <c r="N1839" i="1" s="1"/>
  <c r="G1839" i="1"/>
  <c r="O1839" i="1" s="1"/>
  <c r="A1840" i="1"/>
  <c r="I1840" i="1" s="1"/>
  <c r="B1840" i="1"/>
  <c r="C1840" i="1"/>
  <c r="K1840" i="1" s="1"/>
  <c r="D1840" i="1"/>
  <c r="L1840" i="1" s="1"/>
  <c r="E1840" i="1"/>
  <c r="M1840" i="1" s="1"/>
  <c r="F1840" i="1"/>
  <c r="N1840" i="1" s="1"/>
  <c r="G1840" i="1"/>
  <c r="O1840" i="1" s="1"/>
  <c r="A1841" i="1"/>
  <c r="I1841" i="1" s="1"/>
  <c r="B1841" i="1"/>
  <c r="C1841" i="1"/>
  <c r="K1841" i="1" s="1"/>
  <c r="D1841" i="1"/>
  <c r="L1841" i="1" s="1"/>
  <c r="E1841" i="1"/>
  <c r="M1841" i="1" s="1"/>
  <c r="F1841" i="1"/>
  <c r="N1841" i="1" s="1"/>
  <c r="G1841" i="1"/>
  <c r="O1841" i="1" s="1"/>
  <c r="A1842" i="1"/>
  <c r="I1842" i="1" s="1"/>
  <c r="B1842" i="1"/>
  <c r="C1842" i="1"/>
  <c r="K1842" i="1" s="1"/>
  <c r="D1842" i="1"/>
  <c r="L1842" i="1" s="1"/>
  <c r="E1842" i="1"/>
  <c r="M1842" i="1" s="1"/>
  <c r="F1842" i="1"/>
  <c r="N1842" i="1" s="1"/>
  <c r="G1842" i="1"/>
  <c r="O1842" i="1" s="1"/>
  <c r="A1843" i="1"/>
  <c r="I1843" i="1" s="1"/>
  <c r="B1843" i="1"/>
  <c r="C1843" i="1"/>
  <c r="K1843" i="1" s="1"/>
  <c r="D1843" i="1"/>
  <c r="L1843" i="1" s="1"/>
  <c r="E1843" i="1"/>
  <c r="M1843" i="1" s="1"/>
  <c r="F1843" i="1"/>
  <c r="N1843" i="1" s="1"/>
  <c r="G1843" i="1"/>
  <c r="O1843" i="1" s="1"/>
  <c r="A1844" i="1"/>
  <c r="I1844" i="1" s="1"/>
  <c r="B1844" i="1"/>
  <c r="C1844" i="1"/>
  <c r="K1844" i="1" s="1"/>
  <c r="D1844" i="1"/>
  <c r="L1844" i="1" s="1"/>
  <c r="E1844" i="1"/>
  <c r="M1844" i="1" s="1"/>
  <c r="F1844" i="1"/>
  <c r="N1844" i="1" s="1"/>
  <c r="G1844" i="1"/>
  <c r="O1844" i="1" s="1"/>
  <c r="A1845" i="1"/>
  <c r="I1845" i="1" s="1"/>
  <c r="B1845" i="1"/>
  <c r="C1845" i="1"/>
  <c r="K1845" i="1" s="1"/>
  <c r="D1845" i="1"/>
  <c r="L1845" i="1" s="1"/>
  <c r="E1845" i="1"/>
  <c r="M1845" i="1" s="1"/>
  <c r="F1845" i="1"/>
  <c r="N1845" i="1" s="1"/>
  <c r="G1845" i="1"/>
  <c r="O1845" i="1" s="1"/>
  <c r="A1846" i="1"/>
  <c r="I1846" i="1" s="1"/>
  <c r="B1846" i="1"/>
  <c r="C1846" i="1"/>
  <c r="K1846" i="1" s="1"/>
  <c r="D1846" i="1"/>
  <c r="L1846" i="1" s="1"/>
  <c r="E1846" i="1"/>
  <c r="M1846" i="1" s="1"/>
  <c r="F1846" i="1"/>
  <c r="N1846" i="1" s="1"/>
  <c r="G1846" i="1"/>
  <c r="O1846" i="1" s="1"/>
  <c r="A1847" i="1"/>
  <c r="I1847" i="1" s="1"/>
  <c r="B1847" i="1"/>
  <c r="C1847" i="1"/>
  <c r="K1847" i="1" s="1"/>
  <c r="D1847" i="1"/>
  <c r="L1847" i="1" s="1"/>
  <c r="E1847" i="1"/>
  <c r="M1847" i="1" s="1"/>
  <c r="F1847" i="1"/>
  <c r="N1847" i="1" s="1"/>
  <c r="G1847" i="1"/>
  <c r="O1847" i="1" s="1"/>
  <c r="A1848" i="1"/>
  <c r="I1848" i="1" s="1"/>
  <c r="B1848" i="1"/>
  <c r="C1848" i="1"/>
  <c r="K1848" i="1" s="1"/>
  <c r="D1848" i="1"/>
  <c r="L1848" i="1" s="1"/>
  <c r="E1848" i="1"/>
  <c r="M1848" i="1" s="1"/>
  <c r="F1848" i="1"/>
  <c r="N1848" i="1" s="1"/>
  <c r="G1848" i="1"/>
  <c r="O1848" i="1" s="1"/>
  <c r="A1849" i="1"/>
  <c r="I1849" i="1" s="1"/>
  <c r="B1849" i="1"/>
  <c r="C1849" i="1"/>
  <c r="K1849" i="1" s="1"/>
  <c r="D1849" i="1"/>
  <c r="L1849" i="1" s="1"/>
  <c r="E1849" i="1"/>
  <c r="M1849" i="1" s="1"/>
  <c r="F1849" i="1"/>
  <c r="N1849" i="1" s="1"/>
  <c r="G1849" i="1"/>
  <c r="O1849" i="1" s="1"/>
  <c r="A1850" i="1"/>
  <c r="I1850" i="1" s="1"/>
  <c r="B1850" i="1"/>
  <c r="C1850" i="1"/>
  <c r="K1850" i="1" s="1"/>
  <c r="D1850" i="1"/>
  <c r="L1850" i="1" s="1"/>
  <c r="E1850" i="1"/>
  <c r="M1850" i="1" s="1"/>
  <c r="F1850" i="1"/>
  <c r="N1850" i="1" s="1"/>
  <c r="G1850" i="1"/>
  <c r="O1850" i="1" s="1"/>
  <c r="A1851" i="1"/>
  <c r="I1851" i="1" s="1"/>
  <c r="B1851" i="1"/>
  <c r="C1851" i="1"/>
  <c r="K1851" i="1" s="1"/>
  <c r="D1851" i="1"/>
  <c r="L1851" i="1" s="1"/>
  <c r="E1851" i="1"/>
  <c r="M1851" i="1" s="1"/>
  <c r="F1851" i="1"/>
  <c r="N1851" i="1" s="1"/>
  <c r="G1851" i="1"/>
  <c r="O1851" i="1" s="1"/>
  <c r="A1852" i="1"/>
  <c r="I1852" i="1" s="1"/>
  <c r="B1852" i="1"/>
  <c r="C1852" i="1"/>
  <c r="K1852" i="1" s="1"/>
  <c r="D1852" i="1"/>
  <c r="L1852" i="1" s="1"/>
  <c r="E1852" i="1"/>
  <c r="M1852" i="1" s="1"/>
  <c r="F1852" i="1"/>
  <c r="N1852" i="1" s="1"/>
  <c r="G1852" i="1"/>
  <c r="O1852" i="1" s="1"/>
  <c r="A1853" i="1"/>
  <c r="I1853" i="1" s="1"/>
  <c r="B1853" i="1"/>
  <c r="C1853" i="1"/>
  <c r="K1853" i="1" s="1"/>
  <c r="D1853" i="1"/>
  <c r="L1853" i="1" s="1"/>
  <c r="E1853" i="1"/>
  <c r="M1853" i="1" s="1"/>
  <c r="F1853" i="1"/>
  <c r="N1853" i="1" s="1"/>
  <c r="G1853" i="1"/>
  <c r="O1853" i="1" s="1"/>
  <c r="A1854" i="1"/>
  <c r="I1854" i="1" s="1"/>
  <c r="B1854" i="1"/>
  <c r="C1854" i="1"/>
  <c r="K1854" i="1" s="1"/>
  <c r="D1854" i="1"/>
  <c r="L1854" i="1" s="1"/>
  <c r="E1854" i="1"/>
  <c r="M1854" i="1" s="1"/>
  <c r="F1854" i="1"/>
  <c r="N1854" i="1" s="1"/>
  <c r="G1854" i="1"/>
  <c r="O1854" i="1" s="1"/>
  <c r="A1855" i="1"/>
  <c r="I1855" i="1" s="1"/>
  <c r="B1855" i="1"/>
  <c r="C1855" i="1"/>
  <c r="K1855" i="1" s="1"/>
  <c r="D1855" i="1"/>
  <c r="L1855" i="1" s="1"/>
  <c r="E1855" i="1"/>
  <c r="M1855" i="1" s="1"/>
  <c r="F1855" i="1"/>
  <c r="N1855" i="1" s="1"/>
  <c r="G1855" i="1"/>
  <c r="O1855" i="1" s="1"/>
  <c r="A1856" i="1"/>
  <c r="I1856" i="1" s="1"/>
  <c r="B1856" i="1"/>
  <c r="C1856" i="1"/>
  <c r="K1856" i="1" s="1"/>
  <c r="D1856" i="1"/>
  <c r="L1856" i="1" s="1"/>
  <c r="E1856" i="1"/>
  <c r="M1856" i="1" s="1"/>
  <c r="F1856" i="1"/>
  <c r="N1856" i="1" s="1"/>
  <c r="G1856" i="1"/>
  <c r="O1856" i="1" s="1"/>
  <c r="A1857" i="1"/>
  <c r="I1857" i="1" s="1"/>
  <c r="B1857" i="1"/>
  <c r="C1857" i="1"/>
  <c r="K1857" i="1" s="1"/>
  <c r="D1857" i="1"/>
  <c r="L1857" i="1" s="1"/>
  <c r="E1857" i="1"/>
  <c r="M1857" i="1" s="1"/>
  <c r="F1857" i="1"/>
  <c r="N1857" i="1" s="1"/>
  <c r="G1857" i="1"/>
  <c r="O1857" i="1" s="1"/>
  <c r="A1858" i="1"/>
  <c r="I1858" i="1" s="1"/>
  <c r="B1858" i="1"/>
  <c r="C1858" i="1"/>
  <c r="K1858" i="1" s="1"/>
  <c r="D1858" i="1"/>
  <c r="L1858" i="1" s="1"/>
  <c r="E1858" i="1"/>
  <c r="M1858" i="1" s="1"/>
  <c r="F1858" i="1"/>
  <c r="N1858" i="1" s="1"/>
  <c r="G1858" i="1"/>
  <c r="O1858" i="1" s="1"/>
  <c r="A1859" i="1"/>
  <c r="I1859" i="1" s="1"/>
  <c r="B1859" i="1"/>
  <c r="C1859" i="1"/>
  <c r="K1859" i="1" s="1"/>
  <c r="D1859" i="1"/>
  <c r="L1859" i="1" s="1"/>
  <c r="E1859" i="1"/>
  <c r="M1859" i="1" s="1"/>
  <c r="F1859" i="1"/>
  <c r="N1859" i="1" s="1"/>
  <c r="G1859" i="1"/>
  <c r="O1859" i="1" s="1"/>
  <c r="A1860" i="1"/>
  <c r="I1860" i="1" s="1"/>
  <c r="B1860" i="1"/>
  <c r="C1860" i="1"/>
  <c r="K1860" i="1" s="1"/>
  <c r="D1860" i="1"/>
  <c r="L1860" i="1" s="1"/>
  <c r="E1860" i="1"/>
  <c r="M1860" i="1" s="1"/>
  <c r="F1860" i="1"/>
  <c r="N1860" i="1" s="1"/>
  <c r="G1860" i="1"/>
  <c r="O1860" i="1" s="1"/>
  <c r="A1861" i="1"/>
  <c r="I1861" i="1" s="1"/>
  <c r="B1861" i="1"/>
  <c r="C1861" i="1"/>
  <c r="K1861" i="1" s="1"/>
  <c r="D1861" i="1"/>
  <c r="L1861" i="1" s="1"/>
  <c r="E1861" i="1"/>
  <c r="M1861" i="1" s="1"/>
  <c r="F1861" i="1"/>
  <c r="N1861" i="1" s="1"/>
  <c r="G1861" i="1"/>
  <c r="O1861" i="1" s="1"/>
  <c r="A1862" i="1"/>
  <c r="I1862" i="1" s="1"/>
  <c r="B1862" i="1"/>
  <c r="C1862" i="1"/>
  <c r="K1862" i="1" s="1"/>
  <c r="D1862" i="1"/>
  <c r="L1862" i="1" s="1"/>
  <c r="E1862" i="1"/>
  <c r="M1862" i="1" s="1"/>
  <c r="F1862" i="1"/>
  <c r="N1862" i="1" s="1"/>
  <c r="G1862" i="1"/>
  <c r="O1862" i="1" s="1"/>
  <c r="A1863" i="1"/>
  <c r="I1863" i="1" s="1"/>
  <c r="B1863" i="1"/>
  <c r="C1863" i="1"/>
  <c r="K1863" i="1" s="1"/>
  <c r="D1863" i="1"/>
  <c r="L1863" i="1" s="1"/>
  <c r="E1863" i="1"/>
  <c r="M1863" i="1" s="1"/>
  <c r="F1863" i="1"/>
  <c r="N1863" i="1" s="1"/>
  <c r="G1863" i="1"/>
  <c r="O1863" i="1" s="1"/>
  <c r="A1864" i="1"/>
  <c r="I1864" i="1" s="1"/>
  <c r="B1864" i="1"/>
  <c r="C1864" i="1"/>
  <c r="K1864" i="1" s="1"/>
  <c r="D1864" i="1"/>
  <c r="L1864" i="1" s="1"/>
  <c r="E1864" i="1"/>
  <c r="M1864" i="1" s="1"/>
  <c r="F1864" i="1"/>
  <c r="N1864" i="1" s="1"/>
  <c r="G1864" i="1"/>
  <c r="O1864" i="1" s="1"/>
  <c r="A1865" i="1"/>
  <c r="I1865" i="1" s="1"/>
  <c r="B1865" i="1"/>
  <c r="C1865" i="1"/>
  <c r="K1865" i="1" s="1"/>
  <c r="D1865" i="1"/>
  <c r="L1865" i="1" s="1"/>
  <c r="E1865" i="1"/>
  <c r="M1865" i="1" s="1"/>
  <c r="F1865" i="1"/>
  <c r="N1865" i="1" s="1"/>
  <c r="G1865" i="1"/>
  <c r="O1865" i="1" s="1"/>
  <c r="A1866" i="1"/>
  <c r="I1866" i="1" s="1"/>
  <c r="B1866" i="1"/>
  <c r="C1866" i="1"/>
  <c r="K1866" i="1" s="1"/>
  <c r="D1866" i="1"/>
  <c r="L1866" i="1" s="1"/>
  <c r="E1866" i="1"/>
  <c r="M1866" i="1" s="1"/>
  <c r="F1866" i="1"/>
  <c r="N1866" i="1" s="1"/>
  <c r="G1866" i="1"/>
  <c r="O1866" i="1" s="1"/>
  <c r="A1867" i="1"/>
  <c r="I1867" i="1" s="1"/>
  <c r="B1867" i="1"/>
  <c r="C1867" i="1"/>
  <c r="K1867" i="1" s="1"/>
  <c r="D1867" i="1"/>
  <c r="L1867" i="1" s="1"/>
  <c r="E1867" i="1"/>
  <c r="M1867" i="1" s="1"/>
  <c r="F1867" i="1"/>
  <c r="N1867" i="1" s="1"/>
  <c r="G1867" i="1"/>
  <c r="O1867" i="1" s="1"/>
  <c r="A1868" i="1"/>
  <c r="I1868" i="1" s="1"/>
  <c r="B1868" i="1"/>
  <c r="C1868" i="1"/>
  <c r="K1868" i="1" s="1"/>
  <c r="D1868" i="1"/>
  <c r="L1868" i="1" s="1"/>
  <c r="E1868" i="1"/>
  <c r="M1868" i="1" s="1"/>
  <c r="F1868" i="1"/>
  <c r="N1868" i="1" s="1"/>
  <c r="G1868" i="1"/>
  <c r="O1868" i="1" s="1"/>
  <c r="A1869" i="1"/>
  <c r="I1869" i="1" s="1"/>
  <c r="B1869" i="1"/>
  <c r="C1869" i="1"/>
  <c r="K1869" i="1" s="1"/>
  <c r="D1869" i="1"/>
  <c r="L1869" i="1" s="1"/>
  <c r="E1869" i="1"/>
  <c r="M1869" i="1" s="1"/>
  <c r="F1869" i="1"/>
  <c r="N1869" i="1" s="1"/>
  <c r="G1869" i="1"/>
  <c r="O1869" i="1" s="1"/>
  <c r="A1870" i="1"/>
  <c r="I1870" i="1" s="1"/>
  <c r="B1870" i="1"/>
  <c r="C1870" i="1"/>
  <c r="K1870" i="1" s="1"/>
  <c r="D1870" i="1"/>
  <c r="L1870" i="1" s="1"/>
  <c r="E1870" i="1"/>
  <c r="M1870" i="1" s="1"/>
  <c r="F1870" i="1"/>
  <c r="N1870" i="1" s="1"/>
  <c r="G1870" i="1"/>
  <c r="O1870" i="1" s="1"/>
  <c r="A1871" i="1"/>
  <c r="I1871" i="1" s="1"/>
  <c r="B1871" i="1"/>
  <c r="C1871" i="1"/>
  <c r="K1871" i="1" s="1"/>
  <c r="D1871" i="1"/>
  <c r="L1871" i="1" s="1"/>
  <c r="E1871" i="1"/>
  <c r="M1871" i="1" s="1"/>
  <c r="F1871" i="1"/>
  <c r="N1871" i="1" s="1"/>
  <c r="G1871" i="1"/>
  <c r="O1871" i="1" s="1"/>
  <c r="A1872" i="1"/>
  <c r="I1872" i="1" s="1"/>
  <c r="B1872" i="1"/>
  <c r="C1872" i="1"/>
  <c r="K1872" i="1" s="1"/>
  <c r="D1872" i="1"/>
  <c r="L1872" i="1" s="1"/>
  <c r="E1872" i="1"/>
  <c r="M1872" i="1" s="1"/>
  <c r="F1872" i="1"/>
  <c r="N1872" i="1" s="1"/>
  <c r="G1872" i="1"/>
  <c r="O1872" i="1" s="1"/>
  <c r="A1873" i="1"/>
  <c r="I1873" i="1" s="1"/>
  <c r="B1873" i="1"/>
  <c r="C1873" i="1"/>
  <c r="K1873" i="1" s="1"/>
  <c r="D1873" i="1"/>
  <c r="L1873" i="1" s="1"/>
  <c r="E1873" i="1"/>
  <c r="M1873" i="1" s="1"/>
  <c r="F1873" i="1"/>
  <c r="N1873" i="1" s="1"/>
  <c r="G1873" i="1"/>
  <c r="O1873" i="1" s="1"/>
  <c r="A1874" i="1"/>
  <c r="I1874" i="1" s="1"/>
  <c r="B1874" i="1"/>
  <c r="C1874" i="1"/>
  <c r="K1874" i="1" s="1"/>
  <c r="D1874" i="1"/>
  <c r="L1874" i="1" s="1"/>
  <c r="E1874" i="1"/>
  <c r="M1874" i="1" s="1"/>
  <c r="F1874" i="1"/>
  <c r="N1874" i="1" s="1"/>
  <c r="G1874" i="1"/>
  <c r="O1874" i="1" s="1"/>
  <c r="A1875" i="1"/>
  <c r="I1875" i="1" s="1"/>
  <c r="B1875" i="1"/>
  <c r="C1875" i="1"/>
  <c r="K1875" i="1" s="1"/>
  <c r="D1875" i="1"/>
  <c r="L1875" i="1" s="1"/>
  <c r="E1875" i="1"/>
  <c r="M1875" i="1" s="1"/>
  <c r="F1875" i="1"/>
  <c r="N1875" i="1" s="1"/>
  <c r="G1875" i="1"/>
  <c r="O1875" i="1" s="1"/>
  <c r="A1876" i="1"/>
  <c r="I1876" i="1" s="1"/>
  <c r="B1876" i="1"/>
  <c r="C1876" i="1"/>
  <c r="K1876" i="1" s="1"/>
  <c r="D1876" i="1"/>
  <c r="L1876" i="1" s="1"/>
  <c r="E1876" i="1"/>
  <c r="M1876" i="1" s="1"/>
  <c r="F1876" i="1"/>
  <c r="N1876" i="1" s="1"/>
  <c r="G1876" i="1"/>
  <c r="O1876" i="1" s="1"/>
  <c r="A1877" i="1"/>
  <c r="I1877" i="1" s="1"/>
  <c r="B1877" i="1"/>
  <c r="C1877" i="1"/>
  <c r="K1877" i="1" s="1"/>
  <c r="D1877" i="1"/>
  <c r="L1877" i="1" s="1"/>
  <c r="E1877" i="1"/>
  <c r="M1877" i="1" s="1"/>
  <c r="F1877" i="1"/>
  <c r="N1877" i="1" s="1"/>
  <c r="G1877" i="1"/>
  <c r="O1877" i="1" s="1"/>
  <c r="A1878" i="1"/>
  <c r="I1878" i="1" s="1"/>
  <c r="B1878" i="1"/>
  <c r="C1878" i="1"/>
  <c r="K1878" i="1" s="1"/>
  <c r="D1878" i="1"/>
  <c r="L1878" i="1" s="1"/>
  <c r="E1878" i="1"/>
  <c r="M1878" i="1" s="1"/>
  <c r="F1878" i="1"/>
  <c r="N1878" i="1" s="1"/>
  <c r="G1878" i="1"/>
  <c r="O1878" i="1" s="1"/>
  <c r="A1879" i="1"/>
  <c r="I1879" i="1" s="1"/>
  <c r="B1879" i="1"/>
  <c r="C1879" i="1"/>
  <c r="K1879" i="1" s="1"/>
  <c r="D1879" i="1"/>
  <c r="L1879" i="1" s="1"/>
  <c r="E1879" i="1"/>
  <c r="M1879" i="1" s="1"/>
  <c r="F1879" i="1"/>
  <c r="N1879" i="1" s="1"/>
  <c r="G1879" i="1"/>
  <c r="O1879" i="1" s="1"/>
  <c r="A1880" i="1"/>
  <c r="I1880" i="1" s="1"/>
  <c r="B1880" i="1"/>
  <c r="C1880" i="1"/>
  <c r="K1880" i="1" s="1"/>
  <c r="D1880" i="1"/>
  <c r="L1880" i="1" s="1"/>
  <c r="E1880" i="1"/>
  <c r="M1880" i="1" s="1"/>
  <c r="F1880" i="1"/>
  <c r="N1880" i="1" s="1"/>
  <c r="G1880" i="1"/>
  <c r="O1880" i="1" s="1"/>
  <c r="A1881" i="1"/>
  <c r="I1881" i="1" s="1"/>
  <c r="B1881" i="1"/>
  <c r="C1881" i="1"/>
  <c r="K1881" i="1" s="1"/>
  <c r="D1881" i="1"/>
  <c r="L1881" i="1" s="1"/>
  <c r="E1881" i="1"/>
  <c r="M1881" i="1" s="1"/>
  <c r="F1881" i="1"/>
  <c r="N1881" i="1" s="1"/>
  <c r="G1881" i="1"/>
  <c r="O1881" i="1" s="1"/>
  <c r="A1882" i="1"/>
  <c r="I1882" i="1" s="1"/>
  <c r="B1882" i="1"/>
  <c r="C1882" i="1"/>
  <c r="K1882" i="1" s="1"/>
  <c r="D1882" i="1"/>
  <c r="L1882" i="1" s="1"/>
  <c r="E1882" i="1"/>
  <c r="M1882" i="1" s="1"/>
  <c r="F1882" i="1"/>
  <c r="N1882" i="1" s="1"/>
  <c r="G1882" i="1"/>
  <c r="O1882" i="1" s="1"/>
  <c r="A1883" i="1"/>
  <c r="I1883" i="1" s="1"/>
  <c r="B1883" i="1"/>
  <c r="C1883" i="1"/>
  <c r="K1883" i="1" s="1"/>
  <c r="D1883" i="1"/>
  <c r="L1883" i="1" s="1"/>
  <c r="E1883" i="1"/>
  <c r="M1883" i="1" s="1"/>
  <c r="F1883" i="1"/>
  <c r="N1883" i="1" s="1"/>
  <c r="G1883" i="1"/>
  <c r="O1883" i="1" s="1"/>
  <c r="A1884" i="1"/>
  <c r="I1884" i="1" s="1"/>
  <c r="B1884" i="1"/>
  <c r="C1884" i="1"/>
  <c r="K1884" i="1" s="1"/>
  <c r="D1884" i="1"/>
  <c r="L1884" i="1" s="1"/>
  <c r="E1884" i="1"/>
  <c r="M1884" i="1" s="1"/>
  <c r="F1884" i="1"/>
  <c r="N1884" i="1" s="1"/>
  <c r="G1884" i="1"/>
  <c r="O1884" i="1" s="1"/>
  <c r="A1885" i="1"/>
  <c r="I1885" i="1" s="1"/>
  <c r="B1885" i="1"/>
  <c r="C1885" i="1"/>
  <c r="K1885" i="1" s="1"/>
  <c r="D1885" i="1"/>
  <c r="L1885" i="1" s="1"/>
  <c r="E1885" i="1"/>
  <c r="M1885" i="1" s="1"/>
  <c r="F1885" i="1"/>
  <c r="N1885" i="1" s="1"/>
  <c r="G1885" i="1"/>
  <c r="O1885" i="1" s="1"/>
  <c r="A1886" i="1"/>
  <c r="I1886" i="1" s="1"/>
  <c r="B1886" i="1"/>
  <c r="C1886" i="1"/>
  <c r="K1886" i="1" s="1"/>
  <c r="D1886" i="1"/>
  <c r="L1886" i="1" s="1"/>
  <c r="E1886" i="1"/>
  <c r="M1886" i="1" s="1"/>
  <c r="F1886" i="1"/>
  <c r="N1886" i="1" s="1"/>
  <c r="G1886" i="1"/>
  <c r="O1886" i="1" s="1"/>
  <c r="A1887" i="1"/>
  <c r="I1887" i="1" s="1"/>
  <c r="B1887" i="1"/>
  <c r="C1887" i="1"/>
  <c r="K1887" i="1" s="1"/>
  <c r="D1887" i="1"/>
  <c r="L1887" i="1" s="1"/>
  <c r="E1887" i="1"/>
  <c r="M1887" i="1" s="1"/>
  <c r="F1887" i="1"/>
  <c r="N1887" i="1" s="1"/>
  <c r="G1887" i="1"/>
  <c r="O1887" i="1" s="1"/>
  <c r="A1888" i="1"/>
  <c r="I1888" i="1" s="1"/>
  <c r="B1888" i="1"/>
  <c r="C1888" i="1"/>
  <c r="K1888" i="1" s="1"/>
  <c r="D1888" i="1"/>
  <c r="L1888" i="1" s="1"/>
  <c r="E1888" i="1"/>
  <c r="M1888" i="1" s="1"/>
  <c r="F1888" i="1"/>
  <c r="N1888" i="1" s="1"/>
  <c r="G1888" i="1"/>
  <c r="O1888" i="1" s="1"/>
  <c r="A1889" i="1"/>
  <c r="I1889" i="1" s="1"/>
  <c r="B1889" i="1"/>
  <c r="C1889" i="1"/>
  <c r="K1889" i="1" s="1"/>
  <c r="D1889" i="1"/>
  <c r="L1889" i="1" s="1"/>
  <c r="E1889" i="1"/>
  <c r="M1889" i="1" s="1"/>
  <c r="F1889" i="1"/>
  <c r="N1889" i="1" s="1"/>
  <c r="G1889" i="1"/>
  <c r="O1889" i="1" s="1"/>
  <c r="A1890" i="1"/>
  <c r="I1890" i="1" s="1"/>
  <c r="B1890" i="1"/>
  <c r="C1890" i="1"/>
  <c r="K1890" i="1" s="1"/>
  <c r="D1890" i="1"/>
  <c r="L1890" i="1" s="1"/>
  <c r="E1890" i="1"/>
  <c r="M1890" i="1" s="1"/>
  <c r="F1890" i="1"/>
  <c r="N1890" i="1" s="1"/>
  <c r="G1890" i="1"/>
  <c r="O1890" i="1" s="1"/>
  <c r="A1891" i="1"/>
  <c r="I1891" i="1" s="1"/>
  <c r="B1891" i="1"/>
  <c r="C1891" i="1"/>
  <c r="K1891" i="1" s="1"/>
  <c r="D1891" i="1"/>
  <c r="L1891" i="1" s="1"/>
  <c r="E1891" i="1"/>
  <c r="M1891" i="1" s="1"/>
  <c r="F1891" i="1"/>
  <c r="N1891" i="1" s="1"/>
  <c r="G1891" i="1"/>
  <c r="O1891" i="1" s="1"/>
  <c r="A1892" i="1"/>
  <c r="I1892" i="1" s="1"/>
  <c r="B1892" i="1"/>
  <c r="C1892" i="1"/>
  <c r="K1892" i="1" s="1"/>
  <c r="D1892" i="1"/>
  <c r="L1892" i="1" s="1"/>
  <c r="E1892" i="1"/>
  <c r="M1892" i="1" s="1"/>
  <c r="F1892" i="1"/>
  <c r="N1892" i="1" s="1"/>
  <c r="G1892" i="1"/>
  <c r="O1892" i="1" s="1"/>
  <c r="A1893" i="1"/>
  <c r="I1893" i="1" s="1"/>
  <c r="B1893" i="1"/>
  <c r="C1893" i="1"/>
  <c r="K1893" i="1" s="1"/>
  <c r="D1893" i="1"/>
  <c r="L1893" i="1" s="1"/>
  <c r="E1893" i="1"/>
  <c r="M1893" i="1" s="1"/>
  <c r="F1893" i="1"/>
  <c r="N1893" i="1" s="1"/>
  <c r="G1893" i="1"/>
  <c r="O1893" i="1" s="1"/>
  <c r="A1894" i="1"/>
  <c r="I1894" i="1" s="1"/>
  <c r="B1894" i="1"/>
  <c r="C1894" i="1"/>
  <c r="K1894" i="1" s="1"/>
  <c r="D1894" i="1"/>
  <c r="L1894" i="1" s="1"/>
  <c r="E1894" i="1"/>
  <c r="M1894" i="1" s="1"/>
  <c r="F1894" i="1"/>
  <c r="N1894" i="1" s="1"/>
  <c r="G1894" i="1"/>
  <c r="O1894" i="1" s="1"/>
  <c r="A1895" i="1"/>
  <c r="I1895" i="1" s="1"/>
  <c r="B1895" i="1"/>
  <c r="C1895" i="1"/>
  <c r="K1895" i="1" s="1"/>
  <c r="D1895" i="1"/>
  <c r="L1895" i="1" s="1"/>
  <c r="E1895" i="1"/>
  <c r="M1895" i="1" s="1"/>
  <c r="F1895" i="1"/>
  <c r="N1895" i="1" s="1"/>
  <c r="G1895" i="1"/>
  <c r="O1895" i="1" s="1"/>
  <c r="A1896" i="1"/>
  <c r="I1896" i="1" s="1"/>
  <c r="B1896" i="1"/>
  <c r="C1896" i="1"/>
  <c r="K1896" i="1" s="1"/>
  <c r="D1896" i="1"/>
  <c r="L1896" i="1" s="1"/>
  <c r="E1896" i="1"/>
  <c r="M1896" i="1" s="1"/>
  <c r="F1896" i="1"/>
  <c r="N1896" i="1" s="1"/>
  <c r="G1896" i="1"/>
  <c r="O1896" i="1" s="1"/>
  <c r="A1897" i="1"/>
  <c r="I1897" i="1" s="1"/>
  <c r="B1897" i="1"/>
  <c r="C1897" i="1"/>
  <c r="K1897" i="1" s="1"/>
  <c r="D1897" i="1"/>
  <c r="L1897" i="1" s="1"/>
  <c r="E1897" i="1"/>
  <c r="M1897" i="1" s="1"/>
  <c r="F1897" i="1"/>
  <c r="N1897" i="1" s="1"/>
  <c r="G1897" i="1"/>
  <c r="O1897" i="1" s="1"/>
  <c r="A1898" i="1"/>
  <c r="I1898" i="1" s="1"/>
  <c r="B1898" i="1"/>
  <c r="C1898" i="1"/>
  <c r="K1898" i="1" s="1"/>
  <c r="D1898" i="1"/>
  <c r="L1898" i="1" s="1"/>
  <c r="E1898" i="1"/>
  <c r="M1898" i="1" s="1"/>
  <c r="F1898" i="1"/>
  <c r="N1898" i="1" s="1"/>
  <c r="G1898" i="1"/>
  <c r="O1898" i="1" s="1"/>
  <c r="A1899" i="1"/>
  <c r="I1899" i="1" s="1"/>
  <c r="B1899" i="1"/>
  <c r="C1899" i="1"/>
  <c r="K1899" i="1" s="1"/>
  <c r="D1899" i="1"/>
  <c r="L1899" i="1" s="1"/>
  <c r="E1899" i="1"/>
  <c r="M1899" i="1" s="1"/>
  <c r="F1899" i="1"/>
  <c r="N1899" i="1" s="1"/>
  <c r="G1899" i="1"/>
  <c r="O1899" i="1" s="1"/>
  <c r="A1900" i="1"/>
  <c r="I1900" i="1" s="1"/>
  <c r="B1900" i="1"/>
  <c r="C1900" i="1"/>
  <c r="K1900" i="1" s="1"/>
  <c r="D1900" i="1"/>
  <c r="L1900" i="1" s="1"/>
  <c r="E1900" i="1"/>
  <c r="M1900" i="1" s="1"/>
  <c r="F1900" i="1"/>
  <c r="N1900" i="1" s="1"/>
  <c r="G1900" i="1"/>
  <c r="O1900" i="1" s="1"/>
  <c r="A1901" i="1"/>
  <c r="I1901" i="1" s="1"/>
  <c r="B1901" i="1"/>
  <c r="C1901" i="1"/>
  <c r="K1901" i="1" s="1"/>
  <c r="D1901" i="1"/>
  <c r="L1901" i="1" s="1"/>
  <c r="E1901" i="1"/>
  <c r="M1901" i="1" s="1"/>
  <c r="F1901" i="1"/>
  <c r="N1901" i="1" s="1"/>
  <c r="G1901" i="1"/>
  <c r="O1901" i="1" s="1"/>
  <c r="A1902" i="1"/>
  <c r="I1902" i="1" s="1"/>
  <c r="B1902" i="1"/>
  <c r="C1902" i="1"/>
  <c r="K1902" i="1" s="1"/>
  <c r="D1902" i="1"/>
  <c r="L1902" i="1" s="1"/>
  <c r="E1902" i="1"/>
  <c r="M1902" i="1" s="1"/>
  <c r="F1902" i="1"/>
  <c r="N1902" i="1" s="1"/>
  <c r="G1902" i="1"/>
  <c r="O1902" i="1" s="1"/>
  <c r="A1903" i="1"/>
  <c r="I1903" i="1" s="1"/>
  <c r="B1903" i="1"/>
  <c r="C1903" i="1"/>
  <c r="K1903" i="1" s="1"/>
  <c r="D1903" i="1"/>
  <c r="L1903" i="1" s="1"/>
  <c r="E1903" i="1"/>
  <c r="M1903" i="1" s="1"/>
  <c r="F1903" i="1"/>
  <c r="N1903" i="1" s="1"/>
  <c r="G1903" i="1"/>
  <c r="O1903" i="1" s="1"/>
  <c r="A1904" i="1"/>
  <c r="I1904" i="1" s="1"/>
  <c r="B1904" i="1"/>
  <c r="C1904" i="1"/>
  <c r="K1904" i="1" s="1"/>
  <c r="D1904" i="1"/>
  <c r="L1904" i="1" s="1"/>
  <c r="E1904" i="1"/>
  <c r="M1904" i="1" s="1"/>
  <c r="F1904" i="1"/>
  <c r="N1904" i="1" s="1"/>
  <c r="G1904" i="1"/>
  <c r="O1904" i="1" s="1"/>
  <c r="A1905" i="1"/>
  <c r="B1905" i="1"/>
  <c r="C1905" i="1"/>
  <c r="K1905" i="1" s="1"/>
  <c r="D1905" i="1"/>
  <c r="L1905" i="1" s="1"/>
  <c r="E1905" i="1"/>
  <c r="M1905" i="1" s="1"/>
  <c r="F1905" i="1"/>
  <c r="N1905" i="1" s="1"/>
  <c r="G1905" i="1"/>
  <c r="O1905" i="1" s="1"/>
  <c r="A1906" i="1"/>
  <c r="B1906" i="1"/>
  <c r="C1906" i="1"/>
  <c r="K1906" i="1" s="1"/>
  <c r="D1906" i="1"/>
  <c r="L1906" i="1" s="1"/>
  <c r="E1906" i="1"/>
  <c r="M1906" i="1" s="1"/>
  <c r="F1906" i="1"/>
  <c r="N1906" i="1" s="1"/>
  <c r="G1906" i="1"/>
  <c r="O1906" i="1" s="1"/>
  <c r="A1907" i="1"/>
  <c r="B1907" i="1"/>
  <c r="C1907" i="1"/>
  <c r="K1907" i="1" s="1"/>
  <c r="D1907" i="1"/>
  <c r="L1907" i="1" s="1"/>
  <c r="E1907" i="1"/>
  <c r="M1907" i="1" s="1"/>
  <c r="F1907" i="1"/>
  <c r="N1907" i="1" s="1"/>
  <c r="G1907" i="1"/>
  <c r="O1907" i="1" s="1"/>
  <c r="A1908" i="1"/>
  <c r="B1908" i="1"/>
  <c r="C1908" i="1"/>
  <c r="K1908" i="1" s="1"/>
  <c r="D1908" i="1"/>
  <c r="L1908" i="1" s="1"/>
  <c r="E1908" i="1"/>
  <c r="M1908" i="1" s="1"/>
  <c r="F1908" i="1"/>
  <c r="N1908" i="1" s="1"/>
  <c r="G1908" i="1"/>
  <c r="O1908" i="1" s="1"/>
  <c r="A1909" i="1"/>
  <c r="B1909" i="1"/>
  <c r="C1909" i="1"/>
  <c r="K1909" i="1" s="1"/>
  <c r="D1909" i="1"/>
  <c r="L1909" i="1" s="1"/>
  <c r="E1909" i="1"/>
  <c r="M1909" i="1" s="1"/>
  <c r="F1909" i="1"/>
  <c r="N1909" i="1" s="1"/>
  <c r="G1909" i="1"/>
  <c r="O1909" i="1" s="1"/>
  <c r="A1910" i="1"/>
  <c r="B1910" i="1"/>
  <c r="C1910" i="1"/>
  <c r="K1910" i="1" s="1"/>
  <c r="D1910" i="1"/>
  <c r="L1910" i="1" s="1"/>
  <c r="E1910" i="1"/>
  <c r="M1910" i="1" s="1"/>
  <c r="F1910" i="1"/>
  <c r="N1910" i="1" s="1"/>
  <c r="G1910" i="1"/>
  <c r="O1910" i="1" s="1"/>
  <c r="A1911" i="1"/>
  <c r="B1911" i="1"/>
  <c r="C1911" i="1"/>
  <c r="K1911" i="1" s="1"/>
  <c r="D1911" i="1"/>
  <c r="L1911" i="1" s="1"/>
  <c r="E1911" i="1"/>
  <c r="M1911" i="1" s="1"/>
  <c r="F1911" i="1"/>
  <c r="N1911" i="1" s="1"/>
  <c r="G1911" i="1"/>
  <c r="O1911" i="1" s="1"/>
  <c r="A1912" i="1"/>
  <c r="B1912" i="1"/>
  <c r="C1912" i="1"/>
  <c r="K1912" i="1" s="1"/>
  <c r="D1912" i="1"/>
  <c r="L1912" i="1" s="1"/>
  <c r="E1912" i="1"/>
  <c r="M1912" i="1" s="1"/>
  <c r="F1912" i="1"/>
  <c r="N1912" i="1" s="1"/>
  <c r="G1912" i="1"/>
  <c r="O1912" i="1" s="1"/>
  <c r="A1913" i="1"/>
  <c r="B1913" i="1"/>
  <c r="C1913" i="1"/>
  <c r="K1913" i="1" s="1"/>
  <c r="D1913" i="1"/>
  <c r="L1913" i="1" s="1"/>
  <c r="E1913" i="1"/>
  <c r="M1913" i="1" s="1"/>
  <c r="F1913" i="1"/>
  <c r="N1913" i="1" s="1"/>
  <c r="G1913" i="1"/>
  <c r="O1913" i="1" s="1"/>
  <c r="A1914" i="1"/>
  <c r="B1914" i="1"/>
  <c r="C1914" i="1"/>
  <c r="K1914" i="1" s="1"/>
  <c r="D1914" i="1"/>
  <c r="L1914" i="1" s="1"/>
  <c r="E1914" i="1"/>
  <c r="M1914" i="1" s="1"/>
  <c r="F1914" i="1"/>
  <c r="N1914" i="1" s="1"/>
  <c r="G1914" i="1"/>
  <c r="O1914" i="1" s="1"/>
  <c r="A1915" i="1"/>
  <c r="B1915" i="1"/>
  <c r="C1915" i="1"/>
  <c r="K1915" i="1" s="1"/>
  <c r="D1915" i="1"/>
  <c r="L1915" i="1" s="1"/>
  <c r="E1915" i="1"/>
  <c r="M1915" i="1" s="1"/>
  <c r="F1915" i="1"/>
  <c r="N1915" i="1" s="1"/>
  <c r="G1915" i="1"/>
  <c r="O1915" i="1" s="1"/>
  <c r="A1916" i="1"/>
  <c r="B1916" i="1"/>
  <c r="C1916" i="1"/>
  <c r="K1916" i="1" s="1"/>
  <c r="D1916" i="1"/>
  <c r="L1916" i="1" s="1"/>
  <c r="E1916" i="1"/>
  <c r="M1916" i="1" s="1"/>
  <c r="F1916" i="1"/>
  <c r="N1916" i="1" s="1"/>
  <c r="G1916" i="1"/>
  <c r="O1916" i="1" s="1"/>
  <c r="A1917" i="1"/>
  <c r="B1917" i="1"/>
  <c r="C1917" i="1"/>
  <c r="K1917" i="1" s="1"/>
  <c r="D1917" i="1"/>
  <c r="L1917" i="1" s="1"/>
  <c r="E1917" i="1"/>
  <c r="M1917" i="1" s="1"/>
  <c r="F1917" i="1"/>
  <c r="N1917" i="1" s="1"/>
  <c r="G1917" i="1"/>
  <c r="O1917" i="1" s="1"/>
  <c r="A1918" i="1"/>
  <c r="B1918" i="1"/>
  <c r="C1918" i="1"/>
  <c r="K1918" i="1" s="1"/>
  <c r="D1918" i="1"/>
  <c r="L1918" i="1" s="1"/>
  <c r="E1918" i="1"/>
  <c r="M1918" i="1" s="1"/>
  <c r="F1918" i="1"/>
  <c r="N1918" i="1" s="1"/>
  <c r="G1918" i="1"/>
  <c r="O1918" i="1" s="1"/>
  <c r="A1919" i="1"/>
  <c r="I1919" i="1" s="1"/>
  <c r="B1919" i="1"/>
  <c r="C1919" i="1"/>
  <c r="K1919" i="1" s="1"/>
  <c r="D1919" i="1"/>
  <c r="L1919" i="1" s="1"/>
  <c r="E1919" i="1"/>
  <c r="M1919" i="1" s="1"/>
  <c r="F1919" i="1"/>
  <c r="N1919" i="1" s="1"/>
  <c r="G1919" i="1"/>
  <c r="O1919" i="1" s="1"/>
  <c r="A1920" i="1"/>
  <c r="I1920" i="1" s="1"/>
  <c r="B1920" i="1"/>
  <c r="C1920" i="1"/>
  <c r="K1920" i="1" s="1"/>
  <c r="D1920" i="1"/>
  <c r="L1920" i="1" s="1"/>
  <c r="E1920" i="1"/>
  <c r="M1920" i="1" s="1"/>
  <c r="F1920" i="1"/>
  <c r="N1920" i="1" s="1"/>
  <c r="G1920" i="1"/>
  <c r="O1920" i="1" s="1"/>
  <c r="A1921" i="1"/>
  <c r="I1921" i="1" s="1"/>
  <c r="B1921" i="1"/>
  <c r="C1921" i="1"/>
  <c r="K1921" i="1" s="1"/>
  <c r="D1921" i="1"/>
  <c r="L1921" i="1" s="1"/>
  <c r="E1921" i="1"/>
  <c r="M1921" i="1" s="1"/>
  <c r="F1921" i="1"/>
  <c r="N1921" i="1" s="1"/>
  <c r="G1921" i="1"/>
  <c r="O1921" i="1" s="1"/>
  <c r="A1922" i="1"/>
  <c r="I1922" i="1" s="1"/>
  <c r="B1922" i="1"/>
  <c r="C1922" i="1"/>
  <c r="K1922" i="1" s="1"/>
  <c r="D1922" i="1"/>
  <c r="L1922" i="1" s="1"/>
  <c r="E1922" i="1"/>
  <c r="M1922" i="1" s="1"/>
  <c r="F1922" i="1"/>
  <c r="N1922" i="1" s="1"/>
  <c r="G1922" i="1"/>
  <c r="O1922" i="1" s="1"/>
  <c r="A1923" i="1"/>
  <c r="I1923" i="1" s="1"/>
  <c r="B1923" i="1"/>
  <c r="C1923" i="1"/>
  <c r="K1923" i="1" s="1"/>
  <c r="D1923" i="1"/>
  <c r="L1923" i="1" s="1"/>
  <c r="E1923" i="1"/>
  <c r="M1923" i="1" s="1"/>
  <c r="F1923" i="1"/>
  <c r="N1923" i="1" s="1"/>
  <c r="G1923" i="1"/>
  <c r="O1923" i="1" s="1"/>
  <c r="A1924" i="1"/>
  <c r="I1924" i="1" s="1"/>
  <c r="B1924" i="1"/>
  <c r="C1924" i="1"/>
  <c r="K1924" i="1" s="1"/>
  <c r="D1924" i="1"/>
  <c r="L1924" i="1" s="1"/>
  <c r="E1924" i="1"/>
  <c r="M1924" i="1" s="1"/>
  <c r="F1924" i="1"/>
  <c r="N1924" i="1" s="1"/>
  <c r="G1924" i="1"/>
  <c r="O1924" i="1" s="1"/>
  <c r="A1925" i="1"/>
  <c r="I1925" i="1" s="1"/>
  <c r="B1925" i="1"/>
  <c r="C1925" i="1"/>
  <c r="K1925" i="1" s="1"/>
  <c r="D1925" i="1"/>
  <c r="L1925" i="1" s="1"/>
  <c r="E1925" i="1"/>
  <c r="M1925" i="1" s="1"/>
  <c r="F1925" i="1"/>
  <c r="N1925" i="1" s="1"/>
  <c r="G1925" i="1"/>
  <c r="O1925" i="1" s="1"/>
  <c r="A1926" i="1"/>
  <c r="I1926" i="1" s="1"/>
  <c r="B1926" i="1"/>
  <c r="C1926" i="1"/>
  <c r="K1926" i="1" s="1"/>
  <c r="D1926" i="1"/>
  <c r="L1926" i="1" s="1"/>
  <c r="E1926" i="1"/>
  <c r="M1926" i="1" s="1"/>
  <c r="F1926" i="1"/>
  <c r="N1926" i="1" s="1"/>
  <c r="G1926" i="1"/>
  <c r="O1926" i="1" s="1"/>
  <c r="A1927" i="1"/>
  <c r="I1927" i="1" s="1"/>
  <c r="B1927" i="1"/>
  <c r="C1927" i="1"/>
  <c r="K1927" i="1" s="1"/>
  <c r="D1927" i="1"/>
  <c r="L1927" i="1" s="1"/>
  <c r="E1927" i="1"/>
  <c r="M1927" i="1" s="1"/>
  <c r="F1927" i="1"/>
  <c r="N1927" i="1" s="1"/>
  <c r="G1927" i="1"/>
  <c r="O1927" i="1" s="1"/>
  <c r="A1928" i="1"/>
  <c r="B1928" i="1"/>
  <c r="C1928" i="1"/>
  <c r="K1928" i="1" s="1"/>
  <c r="D1928" i="1"/>
  <c r="L1928" i="1" s="1"/>
  <c r="E1928" i="1"/>
  <c r="M1928" i="1" s="1"/>
  <c r="F1928" i="1"/>
  <c r="N1928" i="1" s="1"/>
  <c r="G1928" i="1"/>
  <c r="O1928" i="1" s="1"/>
  <c r="A1929" i="1"/>
  <c r="I1929" i="1" s="1"/>
  <c r="B1929" i="1"/>
  <c r="C1929" i="1"/>
  <c r="K1929" i="1" s="1"/>
  <c r="D1929" i="1"/>
  <c r="L1929" i="1" s="1"/>
  <c r="E1929" i="1"/>
  <c r="M1929" i="1" s="1"/>
  <c r="F1929" i="1"/>
  <c r="N1929" i="1" s="1"/>
  <c r="G1929" i="1"/>
  <c r="O1929" i="1" s="1"/>
  <c r="A1930" i="1"/>
  <c r="I1930" i="1" s="1"/>
  <c r="B1930" i="1"/>
  <c r="C1930" i="1"/>
  <c r="K1930" i="1" s="1"/>
  <c r="D1930" i="1"/>
  <c r="L1930" i="1" s="1"/>
  <c r="E1930" i="1"/>
  <c r="M1930" i="1" s="1"/>
  <c r="F1930" i="1"/>
  <c r="N1930" i="1" s="1"/>
  <c r="G1930" i="1"/>
  <c r="O1930" i="1" s="1"/>
  <c r="A1931" i="1"/>
  <c r="I1931" i="1" s="1"/>
  <c r="B1931" i="1"/>
  <c r="C1931" i="1"/>
  <c r="K1931" i="1" s="1"/>
  <c r="D1931" i="1"/>
  <c r="L1931" i="1" s="1"/>
  <c r="E1931" i="1"/>
  <c r="M1931" i="1" s="1"/>
  <c r="F1931" i="1"/>
  <c r="N1931" i="1" s="1"/>
  <c r="G1931" i="1"/>
  <c r="O1931" i="1" s="1"/>
  <c r="A1932" i="1"/>
  <c r="I1932" i="1" s="1"/>
  <c r="B1932" i="1"/>
  <c r="C1932" i="1"/>
  <c r="K1932" i="1" s="1"/>
  <c r="D1932" i="1"/>
  <c r="L1932" i="1" s="1"/>
  <c r="E1932" i="1"/>
  <c r="M1932" i="1" s="1"/>
  <c r="F1932" i="1"/>
  <c r="N1932" i="1" s="1"/>
  <c r="G1932" i="1"/>
  <c r="O1932" i="1" s="1"/>
  <c r="A1933" i="1"/>
  <c r="I1933" i="1" s="1"/>
  <c r="B1933" i="1"/>
  <c r="C1933" i="1"/>
  <c r="K1933" i="1" s="1"/>
  <c r="D1933" i="1"/>
  <c r="L1933" i="1" s="1"/>
  <c r="E1933" i="1"/>
  <c r="M1933" i="1" s="1"/>
  <c r="F1933" i="1"/>
  <c r="N1933" i="1" s="1"/>
  <c r="G1933" i="1"/>
  <c r="O1933" i="1" s="1"/>
  <c r="A1934" i="1"/>
  <c r="I1934" i="1" s="1"/>
  <c r="B1934" i="1"/>
  <c r="C1934" i="1"/>
  <c r="K1934" i="1" s="1"/>
  <c r="D1934" i="1"/>
  <c r="L1934" i="1" s="1"/>
  <c r="E1934" i="1"/>
  <c r="M1934" i="1" s="1"/>
  <c r="F1934" i="1"/>
  <c r="N1934" i="1" s="1"/>
  <c r="G1934" i="1"/>
  <c r="O1934" i="1" s="1"/>
  <c r="A1935" i="1"/>
  <c r="I1935" i="1" s="1"/>
  <c r="B1935" i="1"/>
  <c r="C1935" i="1"/>
  <c r="K1935" i="1" s="1"/>
  <c r="D1935" i="1"/>
  <c r="L1935" i="1" s="1"/>
  <c r="E1935" i="1"/>
  <c r="M1935" i="1" s="1"/>
  <c r="F1935" i="1"/>
  <c r="N1935" i="1" s="1"/>
  <c r="G1935" i="1"/>
  <c r="O1935" i="1" s="1"/>
  <c r="A1936" i="1"/>
  <c r="I1936" i="1" s="1"/>
  <c r="B1936" i="1"/>
  <c r="C1936" i="1"/>
  <c r="K1936" i="1" s="1"/>
  <c r="D1936" i="1"/>
  <c r="L1936" i="1" s="1"/>
  <c r="E1936" i="1"/>
  <c r="M1936" i="1" s="1"/>
  <c r="F1936" i="1"/>
  <c r="N1936" i="1" s="1"/>
  <c r="G1936" i="1"/>
  <c r="O1936" i="1" s="1"/>
  <c r="A1937" i="1"/>
  <c r="I1937" i="1" s="1"/>
  <c r="B1937" i="1"/>
  <c r="C1937" i="1"/>
  <c r="K1937" i="1" s="1"/>
  <c r="D1937" i="1"/>
  <c r="L1937" i="1" s="1"/>
  <c r="E1937" i="1"/>
  <c r="M1937" i="1" s="1"/>
  <c r="F1937" i="1"/>
  <c r="N1937" i="1" s="1"/>
  <c r="G1937" i="1"/>
  <c r="O1937" i="1" s="1"/>
  <c r="A1938" i="1"/>
  <c r="I1938" i="1" s="1"/>
  <c r="B1938" i="1"/>
  <c r="C1938" i="1"/>
  <c r="K1938" i="1" s="1"/>
  <c r="D1938" i="1"/>
  <c r="L1938" i="1" s="1"/>
  <c r="E1938" i="1"/>
  <c r="M1938" i="1" s="1"/>
  <c r="F1938" i="1"/>
  <c r="N1938" i="1" s="1"/>
  <c r="G1938" i="1"/>
  <c r="O1938" i="1" s="1"/>
  <c r="A1939" i="1"/>
  <c r="I1939" i="1" s="1"/>
  <c r="B1939" i="1"/>
  <c r="C1939" i="1"/>
  <c r="K1939" i="1" s="1"/>
  <c r="D1939" i="1"/>
  <c r="L1939" i="1" s="1"/>
  <c r="E1939" i="1"/>
  <c r="M1939" i="1" s="1"/>
  <c r="F1939" i="1"/>
  <c r="N1939" i="1" s="1"/>
  <c r="G1939" i="1"/>
  <c r="O1939" i="1" s="1"/>
  <c r="A1940" i="1"/>
  <c r="I1940" i="1" s="1"/>
  <c r="B1940" i="1"/>
  <c r="C1940" i="1"/>
  <c r="K1940" i="1" s="1"/>
  <c r="D1940" i="1"/>
  <c r="L1940" i="1" s="1"/>
  <c r="E1940" i="1"/>
  <c r="M1940" i="1" s="1"/>
  <c r="F1940" i="1"/>
  <c r="N1940" i="1" s="1"/>
  <c r="G1940" i="1"/>
  <c r="O1940" i="1" s="1"/>
  <c r="A1941" i="1"/>
  <c r="I1941" i="1" s="1"/>
  <c r="B1941" i="1"/>
  <c r="C1941" i="1"/>
  <c r="K1941" i="1" s="1"/>
  <c r="D1941" i="1"/>
  <c r="L1941" i="1" s="1"/>
  <c r="E1941" i="1"/>
  <c r="M1941" i="1" s="1"/>
  <c r="F1941" i="1"/>
  <c r="N1941" i="1" s="1"/>
  <c r="G1941" i="1"/>
  <c r="O1941" i="1" s="1"/>
  <c r="A1942" i="1"/>
  <c r="I1942" i="1" s="1"/>
  <c r="B1942" i="1"/>
  <c r="C1942" i="1"/>
  <c r="K1942" i="1" s="1"/>
  <c r="D1942" i="1"/>
  <c r="L1942" i="1" s="1"/>
  <c r="E1942" i="1"/>
  <c r="M1942" i="1" s="1"/>
  <c r="F1942" i="1"/>
  <c r="N1942" i="1" s="1"/>
  <c r="G1942" i="1"/>
  <c r="O1942" i="1" s="1"/>
  <c r="A1943" i="1"/>
  <c r="I1943" i="1" s="1"/>
  <c r="B1943" i="1"/>
  <c r="C1943" i="1"/>
  <c r="K1943" i="1" s="1"/>
  <c r="D1943" i="1"/>
  <c r="L1943" i="1" s="1"/>
  <c r="E1943" i="1"/>
  <c r="M1943" i="1" s="1"/>
  <c r="F1943" i="1"/>
  <c r="N1943" i="1" s="1"/>
  <c r="G1943" i="1"/>
  <c r="O1943" i="1" s="1"/>
  <c r="A1944" i="1"/>
  <c r="I1944" i="1" s="1"/>
  <c r="B1944" i="1"/>
  <c r="C1944" i="1"/>
  <c r="K1944" i="1" s="1"/>
  <c r="D1944" i="1"/>
  <c r="L1944" i="1" s="1"/>
  <c r="E1944" i="1"/>
  <c r="M1944" i="1" s="1"/>
  <c r="F1944" i="1"/>
  <c r="N1944" i="1" s="1"/>
  <c r="G1944" i="1"/>
  <c r="O1944" i="1" s="1"/>
  <c r="A1945" i="1"/>
  <c r="B1945" i="1"/>
  <c r="C1945" i="1"/>
  <c r="K1945" i="1" s="1"/>
  <c r="D1945" i="1"/>
  <c r="L1945" i="1" s="1"/>
  <c r="E1945" i="1"/>
  <c r="M1945" i="1" s="1"/>
  <c r="F1945" i="1"/>
  <c r="N1945" i="1" s="1"/>
  <c r="G1945" i="1"/>
  <c r="O1945" i="1" s="1"/>
  <c r="A1946" i="1"/>
  <c r="B1946" i="1"/>
  <c r="C1946" i="1"/>
  <c r="K1946" i="1" s="1"/>
  <c r="D1946" i="1"/>
  <c r="L1946" i="1" s="1"/>
  <c r="E1946" i="1"/>
  <c r="M1946" i="1" s="1"/>
  <c r="F1946" i="1"/>
  <c r="N1946" i="1" s="1"/>
  <c r="G1946" i="1"/>
  <c r="O1946" i="1" s="1"/>
  <c r="A1947" i="1"/>
  <c r="B1947" i="1"/>
  <c r="C1947" i="1"/>
  <c r="K1947" i="1" s="1"/>
  <c r="D1947" i="1"/>
  <c r="L1947" i="1" s="1"/>
  <c r="E1947" i="1"/>
  <c r="M1947" i="1" s="1"/>
  <c r="F1947" i="1"/>
  <c r="N1947" i="1" s="1"/>
  <c r="G1947" i="1"/>
  <c r="O1947" i="1" s="1"/>
  <c r="A1948" i="1"/>
  <c r="B1948" i="1"/>
  <c r="C1948" i="1"/>
  <c r="K1948" i="1" s="1"/>
  <c r="D1948" i="1"/>
  <c r="L1948" i="1" s="1"/>
  <c r="E1948" i="1"/>
  <c r="M1948" i="1" s="1"/>
  <c r="F1948" i="1"/>
  <c r="N1948" i="1" s="1"/>
  <c r="G1948" i="1"/>
  <c r="O1948" i="1" s="1"/>
  <c r="A1949" i="1"/>
  <c r="B1949" i="1"/>
  <c r="C1949" i="1"/>
  <c r="K1949" i="1" s="1"/>
  <c r="D1949" i="1"/>
  <c r="L1949" i="1" s="1"/>
  <c r="E1949" i="1"/>
  <c r="M1949" i="1" s="1"/>
  <c r="F1949" i="1"/>
  <c r="N1949" i="1" s="1"/>
  <c r="G1949" i="1"/>
  <c r="O1949" i="1" s="1"/>
  <c r="A1950" i="1"/>
  <c r="B1950" i="1"/>
  <c r="C1950" i="1"/>
  <c r="K1950" i="1" s="1"/>
  <c r="D1950" i="1"/>
  <c r="L1950" i="1" s="1"/>
  <c r="E1950" i="1"/>
  <c r="M1950" i="1" s="1"/>
  <c r="F1950" i="1"/>
  <c r="N1950" i="1" s="1"/>
  <c r="G1950" i="1"/>
  <c r="O1950" i="1" s="1"/>
  <c r="A1951" i="1"/>
  <c r="B1951" i="1"/>
  <c r="C1951" i="1"/>
  <c r="K1951" i="1" s="1"/>
  <c r="D1951" i="1"/>
  <c r="L1951" i="1" s="1"/>
  <c r="E1951" i="1"/>
  <c r="M1951" i="1" s="1"/>
  <c r="F1951" i="1"/>
  <c r="N1951" i="1" s="1"/>
  <c r="G1951" i="1"/>
  <c r="O1951" i="1" s="1"/>
  <c r="A1952" i="1"/>
  <c r="B1952" i="1"/>
  <c r="C1952" i="1"/>
  <c r="K1952" i="1" s="1"/>
  <c r="D1952" i="1"/>
  <c r="L1952" i="1" s="1"/>
  <c r="E1952" i="1"/>
  <c r="M1952" i="1" s="1"/>
  <c r="F1952" i="1"/>
  <c r="N1952" i="1" s="1"/>
  <c r="G1952" i="1"/>
  <c r="O1952" i="1" s="1"/>
  <c r="A1953" i="1"/>
  <c r="B1953" i="1"/>
  <c r="C1953" i="1"/>
  <c r="K1953" i="1" s="1"/>
  <c r="D1953" i="1"/>
  <c r="L1953" i="1" s="1"/>
  <c r="E1953" i="1"/>
  <c r="M1953" i="1" s="1"/>
  <c r="F1953" i="1"/>
  <c r="N1953" i="1" s="1"/>
  <c r="G1953" i="1"/>
  <c r="O1953" i="1" s="1"/>
  <c r="A1954" i="1"/>
  <c r="B1954" i="1"/>
  <c r="C1954" i="1"/>
  <c r="K1954" i="1" s="1"/>
  <c r="D1954" i="1"/>
  <c r="L1954" i="1" s="1"/>
  <c r="E1954" i="1"/>
  <c r="M1954" i="1" s="1"/>
  <c r="F1954" i="1"/>
  <c r="N1954" i="1" s="1"/>
  <c r="G1954" i="1"/>
  <c r="O1954" i="1" s="1"/>
  <c r="A1955" i="1"/>
  <c r="B1955" i="1"/>
  <c r="C1955" i="1"/>
  <c r="K1955" i="1" s="1"/>
  <c r="D1955" i="1"/>
  <c r="L1955" i="1" s="1"/>
  <c r="E1955" i="1"/>
  <c r="M1955" i="1" s="1"/>
  <c r="F1955" i="1"/>
  <c r="N1955" i="1" s="1"/>
  <c r="G1955" i="1"/>
  <c r="O1955" i="1" s="1"/>
  <c r="A1956" i="1"/>
  <c r="B1956" i="1"/>
  <c r="C1956" i="1"/>
  <c r="K1956" i="1" s="1"/>
  <c r="D1956" i="1"/>
  <c r="L1956" i="1" s="1"/>
  <c r="E1956" i="1"/>
  <c r="M1956" i="1" s="1"/>
  <c r="F1956" i="1"/>
  <c r="N1956" i="1" s="1"/>
  <c r="G1956" i="1"/>
  <c r="O1956" i="1" s="1"/>
  <c r="A1957" i="1"/>
  <c r="B1957" i="1"/>
  <c r="C1957" i="1"/>
  <c r="K1957" i="1" s="1"/>
  <c r="D1957" i="1"/>
  <c r="L1957" i="1" s="1"/>
  <c r="E1957" i="1"/>
  <c r="M1957" i="1" s="1"/>
  <c r="F1957" i="1"/>
  <c r="N1957" i="1" s="1"/>
  <c r="G1957" i="1"/>
  <c r="O1957" i="1" s="1"/>
  <c r="A1958" i="1"/>
  <c r="B1958" i="1"/>
  <c r="C1958" i="1"/>
  <c r="K1958" i="1" s="1"/>
  <c r="D1958" i="1"/>
  <c r="L1958" i="1" s="1"/>
  <c r="E1958" i="1"/>
  <c r="M1958" i="1" s="1"/>
  <c r="F1958" i="1"/>
  <c r="N1958" i="1" s="1"/>
  <c r="G1958" i="1"/>
  <c r="O1958" i="1" s="1"/>
  <c r="A1959" i="1"/>
  <c r="B1959" i="1"/>
  <c r="C1959" i="1"/>
  <c r="K1959" i="1" s="1"/>
  <c r="D1959" i="1"/>
  <c r="L1959" i="1" s="1"/>
  <c r="E1959" i="1"/>
  <c r="M1959" i="1" s="1"/>
  <c r="F1959" i="1"/>
  <c r="N1959" i="1" s="1"/>
  <c r="G1959" i="1"/>
  <c r="O1959" i="1" s="1"/>
  <c r="A1960" i="1"/>
  <c r="B1960" i="1"/>
  <c r="C1960" i="1"/>
  <c r="K1960" i="1" s="1"/>
  <c r="D1960" i="1"/>
  <c r="L1960" i="1" s="1"/>
  <c r="E1960" i="1"/>
  <c r="M1960" i="1" s="1"/>
  <c r="F1960" i="1"/>
  <c r="N1960" i="1" s="1"/>
  <c r="G1960" i="1"/>
  <c r="O1960" i="1" s="1"/>
  <c r="A1961" i="1"/>
  <c r="B1961" i="1"/>
  <c r="C1961" i="1"/>
  <c r="K1961" i="1" s="1"/>
  <c r="D1961" i="1"/>
  <c r="L1961" i="1" s="1"/>
  <c r="E1961" i="1"/>
  <c r="M1961" i="1" s="1"/>
  <c r="F1961" i="1"/>
  <c r="N1961" i="1" s="1"/>
  <c r="G1961" i="1"/>
  <c r="O1961" i="1" s="1"/>
  <c r="A1962" i="1"/>
  <c r="B1962" i="1"/>
  <c r="C1962" i="1"/>
  <c r="K1962" i="1" s="1"/>
  <c r="D1962" i="1"/>
  <c r="L1962" i="1" s="1"/>
  <c r="E1962" i="1"/>
  <c r="M1962" i="1" s="1"/>
  <c r="F1962" i="1"/>
  <c r="N1962" i="1" s="1"/>
  <c r="G1962" i="1"/>
  <c r="O1962" i="1" s="1"/>
  <c r="A1963" i="1"/>
  <c r="B1963" i="1"/>
  <c r="C1963" i="1"/>
  <c r="K1963" i="1" s="1"/>
  <c r="D1963" i="1"/>
  <c r="L1963" i="1" s="1"/>
  <c r="E1963" i="1"/>
  <c r="M1963" i="1" s="1"/>
  <c r="F1963" i="1"/>
  <c r="N1963" i="1" s="1"/>
  <c r="G1963" i="1"/>
  <c r="O1963" i="1" s="1"/>
  <c r="A1964" i="1"/>
  <c r="B1964" i="1"/>
  <c r="C1964" i="1"/>
  <c r="K1964" i="1" s="1"/>
  <c r="D1964" i="1"/>
  <c r="L1964" i="1" s="1"/>
  <c r="E1964" i="1"/>
  <c r="M1964" i="1" s="1"/>
  <c r="F1964" i="1"/>
  <c r="N1964" i="1" s="1"/>
  <c r="G1964" i="1"/>
  <c r="O1964" i="1" s="1"/>
  <c r="A1965" i="1"/>
  <c r="B1965" i="1"/>
  <c r="C1965" i="1"/>
  <c r="K1965" i="1" s="1"/>
  <c r="D1965" i="1"/>
  <c r="L1965" i="1" s="1"/>
  <c r="E1965" i="1"/>
  <c r="M1965" i="1" s="1"/>
  <c r="F1965" i="1"/>
  <c r="N1965" i="1" s="1"/>
  <c r="G1965" i="1"/>
  <c r="O1965" i="1" s="1"/>
  <c r="A1966" i="1"/>
  <c r="B1966" i="1"/>
  <c r="C1966" i="1"/>
  <c r="K1966" i="1" s="1"/>
  <c r="D1966" i="1"/>
  <c r="L1966" i="1" s="1"/>
  <c r="E1966" i="1"/>
  <c r="M1966" i="1" s="1"/>
  <c r="F1966" i="1"/>
  <c r="N1966" i="1" s="1"/>
  <c r="G1966" i="1"/>
  <c r="O1966" i="1" s="1"/>
  <c r="A1967" i="1"/>
  <c r="B1967" i="1"/>
  <c r="C1967" i="1"/>
  <c r="K1967" i="1" s="1"/>
  <c r="D1967" i="1"/>
  <c r="L1967" i="1" s="1"/>
  <c r="E1967" i="1"/>
  <c r="M1967" i="1" s="1"/>
  <c r="F1967" i="1"/>
  <c r="N1967" i="1" s="1"/>
  <c r="G1967" i="1"/>
  <c r="O1967" i="1" s="1"/>
  <c r="A1968" i="1"/>
  <c r="B1968" i="1"/>
  <c r="C1968" i="1"/>
  <c r="K1968" i="1" s="1"/>
  <c r="D1968" i="1"/>
  <c r="L1968" i="1" s="1"/>
  <c r="E1968" i="1"/>
  <c r="M1968" i="1" s="1"/>
  <c r="F1968" i="1"/>
  <c r="N1968" i="1" s="1"/>
  <c r="G1968" i="1"/>
  <c r="O1968" i="1" s="1"/>
  <c r="A1969" i="1"/>
  <c r="B1969" i="1"/>
  <c r="C1969" i="1"/>
  <c r="K1969" i="1" s="1"/>
  <c r="D1969" i="1"/>
  <c r="L1969" i="1" s="1"/>
  <c r="E1969" i="1"/>
  <c r="M1969" i="1" s="1"/>
  <c r="F1969" i="1"/>
  <c r="N1969" i="1" s="1"/>
  <c r="G1969" i="1"/>
  <c r="O1969" i="1" s="1"/>
  <c r="A1970" i="1"/>
  <c r="B1970" i="1"/>
  <c r="C1970" i="1"/>
  <c r="K1970" i="1" s="1"/>
  <c r="D1970" i="1"/>
  <c r="L1970" i="1" s="1"/>
  <c r="E1970" i="1"/>
  <c r="M1970" i="1" s="1"/>
  <c r="F1970" i="1"/>
  <c r="N1970" i="1" s="1"/>
  <c r="G1970" i="1"/>
  <c r="O1970" i="1" s="1"/>
  <c r="A1971" i="1"/>
  <c r="B1971" i="1"/>
  <c r="C1971" i="1"/>
  <c r="K1971" i="1" s="1"/>
  <c r="D1971" i="1"/>
  <c r="L1971" i="1" s="1"/>
  <c r="E1971" i="1"/>
  <c r="M1971" i="1" s="1"/>
  <c r="F1971" i="1"/>
  <c r="N1971" i="1" s="1"/>
  <c r="G1971" i="1"/>
  <c r="O1971" i="1" s="1"/>
  <c r="A1972" i="1"/>
  <c r="B1972" i="1"/>
  <c r="C1972" i="1"/>
  <c r="K1972" i="1" s="1"/>
  <c r="D1972" i="1"/>
  <c r="L1972" i="1" s="1"/>
  <c r="E1972" i="1"/>
  <c r="M1972" i="1" s="1"/>
  <c r="F1972" i="1"/>
  <c r="N1972" i="1" s="1"/>
  <c r="G1972" i="1"/>
  <c r="O1972" i="1" s="1"/>
  <c r="A1973" i="1"/>
  <c r="B1973" i="1"/>
  <c r="C1973" i="1"/>
  <c r="K1973" i="1" s="1"/>
  <c r="D1973" i="1"/>
  <c r="L1973" i="1" s="1"/>
  <c r="E1973" i="1"/>
  <c r="M1973" i="1" s="1"/>
  <c r="F1973" i="1"/>
  <c r="N1973" i="1" s="1"/>
  <c r="G1973" i="1"/>
  <c r="O1973" i="1" s="1"/>
  <c r="A1974" i="1"/>
  <c r="B1974" i="1"/>
  <c r="C1974" i="1"/>
  <c r="K1974" i="1" s="1"/>
  <c r="D1974" i="1"/>
  <c r="L1974" i="1" s="1"/>
  <c r="E1974" i="1"/>
  <c r="M1974" i="1" s="1"/>
  <c r="F1974" i="1"/>
  <c r="N1974" i="1" s="1"/>
  <c r="G1974" i="1"/>
  <c r="O1974" i="1" s="1"/>
  <c r="A1975" i="1"/>
  <c r="B1975" i="1"/>
  <c r="C1975" i="1"/>
  <c r="K1975" i="1" s="1"/>
  <c r="D1975" i="1"/>
  <c r="L1975" i="1" s="1"/>
  <c r="E1975" i="1"/>
  <c r="M1975" i="1" s="1"/>
  <c r="F1975" i="1"/>
  <c r="N1975" i="1" s="1"/>
  <c r="G1975" i="1"/>
  <c r="O1975" i="1" s="1"/>
  <c r="A1976" i="1"/>
  <c r="B1976" i="1"/>
  <c r="C1976" i="1"/>
  <c r="K1976" i="1" s="1"/>
  <c r="D1976" i="1"/>
  <c r="L1976" i="1" s="1"/>
  <c r="E1976" i="1"/>
  <c r="M1976" i="1" s="1"/>
  <c r="F1976" i="1"/>
  <c r="N1976" i="1" s="1"/>
  <c r="G1976" i="1"/>
  <c r="O1976" i="1" s="1"/>
  <c r="A1977" i="1"/>
  <c r="B1977" i="1"/>
  <c r="C1977" i="1"/>
  <c r="K1977" i="1" s="1"/>
  <c r="D1977" i="1"/>
  <c r="L1977" i="1" s="1"/>
  <c r="E1977" i="1"/>
  <c r="M1977" i="1" s="1"/>
  <c r="F1977" i="1"/>
  <c r="N1977" i="1" s="1"/>
  <c r="G1977" i="1"/>
  <c r="O1977" i="1" s="1"/>
  <c r="A1978" i="1"/>
  <c r="B1978" i="1"/>
  <c r="C1978" i="1"/>
  <c r="K1978" i="1" s="1"/>
  <c r="D1978" i="1"/>
  <c r="L1978" i="1" s="1"/>
  <c r="E1978" i="1"/>
  <c r="M1978" i="1" s="1"/>
  <c r="F1978" i="1"/>
  <c r="N1978" i="1" s="1"/>
  <c r="G1978" i="1"/>
  <c r="O1978" i="1" s="1"/>
  <c r="A1979" i="1"/>
  <c r="B1979" i="1"/>
  <c r="C1979" i="1"/>
  <c r="K1979" i="1" s="1"/>
  <c r="D1979" i="1"/>
  <c r="L1979" i="1" s="1"/>
  <c r="E1979" i="1"/>
  <c r="M1979" i="1" s="1"/>
  <c r="F1979" i="1"/>
  <c r="N1979" i="1" s="1"/>
  <c r="G1979" i="1"/>
  <c r="O1979" i="1" s="1"/>
  <c r="A1980" i="1"/>
  <c r="B1980" i="1"/>
  <c r="C1980" i="1"/>
  <c r="K1980" i="1" s="1"/>
  <c r="D1980" i="1"/>
  <c r="L1980" i="1" s="1"/>
  <c r="E1980" i="1"/>
  <c r="M1980" i="1" s="1"/>
  <c r="F1980" i="1"/>
  <c r="N1980" i="1" s="1"/>
  <c r="G1980" i="1"/>
  <c r="O1980" i="1" s="1"/>
  <c r="A1981" i="1"/>
  <c r="B1981" i="1"/>
  <c r="C1981" i="1"/>
  <c r="K1981" i="1" s="1"/>
  <c r="D1981" i="1"/>
  <c r="L1981" i="1" s="1"/>
  <c r="E1981" i="1"/>
  <c r="M1981" i="1" s="1"/>
  <c r="F1981" i="1"/>
  <c r="N1981" i="1" s="1"/>
  <c r="G1981" i="1"/>
  <c r="O1981" i="1" s="1"/>
  <c r="A1982" i="1"/>
  <c r="B1982" i="1"/>
  <c r="C1982" i="1"/>
  <c r="K1982" i="1" s="1"/>
  <c r="D1982" i="1"/>
  <c r="L1982" i="1" s="1"/>
  <c r="E1982" i="1"/>
  <c r="M1982" i="1" s="1"/>
  <c r="F1982" i="1"/>
  <c r="N1982" i="1" s="1"/>
  <c r="G1982" i="1"/>
  <c r="O1982" i="1" s="1"/>
  <c r="A1983" i="1"/>
  <c r="B1983" i="1"/>
  <c r="C1983" i="1"/>
  <c r="K1983" i="1" s="1"/>
  <c r="D1983" i="1"/>
  <c r="L1983" i="1" s="1"/>
  <c r="E1983" i="1"/>
  <c r="M1983" i="1" s="1"/>
  <c r="F1983" i="1"/>
  <c r="N1983" i="1" s="1"/>
  <c r="G1983" i="1"/>
  <c r="O1983" i="1" s="1"/>
  <c r="A1984" i="1"/>
  <c r="B1984" i="1"/>
  <c r="C1984" i="1"/>
  <c r="K1984" i="1" s="1"/>
  <c r="D1984" i="1"/>
  <c r="L1984" i="1" s="1"/>
  <c r="E1984" i="1"/>
  <c r="M1984" i="1" s="1"/>
  <c r="F1984" i="1"/>
  <c r="N1984" i="1" s="1"/>
  <c r="G1984" i="1"/>
  <c r="O1984" i="1" s="1"/>
  <c r="A1985" i="1"/>
  <c r="B1985" i="1"/>
  <c r="C1985" i="1"/>
  <c r="K1985" i="1" s="1"/>
  <c r="D1985" i="1"/>
  <c r="L1985" i="1" s="1"/>
  <c r="E1985" i="1"/>
  <c r="M1985" i="1" s="1"/>
  <c r="F1985" i="1"/>
  <c r="N1985" i="1" s="1"/>
  <c r="G1985" i="1"/>
  <c r="O1985" i="1" s="1"/>
  <c r="A1986" i="1"/>
  <c r="B1986" i="1"/>
  <c r="C1986" i="1"/>
  <c r="K1986" i="1" s="1"/>
  <c r="D1986" i="1"/>
  <c r="L1986" i="1" s="1"/>
  <c r="E1986" i="1"/>
  <c r="M1986" i="1" s="1"/>
  <c r="F1986" i="1"/>
  <c r="N1986" i="1" s="1"/>
  <c r="G1986" i="1"/>
  <c r="O1986" i="1" s="1"/>
  <c r="A1987" i="1"/>
  <c r="B1987" i="1"/>
  <c r="C1987" i="1"/>
  <c r="K1987" i="1" s="1"/>
  <c r="D1987" i="1"/>
  <c r="L1987" i="1" s="1"/>
  <c r="E1987" i="1"/>
  <c r="M1987" i="1" s="1"/>
  <c r="F1987" i="1"/>
  <c r="N1987" i="1" s="1"/>
  <c r="G1987" i="1"/>
  <c r="O1987" i="1" s="1"/>
  <c r="A1988" i="1"/>
  <c r="B1988" i="1"/>
  <c r="C1988" i="1"/>
  <c r="K1988" i="1" s="1"/>
  <c r="D1988" i="1"/>
  <c r="L1988" i="1" s="1"/>
  <c r="E1988" i="1"/>
  <c r="M1988" i="1" s="1"/>
  <c r="F1988" i="1"/>
  <c r="N1988" i="1" s="1"/>
  <c r="G1988" i="1"/>
  <c r="O1988" i="1" s="1"/>
  <c r="A1989" i="1"/>
  <c r="B1989" i="1"/>
  <c r="C1989" i="1"/>
  <c r="K1989" i="1" s="1"/>
  <c r="D1989" i="1"/>
  <c r="L1989" i="1" s="1"/>
  <c r="E1989" i="1"/>
  <c r="M1989" i="1" s="1"/>
  <c r="F1989" i="1"/>
  <c r="N1989" i="1" s="1"/>
  <c r="G1989" i="1"/>
  <c r="O1989" i="1" s="1"/>
  <c r="A1990" i="1"/>
  <c r="B1990" i="1"/>
  <c r="C1990" i="1"/>
  <c r="K1990" i="1" s="1"/>
  <c r="D1990" i="1"/>
  <c r="L1990" i="1" s="1"/>
  <c r="E1990" i="1"/>
  <c r="M1990" i="1" s="1"/>
  <c r="F1990" i="1"/>
  <c r="N1990" i="1" s="1"/>
  <c r="G1990" i="1"/>
  <c r="O1990" i="1" s="1"/>
  <c r="A1991" i="1"/>
  <c r="B1991" i="1"/>
  <c r="C1991" i="1"/>
  <c r="K1991" i="1" s="1"/>
  <c r="D1991" i="1"/>
  <c r="L1991" i="1" s="1"/>
  <c r="E1991" i="1"/>
  <c r="M1991" i="1" s="1"/>
  <c r="F1991" i="1"/>
  <c r="N1991" i="1" s="1"/>
  <c r="G1991" i="1"/>
  <c r="O1991" i="1" s="1"/>
  <c r="A1992" i="1"/>
  <c r="B1992" i="1"/>
  <c r="C1992" i="1"/>
  <c r="K1992" i="1" s="1"/>
  <c r="D1992" i="1"/>
  <c r="L1992" i="1" s="1"/>
  <c r="E1992" i="1"/>
  <c r="M1992" i="1" s="1"/>
  <c r="F1992" i="1"/>
  <c r="N1992" i="1" s="1"/>
  <c r="G1992" i="1"/>
  <c r="O1992" i="1" s="1"/>
  <c r="A1993" i="1"/>
  <c r="B1993" i="1"/>
  <c r="C1993" i="1"/>
  <c r="K1993" i="1" s="1"/>
  <c r="D1993" i="1"/>
  <c r="L1993" i="1" s="1"/>
  <c r="E1993" i="1"/>
  <c r="M1993" i="1" s="1"/>
  <c r="F1993" i="1"/>
  <c r="N1993" i="1" s="1"/>
  <c r="G1993" i="1"/>
  <c r="O1993" i="1" s="1"/>
  <c r="A1994" i="1"/>
  <c r="B1994" i="1"/>
  <c r="C1994" i="1"/>
  <c r="K1994" i="1" s="1"/>
  <c r="D1994" i="1"/>
  <c r="L1994" i="1" s="1"/>
  <c r="E1994" i="1"/>
  <c r="M1994" i="1" s="1"/>
  <c r="F1994" i="1"/>
  <c r="N1994" i="1" s="1"/>
  <c r="G1994" i="1"/>
  <c r="O1994" i="1" s="1"/>
  <c r="A1995" i="1"/>
  <c r="B1995" i="1"/>
  <c r="C1995" i="1"/>
  <c r="K1995" i="1" s="1"/>
  <c r="D1995" i="1"/>
  <c r="L1995" i="1" s="1"/>
  <c r="E1995" i="1"/>
  <c r="M1995" i="1" s="1"/>
  <c r="F1995" i="1"/>
  <c r="N1995" i="1" s="1"/>
  <c r="G1995" i="1"/>
  <c r="O1995" i="1" s="1"/>
  <c r="A1996" i="1"/>
  <c r="B1996" i="1"/>
  <c r="C1996" i="1"/>
  <c r="K1996" i="1" s="1"/>
  <c r="D1996" i="1"/>
  <c r="L1996" i="1" s="1"/>
  <c r="E1996" i="1"/>
  <c r="M1996" i="1" s="1"/>
  <c r="F1996" i="1"/>
  <c r="N1996" i="1" s="1"/>
  <c r="G1996" i="1"/>
  <c r="O1996" i="1" s="1"/>
  <c r="A1997" i="1"/>
  <c r="B1997" i="1"/>
  <c r="C1997" i="1"/>
  <c r="K1997" i="1" s="1"/>
  <c r="D1997" i="1"/>
  <c r="L1997" i="1" s="1"/>
  <c r="E1997" i="1"/>
  <c r="M1997" i="1" s="1"/>
  <c r="F1997" i="1"/>
  <c r="N1997" i="1" s="1"/>
  <c r="G1997" i="1"/>
  <c r="O1997" i="1" s="1"/>
  <c r="A1998" i="1"/>
  <c r="B1998" i="1"/>
  <c r="C1998" i="1"/>
  <c r="K1998" i="1" s="1"/>
  <c r="D1998" i="1"/>
  <c r="L1998" i="1" s="1"/>
  <c r="E1998" i="1"/>
  <c r="M1998" i="1" s="1"/>
  <c r="F1998" i="1"/>
  <c r="N1998" i="1" s="1"/>
  <c r="G1998" i="1"/>
  <c r="O1998" i="1" s="1"/>
  <c r="A1999" i="1"/>
  <c r="B1999" i="1"/>
  <c r="C1999" i="1"/>
  <c r="K1999" i="1" s="1"/>
  <c r="D1999" i="1"/>
  <c r="L1999" i="1" s="1"/>
  <c r="E1999" i="1"/>
  <c r="M1999" i="1" s="1"/>
  <c r="F1999" i="1"/>
  <c r="N1999" i="1" s="1"/>
  <c r="G1999" i="1"/>
  <c r="O1999" i="1" s="1"/>
  <c r="A2000" i="1"/>
  <c r="B2000" i="1"/>
  <c r="C2000" i="1"/>
  <c r="K2000" i="1" s="1"/>
  <c r="D2000" i="1"/>
  <c r="L2000" i="1" s="1"/>
  <c r="E2000" i="1"/>
  <c r="M2000" i="1" s="1"/>
  <c r="F2000" i="1"/>
  <c r="N2000" i="1" s="1"/>
  <c r="G2000" i="1"/>
  <c r="O2000" i="1" s="1"/>
  <c r="A2001" i="1"/>
  <c r="B2001" i="1"/>
  <c r="C2001" i="1"/>
  <c r="K2001" i="1" s="1"/>
  <c r="D2001" i="1"/>
  <c r="L2001" i="1" s="1"/>
  <c r="E2001" i="1"/>
  <c r="M2001" i="1" s="1"/>
  <c r="F2001" i="1"/>
  <c r="N2001" i="1" s="1"/>
  <c r="G2001" i="1"/>
  <c r="O2001" i="1" s="1"/>
  <c r="A2002" i="1"/>
  <c r="B2002" i="1"/>
  <c r="C2002" i="1"/>
  <c r="K2002" i="1" s="1"/>
  <c r="D2002" i="1"/>
  <c r="L2002" i="1" s="1"/>
  <c r="E2002" i="1"/>
  <c r="M2002" i="1" s="1"/>
  <c r="F2002" i="1"/>
  <c r="N2002" i="1" s="1"/>
  <c r="G2002" i="1"/>
  <c r="O2002" i="1" s="1"/>
  <c r="A2003" i="1"/>
  <c r="B2003" i="1"/>
  <c r="C2003" i="1"/>
  <c r="K2003" i="1" s="1"/>
  <c r="D2003" i="1"/>
  <c r="L2003" i="1" s="1"/>
  <c r="E2003" i="1"/>
  <c r="M2003" i="1" s="1"/>
  <c r="F2003" i="1"/>
  <c r="N2003" i="1" s="1"/>
  <c r="G2003" i="1"/>
  <c r="O2003" i="1" s="1"/>
  <c r="A2004" i="1"/>
  <c r="B2004" i="1"/>
  <c r="C2004" i="1"/>
  <c r="K2004" i="1" s="1"/>
  <c r="D2004" i="1"/>
  <c r="L2004" i="1" s="1"/>
  <c r="E2004" i="1"/>
  <c r="M2004" i="1" s="1"/>
  <c r="F2004" i="1"/>
  <c r="N2004" i="1" s="1"/>
  <c r="G2004" i="1"/>
  <c r="O2004" i="1" s="1"/>
  <c r="A2005" i="1"/>
  <c r="B2005" i="1"/>
  <c r="C2005" i="1"/>
  <c r="K2005" i="1" s="1"/>
  <c r="D2005" i="1"/>
  <c r="L2005" i="1" s="1"/>
  <c r="E2005" i="1"/>
  <c r="M2005" i="1" s="1"/>
  <c r="F2005" i="1"/>
  <c r="N2005" i="1" s="1"/>
  <c r="G2005" i="1"/>
  <c r="O2005" i="1" s="1"/>
  <c r="A2006" i="1"/>
  <c r="B2006" i="1"/>
  <c r="C2006" i="1"/>
  <c r="K2006" i="1" s="1"/>
  <c r="D2006" i="1"/>
  <c r="L2006" i="1" s="1"/>
  <c r="E2006" i="1"/>
  <c r="M2006" i="1" s="1"/>
  <c r="F2006" i="1"/>
  <c r="N2006" i="1" s="1"/>
  <c r="G2006" i="1"/>
  <c r="O2006" i="1" s="1"/>
  <c r="A2007" i="1"/>
  <c r="B2007" i="1"/>
  <c r="C2007" i="1"/>
  <c r="K2007" i="1" s="1"/>
  <c r="D2007" i="1"/>
  <c r="L2007" i="1" s="1"/>
  <c r="E2007" i="1"/>
  <c r="M2007" i="1" s="1"/>
  <c r="F2007" i="1"/>
  <c r="N2007" i="1" s="1"/>
  <c r="G2007" i="1"/>
  <c r="O2007" i="1" s="1"/>
  <c r="A2008" i="1"/>
  <c r="B2008" i="1"/>
  <c r="C2008" i="1"/>
  <c r="K2008" i="1" s="1"/>
  <c r="D2008" i="1"/>
  <c r="L2008" i="1" s="1"/>
  <c r="E2008" i="1"/>
  <c r="M2008" i="1" s="1"/>
  <c r="F2008" i="1"/>
  <c r="N2008" i="1" s="1"/>
  <c r="G2008" i="1"/>
  <c r="O2008" i="1" s="1"/>
  <c r="A2009" i="1"/>
  <c r="B2009" i="1"/>
  <c r="C2009" i="1"/>
  <c r="K2009" i="1" s="1"/>
  <c r="D2009" i="1"/>
  <c r="L2009" i="1" s="1"/>
  <c r="E2009" i="1"/>
  <c r="M2009" i="1" s="1"/>
  <c r="F2009" i="1"/>
  <c r="N2009" i="1" s="1"/>
  <c r="G2009" i="1"/>
  <c r="O2009" i="1" s="1"/>
  <c r="A2010" i="1"/>
  <c r="B2010" i="1"/>
  <c r="C2010" i="1"/>
  <c r="K2010" i="1" s="1"/>
  <c r="D2010" i="1"/>
  <c r="L2010" i="1" s="1"/>
  <c r="E2010" i="1"/>
  <c r="M2010" i="1" s="1"/>
  <c r="F2010" i="1"/>
  <c r="N2010" i="1" s="1"/>
  <c r="G2010" i="1"/>
  <c r="O2010" i="1" s="1"/>
  <c r="A2011" i="1"/>
  <c r="B2011" i="1"/>
  <c r="C2011" i="1"/>
  <c r="K2011" i="1" s="1"/>
  <c r="D2011" i="1"/>
  <c r="L2011" i="1" s="1"/>
  <c r="E2011" i="1"/>
  <c r="M2011" i="1" s="1"/>
  <c r="F2011" i="1"/>
  <c r="N2011" i="1" s="1"/>
  <c r="G2011" i="1"/>
  <c r="O2011" i="1" s="1"/>
  <c r="A2012" i="1"/>
  <c r="B2012" i="1"/>
  <c r="C2012" i="1"/>
  <c r="K2012" i="1" s="1"/>
  <c r="D2012" i="1"/>
  <c r="L2012" i="1" s="1"/>
  <c r="E2012" i="1"/>
  <c r="M2012" i="1" s="1"/>
  <c r="F2012" i="1"/>
  <c r="N2012" i="1" s="1"/>
  <c r="G2012" i="1"/>
  <c r="O2012" i="1" s="1"/>
  <c r="A2013" i="1"/>
  <c r="B2013" i="1"/>
  <c r="C2013" i="1"/>
  <c r="K2013" i="1" s="1"/>
  <c r="D2013" i="1"/>
  <c r="L2013" i="1" s="1"/>
  <c r="E2013" i="1"/>
  <c r="M2013" i="1" s="1"/>
  <c r="F2013" i="1"/>
  <c r="N2013" i="1" s="1"/>
  <c r="G2013" i="1"/>
  <c r="O2013" i="1" s="1"/>
  <c r="A2014" i="1"/>
  <c r="B2014" i="1"/>
  <c r="C2014" i="1"/>
  <c r="K2014" i="1" s="1"/>
  <c r="D2014" i="1"/>
  <c r="L2014" i="1" s="1"/>
  <c r="E2014" i="1"/>
  <c r="M2014" i="1" s="1"/>
  <c r="F2014" i="1"/>
  <c r="N2014" i="1" s="1"/>
  <c r="G2014" i="1"/>
  <c r="O2014" i="1" s="1"/>
  <c r="A2015" i="1"/>
  <c r="B2015" i="1"/>
  <c r="C2015" i="1"/>
  <c r="K2015" i="1" s="1"/>
  <c r="D2015" i="1"/>
  <c r="L2015" i="1" s="1"/>
  <c r="E2015" i="1"/>
  <c r="M2015" i="1" s="1"/>
  <c r="F2015" i="1"/>
  <c r="N2015" i="1" s="1"/>
  <c r="G2015" i="1"/>
  <c r="O2015" i="1" s="1"/>
  <c r="A2016" i="1"/>
  <c r="I2016" i="1" s="1"/>
  <c r="B2016" i="1"/>
  <c r="C2016" i="1"/>
  <c r="K2016" i="1" s="1"/>
  <c r="D2016" i="1"/>
  <c r="L2016" i="1" s="1"/>
  <c r="E2016" i="1"/>
  <c r="M2016" i="1" s="1"/>
  <c r="F2016" i="1"/>
  <c r="N2016" i="1" s="1"/>
  <c r="G2016" i="1"/>
  <c r="O2016" i="1" s="1"/>
  <c r="A2017" i="1"/>
  <c r="I2017" i="1" s="1"/>
  <c r="B2017" i="1"/>
  <c r="C2017" i="1"/>
  <c r="K2017" i="1" s="1"/>
  <c r="D2017" i="1"/>
  <c r="L2017" i="1" s="1"/>
  <c r="E2017" i="1"/>
  <c r="M2017" i="1" s="1"/>
  <c r="F2017" i="1"/>
  <c r="N2017" i="1" s="1"/>
  <c r="G2017" i="1"/>
  <c r="O2017" i="1" s="1"/>
  <c r="A2018" i="1"/>
  <c r="I2018" i="1" s="1"/>
  <c r="B2018" i="1"/>
  <c r="C2018" i="1"/>
  <c r="K2018" i="1" s="1"/>
  <c r="D2018" i="1"/>
  <c r="L2018" i="1" s="1"/>
  <c r="E2018" i="1"/>
  <c r="M2018" i="1" s="1"/>
  <c r="F2018" i="1"/>
  <c r="N2018" i="1" s="1"/>
  <c r="G2018" i="1"/>
  <c r="O2018" i="1" s="1"/>
  <c r="A2019" i="1"/>
  <c r="I2019" i="1" s="1"/>
  <c r="B2019" i="1"/>
  <c r="C2019" i="1"/>
  <c r="K2019" i="1" s="1"/>
  <c r="D2019" i="1"/>
  <c r="L2019" i="1" s="1"/>
  <c r="E2019" i="1"/>
  <c r="M2019" i="1" s="1"/>
  <c r="F2019" i="1"/>
  <c r="N2019" i="1" s="1"/>
  <c r="G2019" i="1"/>
  <c r="O2019" i="1" s="1"/>
  <c r="A2020" i="1"/>
  <c r="I2020" i="1" s="1"/>
  <c r="B2020" i="1"/>
  <c r="C2020" i="1"/>
  <c r="K2020" i="1" s="1"/>
  <c r="D2020" i="1"/>
  <c r="L2020" i="1" s="1"/>
  <c r="E2020" i="1"/>
  <c r="M2020" i="1" s="1"/>
  <c r="F2020" i="1"/>
  <c r="N2020" i="1" s="1"/>
  <c r="G2020" i="1"/>
  <c r="O2020" i="1" s="1"/>
  <c r="A2021" i="1"/>
  <c r="I2021" i="1" s="1"/>
  <c r="B2021" i="1"/>
  <c r="C2021" i="1"/>
  <c r="K2021" i="1" s="1"/>
  <c r="D2021" i="1"/>
  <c r="L2021" i="1" s="1"/>
  <c r="E2021" i="1"/>
  <c r="M2021" i="1" s="1"/>
  <c r="F2021" i="1"/>
  <c r="N2021" i="1" s="1"/>
  <c r="G2021" i="1"/>
  <c r="O2021" i="1" s="1"/>
  <c r="A2022" i="1"/>
  <c r="I2022" i="1" s="1"/>
  <c r="B2022" i="1"/>
  <c r="C2022" i="1"/>
  <c r="K2022" i="1" s="1"/>
  <c r="D2022" i="1"/>
  <c r="L2022" i="1" s="1"/>
  <c r="E2022" i="1"/>
  <c r="M2022" i="1" s="1"/>
  <c r="F2022" i="1"/>
  <c r="N2022" i="1" s="1"/>
  <c r="G2022" i="1"/>
  <c r="O2022" i="1" s="1"/>
  <c r="A2023" i="1"/>
  <c r="I2023" i="1" s="1"/>
  <c r="B2023" i="1"/>
  <c r="C2023" i="1"/>
  <c r="K2023" i="1" s="1"/>
  <c r="D2023" i="1"/>
  <c r="L2023" i="1" s="1"/>
  <c r="E2023" i="1"/>
  <c r="M2023" i="1" s="1"/>
  <c r="F2023" i="1"/>
  <c r="N2023" i="1" s="1"/>
  <c r="G2023" i="1"/>
  <c r="O2023" i="1" s="1"/>
  <c r="A2024" i="1"/>
  <c r="I2024" i="1" s="1"/>
  <c r="B2024" i="1"/>
  <c r="C2024" i="1"/>
  <c r="K2024" i="1" s="1"/>
  <c r="D2024" i="1"/>
  <c r="L2024" i="1" s="1"/>
  <c r="E2024" i="1"/>
  <c r="M2024" i="1" s="1"/>
  <c r="F2024" i="1"/>
  <c r="N2024" i="1" s="1"/>
  <c r="G2024" i="1"/>
  <c r="O2024" i="1" s="1"/>
  <c r="A2025" i="1"/>
  <c r="I2025" i="1" s="1"/>
  <c r="B2025" i="1"/>
  <c r="C2025" i="1"/>
  <c r="K2025" i="1" s="1"/>
  <c r="D2025" i="1"/>
  <c r="L2025" i="1" s="1"/>
  <c r="E2025" i="1"/>
  <c r="M2025" i="1" s="1"/>
  <c r="F2025" i="1"/>
  <c r="N2025" i="1" s="1"/>
  <c r="G2025" i="1"/>
  <c r="O2025" i="1" s="1"/>
  <c r="A2026" i="1"/>
  <c r="I2026" i="1" s="1"/>
  <c r="B2026" i="1"/>
  <c r="C2026" i="1"/>
  <c r="K2026" i="1" s="1"/>
  <c r="D2026" i="1"/>
  <c r="L2026" i="1" s="1"/>
  <c r="E2026" i="1"/>
  <c r="M2026" i="1" s="1"/>
  <c r="F2026" i="1"/>
  <c r="N2026" i="1" s="1"/>
  <c r="G2026" i="1"/>
  <c r="O2026" i="1" s="1"/>
  <c r="A2027" i="1"/>
  <c r="I2027" i="1" s="1"/>
  <c r="B2027" i="1"/>
  <c r="C2027" i="1"/>
  <c r="K2027" i="1" s="1"/>
  <c r="D2027" i="1"/>
  <c r="L2027" i="1" s="1"/>
  <c r="E2027" i="1"/>
  <c r="M2027" i="1" s="1"/>
  <c r="F2027" i="1"/>
  <c r="N2027" i="1" s="1"/>
  <c r="G2027" i="1"/>
  <c r="O2027" i="1" s="1"/>
  <c r="A2028" i="1"/>
  <c r="I2028" i="1" s="1"/>
  <c r="B2028" i="1"/>
  <c r="C2028" i="1"/>
  <c r="K2028" i="1" s="1"/>
  <c r="D2028" i="1"/>
  <c r="L2028" i="1" s="1"/>
  <c r="E2028" i="1"/>
  <c r="M2028" i="1" s="1"/>
  <c r="F2028" i="1"/>
  <c r="N2028" i="1" s="1"/>
  <c r="G2028" i="1"/>
  <c r="O2028" i="1" s="1"/>
  <c r="A2029" i="1"/>
  <c r="I2029" i="1" s="1"/>
  <c r="B2029" i="1"/>
  <c r="C2029" i="1"/>
  <c r="K2029" i="1" s="1"/>
  <c r="D2029" i="1"/>
  <c r="L2029" i="1" s="1"/>
  <c r="E2029" i="1"/>
  <c r="M2029" i="1" s="1"/>
  <c r="F2029" i="1"/>
  <c r="N2029" i="1" s="1"/>
  <c r="G2029" i="1"/>
  <c r="O2029" i="1" s="1"/>
  <c r="A2030" i="1"/>
  <c r="I2030" i="1" s="1"/>
  <c r="B2030" i="1"/>
  <c r="C2030" i="1"/>
  <c r="K2030" i="1" s="1"/>
  <c r="D2030" i="1"/>
  <c r="L2030" i="1" s="1"/>
  <c r="E2030" i="1"/>
  <c r="M2030" i="1" s="1"/>
  <c r="F2030" i="1"/>
  <c r="N2030" i="1" s="1"/>
  <c r="G2030" i="1"/>
  <c r="O2030" i="1" s="1"/>
  <c r="A2031" i="1"/>
  <c r="I2031" i="1" s="1"/>
  <c r="B2031" i="1"/>
  <c r="C2031" i="1"/>
  <c r="K2031" i="1" s="1"/>
  <c r="D2031" i="1"/>
  <c r="L2031" i="1" s="1"/>
  <c r="E2031" i="1"/>
  <c r="M2031" i="1" s="1"/>
  <c r="F2031" i="1"/>
  <c r="N2031" i="1" s="1"/>
  <c r="G2031" i="1"/>
  <c r="O2031" i="1" s="1"/>
  <c r="A2032" i="1"/>
  <c r="I2032" i="1" s="1"/>
  <c r="B2032" i="1"/>
  <c r="C2032" i="1"/>
  <c r="K2032" i="1" s="1"/>
  <c r="D2032" i="1"/>
  <c r="L2032" i="1" s="1"/>
  <c r="E2032" i="1"/>
  <c r="M2032" i="1" s="1"/>
  <c r="F2032" i="1"/>
  <c r="N2032" i="1" s="1"/>
  <c r="G2032" i="1"/>
  <c r="O2032" i="1" s="1"/>
  <c r="A2033" i="1"/>
  <c r="I2033" i="1" s="1"/>
  <c r="B2033" i="1"/>
  <c r="C2033" i="1"/>
  <c r="K2033" i="1" s="1"/>
  <c r="D2033" i="1"/>
  <c r="L2033" i="1" s="1"/>
  <c r="E2033" i="1"/>
  <c r="M2033" i="1" s="1"/>
  <c r="F2033" i="1"/>
  <c r="N2033" i="1" s="1"/>
  <c r="G2033" i="1"/>
  <c r="O2033" i="1" s="1"/>
  <c r="A2034" i="1"/>
  <c r="I2034" i="1" s="1"/>
  <c r="B2034" i="1"/>
  <c r="C2034" i="1"/>
  <c r="K2034" i="1" s="1"/>
  <c r="D2034" i="1"/>
  <c r="L2034" i="1" s="1"/>
  <c r="E2034" i="1"/>
  <c r="M2034" i="1" s="1"/>
  <c r="F2034" i="1"/>
  <c r="N2034" i="1" s="1"/>
  <c r="G2034" i="1"/>
  <c r="O2034" i="1" s="1"/>
  <c r="A2035" i="1"/>
  <c r="I2035" i="1" s="1"/>
  <c r="B2035" i="1"/>
  <c r="C2035" i="1"/>
  <c r="K2035" i="1" s="1"/>
  <c r="D2035" i="1"/>
  <c r="L2035" i="1" s="1"/>
  <c r="E2035" i="1"/>
  <c r="M2035" i="1" s="1"/>
  <c r="F2035" i="1"/>
  <c r="N2035" i="1" s="1"/>
  <c r="G2035" i="1"/>
  <c r="O2035" i="1" s="1"/>
  <c r="A2036" i="1"/>
  <c r="I2036" i="1" s="1"/>
  <c r="B2036" i="1"/>
  <c r="C2036" i="1"/>
  <c r="K2036" i="1" s="1"/>
  <c r="D2036" i="1"/>
  <c r="L2036" i="1" s="1"/>
  <c r="E2036" i="1"/>
  <c r="M2036" i="1" s="1"/>
  <c r="F2036" i="1"/>
  <c r="N2036" i="1" s="1"/>
  <c r="G2036" i="1"/>
  <c r="O2036" i="1" s="1"/>
  <c r="A2037" i="1"/>
  <c r="I2037" i="1" s="1"/>
  <c r="B2037" i="1"/>
  <c r="C2037" i="1"/>
  <c r="K2037" i="1" s="1"/>
  <c r="D2037" i="1"/>
  <c r="L2037" i="1" s="1"/>
  <c r="E2037" i="1"/>
  <c r="M2037" i="1" s="1"/>
  <c r="F2037" i="1"/>
  <c r="N2037" i="1" s="1"/>
  <c r="G2037" i="1"/>
  <c r="O2037" i="1" s="1"/>
  <c r="A2038" i="1"/>
  <c r="I2038" i="1" s="1"/>
  <c r="B2038" i="1"/>
  <c r="C2038" i="1"/>
  <c r="K2038" i="1" s="1"/>
  <c r="D2038" i="1"/>
  <c r="L2038" i="1" s="1"/>
  <c r="E2038" i="1"/>
  <c r="M2038" i="1" s="1"/>
  <c r="F2038" i="1"/>
  <c r="N2038" i="1" s="1"/>
  <c r="G2038" i="1"/>
  <c r="O2038" i="1" s="1"/>
  <c r="A2039" i="1"/>
  <c r="I2039" i="1" s="1"/>
  <c r="B2039" i="1"/>
  <c r="C2039" i="1"/>
  <c r="K2039" i="1" s="1"/>
  <c r="D2039" i="1"/>
  <c r="L2039" i="1" s="1"/>
  <c r="E2039" i="1"/>
  <c r="M2039" i="1" s="1"/>
  <c r="F2039" i="1"/>
  <c r="N2039" i="1" s="1"/>
  <c r="G2039" i="1"/>
  <c r="O2039" i="1" s="1"/>
  <c r="A2040" i="1"/>
  <c r="I2040" i="1" s="1"/>
  <c r="B2040" i="1"/>
  <c r="C2040" i="1"/>
  <c r="K2040" i="1" s="1"/>
  <c r="D2040" i="1"/>
  <c r="L2040" i="1" s="1"/>
  <c r="E2040" i="1"/>
  <c r="M2040" i="1" s="1"/>
  <c r="F2040" i="1"/>
  <c r="N2040" i="1" s="1"/>
  <c r="G2040" i="1"/>
  <c r="O2040" i="1" s="1"/>
  <c r="A2041" i="1"/>
  <c r="I2041" i="1" s="1"/>
  <c r="B2041" i="1"/>
  <c r="C2041" i="1"/>
  <c r="K2041" i="1" s="1"/>
  <c r="D2041" i="1"/>
  <c r="L2041" i="1" s="1"/>
  <c r="E2041" i="1"/>
  <c r="M2041" i="1" s="1"/>
  <c r="F2041" i="1"/>
  <c r="N2041" i="1" s="1"/>
  <c r="G2041" i="1"/>
  <c r="O2041" i="1" s="1"/>
  <c r="A2042" i="1"/>
  <c r="I2042" i="1" s="1"/>
  <c r="B2042" i="1"/>
  <c r="C2042" i="1"/>
  <c r="K2042" i="1" s="1"/>
  <c r="D2042" i="1"/>
  <c r="L2042" i="1" s="1"/>
  <c r="E2042" i="1"/>
  <c r="M2042" i="1" s="1"/>
  <c r="F2042" i="1"/>
  <c r="N2042" i="1" s="1"/>
  <c r="G2042" i="1"/>
  <c r="O2042" i="1" s="1"/>
  <c r="A2043" i="1"/>
  <c r="I2043" i="1" s="1"/>
  <c r="B2043" i="1"/>
  <c r="C2043" i="1"/>
  <c r="K2043" i="1" s="1"/>
  <c r="D2043" i="1"/>
  <c r="L2043" i="1" s="1"/>
  <c r="E2043" i="1"/>
  <c r="M2043" i="1" s="1"/>
  <c r="F2043" i="1"/>
  <c r="N2043" i="1" s="1"/>
  <c r="G2043" i="1"/>
  <c r="O2043" i="1" s="1"/>
  <c r="A2044" i="1"/>
  <c r="I2044" i="1" s="1"/>
  <c r="B2044" i="1"/>
  <c r="C2044" i="1"/>
  <c r="K2044" i="1" s="1"/>
  <c r="D2044" i="1"/>
  <c r="L2044" i="1" s="1"/>
  <c r="E2044" i="1"/>
  <c r="M2044" i="1" s="1"/>
  <c r="F2044" i="1"/>
  <c r="N2044" i="1" s="1"/>
  <c r="G2044" i="1"/>
  <c r="O2044" i="1" s="1"/>
  <c r="A2045" i="1"/>
  <c r="B2045" i="1"/>
  <c r="C2045" i="1"/>
  <c r="K2045" i="1" s="1"/>
  <c r="D2045" i="1"/>
  <c r="L2045" i="1" s="1"/>
  <c r="E2045" i="1"/>
  <c r="M2045" i="1" s="1"/>
  <c r="F2045" i="1"/>
  <c r="N2045" i="1" s="1"/>
  <c r="G2045" i="1"/>
  <c r="O2045" i="1" s="1"/>
  <c r="A2046" i="1"/>
  <c r="B2046" i="1"/>
  <c r="C2046" i="1"/>
  <c r="K2046" i="1" s="1"/>
  <c r="D2046" i="1"/>
  <c r="L2046" i="1" s="1"/>
  <c r="E2046" i="1"/>
  <c r="M2046" i="1" s="1"/>
  <c r="F2046" i="1"/>
  <c r="N2046" i="1" s="1"/>
  <c r="G2046" i="1"/>
  <c r="O2046" i="1" s="1"/>
  <c r="A2047" i="1"/>
  <c r="B2047" i="1"/>
  <c r="C2047" i="1"/>
  <c r="K2047" i="1" s="1"/>
  <c r="D2047" i="1"/>
  <c r="L2047" i="1" s="1"/>
  <c r="E2047" i="1"/>
  <c r="M2047" i="1" s="1"/>
  <c r="F2047" i="1"/>
  <c r="N2047" i="1" s="1"/>
  <c r="G2047" i="1"/>
  <c r="O2047" i="1" s="1"/>
  <c r="A2048" i="1"/>
  <c r="B2048" i="1"/>
  <c r="C2048" i="1"/>
  <c r="K2048" i="1" s="1"/>
  <c r="D2048" i="1"/>
  <c r="L2048" i="1" s="1"/>
  <c r="E2048" i="1"/>
  <c r="M2048" i="1" s="1"/>
  <c r="F2048" i="1"/>
  <c r="N2048" i="1" s="1"/>
  <c r="G2048" i="1"/>
  <c r="O2048" i="1" s="1"/>
  <c r="A2049" i="1"/>
  <c r="B2049" i="1"/>
  <c r="C2049" i="1"/>
  <c r="K2049" i="1" s="1"/>
  <c r="D2049" i="1"/>
  <c r="L2049" i="1" s="1"/>
  <c r="E2049" i="1"/>
  <c r="M2049" i="1" s="1"/>
  <c r="F2049" i="1"/>
  <c r="N2049" i="1" s="1"/>
  <c r="G2049" i="1"/>
  <c r="O2049" i="1" s="1"/>
  <c r="A2050" i="1"/>
  <c r="B2050" i="1"/>
  <c r="C2050" i="1"/>
  <c r="K2050" i="1" s="1"/>
  <c r="D2050" i="1"/>
  <c r="L2050" i="1" s="1"/>
  <c r="E2050" i="1"/>
  <c r="M2050" i="1" s="1"/>
  <c r="F2050" i="1"/>
  <c r="N2050" i="1" s="1"/>
  <c r="G2050" i="1"/>
  <c r="O2050" i="1" s="1"/>
  <c r="A2051" i="1"/>
  <c r="B2051" i="1"/>
  <c r="C2051" i="1"/>
  <c r="K2051" i="1" s="1"/>
  <c r="D2051" i="1"/>
  <c r="L2051" i="1" s="1"/>
  <c r="E2051" i="1"/>
  <c r="M2051" i="1" s="1"/>
  <c r="F2051" i="1"/>
  <c r="N2051" i="1" s="1"/>
  <c r="G2051" i="1"/>
  <c r="O2051" i="1" s="1"/>
  <c r="A2052" i="1"/>
  <c r="I2052" i="1" s="1"/>
  <c r="B2052" i="1"/>
  <c r="C2052" i="1"/>
  <c r="K2052" i="1" s="1"/>
  <c r="D2052" i="1"/>
  <c r="L2052" i="1" s="1"/>
  <c r="E2052" i="1"/>
  <c r="M2052" i="1" s="1"/>
  <c r="F2052" i="1"/>
  <c r="N2052" i="1" s="1"/>
  <c r="G2052" i="1"/>
  <c r="O2052" i="1" s="1"/>
  <c r="A2053" i="1"/>
  <c r="I2053" i="1" s="1"/>
  <c r="B2053" i="1"/>
  <c r="C2053" i="1"/>
  <c r="K2053" i="1" s="1"/>
  <c r="D2053" i="1"/>
  <c r="L2053" i="1" s="1"/>
  <c r="E2053" i="1"/>
  <c r="M2053" i="1" s="1"/>
  <c r="F2053" i="1"/>
  <c r="N2053" i="1" s="1"/>
  <c r="G2053" i="1"/>
  <c r="O2053" i="1" s="1"/>
  <c r="A2054" i="1"/>
  <c r="I2054" i="1" s="1"/>
  <c r="B2054" i="1"/>
  <c r="C2054" i="1"/>
  <c r="K2054" i="1" s="1"/>
  <c r="D2054" i="1"/>
  <c r="L2054" i="1" s="1"/>
  <c r="E2054" i="1"/>
  <c r="M2054" i="1" s="1"/>
  <c r="F2054" i="1"/>
  <c r="N2054" i="1" s="1"/>
  <c r="G2054" i="1"/>
  <c r="O2054" i="1" s="1"/>
  <c r="A2055" i="1"/>
  <c r="I2055" i="1" s="1"/>
  <c r="B2055" i="1"/>
  <c r="C2055" i="1"/>
  <c r="K2055" i="1" s="1"/>
  <c r="D2055" i="1"/>
  <c r="L2055" i="1" s="1"/>
  <c r="E2055" i="1"/>
  <c r="M2055" i="1" s="1"/>
  <c r="F2055" i="1"/>
  <c r="N2055" i="1" s="1"/>
  <c r="G2055" i="1"/>
  <c r="O2055" i="1" s="1"/>
  <c r="A2056" i="1"/>
  <c r="I2056" i="1" s="1"/>
  <c r="B2056" i="1"/>
  <c r="C2056" i="1"/>
  <c r="K2056" i="1" s="1"/>
  <c r="D2056" i="1"/>
  <c r="L2056" i="1" s="1"/>
  <c r="E2056" i="1"/>
  <c r="M2056" i="1" s="1"/>
  <c r="F2056" i="1"/>
  <c r="N2056" i="1" s="1"/>
  <c r="G2056" i="1"/>
  <c r="O2056" i="1" s="1"/>
  <c r="A2057" i="1"/>
  <c r="I2057" i="1" s="1"/>
  <c r="B2057" i="1"/>
  <c r="C2057" i="1"/>
  <c r="K2057" i="1" s="1"/>
  <c r="D2057" i="1"/>
  <c r="L2057" i="1" s="1"/>
  <c r="E2057" i="1"/>
  <c r="M2057" i="1" s="1"/>
  <c r="F2057" i="1"/>
  <c r="N2057" i="1" s="1"/>
  <c r="G2057" i="1"/>
  <c r="O2057" i="1" s="1"/>
  <c r="A2058" i="1"/>
  <c r="I2058" i="1" s="1"/>
  <c r="B2058" i="1"/>
  <c r="C2058" i="1"/>
  <c r="K2058" i="1" s="1"/>
  <c r="D2058" i="1"/>
  <c r="L2058" i="1" s="1"/>
  <c r="E2058" i="1"/>
  <c r="M2058" i="1" s="1"/>
  <c r="F2058" i="1"/>
  <c r="N2058" i="1" s="1"/>
  <c r="G2058" i="1"/>
  <c r="O2058" i="1" s="1"/>
  <c r="A2059" i="1"/>
  <c r="I2059" i="1" s="1"/>
  <c r="B2059" i="1"/>
  <c r="C2059" i="1"/>
  <c r="K2059" i="1" s="1"/>
  <c r="D2059" i="1"/>
  <c r="L2059" i="1" s="1"/>
  <c r="E2059" i="1"/>
  <c r="M2059" i="1" s="1"/>
  <c r="F2059" i="1"/>
  <c r="N2059" i="1" s="1"/>
  <c r="G2059" i="1"/>
  <c r="O2059" i="1" s="1"/>
  <c r="A2060" i="1"/>
  <c r="I2060" i="1" s="1"/>
  <c r="B2060" i="1"/>
  <c r="C2060" i="1"/>
  <c r="K2060" i="1" s="1"/>
  <c r="D2060" i="1"/>
  <c r="L2060" i="1" s="1"/>
  <c r="E2060" i="1"/>
  <c r="M2060" i="1" s="1"/>
  <c r="F2060" i="1"/>
  <c r="N2060" i="1" s="1"/>
  <c r="G2060" i="1"/>
  <c r="O2060" i="1" s="1"/>
  <c r="A2061" i="1"/>
  <c r="I2061" i="1" s="1"/>
  <c r="B2061" i="1"/>
  <c r="C2061" i="1"/>
  <c r="K2061" i="1" s="1"/>
  <c r="D2061" i="1"/>
  <c r="L2061" i="1" s="1"/>
  <c r="E2061" i="1"/>
  <c r="M2061" i="1" s="1"/>
  <c r="F2061" i="1"/>
  <c r="N2061" i="1" s="1"/>
  <c r="G2061" i="1"/>
  <c r="O2061" i="1" s="1"/>
  <c r="A2062" i="1"/>
  <c r="I2062" i="1" s="1"/>
  <c r="B2062" i="1"/>
  <c r="C2062" i="1"/>
  <c r="K2062" i="1" s="1"/>
  <c r="D2062" i="1"/>
  <c r="L2062" i="1" s="1"/>
  <c r="E2062" i="1"/>
  <c r="M2062" i="1" s="1"/>
  <c r="F2062" i="1"/>
  <c r="N2062" i="1" s="1"/>
  <c r="G2062" i="1"/>
  <c r="O2062" i="1" s="1"/>
  <c r="A2063" i="1"/>
  <c r="I2063" i="1" s="1"/>
  <c r="B2063" i="1"/>
  <c r="C2063" i="1"/>
  <c r="K2063" i="1" s="1"/>
  <c r="D2063" i="1"/>
  <c r="L2063" i="1" s="1"/>
  <c r="E2063" i="1"/>
  <c r="M2063" i="1" s="1"/>
  <c r="F2063" i="1"/>
  <c r="N2063" i="1" s="1"/>
  <c r="G2063" i="1"/>
  <c r="O2063" i="1" s="1"/>
  <c r="A2064" i="1"/>
  <c r="I2064" i="1" s="1"/>
  <c r="B2064" i="1"/>
  <c r="C2064" i="1"/>
  <c r="K2064" i="1" s="1"/>
  <c r="D2064" i="1"/>
  <c r="L2064" i="1" s="1"/>
  <c r="E2064" i="1"/>
  <c r="M2064" i="1" s="1"/>
  <c r="F2064" i="1"/>
  <c r="N2064" i="1" s="1"/>
  <c r="G2064" i="1"/>
  <c r="O2064" i="1" s="1"/>
  <c r="A2065" i="1"/>
  <c r="I2065" i="1" s="1"/>
  <c r="B2065" i="1"/>
  <c r="C2065" i="1"/>
  <c r="K2065" i="1" s="1"/>
  <c r="D2065" i="1"/>
  <c r="L2065" i="1" s="1"/>
  <c r="E2065" i="1"/>
  <c r="M2065" i="1" s="1"/>
  <c r="F2065" i="1"/>
  <c r="N2065" i="1" s="1"/>
  <c r="G2065" i="1"/>
  <c r="O2065" i="1" s="1"/>
  <c r="A2066" i="1"/>
  <c r="I2066" i="1" s="1"/>
  <c r="B2066" i="1"/>
  <c r="C2066" i="1"/>
  <c r="K2066" i="1" s="1"/>
  <c r="D2066" i="1"/>
  <c r="L2066" i="1" s="1"/>
  <c r="E2066" i="1"/>
  <c r="M2066" i="1" s="1"/>
  <c r="F2066" i="1"/>
  <c r="N2066" i="1" s="1"/>
  <c r="G2066" i="1"/>
  <c r="O2066" i="1" s="1"/>
  <c r="A2067" i="1"/>
  <c r="I2067" i="1" s="1"/>
  <c r="B2067" i="1"/>
  <c r="C2067" i="1"/>
  <c r="K2067" i="1" s="1"/>
  <c r="D2067" i="1"/>
  <c r="L2067" i="1" s="1"/>
  <c r="E2067" i="1"/>
  <c r="M2067" i="1" s="1"/>
  <c r="F2067" i="1"/>
  <c r="N2067" i="1" s="1"/>
  <c r="G2067" i="1"/>
  <c r="O2067" i="1" s="1"/>
  <c r="A2068" i="1"/>
  <c r="I2068" i="1" s="1"/>
  <c r="B2068" i="1"/>
  <c r="C2068" i="1"/>
  <c r="K2068" i="1" s="1"/>
  <c r="D2068" i="1"/>
  <c r="L2068" i="1" s="1"/>
  <c r="E2068" i="1"/>
  <c r="M2068" i="1" s="1"/>
  <c r="F2068" i="1"/>
  <c r="N2068" i="1" s="1"/>
  <c r="G2068" i="1"/>
  <c r="O2068" i="1" s="1"/>
  <c r="A2069" i="1"/>
  <c r="I2069" i="1" s="1"/>
  <c r="B2069" i="1"/>
  <c r="C2069" i="1"/>
  <c r="K2069" i="1" s="1"/>
  <c r="D2069" i="1"/>
  <c r="L2069" i="1" s="1"/>
  <c r="E2069" i="1"/>
  <c r="M2069" i="1" s="1"/>
  <c r="F2069" i="1"/>
  <c r="N2069" i="1" s="1"/>
  <c r="G2069" i="1"/>
  <c r="O2069" i="1" s="1"/>
  <c r="A2070" i="1"/>
  <c r="I2070" i="1" s="1"/>
  <c r="B2070" i="1"/>
  <c r="C2070" i="1"/>
  <c r="K2070" i="1" s="1"/>
  <c r="D2070" i="1"/>
  <c r="L2070" i="1" s="1"/>
  <c r="E2070" i="1"/>
  <c r="M2070" i="1" s="1"/>
  <c r="F2070" i="1"/>
  <c r="N2070" i="1" s="1"/>
  <c r="G2070" i="1"/>
  <c r="O2070" i="1" s="1"/>
  <c r="A2071" i="1"/>
  <c r="I2071" i="1" s="1"/>
  <c r="B2071" i="1"/>
  <c r="C2071" i="1"/>
  <c r="K2071" i="1" s="1"/>
  <c r="D2071" i="1"/>
  <c r="L2071" i="1" s="1"/>
  <c r="E2071" i="1"/>
  <c r="M2071" i="1" s="1"/>
  <c r="F2071" i="1"/>
  <c r="N2071" i="1" s="1"/>
  <c r="G2071" i="1"/>
  <c r="O2071" i="1" s="1"/>
  <c r="A2072" i="1"/>
  <c r="I2072" i="1" s="1"/>
  <c r="B2072" i="1"/>
  <c r="C2072" i="1"/>
  <c r="K2072" i="1" s="1"/>
  <c r="D2072" i="1"/>
  <c r="L2072" i="1" s="1"/>
  <c r="E2072" i="1"/>
  <c r="M2072" i="1" s="1"/>
  <c r="F2072" i="1"/>
  <c r="N2072" i="1" s="1"/>
  <c r="G2072" i="1"/>
  <c r="O2072" i="1" s="1"/>
  <c r="A2073" i="1"/>
  <c r="I2073" i="1" s="1"/>
  <c r="B2073" i="1"/>
  <c r="C2073" i="1"/>
  <c r="K2073" i="1" s="1"/>
  <c r="D2073" i="1"/>
  <c r="L2073" i="1" s="1"/>
  <c r="E2073" i="1"/>
  <c r="M2073" i="1" s="1"/>
  <c r="F2073" i="1"/>
  <c r="N2073" i="1" s="1"/>
  <c r="G2073" i="1"/>
  <c r="O2073" i="1" s="1"/>
  <c r="A2074" i="1"/>
  <c r="I2074" i="1" s="1"/>
  <c r="B2074" i="1"/>
  <c r="C2074" i="1"/>
  <c r="K2074" i="1" s="1"/>
  <c r="D2074" i="1"/>
  <c r="L2074" i="1" s="1"/>
  <c r="E2074" i="1"/>
  <c r="M2074" i="1" s="1"/>
  <c r="F2074" i="1"/>
  <c r="N2074" i="1" s="1"/>
  <c r="G2074" i="1"/>
  <c r="O2074" i="1" s="1"/>
  <c r="A2075" i="1"/>
  <c r="I2075" i="1" s="1"/>
  <c r="B2075" i="1"/>
  <c r="C2075" i="1"/>
  <c r="K2075" i="1" s="1"/>
  <c r="D2075" i="1"/>
  <c r="L2075" i="1" s="1"/>
  <c r="E2075" i="1"/>
  <c r="M2075" i="1" s="1"/>
  <c r="F2075" i="1"/>
  <c r="N2075" i="1" s="1"/>
  <c r="G2075" i="1"/>
  <c r="O2075" i="1" s="1"/>
  <c r="A2076" i="1"/>
  <c r="I2076" i="1" s="1"/>
  <c r="B2076" i="1"/>
  <c r="C2076" i="1"/>
  <c r="K2076" i="1" s="1"/>
  <c r="D2076" i="1"/>
  <c r="L2076" i="1" s="1"/>
  <c r="E2076" i="1"/>
  <c r="M2076" i="1" s="1"/>
  <c r="F2076" i="1"/>
  <c r="N2076" i="1" s="1"/>
  <c r="G2076" i="1"/>
  <c r="O2076" i="1" s="1"/>
  <c r="A2077" i="1"/>
  <c r="I2077" i="1" s="1"/>
  <c r="B2077" i="1"/>
  <c r="C2077" i="1"/>
  <c r="K2077" i="1" s="1"/>
  <c r="D2077" i="1"/>
  <c r="L2077" i="1" s="1"/>
  <c r="E2077" i="1"/>
  <c r="M2077" i="1" s="1"/>
  <c r="F2077" i="1"/>
  <c r="N2077" i="1" s="1"/>
  <c r="G2077" i="1"/>
  <c r="O2077" i="1" s="1"/>
  <c r="A2078" i="1"/>
  <c r="I2078" i="1" s="1"/>
  <c r="B2078" i="1"/>
  <c r="C2078" i="1"/>
  <c r="K2078" i="1" s="1"/>
  <c r="D2078" i="1"/>
  <c r="L2078" i="1" s="1"/>
  <c r="E2078" i="1"/>
  <c r="M2078" i="1" s="1"/>
  <c r="F2078" i="1"/>
  <c r="N2078" i="1" s="1"/>
  <c r="G2078" i="1"/>
  <c r="O2078" i="1" s="1"/>
  <c r="A2079" i="1"/>
  <c r="I2079" i="1" s="1"/>
  <c r="B2079" i="1"/>
  <c r="C2079" i="1"/>
  <c r="K2079" i="1" s="1"/>
  <c r="D2079" i="1"/>
  <c r="L2079" i="1" s="1"/>
  <c r="E2079" i="1"/>
  <c r="M2079" i="1" s="1"/>
  <c r="F2079" i="1"/>
  <c r="N2079" i="1" s="1"/>
  <c r="G2079" i="1"/>
  <c r="O2079" i="1" s="1"/>
  <c r="A2080" i="1"/>
  <c r="I2080" i="1" s="1"/>
  <c r="B2080" i="1"/>
  <c r="C2080" i="1"/>
  <c r="K2080" i="1" s="1"/>
  <c r="D2080" i="1"/>
  <c r="L2080" i="1" s="1"/>
  <c r="E2080" i="1"/>
  <c r="M2080" i="1" s="1"/>
  <c r="F2080" i="1"/>
  <c r="N2080" i="1" s="1"/>
  <c r="G2080" i="1"/>
  <c r="O2080" i="1" s="1"/>
  <c r="A2081" i="1"/>
  <c r="I2081" i="1" s="1"/>
  <c r="B2081" i="1"/>
  <c r="C2081" i="1"/>
  <c r="K2081" i="1" s="1"/>
  <c r="D2081" i="1"/>
  <c r="L2081" i="1" s="1"/>
  <c r="E2081" i="1"/>
  <c r="M2081" i="1" s="1"/>
  <c r="F2081" i="1"/>
  <c r="N2081" i="1" s="1"/>
  <c r="G2081" i="1"/>
  <c r="O2081" i="1" s="1"/>
  <c r="A2082" i="1"/>
  <c r="I2082" i="1" s="1"/>
  <c r="B2082" i="1"/>
  <c r="C2082" i="1"/>
  <c r="K2082" i="1" s="1"/>
  <c r="D2082" i="1"/>
  <c r="L2082" i="1" s="1"/>
  <c r="E2082" i="1"/>
  <c r="M2082" i="1" s="1"/>
  <c r="F2082" i="1"/>
  <c r="N2082" i="1" s="1"/>
  <c r="G2082" i="1"/>
  <c r="O2082" i="1" s="1"/>
  <c r="A2083" i="1"/>
  <c r="I2083" i="1" s="1"/>
  <c r="B2083" i="1"/>
  <c r="C2083" i="1"/>
  <c r="K2083" i="1" s="1"/>
  <c r="D2083" i="1"/>
  <c r="L2083" i="1" s="1"/>
  <c r="E2083" i="1"/>
  <c r="M2083" i="1" s="1"/>
  <c r="F2083" i="1"/>
  <c r="N2083" i="1" s="1"/>
  <c r="G2083" i="1"/>
  <c r="O2083" i="1" s="1"/>
  <c r="A2084" i="1"/>
  <c r="I2084" i="1" s="1"/>
  <c r="B2084" i="1"/>
  <c r="C2084" i="1"/>
  <c r="K2084" i="1" s="1"/>
  <c r="D2084" i="1"/>
  <c r="L2084" i="1" s="1"/>
  <c r="E2084" i="1"/>
  <c r="M2084" i="1" s="1"/>
  <c r="F2084" i="1"/>
  <c r="N2084" i="1" s="1"/>
  <c r="G2084" i="1"/>
  <c r="O2084" i="1" s="1"/>
  <c r="A2085" i="1"/>
  <c r="I2085" i="1" s="1"/>
  <c r="B2085" i="1"/>
  <c r="C2085" i="1"/>
  <c r="K2085" i="1" s="1"/>
  <c r="D2085" i="1"/>
  <c r="L2085" i="1" s="1"/>
  <c r="E2085" i="1"/>
  <c r="M2085" i="1" s="1"/>
  <c r="F2085" i="1"/>
  <c r="N2085" i="1" s="1"/>
  <c r="G2085" i="1"/>
  <c r="O2085" i="1" s="1"/>
  <c r="A2086" i="1"/>
  <c r="I2086" i="1" s="1"/>
  <c r="B2086" i="1"/>
  <c r="C2086" i="1"/>
  <c r="K2086" i="1" s="1"/>
  <c r="D2086" i="1"/>
  <c r="L2086" i="1" s="1"/>
  <c r="E2086" i="1"/>
  <c r="M2086" i="1" s="1"/>
  <c r="F2086" i="1"/>
  <c r="N2086" i="1" s="1"/>
  <c r="G2086" i="1"/>
  <c r="O2086" i="1" s="1"/>
  <c r="A2087" i="1"/>
  <c r="I2087" i="1" s="1"/>
  <c r="B2087" i="1"/>
  <c r="C2087" i="1"/>
  <c r="K2087" i="1" s="1"/>
  <c r="D2087" i="1"/>
  <c r="L2087" i="1" s="1"/>
  <c r="E2087" i="1"/>
  <c r="M2087" i="1" s="1"/>
  <c r="F2087" i="1"/>
  <c r="N2087" i="1" s="1"/>
  <c r="G2087" i="1"/>
  <c r="O2087" i="1" s="1"/>
  <c r="A2088" i="1"/>
  <c r="I2088" i="1" s="1"/>
  <c r="B2088" i="1"/>
  <c r="C2088" i="1"/>
  <c r="K2088" i="1" s="1"/>
  <c r="D2088" i="1"/>
  <c r="L2088" i="1" s="1"/>
  <c r="E2088" i="1"/>
  <c r="M2088" i="1" s="1"/>
  <c r="F2088" i="1"/>
  <c r="N2088" i="1" s="1"/>
  <c r="G2088" i="1"/>
  <c r="O2088" i="1" s="1"/>
  <c r="A2089" i="1"/>
  <c r="I2089" i="1" s="1"/>
  <c r="B2089" i="1"/>
  <c r="C2089" i="1"/>
  <c r="K2089" i="1" s="1"/>
  <c r="D2089" i="1"/>
  <c r="L2089" i="1" s="1"/>
  <c r="E2089" i="1"/>
  <c r="M2089" i="1" s="1"/>
  <c r="F2089" i="1"/>
  <c r="N2089" i="1" s="1"/>
  <c r="G2089" i="1"/>
  <c r="O2089" i="1" s="1"/>
  <c r="A2090" i="1"/>
  <c r="B2090" i="1"/>
  <c r="C2090" i="1"/>
  <c r="K2090" i="1" s="1"/>
  <c r="D2090" i="1"/>
  <c r="L2090" i="1" s="1"/>
  <c r="E2090" i="1"/>
  <c r="M2090" i="1" s="1"/>
  <c r="F2090" i="1"/>
  <c r="N2090" i="1" s="1"/>
  <c r="G2090" i="1"/>
  <c r="O2090" i="1" s="1"/>
  <c r="A2091" i="1"/>
  <c r="B2091" i="1"/>
  <c r="C2091" i="1"/>
  <c r="K2091" i="1" s="1"/>
  <c r="D2091" i="1"/>
  <c r="L2091" i="1" s="1"/>
  <c r="E2091" i="1"/>
  <c r="M2091" i="1" s="1"/>
  <c r="F2091" i="1"/>
  <c r="N2091" i="1" s="1"/>
  <c r="G2091" i="1"/>
  <c r="O2091" i="1" s="1"/>
  <c r="A2092" i="1"/>
  <c r="B2092" i="1"/>
  <c r="C2092" i="1"/>
  <c r="K2092" i="1" s="1"/>
  <c r="D2092" i="1"/>
  <c r="L2092" i="1" s="1"/>
  <c r="E2092" i="1"/>
  <c r="M2092" i="1" s="1"/>
  <c r="F2092" i="1"/>
  <c r="N2092" i="1" s="1"/>
  <c r="G2092" i="1"/>
  <c r="O2092" i="1" s="1"/>
  <c r="A2093" i="1"/>
  <c r="B2093" i="1"/>
  <c r="C2093" i="1"/>
  <c r="K2093" i="1" s="1"/>
  <c r="D2093" i="1"/>
  <c r="L2093" i="1" s="1"/>
  <c r="E2093" i="1"/>
  <c r="M2093" i="1" s="1"/>
  <c r="F2093" i="1"/>
  <c r="N2093" i="1" s="1"/>
  <c r="G2093" i="1"/>
  <c r="O2093" i="1" s="1"/>
  <c r="A2094" i="1"/>
  <c r="B2094" i="1"/>
  <c r="C2094" i="1"/>
  <c r="K2094" i="1" s="1"/>
  <c r="D2094" i="1"/>
  <c r="L2094" i="1" s="1"/>
  <c r="E2094" i="1"/>
  <c r="M2094" i="1" s="1"/>
  <c r="F2094" i="1"/>
  <c r="N2094" i="1" s="1"/>
  <c r="G2094" i="1"/>
  <c r="O2094" i="1" s="1"/>
  <c r="A2095" i="1"/>
  <c r="B2095" i="1"/>
  <c r="C2095" i="1"/>
  <c r="K2095" i="1" s="1"/>
  <c r="D2095" i="1"/>
  <c r="L2095" i="1" s="1"/>
  <c r="E2095" i="1"/>
  <c r="M2095" i="1" s="1"/>
  <c r="F2095" i="1"/>
  <c r="N2095" i="1" s="1"/>
  <c r="G2095" i="1"/>
  <c r="O2095" i="1" s="1"/>
  <c r="A2096" i="1"/>
  <c r="B2096" i="1"/>
  <c r="C2096" i="1"/>
  <c r="K2096" i="1" s="1"/>
  <c r="D2096" i="1"/>
  <c r="L2096" i="1" s="1"/>
  <c r="E2096" i="1"/>
  <c r="M2096" i="1" s="1"/>
  <c r="F2096" i="1"/>
  <c r="N2096" i="1" s="1"/>
  <c r="G2096" i="1"/>
  <c r="O2096" i="1" s="1"/>
  <c r="A2097" i="1"/>
  <c r="B2097" i="1"/>
  <c r="C2097" i="1"/>
  <c r="K2097" i="1" s="1"/>
  <c r="D2097" i="1"/>
  <c r="L2097" i="1" s="1"/>
  <c r="E2097" i="1"/>
  <c r="M2097" i="1" s="1"/>
  <c r="F2097" i="1"/>
  <c r="N2097" i="1" s="1"/>
  <c r="G2097" i="1"/>
  <c r="O2097" i="1" s="1"/>
  <c r="A2098" i="1"/>
  <c r="I2098" i="1" s="1"/>
  <c r="B2098" i="1"/>
  <c r="C2098" i="1"/>
  <c r="K2098" i="1" s="1"/>
  <c r="D2098" i="1"/>
  <c r="L2098" i="1" s="1"/>
  <c r="E2098" i="1"/>
  <c r="M2098" i="1" s="1"/>
  <c r="F2098" i="1"/>
  <c r="N2098" i="1" s="1"/>
  <c r="G2098" i="1"/>
  <c r="O2098" i="1" s="1"/>
  <c r="A2099" i="1"/>
  <c r="I2099" i="1" s="1"/>
  <c r="B2099" i="1"/>
  <c r="C2099" i="1"/>
  <c r="K2099" i="1" s="1"/>
  <c r="D2099" i="1"/>
  <c r="L2099" i="1" s="1"/>
  <c r="E2099" i="1"/>
  <c r="M2099" i="1" s="1"/>
  <c r="F2099" i="1"/>
  <c r="N2099" i="1" s="1"/>
  <c r="G2099" i="1"/>
  <c r="O2099" i="1" s="1"/>
  <c r="A2100" i="1"/>
  <c r="I2100" i="1" s="1"/>
  <c r="B2100" i="1"/>
  <c r="C2100" i="1"/>
  <c r="K2100" i="1" s="1"/>
  <c r="D2100" i="1"/>
  <c r="L2100" i="1" s="1"/>
  <c r="E2100" i="1"/>
  <c r="M2100" i="1" s="1"/>
  <c r="F2100" i="1"/>
  <c r="N2100" i="1" s="1"/>
  <c r="G2100" i="1"/>
  <c r="O2100" i="1" s="1"/>
  <c r="A2101" i="1"/>
  <c r="I2101" i="1" s="1"/>
  <c r="B2101" i="1"/>
  <c r="C2101" i="1"/>
  <c r="K2101" i="1" s="1"/>
  <c r="D2101" i="1"/>
  <c r="L2101" i="1" s="1"/>
  <c r="E2101" i="1"/>
  <c r="M2101" i="1" s="1"/>
  <c r="F2101" i="1"/>
  <c r="N2101" i="1" s="1"/>
  <c r="G2101" i="1"/>
  <c r="O2101" i="1" s="1"/>
  <c r="A2102" i="1"/>
  <c r="I2102" i="1" s="1"/>
  <c r="B2102" i="1"/>
  <c r="C2102" i="1"/>
  <c r="K2102" i="1" s="1"/>
  <c r="D2102" i="1"/>
  <c r="L2102" i="1" s="1"/>
  <c r="E2102" i="1"/>
  <c r="M2102" i="1" s="1"/>
  <c r="F2102" i="1"/>
  <c r="N2102" i="1" s="1"/>
  <c r="G2102" i="1"/>
  <c r="O2102" i="1" s="1"/>
  <c r="A2103" i="1"/>
  <c r="I2103" i="1" s="1"/>
  <c r="B2103" i="1"/>
  <c r="C2103" i="1"/>
  <c r="K2103" i="1" s="1"/>
  <c r="D2103" i="1"/>
  <c r="L2103" i="1" s="1"/>
  <c r="E2103" i="1"/>
  <c r="M2103" i="1" s="1"/>
  <c r="F2103" i="1"/>
  <c r="N2103" i="1" s="1"/>
  <c r="G2103" i="1"/>
  <c r="O2103" i="1" s="1"/>
  <c r="A2104" i="1"/>
  <c r="I2104" i="1" s="1"/>
  <c r="B2104" i="1"/>
  <c r="C2104" i="1"/>
  <c r="K2104" i="1" s="1"/>
  <c r="D2104" i="1"/>
  <c r="L2104" i="1" s="1"/>
  <c r="E2104" i="1"/>
  <c r="M2104" i="1" s="1"/>
  <c r="F2104" i="1"/>
  <c r="N2104" i="1" s="1"/>
  <c r="G2104" i="1"/>
  <c r="O2104" i="1" s="1"/>
  <c r="A2105" i="1"/>
  <c r="I2105" i="1" s="1"/>
  <c r="B2105" i="1"/>
  <c r="C2105" i="1"/>
  <c r="K2105" i="1" s="1"/>
  <c r="D2105" i="1"/>
  <c r="L2105" i="1" s="1"/>
  <c r="E2105" i="1"/>
  <c r="M2105" i="1" s="1"/>
  <c r="F2105" i="1"/>
  <c r="N2105" i="1" s="1"/>
  <c r="G2105" i="1"/>
  <c r="O2105" i="1" s="1"/>
  <c r="A2106" i="1"/>
  <c r="I2106" i="1" s="1"/>
  <c r="B2106" i="1"/>
  <c r="C2106" i="1"/>
  <c r="K2106" i="1" s="1"/>
  <c r="D2106" i="1"/>
  <c r="L2106" i="1" s="1"/>
  <c r="E2106" i="1"/>
  <c r="M2106" i="1" s="1"/>
  <c r="F2106" i="1"/>
  <c r="N2106" i="1" s="1"/>
  <c r="G2106" i="1"/>
  <c r="O2106" i="1" s="1"/>
  <c r="A2107" i="1"/>
  <c r="I2107" i="1" s="1"/>
  <c r="B2107" i="1"/>
  <c r="C2107" i="1"/>
  <c r="K2107" i="1" s="1"/>
  <c r="D2107" i="1"/>
  <c r="L2107" i="1" s="1"/>
  <c r="E2107" i="1"/>
  <c r="M2107" i="1" s="1"/>
  <c r="F2107" i="1"/>
  <c r="N2107" i="1" s="1"/>
  <c r="G2107" i="1"/>
  <c r="O2107" i="1" s="1"/>
  <c r="A2108" i="1"/>
  <c r="I2108" i="1" s="1"/>
  <c r="B2108" i="1"/>
  <c r="C2108" i="1"/>
  <c r="K2108" i="1" s="1"/>
  <c r="D2108" i="1"/>
  <c r="L2108" i="1" s="1"/>
  <c r="E2108" i="1"/>
  <c r="M2108" i="1" s="1"/>
  <c r="F2108" i="1"/>
  <c r="N2108" i="1" s="1"/>
  <c r="G2108" i="1"/>
  <c r="O2108" i="1" s="1"/>
  <c r="A2109" i="1"/>
  <c r="I2109" i="1" s="1"/>
  <c r="B2109" i="1"/>
  <c r="C2109" i="1"/>
  <c r="K2109" i="1" s="1"/>
  <c r="D2109" i="1"/>
  <c r="L2109" i="1" s="1"/>
  <c r="E2109" i="1"/>
  <c r="M2109" i="1" s="1"/>
  <c r="F2109" i="1"/>
  <c r="N2109" i="1" s="1"/>
  <c r="G2109" i="1"/>
  <c r="O2109" i="1" s="1"/>
  <c r="A2110" i="1"/>
  <c r="I2110" i="1" s="1"/>
  <c r="B2110" i="1"/>
  <c r="C2110" i="1"/>
  <c r="K2110" i="1" s="1"/>
  <c r="D2110" i="1"/>
  <c r="L2110" i="1" s="1"/>
  <c r="E2110" i="1"/>
  <c r="M2110" i="1" s="1"/>
  <c r="F2110" i="1"/>
  <c r="N2110" i="1" s="1"/>
  <c r="G2110" i="1"/>
  <c r="O2110" i="1" s="1"/>
  <c r="A2111" i="1"/>
  <c r="I2111" i="1" s="1"/>
  <c r="B2111" i="1"/>
  <c r="C2111" i="1"/>
  <c r="K2111" i="1" s="1"/>
  <c r="D2111" i="1"/>
  <c r="L2111" i="1" s="1"/>
  <c r="E2111" i="1"/>
  <c r="M2111" i="1" s="1"/>
  <c r="F2111" i="1"/>
  <c r="N2111" i="1" s="1"/>
  <c r="G2111" i="1"/>
  <c r="O2111" i="1" s="1"/>
  <c r="A2112" i="1"/>
  <c r="I2112" i="1" s="1"/>
  <c r="B2112" i="1"/>
  <c r="C2112" i="1"/>
  <c r="K2112" i="1" s="1"/>
  <c r="D2112" i="1"/>
  <c r="L2112" i="1" s="1"/>
  <c r="E2112" i="1"/>
  <c r="M2112" i="1" s="1"/>
  <c r="F2112" i="1"/>
  <c r="N2112" i="1" s="1"/>
  <c r="G2112" i="1"/>
  <c r="O2112" i="1" s="1"/>
  <c r="A2113" i="1"/>
  <c r="I2113" i="1" s="1"/>
  <c r="B2113" i="1"/>
  <c r="C2113" i="1"/>
  <c r="K2113" i="1" s="1"/>
  <c r="D2113" i="1"/>
  <c r="L2113" i="1" s="1"/>
  <c r="E2113" i="1"/>
  <c r="M2113" i="1" s="1"/>
  <c r="F2113" i="1"/>
  <c r="N2113" i="1" s="1"/>
  <c r="G2113" i="1"/>
  <c r="O2113" i="1" s="1"/>
  <c r="A2114" i="1"/>
  <c r="I2114" i="1" s="1"/>
  <c r="B2114" i="1"/>
  <c r="C2114" i="1"/>
  <c r="K2114" i="1" s="1"/>
  <c r="D2114" i="1"/>
  <c r="L2114" i="1" s="1"/>
  <c r="E2114" i="1"/>
  <c r="M2114" i="1" s="1"/>
  <c r="F2114" i="1"/>
  <c r="N2114" i="1" s="1"/>
  <c r="G2114" i="1"/>
  <c r="O2114" i="1" s="1"/>
  <c r="A2115" i="1"/>
  <c r="I2115" i="1" s="1"/>
  <c r="B2115" i="1"/>
  <c r="C2115" i="1"/>
  <c r="K2115" i="1" s="1"/>
  <c r="D2115" i="1"/>
  <c r="L2115" i="1" s="1"/>
  <c r="E2115" i="1"/>
  <c r="M2115" i="1" s="1"/>
  <c r="F2115" i="1"/>
  <c r="N2115" i="1" s="1"/>
  <c r="G2115" i="1"/>
  <c r="O2115" i="1" s="1"/>
  <c r="A2116" i="1"/>
  <c r="I2116" i="1" s="1"/>
  <c r="B2116" i="1"/>
  <c r="C2116" i="1"/>
  <c r="K2116" i="1" s="1"/>
  <c r="D2116" i="1"/>
  <c r="L2116" i="1" s="1"/>
  <c r="E2116" i="1"/>
  <c r="M2116" i="1" s="1"/>
  <c r="F2116" i="1"/>
  <c r="N2116" i="1" s="1"/>
  <c r="G2116" i="1"/>
  <c r="O2116" i="1" s="1"/>
  <c r="A2117" i="1"/>
  <c r="I2117" i="1" s="1"/>
  <c r="B2117" i="1"/>
  <c r="C2117" i="1"/>
  <c r="K2117" i="1" s="1"/>
  <c r="D2117" i="1"/>
  <c r="L2117" i="1" s="1"/>
  <c r="E2117" i="1"/>
  <c r="M2117" i="1" s="1"/>
  <c r="F2117" i="1"/>
  <c r="N2117" i="1" s="1"/>
  <c r="G2117" i="1"/>
  <c r="O2117" i="1" s="1"/>
  <c r="A2118" i="1"/>
  <c r="I2118" i="1" s="1"/>
  <c r="B2118" i="1"/>
  <c r="C2118" i="1"/>
  <c r="K2118" i="1" s="1"/>
  <c r="D2118" i="1"/>
  <c r="L2118" i="1" s="1"/>
  <c r="E2118" i="1"/>
  <c r="M2118" i="1" s="1"/>
  <c r="F2118" i="1"/>
  <c r="N2118" i="1" s="1"/>
  <c r="G2118" i="1"/>
  <c r="O2118" i="1" s="1"/>
  <c r="A2119" i="1"/>
  <c r="I2119" i="1" s="1"/>
  <c r="B2119" i="1"/>
  <c r="C2119" i="1"/>
  <c r="K2119" i="1" s="1"/>
  <c r="D2119" i="1"/>
  <c r="L2119" i="1" s="1"/>
  <c r="E2119" i="1"/>
  <c r="M2119" i="1" s="1"/>
  <c r="F2119" i="1"/>
  <c r="N2119" i="1" s="1"/>
  <c r="G2119" i="1"/>
  <c r="O2119" i="1" s="1"/>
  <c r="A2120" i="1"/>
  <c r="I2120" i="1" s="1"/>
  <c r="B2120" i="1"/>
  <c r="C2120" i="1"/>
  <c r="K2120" i="1" s="1"/>
  <c r="D2120" i="1"/>
  <c r="L2120" i="1" s="1"/>
  <c r="E2120" i="1"/>
  <c r="M2120" i="1" s="1"/>
  <c r="F2120" i="1"/>
  <c r="N2120" i="1" s="1"/>
  <c r="G2120" i="1"/>
  <c r="O2120" i="1" s="1"/>
  <c r="A2121" i="1"/>
  <c r="I2121" i="1" s="1"/>
  <c r="B2121" i="1"/>
  <c r="C2121" i="1"/>
  <c r="K2121" i="1" s="1"/>
  <c r="D2121" i="1"/>
  <c r="L2121" i="1" s="1"/>
  <c r="E2121" i="1"/>
  <c r="M2121" i="1" s="1"/>
  <c r="F2121" i="1"/>
  <c r="N2121" i="1" s="1"/>
  <c r="G2121" i="1"/>
  <c r="O2121" i="1" s="1"/>
  <c r="A2122" i="1"/>
  <c r="I2122" i="1" s="1"/>
  <c r="B2122" i="1"/>
  <c r="C2122" i="1"/>
  <c r="K2122" i="1" s="1"/>
  <c r="D2122" i="1"/>
  <c r="L2122" i="1" s="1"/>
  <c r="E2122" i="1"/>
  <c r="M2122" i="1" s="1"/>
  <c r="F2122" i="1"/>
  <c r="N2122" i="1" s="1"/>
  <c r="G2122" i="1"/>
  <c r="O2122" i="1" s="1"/>
  <c r="A2123" i="1"/>
  <c r="I2123" i="1" s="1"/>
  <c r="B2123" i="1"/>
  <c r="C2123" i="1"/>
  <c r="K2123" i="1" s="1"/>
  <c r="D2123" i="1"/>
  <c r="L2123" i="1" s="1"/>
  <c r="E2123" i="1"/>
  <c r="M2123" i="1" s="1"/>
  <c r="F2123" i="1"/>
  <c r="N2123" i="1" s="1"/>
  <c r="G2123" i="1"/>
  <c r="O2123" i="1" s="1"/>
  <c r="A2124" i="1"/>
  <c r="B2124" i="1"/>
  <c r="C2124" i="1"/>
  <c r="K2124" i="1" s="1"/>
  <c r="D2124" i="1"/>
  <c r="L2124" i="1" s="1"/>
  <c r="E2124" i="1"/>
  <c r="M2124" i="1" s="1"/>
  <c r="F2124" i="1"/>
  <c r="N2124" i="1" s="1"/>
  <c r="G2124" i="1"/>
  <c r="O2124" i="1" s="1"/>
  <c r="A2125" i="1"/>
  <c r="I2125" i="1" s="1"/>
  <c r="B2125" i="1"/>
  <c r="C2125" i="1"/>
  <c r="K2125" i="1" s="1"/>
  <c r="D2125" i="1"/>
  <c r="L2125" i="1" s="1"/>
  <c r="E2125" i="1"/>
  <c r="M2125" i="1" s="1"/>
  <c r="F2125" i="1"/>
  <c r="N2125" i="1" s="1"/>
  <c r="G2125" i="1"/>
  <c r="O2125" i="1" s="1"/>
  <c r="A2126" i="1"/>
  <c r="I2126" i="1" s="1"/>
  <c r="B2126" i="1"/>
  <c r="C2126" i="1"/>
  <c r="K2126" i="1" s="1"/>
  <c r="D2126" i="1"/>
  <c r="L2126" i="1" s="1"/>
  <c r="E2126" i="1"/>
  <c r="M2126" i="1" s="1"/>
  <c r="F2126" i="1"/>
  <c r="N2126" i="1" s="1"/>
  <c r="G2126" i="1"/>
  <c r="O2126" i="1" s="1"/>
  <c r="A2127" i="1"/>
  <c r="I2127" i="1" s="1"/>
  <c r="B2127" i="1"/>
  <c r="C2127" i="1"/>
  <c r="K2127" i="1" s="1"/>
  <c r="D2127" i="1"/>
  <c r="L2127" i="1" s="1"/>
  <c r="E2127" i="1"/>
  <c r="M2127" i="1" s="1"/>
  <c r="F2127" i="1"/>
  <c r="N2127" i="1" s="1"/>
  <c r="G2127" i="1"/>
  <c r="O2127" i="1" s="1"/>
  <c r="A2128" i="1"/>
  <c r="I2128" i="1" s="1"/>
  <c r="B2128" i="1"/>
  <c r="C2128" i="1"/>
  <c r="K2128" i="1" s="1"/>
  <c r="D2128" i="1"/>
  <c r="L2128" i="1" s="1"/>
  <c r="E2128" i="1"/>
  <c r="M2128" i="1" s="1"/>
  <c r="F2128" i="1"/>
  <c r="N2128" i="1" s="1"/>
  <c r="G2128" i="1"/>
  <c r="O2128" i="1" s="1"/>
  <c r="A2129" i="1"/>
  <c r="I2129" i="1" s="1"/>
  <c r="B2129" i="1"/>
  <c r="C2129" i="1"/>
  <c r="K2129" i="1" s="1"/>
  <c r="D2129" i="1"/>
  <c r="L2129" i="1" s="1"/>
  <c r="E2129" i="1"/>
  <c r="M2129" i="1" s="1"/>
  <c r="F2129" i="1"/>
  <c r="N2129" i="1" s="1"/>
  <c r="G2129" i="1"/>
  <c r="O2129" i="1" s="1"/>
  <c r="A2130" i="1"/>
  <c r="I2130" i="1" s="1"/>
  <c r="B2130" i="1"/>
  <c r="C2130" i="1"/>
  <c r="K2130" i="1" s="1"/>
  <c r="D2130" i="1"/>
  <c r="L2130" i="1" s="1"/>
  <c r="E2130" i="1"/>
  <c r="M2130" i="1" s="1"/>
  <c r="F2130" i="1"/>
  <c r="N2130" i="1" s="1"/>
  <c r="G2130" i="1"/>
  <c r="O2130" i="1" s="1"/>
  <c r="A2131" i="1"/>
  <c r="I2131" i="1" s="1"/>
  <c r="B2131" i="1"/>
  <c r="C2131" i="1"/>
  <c r="K2131" i="1" s="1"/>
  <c r="D2131" i="1"/>
  <c r="L2131" i="1" s="1"/>
  <c r="E2131" i="1"/>
  <c r="M2131" i="1" s="1"/>
  <c r="F2131" i="1"/>
  <c r="N2131" i="1" s="1"/>
  <c r="G2131" i="1"/>
  <c r="O2131" i="1" s="1"/>
  <c r="A2132" i="1"/>
  <c r="I2132" i="1" s="1"/>
  <c r="B2132" i="1"/>
  <c r="C2132" i="1"/>
  <c r="K2132" i="1" s="1"/>
  <c r="D2132" i="1"/>
  <c r="L2132" i="1" s="1"/>
  <c r="E2132" i="1"/>
  <c r="M2132" i="1" s="1"/>
  <c r="F2132" i="1"/>
  <c r="N2132" i="1" s="1"/>
  <c r="G2132" i="1"/>
  <c r="O2132" i="1" s="1"/>
  <c r="A2133" i="1"/>
  <c r="I2133" i="1" s="1"/>
  <c r="B2133" i="1"/>
  <c r="C2133" i="1"/>
  <c r="K2133" i="1" s="1"/>
  <c r="D2133" i="1"/>
  <c r="L2133" i="1" s="1"/>
  <c r="E2133" i="1"/>
  <c r="M2133" i="1" s="1"/>
  <c r="F2133" i="1"/>
  <c r="N2133" i="1" s="1"/>
  <c r="G2133" i="1"/>
  <c r="O2133" i="1" s="1"/>
  <c r="A2134" i="1"/>
  <c r="I2134" i="1" s="1"/>
  <c r="B2134" i="1"/>
  <c r="C2134" i="1"/>
  <c r="K2134" i="1" s="1"/>
  <c r="D2134" i="1"/>
  <c r="L2134" i="1" s="1"/>
  <c r="E2134" i="1"/>
  <c r="M2134" i="1" s="1"/>
  <c r="F2134" i="1"/>
  <c r="N2134" i="1" s="1"/>
  <c r="G2134" i="1"/>
  <c r="O2134" i="1" s="1"/>
  <c r="A2135" i="1"/>
  <c r="I2135" i="1" s="1"/>
  <c r="B2135" i="1"/>
  <c r="C2135" i="1"/>
  <c r="K2135" i="1" s="1"/>
  <c r="D2135" i="1"/>
  <c r="L2135" i="1" s="1"/>
  <c r="E2135" i="1"/>
  <c r="M2135" i="1" s="1"/>
  <c r="F2135" i="1"/>
  <c r="N2135" i="1" s="1"/>
  <c r="G2135" i="1"/>
  <c r="O2135" i="1" s="1"/>
  <c r="A2136" i="1"/>
  <c r="I2136" i="1" s="1"/>
  <c r="B2136" i="1"/>
  <c r="C2136" i="1"/>
  <c r="K2136" i="1" s="1"/>
  <c r="D2136" i="1"/>
  <c r="L2136" i="1" s="1"/>
  <c r="E2136" i="1"/>
  <c r="M2136" i="1" s="1"/>
  <c r="F2136" i="1"/>
  <c r="N2136" i="1" s="1"/>
  <c r="G2136" i="1"/>
  <c r="O2136" i="1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" i="2"/>
  <c r="A2532" i="2"/>
  <c r="G2532" i="2" s="1"/>
  <c r="A2531" i="2"/>
  <c r="G2531" i="2" s="1"/>
  <c r="A2530" i="2"/>
  <c r="F2530" i="2" s="1"/>
  <c r="A2529" i="2"/>
  <c r="F2529" i="2" s="1"/>
  <c r="A2528" i="2"/>
  <c r="F2528" i="2" s="1"/>
  <c r="A2527" i="2"/>
  <c r="F2527" i="2" s="1"/>
  <c r="A2526" i="2"/>
  <c r="G2526" i="2" s="1"/>
  <c r="A2525" i="2"/>
  <c r="F2525" i="2" s="1"/>
  <c r="A2524" i="2"/>
  <c r="F2524" i="2" s="1"/>
  <c r="A2523" i="2"/>
  <c r="G2523" i="2" s="1"/>
  <c r="A2522" i="2"/>
  <c r="F2522" i="2" s="1"/>
  <c r="A2521" i="2"/>
  <c r="F2521" i="2" s="1"/>
  <c r="A2520" i="2"/>
  <c r="G2520" i="2" s="1"/>
  <c r="A2519" i="2"/>
  <c r="G2519" i="2" s="1"/>
  <c r="A2518" i="2"/>
  <c r="E2518" i="2" s="1"/>
  <c r="A2517" i="2"/>
  <c r="E2517" i="2" s="1"/>
  <c r="A2516" i="2"/>
  <c r="F2516" i="2" s="1"/>
  <c r="A2515" i="2"/>
  <c r="F2515" i="2" s="1"/>
  <c r="A2514" i="2"/>
  <c r="G2514" i="2" s="1"/>
  <c r="A2513" i="2"/>
  <c r="G2513" i="2" s="1"/>
  <c r="A2512" i="2"/>
  <c r="F2512" i="2" s="1"/>
  <c r="A2511" i="2"/>
  <c r="F2511" i="2" s="1"/>
  <c r="A2510" i="2"/>
  <c r="F2510" i="2" s="1"/>
  <c r="A2509" i="2"/>
  <c r="F2509" i="2" s="1"/>
  <c r="A2508" i="2"/>
  <c r="G2508" i="2" s="1"/>
  <c r="A2507" i="2"/>
  <c r="G2507" i="2" s="1"/>
  <c r="A2506" i="2"/>
  <c r="F2506" i="2" s="1"/>
  <c r="A2505" i="2"/>
  <c r="F2505" i="2" s="1"/>
  <c r="A2504" i="2"/>
  <c r="G2504" i="2" s="1"/>
  <c r="A2503" i="2"/>
  <c r="F2503" i="2" s="1"/>
  <c r="A2502" i="2"/>
  <c r="G2502" i="2" s="1"/>
  <c r="A2501" i="2"/>
  <c r="G2501" i="2" s="1"/>
  <c r="A2500" i="2"/>
  <c r="F2500" i="2" s="1"/>
  <c r="A2499" i="2"/>
  <c r="F2499" i="2" s="1"/>
  <c r="A2498" i="2"/>
  <c r="F2498" i="2" s="1"/>
  <c r="A2497" i="2"/>
  <c r="F2497" i="2" s="1"/>
  <c r="A2496" i="2"/>
  <c r="G2496" i="2" s="1"/>
  <c r="A2495" i="2"/>
  <c r="G2495" i="2" s="1"/>
  <c r="A2494" i="2"/>
  <c r="E2494" i="2" s="1"/>
  <c r="A2493" i="2"/>
  <c r="E2493" i="2" s="1"/>
  <c r="A2492" i="2"/>
  <c r="E2492" i="2" s="1"/>
  <c r="A2491" i="2"/>
  <c r="F2491" i="2" s="1"/>
  <c r="A2490" i="2"/>
  <c r="G2490" i="2" s="1"/>
  <c r="A2489" i="2"/>
  <c r="G2489" i="2" s="1"/>
  <c r="A2488" i="2"/>
  <c r="F2488" i="2" s="1"/>
  <c r="A2487" i="2"/>
  <c r="E2487" i="2" s="1"/>
  <c r="A2486" i="2"/>
  <c r="F2486" i="2" s="1"/>
  <c r="A2485" i="2"/>
  <c r="F2485" i="2" s="1"/>
  <c r="A2484" i="2"/>
  <c r="G2484" i="2" s="1"/>
  <c r="A2483" i="2"/>
  <c r="G2483" i="2" s="1"/>
  <c r="A2482" i="2"/>
  <c r="F2482" i="2" s="1"/>
  <c r="A2481" i="2"/>
  <c r="F2481" i="2" s="1"/>
  <c r="A2480" i="2"/>
  <c r="F2480" i="2" s="1"/>
  <c r="A2479" i="2"/>
  <c r="F2479" i="2" s="1"/>
  <c r="A2478" i="2"/>
  <c r="G2478" i="2" s="1"/>
  <c r="A2477" i="2"/>
  <c r="G2477" i="2" s="1"/>
  <c r="A2476" i="2"/>
  <c r="E2476" i="2" s="1"/>
  <c r="A2475" i="2"/>
  <c r="F2475" i="2" s="1"/>
  <c r="A2474" i="2"/>
  <c r="F2474" i="2" s="1"/>
  <c r="A2473" i="2"/>
  <c r="F2473" i="2" s="1"/>
  <c r="A2472" i="2"/>
  <c r="G2472" i="2" s="1"/>
  <c r="A2471" i="2"/>
  <c r="G2471" i="2" s="1"/>
  <c r="A2470" i="2"/>
  <c r="F2470" i="2" s="1"/>
  <c r="A2469" i="2"/>
  <c r="E2469" i="2" s="1"/>
  <c r="A2468" i="2"/>
  <c r="F2468" i="2" s="1"/>
  <c r="A2467" i="2"/>
  <c r="F2467" i="2" s="1"/>
  <c r="A2466" i="2"/>
  <c r="G2466" i="2" s="1"/>
  <c r="A2465" i="2"/>
  <c r="G2465" i="2" s="1"/>
  <c r="A2464" i="2"/>
  <c r="F2464" i="2" s="1"/>
  <c r="A2463" i="2"/>
  <c r="E2463" i="2" s="1"/>
  <c r="A2462" i="2"/>
  <c r="G2462" i="2" s="1"/>
  <c r="A2461" i="2"/>
  <c r="F2461" i="2" s="1"/>
  <c r="A2460" i="2"/>
  <c r="G2460" i="2" s="1"/>
  <c r="A2459" i="2"/>
  <c r="G2459" i="2" s="1"/>
  <c r="A2458" i="2"/>
  <c r="E2458" i="2" s="1"/>
  <c r="A2457" i="2"/>
  <c r="F2457" i="2" s="1"/>
  <c r="A2456" i="2"/>
  <c r="F2456" i="2" s="1"/>
  <c r="A2455" i="2"/>
  <c r="F2455" i="2" s="1"/>
  <c r="A2454" i="2"/>
  <c r="G2454" i="2" s="1"/>
  <c r="A2453" i="2"/>
  <c r="G2453" i="2" s="1"/>
  <c r="A2452" i="2"/>
  <c r="F2452" i="2" s="1"/>
  <c r="A2451" i="2"/>
  <c r="G2451" i="2" s="1"/>
  <c r="A2450" i="2"/>
  <c r="G2450" i="2" s="1"/>
  <c r="A2449" i="2"/>
  <c r="F2449" i="2" s="1"/>
  <c r="A2448" i="2"/>
  <c r="G2448" i="2" s="1"/>
  <c r="A2447" i="2"/>
  <c r="G2447" i="2" s="1"/>
  <c r="A2446" i="2"/>
  <c r="F2446" i="2" s="1"/>
  <c r="A2445" i="2"/>
  <c r="F2445" i="2" s="1"/>
  <c r="A2444" i="2"/>
  <c r="G2444" i="2" s="1"/>
  <c r="A2443" i="2"/>
  <c r="F2443" i="2" s="1"/>
  <c r="A2442" i="2"/>
  <c r="G2442" i="2" s="1"/>
  <c r="A2441" i="2"/>
  <c r="G2441" i="2" s="1"/>
  <c r="A2440" i="2"/>
  <c r="G2440" i="2" s="1"/>
  <c r="A2439" i="2"/>
  <c r="F2439" i="2" s="1"/>
  <c r="A2438" i="2"/>
  <c r="G2438" i="2" s="1"/>
  <c r="A2437" i="2"/>
  <c r="F2437" i="2" s="1"/>
  <c r="A2436" i="2"/>
  <c r="G2436" i="2" s="1"/>
  <c r="A2435" i="2"/>
  <c r="G2435" i="2" s="1"/>
  <c r="A2434" i="2"/>
  <c r="F2434" i="2" s="1"/>
  <c r="A2433" i="2"/>
  <c r="F2433" i="2" s="1"/>
  <c r="A2432" i="2"/>
  <c r="G2432" i="2" s="1"/>
  <c r="A2431" i="2"/>
  <c r="F2431" i="2" s="1"/>
  <c r="A2430" i="2"/>
  <c r="G2430" i="2" s="1"/>
  <c r="A2429" i="2"/>
  <c r="G2429" i="2" s="1"/>
  <c r="A2428" i="2"/>
  <c r="E2428" i="2" s="1"/>
  <c r="A2427" i="2"/>
  <c r="F2427" i="2" s="1"/>
  <c r="A2426" i="2"/>
  <c r="F2426" i="2" s="1"/>
  <c r="A2425" i="2"/>
  <c r="F2425" i="2" s="1"/>
  <c r="A2424" i="2"/>
  <c r="G2424" i="2" s="1"/>
  <c r="A2423" i="2"/>
  <c r="G2423" i="2" s="1"/>
  <c r="A2422" i="2"/>
  <c r="F2422" i="2" s="1"/>
  <c r="A2421" i="2"/>
  <c r="G2421" i="2" s="1"/>
  <c r="A2420" i="2"/>
  <c r="F2420" i="2" s="1"/>
  <c r="A2419" i="2"/>
  <c r="F2419" i="2" s="1"/>
  <c r="A2418" i="2"/>
  <c r="G2418" i="2" s="1"/>
  <c r="A2417" i="2"/>
  <c r="G2417" i="2" s="1"/>
  <c r="A2416" i="2"/>
  <c r="G2416" i="2" s="1"/>
  <c r="A2415" i="2"/>
  <c r="F2415" i="2" s="1"/>
  <c r="A2414" i="2"/>
  <c r="F2414" i="2" s="1"/>
  <c r="A2413" i="2"/>
  <c r="F2413" i="2" s="1"/>
  <c r="A2412" i="2"/>
  <c r="G2412" i="2" s="1"/>
  <c r="A2411" i="2"/>
  <c r="G2411" i="2" s="1"/>
  <c r="A2410" i="2"/>
  <c r="F2410" i="2" s="1"/>
  <c r="A2409" i="2"/>
  <c r="F2409" i="2" s="1"/>
  <c r="A2408" i="2"/>
  <c r="G2408" i="2" s="1"/>
  <c r="A2407" i="2"/>
  <c r="F2407" i="2" s="1"/>
  <c r="A2406" i="2"/>
  <c r="G2406" i="2" s="1"/>
  <c r="A2405" i="2"/>
  <c r="G2405" i="2" s="1"/>
  <c r="A2404" i="2"/>
  <c r="G2404" i="2" s="1"/>
  <c r="A2403" i="2"/>
  <c r="F2403" i="2" s="1"/>
  <c r="A2402" i="2"/>
  <c r="F2402" i="2" s="1"/>
  <c r="A2401" i="2"/>
  <c r="F2401" i="2" s="1"/>
  <c r="A2400" i="2"/>
  <c r="G2400" i="2" s="1"/>
  <c r="A2399" i="2"/>
  <c r="G2399" i="2" s="1"/>
  <c r="A2398" i="2"/>
  <c r="F2398" i="2" s="1"/>
  <c r="A2397" i="2"/>
  <c r="F2397" i="2" s="1"/>
  <c r="A2396" i="2"/>
  <c r="G2396" i="2" s="1"/>
  <c r="A2395" i="2"/>
  <c r="F2395" i="2" s="1"/>
  <c r="A2394" i="2"/>
  <c r="G2394" i="2" s="1"/>
  <c r="A2393" i="2"/>
  <c r="G2393" i="2" s="1"/>
  <c r="A2392" i="2"/>
  <c r="G2392" i="2" s="1"/>
  <c r="A2391" i="2"/>
  <c r="F2391" i="2" s="1"/>
  <c r="A2390" i="2"/>
  <c r="F2390" i="2" s="1"/>
  <c r="A2389" i="2"/>
  <c r="F2389" i="2" s="1"/>
  <c r="A2388" i="2"/>
  <c r="G2388" i="2" s="1"/>
  <c r="A2387" i="2"/>
  <c r="G2387" i="2" s="1"/>
  <c r="A2386" i="2"/>
  <c r="F2386" i="2" s="1"/>
  <c r="A2385" i="2"/>
  <c r="G2385" i="2" s="1"/>
  <c r="A2384" i="2"/>
  <c r="G2384" i="2" s="1"/>
  <c r="A2383" i="2"/>
  <c r="F2383" i="2" s="1"/>
  <c r="A2382" i="2"/>
  <c r="G2382" i="2" s="1"/>
  <c r="A2381" i="2"/>
  <c r="G2381" i="2" s="1"/>
  <c r="A2380" i="2"/>
  <c r="G2380" i="2" s="1"/>
  <c r="A2379" i="2"/>
  <c r="F2379" i="2" s="1"/>
  <c r="A2378" i="2"/>
  <c r="F2378" i="2" s="1"/>
  <c r="A2377" i="2"/>
  <c r="F2377" i="2" s="1"/>
  <c r="A2376" i="2"/>
  <c r="G2376" i="2" s="1"/>
  <c r="A2375" i="2"/>
  <c r="F2375" i="2" s="1"/>
  <c r="F251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" i="2"/>
  <c r="H768" i="1" l="1"/>
  <c r="M879" i="1"/>
  <c r="H737" i="1"/>
  <c r="H736" i="1"/>
  <c r="E2473" i="2"/>
  <c r="E2523" i="2"/>
  <c r="H734" i="1"/>
  <c r="F2523" i="2"/>
  <c r="F2429" i="2"/>
  <c r="E2499" i="2"/>
  <c r="F2438" i="2"/>
  <c r="F2501" i="2"/>
  <c r="F2441" i="2"/>
  <c r="F2385" i="2"/>
  <c r="F2451" i="2"/>
  <c r="F2519" i="2"/>
  <c r="F2392" i="2"/>
  <c r="F2417" i="2"/>
  <c r="E2495" i="2"/>
  <c r="F2493" i="2"/>
  <c r="E2520" i="2"/>
  <c r="E2486" i="2"/>
  <c r="G2379" i="2"/>
  <c r="F2396" i="2"/>
  <c r="F2469" i="2"/>
  <c r="G2487" i="2"/>
  <c r="G2481" i="2"/>
  <c r="E2430" i="2"/>
  <c r="F2454" i="2"/>
  <c r="F2478" i="2"/>
  <c r="F2376" i="2"/>
  <c r="F2400" i="2"/>
  <c r="F2463" i="2"/>
  <c r="E2485" i="2"/>
  <c r="E2502" i="2"/>
  <c r="F2380" i="2"/>
  <c r="F2416" i="2"/>
  <c r="F2508" i="2"/>
  <c r="E2526" i="2"/>
  <c r="G2445" i="2"/>
  <c r="F2442" i="2"/>
  <c r="E2472" i="2"/>
  <c r="F2526" i="2"/>
  <c r="G2415" i="2"/>
  <c r="F2388" i="2"/>
  <c r="F2418" i="2"/>
  <c r="F2450" i="2"/>
  <c r="F2472" i="2"/>
  <c r="G2517" i="2"/>
  <c r="G2409" i="2"/>
  <c r="F2453" i="2"/>
  <c r="F2381" i="2"/>
  <c r="F2393" i="2"/>
  <c r="F2406" i="2"/>
  <c r="F2421" i="2"/>
  <c r="F2430" i="2"/>
  <c r="F2447" i="2"/>
  <c r="E2459" i="2"/>
  <c r="F2466" i="2"/>
  <c r="F2483" i="2"/>
  <c r="F2489" i="2"/>
  <c r="E2496" i="2"/>
  <c r="F2502" i="2"/>
  <c r="E2514" i="2"/>
  <c r="F2520" i="2"/>
  <c r="E2531" i="2"/>
  <c r="G2511" i="2"/>
  <c r="G2475" i="2"/>
  <c r="G2439" i="2"/>
  <c r="G2403" i="2"/>
  <c r="F2405" i="2"/>
  <c r="F2465" i="2"/>
  <c r="E2483" i="2"/>
  <c r="E2489" i="2"/>
  <c r="F2495" i="2"/>
  <c r="F2513" i="2"/>
  <c r="F2382" i="2"/>
  <c r="F2394" i="2"/>
  <c r="F2411" i="2"/>
  <c r="F2423" i="2"/>
  <c r="F2435" i="2"/>
  <c r="F2448" i="2"/>
  <c r="F2459" i="2"/>
  <c r="E2477" i="2"/>
  <c r="E2484" i="2"/>
  <c r="E2490" i="2"/>
  <c r="F2496" i="2"/>
  <c r="E2507" i="2"/>
  <c r="F2514" i="2"/>
  <c r="F2531" i="2"/>
  <c r="G2505" i="2"/>
  <c r="G2469" i="2"/>
  <c r="G2433" i="2"/>
  <c r="G2397" i="2"/>
  <c r="F2412" i="2"/>
  <c r="F2424" i="2"/>
  <c r="F2436" i="2"/>
  <c r="E2460" i="2"/>
  <c r="E2471" i="2"/>
  <c r="F2477" i="2"/>
  <c r="F2484" i="2"/>
  <c r="F2490" i="2"/>
  <c r="F2507" i="2"/>
  <c r="E2532" i="2"/>
  <c r="G2499" i="2"/>
  <c r="G2463" i="2"/>
  <c r="G2427" i="2"/>
  <c r="G2391" i="2"/>
  <c r="F2387" i="2"/>
  <c r="F2399" i="2"/>
  <c r="E2429" i="2"/>
  <c r="F2460" i="2"/>
  <c r="F2471" i="2"/>
  <c r="E2478" i="2"/>
  <c r="E2501" i="2"/>
  <c r="E2508" i="2"/>
  <c r="E2519" i="2"/>
  <c r="E2525" i="2"/>
  <c r="F2532" i="2"/>
  <c r="G2529" i="2"/>
  <c r="G2493" i="2"/>
  <c r="G2457" i="2"/>
  <c r="E2426" i="2"/>
  <c r="F2432" i="2"/>
  <c r="F2444" i="2"/>
  <c r="E2462" i="2"/>
  <c r="G2525" i="2"/>
  <c r="G2375" i="2"/>
  <c r="F2384" i="2"/>
  <c r="F2462" i="2"/>
  <c r="F2504" i="2"/>
  <c r="G2530" i="2"/>
  <c r="G2524" i="2"/>
  <c r="G2518" i="2"/>
  <c r="G2512" i="2"/>
  <c r="G2506" i="2"/>
  <c r="G2500" i="2"/>
  <c r="G2494" i="2"/>
  <c r="G2488" i="2"/>
  <c r="G2482" i="2"/>
  <c r="G2476" i="2"/>
  <c r="G2470" i="2"/>
  <c r="G2464" i="2"/>
  <c r="G2458" i="2"/>
  <c r="G2452" i="2"/>
  <c r="G2446" i="2"/>
  <c r="G2434" i="2"/>
  <c r="G2428" i="2"/>
  <c r="G2422" i="2"/>
  <c r="G2410" i="2"/>
  <c r="G2398" i="2"/>
  <c r="G2386" i="2"/>
  <c r="F2408" i="2"/>
  <c r="F2492" i="2"/>
  <c r="E2522" i="2"/>
  <c r="G2528" i="2"/>
  <c r="G2522" i="2"/>
  <c r="G2516" i="2"/>
  <c r="G2510" i="2"/>
  <c r="G2498" i="2"/>
  <c r="G2492" i="2"/>
  <c r="G2486" i="2"/>
  <c r="G2480" i="2"/>
  <c r="G2474" i="2"/>
  <c r="G2468" i="2"/>
  <c r="G2456" i="2"/>
  <c r="G2426" i="2"/>
  <c r="G2420" i="2"/>
  <c r="G2414" i="2"/>
  <c r="G2402" i="2"/>
  <c r="G2390" i="2"/>
  <c r="G2378" i="2"/>
  <c r="G2527" i="2"/>
  <c r="G2521" i="2"/>
  <c r="G2515" i="2"/>
  <c r="G2509" i="2"/>
  <c r="G2503" i="2"/>
  <c r="G2497" i="2"/>
  <c r="G2491" i="2"/>
  <c r="G2485" i="2"/>
  <c r="G2479" i="2"/>
  <c r="G2473" i="2"/>
  <c r="G2467" i="2"/>
  <c r="G2461" i="2"/>
  <c r="G2455" i="2"/>
  <c r="G2449" i="2"/>
  <c r="G2443" i="2"/>
  <c r="G2437" i="2"/>
  <c r="G2431" i="2"/>
  <c r="G2425" i="2"/>
  <c r="G2419" i="2"/>
  <c r="G2413" i="2"/>
  <c r="G2407" i="2"/>
  <c r="G2401" i="2"/>
  <c r="G2395" i="2"/>
  <c r="G2389" i="2"/>
  <c r="G2383" i="2"/>
  <c r="G2377" i="2"/>
  <c r="E2431" i="2"/>
  <c r="E2461" i="2"/>
  <c r="E2474" i="2"/>
  <c r="E2372" i="2"/>
  <c r="F2458" i="2"/>
  <c r="E2488" i="2"/>
  <c r="F2494" i="2"/>
  <c r="F2404" i="2"/>
  <c r="F2428" i="2"/>
  <c r="E2510" i="2"/>
  <c r="F2518" i="2"/>
  <c r="F2487" i="2"/>
  <c r="E2475" i="2"/>
  <c r="E2481" i="2"/>
  <c r="E2427" i="2"/>
  <c r="E2511" i="2"/>
  <c r="E2425" i="2"/>
  <c r="E2497" i="2"/>
  <c r="E2528" i="2"/>
  <c r="E2479" i="2"/>
  <c r="E2498" i="2"/>
  <c r="E2516" i="2"/>
  <c r="E2468" i="2"/>
  <c r="E2480" i="2"/>
  <c r="E2491" i="2"/>
  <c r="F2440" i="2"/>
  <c r="E2470" i="2"/>
  <c r="F2476" i="2"/>
  <c r="E2524" i="2"/>
  <c r="E2464" i="2"/>
  <c r="E2500" i="2"/>
  <c r="E2482" i="2"/>
  <c r="E2509" i="2"/>
  <c r="E2521" i="2"/>
  <c r="E2527" i="2"/>
  <c r="E2515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" i="2"/>
  <c r="E2374" i="2" l="1"/>
  <c r="E2373" i="2"/>
  <c r="E2259" i="2"/>
  <c r="E2252" i="2"/>
  <c r="E2245" i="2"/>
  <c r="E2241" i="2"/>
  <c r="E2530" i="2"/>
  <c r="E2242" i="2"/>
  <c r="E2244" i="2"/>
  <c r="E2250" i="2"/>
  <c r="E2258" i="2"/>
  <c r="E2266" i="2"/>
  <c r="E2249" i="2"/>
  <c r="E2247" i="2"/>
  <c r="E2264" i="2"/>
  <c r="E2253" i="2"/>
  <c r="E2248" i="2"/>
  <c r="E2267" i="2"/>
  <c r="E2254" i="2"/>
  <c r="E2246" i="2"/>
  <c r="E2260" i="2"/>
  <c r="E2257" i="2"/>
  <c r="E2255" i="2"/>
  <c r="E2265" i="2"/>
  <c r="E2263" i="2"/>
  <c r="E2262" i="2"/>
  <c r="E2256" i="2"/>
  <c r="E2251" i="2"/>
  <c r="E2243" i="2"/>
  <c r="E2261" i="2"/>
  <c r="E2084" i="2"/>
  <c r="E2079" i="2"/>
  <c r="E2071" i="2"/>
  <c r="E2066" i="2"/>
  <c r="E2068" i="2"/>
  <c r="E2275" i="2"/>
  <c r="E2279" i="2"/>
  <c r="E2291" i="2"/>
  <c r="E2289" i="2"/>
  <c r="E2285" i="2"/>
  <c r="E2281" i="2"/>
  <c r="E2293" i="2"/>
  <c r="E2271" i="2"/>
  <c r="E2273" i="2"/>
  <c r="E2278" i="2"/>
  <c r="E2282" i="2"/>
  <c r="E2268" i="2"/>
  <c r="E2270" i="2"/>
  <c r="E2276" i="2"/>
  <c r="E2280" i="2"/>
  <c r="E2298" i="2"/>
  <c r="E2274" i="2"/>
  <c r="E2284" i="2"/>
  <c r="E2297" i="2"/>
  <c r="E2287" i="2"/>
  <c r="E2299" i="2"/>
  <c r="E2272" i="2"/>
  <c r="E2296" i="2"/>
  <c r="E2294" i="2"/>
  <c r="E2277" i="2"/>
  <c r="E2290" i="2"/>
  <c r="E2292" i="2"/>
  <c r="E2288" i="2"/>
  <c r="E2283" i="2"/>
  <c r="E2295" i="2"/>
  <c r="E2269" i="2"/>
  <c r="E2286" i="2"/>
  <c r="E2313" i="2"/>
  <c r="E2319" i="2"/>
  <c r="E2322" i="2"/>
  <c r="E2301" i="2"/>
  <c r="E2303" i="2"/>
  <c r="E2321" i="2"/>
  <c r="E2146" i="2"/>
  <c r="E2154" i="2"/>
  <c r="E2132" i="2"/>
  <c r="E2162" i="2"/>
  <c r="E2113" i="2"/>
  <c r="E2153" i="2"/>
  <c r="E2097" i="2"/>
  <c r="E2110" i="2"/>
  <c r="E2112" i="2"/>
  <c r="E2155" i="2"/>
  <c r="E2108" i="2"/>
  <c r="E2106" i="2"/>
  <c r="E2152" i="2"/>
  <c r="E2513" i="2"/>
  <c r="E2156" i="2"/>
  <c r="E2123" i="2"/>
  <c r="E2100" i="2"/>
  <c r="E2093" i="2"/>
  <c r="E2149" i="2"/>
  <c r="E2136" i="2"/>
  <c r="E2147" i="2"/>
  <c r="E2128" i="2"/>
  <c r="E2116" i="2"/>
  <c r="E2125" i="2"/>
  <c r="E2145" i="2"/>
  <c r="E2159" i="2"/>
  <c r="E2126" i="2"/>
  <c r="E2094" i="2"/>
  <c r="E2161" i="2"/>
  <c r="E2512" i="2"/>
  <c r="E2096" i="2"/>
  <c r="E2163" i="2"/>
  <c r="E2104" i="2"/>
  <c r="E2121" i="2"/>
  <c r="E2127" i="2"/>
  <c r="E2139" i="2"/>
  <c r="E2101" i="2"/>
  <c r="E2105" i="2"/>
  <c r="E2120" i="2"/>
  <c r="E2158" i="2"/>
  <c r="E2131" i="2"/>
  <c r="E2109" i="2"/>
  <c r="E2133" i="2"/>
  <c r="E2114" i="2"/>
  <c r="E2092" i="2"/>
  <c r="E2142" i="2"/>
  <c r="E2119" i="2"/>
  <c r="E2143" i="2"/>
  <c r="E2151" i="2"/>
  <c r="E2160" i="2"/>
  <c r="E2103" i="2"/>
  <c r="E2111" i="2"/>
  <c r="E2107" i="2"/>
  <c r="E2135" i="2"/>
  <c r="E2137" i="2"/>
  <c r="E2117" i="2"/>
  <c r="E2095" i="2"/>
  <c r="E2157" i="2"/>
  <c r="E2140" i="2"/>
  <c r="E2118" i="2"/>
  <c r="E2102" i="2"/>
  <c r="E2099" i="2"/>
  <c r="E2141" i="2"/>
  <c r="E2115" i="2"/>
  <c r="E2124" i="2"/>
  <c r="E2138" i="2"/>
  <c r="E2134" i="2"/>
  <c r="E2130" i="2"/>
  <c r="E2164" i="2"/>
  <c r="E2148" i="2"/>
  <c r="E2122" i="2"/>
  <c r="E2150" i="2"/>
  <c r="E2129" i="2"/>
  <c r="E2144" i="2"/>
  <c r="E2098" i="2"/>
  <c r="E15" i="2"/>
  <c r="E33" i="2"/>
  <c r="E17" i="2"/>
  <c r="E1806" i="2"/>
  <c r="E1798" i="2"/>
  <c r="E1791" i="2"/>
  <c r="E1787" i="2"/>
  <c r="E1796" i="2"/>
  <c r="E1772" i="2"/>
  <c r="E1801" i="2"/>
  <c r="E1788" i="2"/>
  <c r="E1804" i="2"/>
  <c r="E1790" i="2"/>
  <c r="E1771" i="2"/>
  <c r="E1794" i="2"/>
  <c r="E1776" i="2"/>
  <c r="E1779" i="2"/>
  <c r="E1800" i="2"/>
  <c r="E1768" i="2"/>
  <c r="E1775" i="2"/>
  <c r="E1789" i="2"/>
  <c r="E1770" i="2"/>
  <c r="E1803" i="2"/>
  <c r="E1773" i="2"/>
  <c r="E1774" i="2"/>
  <c r="E1782" i="2"/>
  <c r="E1802" i="2"/>
  <c r="E1778" i="2"/>
  <c r="E1767" i="2"/>
  <c r="E1793" i="2"/>
  <c r="E1805" i="2"/>
  <c r="E1781" i="2"/>
  <c r="E1769" i="2"/>
  <c r="E1786" i="2"/>
  <c r="E1784" i="2"/>
  <c r="E1799" i="2"/>
  <c r="E1783" i="2"/>
  <c r="E1766" i="2"/>
  <c r="E1792" i="2"/>
  <c r="E1780" i="2"/>
  <c r="E1797" i="2"/>
  <c r="E1785" i="2"/>
  <c r="E1777" i="2"/>
  <c r="E1795" i="2"/>
  <c r="E101" i="2"/>
  <c r="E78" i="2"/>
  <c r="E66" i="2"/>
  <c r="E69" i="2"/>
  <c r="E84" i="2"/>
  <c r="E2377" i="2"/>
  <c r="E76" i="2"/>
  <c r="E103" i="2"/>
  <c r="E59" i="2"/>
  <c r="E49" i="2"/>
  <c r="E65" i="2"/>
  <c r="E81" i="2"/>
  <c r="E39" i="2"/>
  <c r="E106" i="2"/>
  <c r="E96" i="2"/>
  <c r="E95" i="2"/>
  <c r="E72" i="2"/>
  <c r="E42" i="2"/>
  <c r="E86" i="2"/>
  <c r="E85" i="2"/>
  <c r="E60" i="2"/>
  <c r="E74" i="2"/>
  <c r="E80" i="2"/>
  <c r="E97" i="2"/>
  <c r="E56" i="2"/>
  <c r="E64" i="2"/>
  <c r="E93" i="2"/>
  <c r="E53" i="2"/>
  <c r="E75" i="2"/>
  <c r="E102" i="2"/>
  <c r="E51" i="2"/>
  <c r="E38" i="2"/>
  <c r="E91" i="2"/>
  <c r="E82" i="2"/>
  <c r="E44" i="2"/>
  <c r="E63" i="2"/>
  <c r="E2375" i="2"/>
  <c r="E100" i="2"/>
  <c r="E99" i="2"/>
  <c r="E45" i="2"/>
  <c r="E92" i="2"/>
  <c r="E57" i="2"/>
  <c r="E47" i="2"/>
  <c r="E98" i="2"/>
  <c r="E37" i="2"/>
  <c r="E46" i="2"/>
  <c r="E90" i="2"/>
  <c r="E77" i="2"/>
  <c r="E104" i="2"/>
  <c r="E79" i="2"/>
  <c r="E48" i="2"/>
  <c r="E58" i="2"/>
  <c r="E43" i="2"/>
  <c r="E89" i="2"/>
  <c r="E83" i="2"/>
  <c r="E2376" i="2"/>
  <c r="E68" i="2"/>
  <c r="E61" i="2"/>
  <c r="E67" i="2"/>
  <c r="E55" i="2"/>
  <c r="E41" i="2"/>
  <c r="E88" i="2"/>
  <c r="E54" i="2"/>
  <c r="E73" i="2"/>
  <c r="E50" i="2"/>
  <c r="E87" i="2"/>
  <c r="E40" i="2"/>
  <c r="E94" i="2"/>
  <c r="E105" i="2"/>
  <c r="E52" i="2"/>
  <c r="E71" i="2"/>
  <c r="E62" i="2"/>
  <c r="E70" i="2"/>
  <c r="E2380" i="2"/>
  <c r="E131" i="2"/>
  <c r="E122" i="2"/>
  <c r="E130" i="2"/>
  <c r="E114" i="2"/>
  <c r="E125" i="2"/>
  <c r="E108" i="2"/>
  <c r="E110" i="2"/>
  <c r="E109" i="2"/>
  <c r="E107" i="2"/>
  <c r="E126" i="2"/>
  <c r="E128" i="2"/>
  <c r="E121" i="2"/>
  <c r="E111" i="2"/>
  <c r="E119" i="2"/>
  <c r="E117" i="2"/>
  <c r="E112" i="2"/>
  <c r="E116" i="2"/>
  <c r="E127" i="2"/>
  <c r="E120" i="2"/>
  <c r="E2379" i="2"/>
  <c r="E2378" i="2"/>
  <c r="E124" i="2"/>
  <c r="E129" i="2"/>
  <c r="E113" i="2"/>
  <c r="E115" i="2"/>
  <c r="E118" i="2"/>
  <c r="E123" i="2"/>
  <c r="E151" i="2"/>
  <c r="E154" i="2"/>
  <c r="E135" i="2"/>
  <c r="E156" i="2"/>
  <c r="E140" i="2"/>
  <c r="E138" i="2"/>
  <c r="E137" i="2"/>
  <c r="E160" i="2"/>
  <c r="E143" i="2"/>
  <c r="E147" i="2"/>
  <c r="E145" i="2"/>
  <c r="E159" i="2"/>
  <c r="E136" i="2"/>
  <c r="E162" i="2"/>
  <c r="E163" i="2"/>
  <c r="E150" i="2"/>
  <c r="E2381" i="2"/>
  <c r="E144" i="2"/>
  <c r="E149" i="2"/>
  <c r="E139" i="2"/>
  <c r="E141" i="2"/>
  <c r="E132" i="2"/>
  <c r="E157" i="2"/>
  <c r="E134" i="2"/>
  <c r="E153" i="2"/>
  <c r="E148" i="2"/>
  <c r="E155" i="2"/>
  <c r="E133" i="2"/>
  <c r="E146" i="2"/>
  <c r="E142" i="2"/>
  <c r="E152" i="2"/>
  <c r="E161" i="2"/>
  <c r="E158" i="2"/>
  <c r="E186" i="2"/>
  <c r="E185" i="2"/>
  <c r="E188" i="2"/>
  <c r="E175" i="2"/>
  <c r="E2382" i="2"/>
  <c r="E171" i="2"/>
  <c r="E179" i="2"/>
  <c r="E164" i="2"/>
  <c r="E182" i="2"/>
  <c r="E178" i="2"/>
  <c r="E180" i="2"/>
  <c r="E167" i="2"/>
  <c r="E190" i="2"/>
  <c r="E189" i="2"/>
  <c r="E177" i="2"/>
  <c r="E166" i="2"/>
  <c r="E176" i="2"/>
  <c r="E174" i="2"/>
  <c r="E181" i="2"/>
  <c r="E169" i="2"/>
  <c r="E2384" i="2"/>
  <c r="E173" i="2"/>
  <c r="E2383" i="2"/>
  <c r="E172" i="2"/>
  <c r="E2386" i="2"/>
  <c r="E165" i="2"/>
  <c r="E2385" i="2"/>
  <c r="E187" i="2"/>
  <c r="E183" i="2"/>
  <c r="E168" i="2"/>
  <c r="E2387" i="2"/>
  <c r="E170" i="2"/>
  <c r="E184" i="2"/>
  <c r="E2013" i="2"/>
  <c r="E1994" i="2"/>
  <c r="E2009" i="2"/>
  <c r="E2503" i="2"/>
  <c r="E1995" i="2"/>
  <c r="E1997" i="2"/>
  <c r="E2005" i="2"/>
  <c r="E2505" i="2"/>
  <c r="E2018" i="2"/>
  <c r="E2006" i="2"/>
  <c r="E2007" i="2"/>
  <c r="E2010" i="2"/>
  <c r="E2020" i="2"/>
  <c r="E2015" i="2"/>
  <c r="E2011" i="2"/>
  <c r="E2002" i="2"/>
  <c r="E2021" i="2"/>
  <c r="E2003" i="2"/>
  <c r="E2019" i="2"/>
  <c r="E2012" i="2"/>
  <c r="E2504" i="2"/>
  <c r="E2008" i="2"/>
  <c r="E1996" i="2"/>
  <c r="E1999" i="2"/>
  <c r="E2017" i="2"/>
  <c r="E1998" i="2"/>
  <c r="E2000" i="2"/>
  <c r="E2001" i="2"/>
  <c r="E2004" i="2"/>
  <c r="E2506" i="2"/>
  <c r="E2014" i="2"/>
  <c r="E2022" i="2"/>
  <c r="E1993" i="2"/>
  <c r="E2016" i="2"/>
  <c r="E1027" i="2"/>
  <c r="E1092" i="2"/>
  <c r="E1059" i="2"/>
  <c r="E1010" i="2"/>
  <c r="E1001" i="2"/>
  <c r="E1040" i="2"/>
  <c r="E1067" i="2"/>
  <c r="E1029" i="2"/>
  <c r="E1045" i="2"/>
  <c r="E1061" i="2"/>
  <c r="E2438" i="2"/>
  <c r="E2435" i="2"/>
  <c r="E1035" i="2"/>
  <c r="E2446" i="2"/>
  <c r="E1065" i="2"/>
  <c r="E1077" i="2"/>
  <c r="E1019" i="2"/>
  <c r="E1086" i="2"/>
  <c r="E1011" i="2"/>
  <c r="E1076" i="2"/>
  <c r="E1028" i="2"/>
  <c r="E1085" i="2"/>
  <c r="E1039" i="2"/>
  <c r="E1078" i="2"/>
  <c r="E2440" i="2"/>
  <c r="E1016" i="2"/>
  <c r="E1042" i="2"/>
  <c r="E1089" i="2"/>
  <c r="E1071" i="2"/>
  <c r="E1066" i="2"/>
  <c r="E1075" i="2"/>
  <c r="E1015" i="2"/>
  <c r="E2443" i="2"/>
  <c r="E1082" i="2"/>
  <c r="E1057" i="2"/>
  <c r="E1070" i="2"/>
  <c r="E1062" i="2"/>
  <c r="E1088" i="2"/>
  <c r="E1060" i="2"/>
  <c r="E1058" i="2"/>
  <c r="E1012" i="2"/>
  <c r="E1008" i="2"/>
  <c r="E1002" i="2"/>
  <c r="E2448" i="2"/>
  <c r="E2445" i="2"/>
  <c r="E1073" i="2"/>
  <c r="E1055" i="2"/>
  <c r="E1006" i="2"/>
  <c r="E1020" i="2"/>
  <c r="E1021" i="2"/>
  <c r="E1024" i="2"/>
  <c r="E1049" i="2"/>
  <c r="E1090" i="2"/>
  <c r="E2451" i="2"/>
  <c r="E1032" i="2"/>
  <c r="E1083" i="2"/>
  <c r="E1063" i="2"/>
  <c r="E1009" i="2"/>
  <c r="E1084" i="2"/>
  <c r="E2444" i="2"/>
  <c r="E1043" i="2"/>
  <c r="E1013" i="2"/>
  <c r="E1091" i="2"/>
  <c r="E1072" i="2"/>
  <c r="E1005" i="2"/>
  <c r="E2442" i="2"/>
  <c r="E1003" i="2"/>
  <c r="E1050" i="2"/>
  <c r="E1048" i="2"/>
  <c r="E1025" i="2"/>
  <c r="E1004" i="2"/>
  <c r="E1031" i="2"/>
  <c r="E2436" i="2"/>
  <c r="E1037" i="2"/>
  <c r="E1018" i="2"/>
  <c r="E1046" i="2"/>
  <c r="E1081" i="2"/>
  <c r="E2441" i="2"/>
  <c r="E1069" i="2"/>
  <c r="E1038" i="2"/>
  <c r="E1068" i="2"/>
  <c r="E2449" i="2"/>
  <c r="E1026" i="2"/>
  <c r="E2450" i="2"/>
  <c r="E1074" i="2"/>
  <c r="E2437" i="2"/>
  <c r="E1000" i="2"/>
  <c r="E2433" i="2"/>
  <c r="E1052" i="2"/>
  <c r="E2447" i="2"/>
  <c r="E1051" i="2"/>
  <c r="E1030" i="2"/>
  <c r="E1093" i="2"/>
  <c r="E1087" i="2"/>
  <c r="E1036" i="2"/>
  <c r="E1022" i="2"/>
  <c r="E2439" i="2"/>
  <c r="E1033" i="2"/>
  <c r="E1041" i="2"/>
  <c r="E1079" i="2"/>
  <c r="E1056" i="2"/>
  <c r="E1044" i="2"/>
  <c r="E1023" i="2"/>
  <c r="E1047" i="2"/>
  <c r="E2432" i="2"/>
  <c r="E1080" i="2"/>
  <c r="E1054" i="2"/>
  <c r="E2434" i="2"/>
  <c r="E1034" i="2"/>
  <c r="E1014" i="2"/>
  <c r="E1064" i="2"/>
  <c r="E1017" i="2"/>
  <c r="E1007" i="2"/>
  <c r="E1053" i="2"/>
  <c r="E1100" i="2"/>
  <c r="E2452" i="2"/>
  <c r="E1128" i="2"/>
  <c r="E2456" i="2"/>
  <c r="E1107" i="2"/>
  <c r="E1144" i="2"/>
  <c r="E1116" i="2"/>
  <c r="E1117" i="2"/>
  <c r="E1134" i="2"/>
  <c r="E1104" i="2"/>
  <c r="E1141" i="2"/>
  <c r="E1137" i="2"/>
  <c r="E1106" i="2"/>
  <c r="E1095" i="2"/>
  <c r="E1147" i="2"/>
  <c r="E1101" i="2"/>
  <c r="E1118" i="2"/>
  <c r="E1114" i="2"/>
  <c r="E1115" i="2"/>
  <c r="E1124" i="2"/>
  <c r="E1133" i="2"/>
  <c r="E1140" i="2"/>
  <c r="E1094" i="2"/>
  <c r="E2455" i="2"/>
  <c r="E1138" i="2"/>
  <c r="E1123" i="2"/>
  <c r="E1121" i="2"/>
  <c r="E1129" i="2"/>
  <c r="E1132" i="2"/>
  <c r="E1146" i="2"/>
  <c r="E1112" i="2"/>
  <c r="E1096" i="2"/>
  <c r="E1127" i="2"/>
  <c r="E1153" i="2"/>
  <c r="E1102" i="2"/>
  <c r="E1099" i="2"/>
  <c r="E1149" i="2"/>
  <c r="E1135" i="2"/>
  <c r="E1148" i="2"/>
  <c r="E1145" i="2"/>
  <c r="E1125" i="2"/>
  <c r="E1120" i="2"/>
  <c r="E1122" i="2"/>
  <c r="E1110" i="2"/>
  <c r="E1119" i="2"/>
  <c r="E1108" i="2"/>
  <c r="E1143" i="2"/>
  <c r="E1103" i="2"/>
  <c r="E1097" i="2"/>
  <c r="E2457" i="2"/>
  <c r="E1139" i="2"/>
  <c r="E1151" i="2"/>
  <c r="E1105" i="2"/>
  <c r="E1142" i="2"/>
  <c r="E1131" i="2"/>
  <c r="E1111" i="2"/>
  <c r="E2454" i="2"/>
  <c r="E1136" i="2"/>
  <c r="E1098" i="2"/>
  <c r="E1109" i="2"/>
  <c r="E1113" i="2"/>
  <c r="E1126" i="2"/>
  <c r="E1152" i="2"/>
  <c r="E1130" i="2"/>
  <c r="E1150" i="2"/>
  <c r="E2453" i="2"/>
  <c r="E1403" i="2"/>
  <c r="E1402" i="2"/>
  <c r="E1419" i="2"/>
  <c r="E1420" i="2"/>
  <c r="E1435" i="2"/>
  <c r="E1437" i="2"/>
  <c r="E2466" i="2"/>
  <c r="E1401" i="2"/>
  <c r="E1432" i="2"/>
  <c r="E1400" i="2"/>
  <c r="E1414" i="2"/>
  <c r="E1409" i="2"/>
  <c r="E1428" i="2"/>
  <c r="E1426" i="2"/>
  <c r="E1396" i="2"/>
  <c r="E1433" i="2"/>
  <c r="E1424" i="2"/>
  <c r="E1405" i="2"/>
  <c r="E1412" i="2"/>
  <c r="E1442" i="2"/>
  <c r="E1425" i="2"/>
  <c r="E1427" i="2"/>
  <c r="E1423" i="2"/>
  <c r="E1392" i="2"/>
  <c r="E1416" i="2"/>
  <c r="E1430" i="2"/>
  <c r="E1404" i="2"/>
  <c r="E1408" i="2"/>
  <c r="E1421" i="2"/>
  <c r="E1398" i="2"/>
  <c r="E1418" i="2"/>
  <c r="E1441" i="2"/>
  <c r="E1436" i="2"/>
  <c r="E1411" i="2"/>
  <c r="E1407" i="2"/>
  <c r="E1439" i="2"/>
  <c r="E2465" i="2"/>
  <c r="E1434" i="2"/>
  <c r="E1431" i="2"/>
  <c r="E1397" i="2"/>
  <c r="E1393" i="2"/>
  <c r="E1395" i="2"/>
  <c r="E1391" i="2"/>
  <c r="E1438" i="2"/>
  <c r="E1417" i="2"/>
  <c r="E1429" i="2"/>
  <c r="E1413" i="2"/>
  <c r="E1444" i="2"/>
  <c r="E1410" i="2"/>
  <c r="E1406" i="2"/>
  <c r="E1443" i="2"/>
  <c r="E1422" i="2"/>
  <c r="E1415" i="2"/>
  <c r="E1394" i="2"/>
  <c r="E1440" i="2"/>
  <c r="E1399" i="2"/>
  <c r="E1454" i="2"/>
  <c r="E1446" i="2"/>
  <c r="E1447" i="2"/>
  <c r="E1468" i="2"/>
  <c r="E1445" i="2"/>
  <c r="E1465" i="2"/>
  <c r="E1469" i="2"/>
  <c r="E1453" i="2"/>
  <c r="E1466" i="2"/>
  <c r="E1458" i="2"/>
  <c r="E2467" i="2"/>
  <c r="E1455" i="2"/>
  <c r="E1459" i="2"/>
  <c r="E1460" i="2"/>
  <c r="E1467" i="2"/>
  <c r="E1471" i="2"/>
  <c r="E1449" i="2"/>
  <c r="E1463" i="2"/>
  <c r="E1457" i="2"/>
  <c r="E1450" i="2"/>
  <c r="E1464" i="2"/>
  <c r="E1452" i="2"/>
  <c r="E1451" i="2"/>
  <c r="E1456" i="2"/>
  <c r="E1461" i="2"/>
  <c r="E1448" i="2"/>
  <c r="E1462" i="2"/>
  <c r="E1470" i="2"/>
  <c r="E2209" i="2"/>
  <c r="E2240" i="2"/>
  <c r="E2206" i="2"/>
  <c r="E2239" i="2"/>
  <c r="E2233" i="2"/>
  <c r="E2231" i="2"/>
  <c r="E2529" i="2"/>
  <c r="E2237" i="2"/>
  <c r="E2204" i="2"/>
  <c r="E2197" i="2"/>
  <c r="E2236" i="2"/>
  <c r="E2220" i="2"/>
  <c r="E2205" i="2"/>
  <c r="E2212" i="2"/>
  <c r="E2213" i="2"/>
  <c r="E2195" i="2"/>
  <c r="E2215" i="2"/>
  <c r="E2219" i="2"/>
  <c r="E2214" i="2"/>
  <c r="E2223" i="2"/>
  <c r="E2225" i="2"/>
  <c r="E2198" i="2"/>
  <c r="E2210" i="2"/>
  <c r="E2211" i="2"/>
  <c r="E2201" i="2"/>
  <c r="E2238" i="2"/>
  <c r="E2230" i="2"/>
  <c r="E2222" i="2"/>
  <c r="E2224" i="2"/>
  <c r="E2208" i="2"/>
  <c r="E2194" i="2"/>
  <c r="E2203" i="2"/>
  <c r="E2218" i="2"/>
  <c r="E2202" i="2"/>
  <c r="E2235" i="2"/>
  <c r="E2221" i="2"/>
  <c r="E2217" i="2"/>
  <c r="E2196" i="2"/>
  <c r="E2227" i="2"/>
  <c r="E2229" i="2"/>
  <c r="E2234" i="2"/>
  <c r="E2226" i="2"/>
  <c r="E2216" i="2"/>
  <c r="E2207" i="2"/>
  <c r="E2200" i="2"/>
  <c r="E2228" i="2"/>
  <c r="E2232" i="2"/>
  <c r="E2199" i="2"/>
  <c r="E2391" i="2"/>
  <c r="E253" i="2"/>
  <c r="E199" i="2"/>
  <c r="E224" i="2"/>
  <c r="E198" i="2"/>
  <c r="E234" i="2"/>
  <c r="E2397" i="2"/>
  <c r="E2403" i="2"/>
  <c r="E248" i="2"/>
  <c r="E2393" i="2"/>
  <c r="E2399" i="2"/>
  <c r="E255" i="2"/>
  <c r="E238" i="2"/>
  <c r="E2401" i="2"/>
  <c r="E240" i="2"/>
  <c r="E2398" i="2"/>
  <c r="E200" i="2"/>
  <c r="E209" i="2"/>
  <c r="E239" i="2"/>
  <c r="E202" i="2"/>
  <c r="E257" i="2"/>
  <c r="E220" i="2"/>
  <c r="E233" i="2"/>
  <c r="E256" i="2"/>
  <c r="E192" i="2"/>
  <c r="E223" i="2"/>
  <c r="E231" i="2"/>
  <c r="E245" i="2"/>
  <c r="E2400" i="2"/>
  <c r="E204" i="2"/>
  <c r="E203" i="2"/>
  <c r="E221" i="2"/>
  <c r="E251" i="2"/>
  <c r="E252" i="2"/>
  <c r="E210" i="2"/>
  <c r="E197" i="2"/>
  <c r="E196" i="2"/>
  <c r="E225" i="2"/>
  <c r="E206" i="2"/>
  <c r="E242" i="2"/>
  <c r="E241" i="2"/>
  <c r="E2392" i="2"/>
  <c r="E222" i="2"/>
  <c r="E2394" i="2"/>
  <c r="E212" i="2"/>
  <c r="E211" i="2"/>
  <c r="E229" i="2"/>
  <c r="E236" i="2"/>
  <c r="E2404" i="2"/>
  <c r="E230" i="2"/>
  <c r="E2389" i="2"/>
  <c r="E227" i="2"/>
  <c r="E247" i="2"/>
  <c r="E195" i="2"/>
  <c r="E2396" i="2"/>
  <c r="E2395" i="2"/>
  <c r="E191" i="2"/>
  <c r="E246" i="2"/>
  <c r="E214" i="2"/>
  <c r="E218" i="2"/>
  <c r="E205" i="2"/>
  <c r="E216" i="2"/>
  <c r="E217" i="2"/>
  <c r="E2388" i="2"/>
  <c r="E249" i="2"/>
  <c r="E2390" i="2"/>
  <c r="E232" i="2"/>
  <c r="E194" i="2"/>
  <c r="E213" i="2"/>
  <c r="E207" i="2"/>
  <c r="E201" i="2"/>
  <c r="E193" i="2"/>
  <c r="E237" i="2"/>
  <c r="E235" i="2"/>
  <c r="E2405" i="2"/>
  <c r="E208" i="2"/>
  <c r="E215" i="2"/>
  <c r="E254" i="2"/>
  <c r="E250" i="2"/>
  <c r="E219" i="2"/>
  <c r="E226" i="2"/>
  <c r="E243" i="2"/>
  <c r="E228" i="2"/>
  <c r="E244" i="2"/>
  <c r="E2402" i="2"/>
  <c r="E441" i="2"/>
  <c r="E513" i="2"/>
  <c r="E487" i="2"/>
  <c r="E528" i="2"/>
  <c r="E381" i="2"/>
  <c r="E475" i="2"/>
  <c r="E464" i="2"/>
  <c r="E280" i="2"/>
  <c r="E382" i="2"/>
  <c r="E458" i="2"/>
  <c r="E491" i="2"/>
  <c r="E335" i="2"/>
  <c r="E274" i="2"/>
  <c r="E336" i="2"/>
  <c r="E264" i="2"/>
  <c r="E360" i="2"/>
  <c r="E2406" i="2"/>
  <c r="E477" i="2"/>
  <c r="E404" i="2"/>
  <c r="E467" i="2"/>
  <c r="E420" i="2"/>
  <c r="E469" i="2"/>
  <c r="E451" i="2"/>
  <c r="E452" i="2"/>
  <c r="E523" i="2"/>
  <c r="E348" i="2"/>
  <c r="E361" i="2"/>
  <c r="E423" i="2"/>
  <c r="E269" i="2"/>
  <c r="E419" i="2"/>
  <c r="E278" i="2"/>
  <c r="E351" i="2"/>
  <c r="E297" i="2"/>
  <c r="E511" i="2"/>
  <c r="E294" i="2"/>
  <c r="E490" i="2"/>
  <c r="E369" i="2"/>
  <c r="E260" i="2"/>
  <c r="E314" i="2"/>
  <c r="E443" i="2"/>
  <c r="E289" i="2"/>
  <c r="E319" i="2"/>
  <c r="E425" i="2"/>
  <c r="E507" i="2"/>
  <c r="E418" i="2"/>
  <c r="E343" i="2"/>
  <c r="E439" i="2"/>
  <c r="E440" i="2"/>
  <c r="E538" i="2"/>
  <c r="E531" i="2"/>
  <c r="E499" i="2"/>
  <c r="E375" i="2"/>
  <c r="E445" i="2"/>
  <c r="E356" i="2"/>
  <c r="E412" i="2"/>
  <c r="E485" i="2"/>
  <c r="E271" i="2"/>
  <c r="E288" i="2"/>
  <c r="E471" i="2"/>
  <c r="E508" i="2"/>
  <c r="E470" i="2"/>
  <c r="E432" i="2"/>
  <c r="E279" i="2"/>
  <c r="E426" i="2"/>
  <c r="E409" i="2"/>
  <c r="E263" i="2"/>
  <c r="E286" i="2"/>
  <c r="E315" i="2"/>
  <c r="E371" i="2"/>
  <c r="E341" i="2"/>
  <c r="E424" i="2"/>
  <c r="E395" i="2"/>
  <c r="E323" i="2"/>
  <c r="E379" i="2"/>
  <c r="E306" i="2"/>
  <c r="E329" i="2"/>
  <c r="E449" i="2"/>
  <c r="E447" i="2"/>
  <c r="E468" i="2"/>
  <c r="E510" i="2"/>
  <c r="E2410" i="2"/>
  <c r="E291" i="2"/>
  <c r="E454" i="2"/>
  <c r="E2411" i="2"/>
  <c r="E494" i="2"/>
  <c r="E519" i="2"/>
  <c r="E489" i="2"/>
  <c r="E326" i="2"/>
  <c r="E505" i="2"/>
  <c r="E410" i="2"/>
  <c r="E402" i="2"/>
  <c r="E392" i="2"/>
  <c r="E496" i="2"/>
  <c r="E350" i="2"/>
  <c r="E422" i="2"/>
  <c r="E504" i="2"/>
  <c r="E481" i="2"/>
  <c r="E537" i="2"/>
  <c r="E282" i="2"/>
  <c r="E366" i="2"/>
  <c r="E299" i="2"/>
  <c r="E358" i="2"/>
  <c r="E480" i="2"/>
  <c r="E455" i="2"/>
  <c r="E517" i="2"/>
  <c r="E407" i="2"/>
  <c r="E460" i="2"/>
  <c r="E465" i="2"/>
  <c r="E353" i="2"/>
  <c r="E522" i="2"/>
  <c r="E502" i="2"/>
  <c r="E372" i="2"/>
  <c r="E332" i="2"/>
  <c r="E330" i="2"/>
  <c r="E428" i="2"/>
  <c r="E307" i="2"/>
  <c r="E390" i="2"/>
  <c r="E500" i="2"/>
  <c r="E478" i="2"/>
  <c r="E520" i="2"/>
  <c r="E342" i="2"/>
  <c r="E448" i="2"/>
  <c r="E434" i="2"/>
  <c r="E446" i="2"/>
  <c r="E431" i="2"/>
  <c r="E461" i="2"/>
  <c r="E308" i="2"/>
  <c r="E304" i="2"/>
  <c r="E2409" i="2"/>
  <c r="E456" i="2"/>
  <c r="E354" i="2"/>
  <c r="E438" i="2"/>
  <c r="E349" i="2"/>
  <c r="E400" i="2"/>
  <c r="E398" i="2"/>
  <c r="E527" i="2"/>
  <c r="E273" i="2"/>
  <c r="E457" i="2"/>
  <c r="E442" i="2"/>
  <c r="E391" i="2"/>
  <c r="E518" i="2"/>
  <c r="E272" i="2"/>
  <c r="E290" i="2"/>
  <c r="E384" i="2"/>
  <c r="E430" i="2"/>
  <c r="E459" i="2"/>
  <c r="E532" i="2"/>
  <c r="E296" i="2"/>
  <c r="E497" i="2"/>
  <c r="E383" i="2"/>
  <c r="E309" i="2"/>
  <c r="E301" i="2"/>
  <c r="E284" i="2"/>
  <c r="E406" i="2"/>
  <c r="E261" i="2"/>
  <c r="E476" i="2"/>
  <c r="E389" i="2"/>
  <c r="E373" i="2"/>
  <c r="E276" i="2"/>
  <c r="E374" i="2"/>
  <c r="E536" i="2"/>
  <c r="E473" i="2"/>
  <c r="E267" i="2"/>
  <c r="E359" i="2"/>
  <c r="E277" i="2"/>
  <c r="E352" i="2"/>
  <c r="E415" i="2"/>
  <c r="E433" i="2"/>
  <c r="E495" i="2"/>
  <c r="E399" i="2"/>
  <c r="E340" i="2"/>
  <c r="E408" i="2"/>
  <c r="E417" i="2"/>
  <c r="E515" i="2"/>
  <c r="E436" i="2"/>
  <c r="E300" i="2"/>
  <c r="E472" i="2"/>
  <c r="E397" i="2"/>
  <c r="E258" i="2"/>
  <c r="E305" i="2"/>
  <c r="E376" i="2"/>
  <c r="E486" i="2"/>
  <c r="E435" i="2"/>
  <c r="E387" i="2"/>
  <c r="E516" i="2"/>
  <c r="E357" i="2"/>
  <c r="E318" i="2"/>
  <c r="E338" i="2"/>
  <c r="E380" i="2"/>
  <c r="E421" i="2"/>
  <c r="E346" i="2"/>
  <c r="E393" i="2"/>
  <c r="E362" i="2"/>
  <c r="E368" i="2"/>
  <c r="E355" i="2"/>
  <c r="E405" i="2"/>
  <c r="E325" i="2"/>
  <c r="E259" i="2"/>
  <c r="E364" i="2"/>
  <c r="E365" i="2"/>
  <c r="E411" i="2"/>
  <c r="E331" i="2"/>
  <c r="E506" i="2"/>
  <c r="E293" i="2"/>
  <c r="E302" i="2"/>
  <c r="E479" i="2"/>
  <c r="E514" i="2"/>
  <c r="E535" i="2"/>
  <c r="E453" i="2"/>
  <c r="E287" i="2"/>
  <c r="E298" i="2"/>
  <c r="E413" i="2"/>
  <c r="E339" i="2"/>
  <c r="E416" i="2"/>
  <c r="E270" i="2"/>
  <c r="E292" i="2"/>
  <c r="E427" i="2"/>
  <c r="E345" i="2"/>
  <c r="E385" i="2"/>
  <c r="E388" i="2"/>
  <c r="E2407" i="2"/>
  <c r="E483" i="2"/>
  <c r="E316" i="2"/>
  <c r="E474" i="2"/>
  <c r="E363" i="2"/>
  <c r="E401" i="2"/>
  <c r="E312" i="2"/>
  <c r="E386" i="2"/>
  <c r="E534" i="2"/>
  <c r="E275" i="2"/>
  <c r="E295" i="2"/>
  <c r="E337" i="2"/>
  <c r="E378" i="2"/>
  <c r="E526" i="2"/>
  <c r="E310" i="2"/>
  <c r="E521" i="2"/>
  <c r="E509" i="2"/>
  <c r="E311" i="2"/>
  <c r="E437" i="2"/>
  <c r="E530" i="2"/>
  <c r="E533" i="2"/>
  <c r="E503" i="2"/>
  <c r="E493" i="2"/>
  <c r="E322" i="2"/>
  <c r="E463" i="2"/>
  <c r="E492" i="2"/>
  <c r="E347" i="2"/>
  <c r="E281" i="2"/>
  <c r="E501" i="2"/>
  <c r="E462" i="2"/>
  <c r="E524" i="2"/>
  <c r="E414" i="2"/>
  <c r="E466" i="2"/>
  <c r="E367" i="2"/>
  <c r="E529" i="2"/>
  <c r="E429" i="2"/>
  <c r="E525" i="2"/>
  <c r="E344" i="2"/>
  <c r="E444" i="2"/>
  <c r="E488" i="2"/>
  <c r="E320" i="2"/>
  <c r="E334" i="2"/>
  <c r="E482" i="2"/>
  <c r="E2408" i="2"/>
  <c r="E265" i="2"/>
  <c r="E285" i="2"/>
  <c r="E303" i="2"/>
  <c r="E321" i="2"/>
  <c r="E283" i="2"/>
  <c r="E313" i="2"/>
  <c r="E498" i="2"/>
  <c r="E370" i="2"/>
  <c r="E333" i="2"/>
  <c r="E317" i="2"/>
  <c r="E327" i="2"/>
  <c r="E394" i="2"/>
  <c r="E377" i="2"/>
  <c r="E512" i="2"/>
  <c r="E266" i="2"/>
  <c r="E450" i="2"/>
  <c r="E484" i="2"/>
  <c r="E539" i="2"/>
  <c r="E403" i="2"/>
  <c r="E268" i="2"/>
  <c r="E396" i="2"/>
  <c r="E262" i="2"/>
  <c r="E324" i="2"/>
  <c r="E2412" i="2"/>
  <c r="E328" i="2"/>
  <c r="E717" i="2"/>
  <c r="E638" i="2"/>
  <c r="E770" i="2"/>
  <c r="E836" i="2"/>
  <c r="E804" i="2"/>
  <c r="E713" i="2"/>
  <c r="E608" i="2"/>
  <c r="E566" i="2"/>
  <c r="E558" i="2"/>
  <c r="E552" i="2"/>
  <c r="E700" i="2"/>
  <c r="E661" i="2"/>
  <c r="E708" i="2"/>
  <c r="E715" i="2"/>
  <c r="E800" i="2"/>
  <c r="E873" i="2"/>
  <c r="E685" i="2"/>
  <c r="E629" i="2"/>
  <c r="E554" i="2"/>
  <c r="E600" i="2"/>
  <c r="E778" i="2"/>
  <c r="E878" i="2"/>
  <c r="E673" i="2"/>
  <c r="E796" i="2"/>
  <c r="E818" i="2"/>
  <c r="E714" i="2"/>
  <c r="E761" i="2"/>
  <c r="E885" i="2"/>
  <c r="E837" i="2"/>
  <c r="E769" i="2"/>
  <c r="E820" i="2"/>
  <c r="E656" i="2"/>
  <c r="E562" i="2"/>
  <c r="E549" i="2"/>
  <c r="E838" i="2"/>
  <c r="E840" i="2"/>
  <c r="E689" i="2"/>
  <c r="E671" i="2"/>
  <c r="E672" i="2"/>
  <c r="E734" i="2"/>
  <c r="E595" i="2"/>
  <c r="E639" i="2"/>
  <c r="E604" i="2"/>
  <c r="E648" i="2"/>
  <c r="E2417" i="2"/>
  <c r="E625" i="2"/>
  <c r="E586" i="2"/>
  <c r="E686" i="2"/>
  <c r="E541" i="2"/>
  <c r="E581" i="2"/>
  <c r="E590" i="2"/>
  <c r="E728" i="2"/>
  <c r="E867" i="2"/>
  <c r="E719" i="2"/>
  <c r="E723" i="2"/>
  <c r="E699" i="2"/>
  <c r="E720" i="2"/>
  <c r="E815" i="2"/>
  <c r="E847" i="2"/>
  <c r="E768" i="2"/>
  <c r="E813" i="2"/>
  <c r="E833" i="2"/>
  <c r="E827" i="2"/>
  <c r="E548" i="2"/>
  <c r="E738" i="2"/>
  <c r="E817" i="2"/>
  <c r="E564" i="2"/>
  <c r="E626" i="2"/>
  <c r="E610" i="2"/>
  <c r="E588" i="2"/>
  <c r="E559" i="2"/>
  <c r="E887" i="2"/>
  <c r="E627" i="2"/>
  <c r="E727" i="2"/>
  <c r="E609" i="2"/>
  <c r="E794" i="2"/>
  <c r="E786" i="2"/>
  <c r="E835" i="2"/>
  <c r="E547" i="2"/>
  <c r="E631" i="2"/>
  <c r="E621" i="2"/>
  <c r="E663" i="2"/>
  <c r="E655" i="2"/>
  <c r="E726" i="2"/>
  <c r="E824" i="2"/>
  <c r="E565" i="2"/>
  <c r="E784" i="2"/>
  <c r="E568" i="2"/>
  <c r="E2422" i="2"/>
  <c r="E780" i="2"/>
  <c r="E746" i="2"/>
  <c r="E599" i="2"/>
  <c r="E597" i="2"/>
  <c r="E675" i="2"/>
  <c r="E774" i="2"/>
  <c r="E742" i="2"/>
  <c r="E787" i="2"/>
  <c r="E753" i="2"/>
  <c r="E829" i="2"/>
  <c r="E821" i="2"/>
  <c r="E848" i="2"/>
  <c r="E582" i="2"/>
  <c r="E680" i="2"/>
  <c r="E880" i="2"/>
  <c r="E664" i="2"/>
  <c r="E696" i="2"/>
  <c r="E729" i="2"/>
  <c r="E642" i="2"/>
  <c r="E576" i="2"/>
  <c r="E575" i="2"/>
  <c r="E630" i="2"/>
  <c r="E802" i="2"/>
  <c r="E825" i="2"/>
  <c r="E647" i="2"/>
  <c r="E872" i="2"/>
  <c r="E688" i="2"/>
  <c r="E665" i="2"/>
  <c r="E790" i="2"/>
  <c r="E567" i="2"/>
  <c r="E612" i="2"/>
  <c r="E765" i="2"/>
  <c r="E845" i="2"/>
  <c r="E816" i="2"/>
  <c r="E843" i="2"/>
  <c r="E584" i="2"/>
  <c r="E684" i="2"/>
  <c r="E823" i="2"/>
  <c r="E643" i="2"/>
  <c r="E735" i="2"/>
  <c r="E785" i="2"/>
  <c r="E870" i="2"/>
  <c r="E801" i="2"/>
  <c r="E789" i="2"/>
  <c r="E606" i="2"/>
  <c r="E605" i="2"/>
  <c r="E683" i="2"/>
  <c r="E781" i="2"/>
  <c r="E748" i="2"/>
  <c r="E607" i="2"/>
  <c r="E573" i="2"/>
  <c r="E540" i="2"/>
  <c r="E632" i="2"/>
  <c r="E731" i="2"/>
  <c r="E706" i="2"/>
  <c r="E593" i="2"/>
  <c r="E2415" i="2"/>
  <c r="E771" i="2"/>
  <c r="E756" i="2"/>
  <c r="E798" i="2"/>
  <c r="E637" i="2"/>
  <c r="E844" i="2"/>
  <c r="E628" i="2"/>
  <c r="E876" i="2"/>
  <c r="E570" i="2"/>
  <c r="E841" i="2"/>
  <c r="E587" i="2"/>
  <c r="E766" i="2"/>
  <c r="E650" i="2"/>
  <c r="E875" i="2"/>
  <c r="E864" i="2"/>
  <c r="E678" i="2"/>
  <c r="E574" i="2"/>
  <c r="E652" i="2"/>
  <c r="E712" i="2"/>
  <c r="E809" i="2"/>
  <c r="E775" i="2"/>
  <c r="E851" i="2"/>
  <c r="E828" i="2"/>
  <c r="E855" i="2"/>
  <c r="E589" i="2"/>
  <c r="E687" i="2"/>
  <c r="E886" i="2"/>
  <c r="E670" i="2"/>
  <c r="E739" i="2"/>
  <c r="E751" i="2"/>
  <c r="E707" i="2"/>
  <c r="E698" i="2"/>
  <c r="E755" i="2"/>
  <c r="E853" i="2"/>
  <c r="E594" i="2"/>
  <c r="E808" i="2"/>
  <c r="E592" i="2"/>
  <c r="E2421" i="2"/>
  <c r="E737" i="2"/>
  <c r="E703" i="2"/>
  <c r="E806" i="2"/>
  <c r="E791" i="2"/>
  <c r="E846" i="2"/>
  <c r="E543" i="2"/>
  <c r="E730" i="2"/>
  <c r="E617" i="2"/>
  <c r="E745" i="2"/>
  <c r="E740" i="2"/>
  <c r="E877" i="2"/>
  <c r="E2416" i="2"/>
  <c r="E2413" i="2"/>
  <c r="E636" i="2"/>
  <c r="E585" i="2"/>
  <c r="E557" i="2"/>
  <c r="E757" i="2"/>
  <c r="E857" i="2"/>
  <c r="E722" i="2"/>
  <c r="E883" i="2"/>
  <c r="E681" i="2"/>
  <c r="E635" i="2"/>
  <c r="E677" i="2"/>
  <c r="E830" i="2"/>
  <c r="E797" i="2"/>
  <c r="E858" i="2"/>
  <c r="E842" i="2"/>
  <c r="E863" i="2"/>
  <c r="E596" i="2"/>
  <c r="E695" i="2"/>
  <c r="E676" i="2"/>
  <c r="E614" i="2"/>
  <c r="E602" i="2"/>
  <c r="E779" i="2"/>
  <c r="E763" i="2"/>
  <c r="E805" i="2"/>
  <c r="E546" i="2"/>
  <c r="E644" i="2"/>
  <c r="E850" i="2"/>
  <c r="E634" i="2"/>
  <c r="E545" i="2"/>
  <c r="E578" i="2"/>
  <c r="E649" i="2"/>
  <c r="E641" i="2"/>
  <c r="E711" i="2"/>
  <c r="E810" i="2"/>
  <c r="E551" i="2"/>
  <c r="E772" i="2"/>
  <c r="E556" i="2"/>
  <c r="E2423" i="2"/>
  <c r="E542" i="2"/>
  <c r="E822" i="2"/>
  <c r="E749" i="2"/>
  <c r="E747" i="2"/>
  <c r="E803" i="2"/>
  <c r="E658" i="2"/>
  <c r="E743" i="2"/>
  <c r="E615" i="2"/>
  <c r="E611" i="2"/>
  <c r="E733" i="2"/>
  <c r="E882" i="2"/>
  <c r="E690" i="2"/>
  <c r="E571" i="2"/>
  <c r="E732" i="2"/>
  <c r="E577" i="2"/>
  <c r="E633" i="2"/>
  <c r="E657" i="2"/>
  <c r="E624" i="2"/>
  <c r="E793" i="2"/>
  <c r="E777" i="2"/>
  <c r="E812" i="2"/>
  <c r="E553" i="2"/>
  <c r="E651" i="2"/>
  <c r="E856" i="2"/>
  <c r="E640" i="2"/>
  <c r="E782" i="2"/>
  <c r="E773" i="2"/>
  <c r="E721" i="2"/>
  <c r="E705" i="2"/>
  <c r="E762" i="2"/>
  <c r="E860" i="2"/>
  <c r="E601" i="2"/>
  <c r="E814" i="2"/>
  <c r="E598" i="2"/>
  <c r="E758" i="2"/>
  <c r="E725" i="2"/>
  <c r="E591" i="2"/>
  <c r="E583" i="2"/>
  <c r="E668" i="2"/>
  <c r="E767" i="2"/>
  <c r="E2420" i="2"/>
  <c r="E736" i="2"/>
  <c r="E744" i="2"/>
  <c r="E710" i="2"/>
  <c r="E764" i="2"/>
  <c r="E691" i="2"/>
  <c r="E704" i="2"/>
  <c r="E759" i="2"/>
  <c r="E874" i="2"/>
  <c r="E622" i="2"/>
  <c r="E555" i="2"/>
  <c r="E718" i="2"/>
  <c r="E709" i="2"/>
  <c r="E831" i="2"/>
  <c r="E888" i="2"/>
  <c r="E613" i="2"/>
  <c r="E741" i="2"/>
  <c r="E561" i="2"/>
  <c r="E2414" i="2"/>
  <c r="E674" i="2"/>
  <c r="E669" i="2"/>
  <c r="E579" i="2"/>
  <c r="E852" i="2"/>
  <c r="E849" i="2"/>
  <c r="E702" i="2"/>
  <c r="E620" i="2"/>
  <c r="E795" i="2"/>
  <c r="E550" i="2"/>
  <c r="E819" i="2"/>
  <c r="E660" i="2"/>
  <c r="E646" i="2"/>
  <c r="E881" i="2"/>
  <c r="E2419" i="2"/>
  <c r="E659" i="2"/>
  <c r="E623" i="2"/>
  <c r="E879" i="2"/>
  <c r="E871" i="2"/>
  <c r="E618" i="2"/>
  <c r="E716" i="2"/>
  <c r="E694" i="2"/>
  <c r="E859" i="2"/>
  <c r="E776" i="2"/>
  <c r="E826" i="2"/>
  <c r="E861" i="2"/>
  <c r="E884" i="2"/>
  <c r="E653" i="2"/>
  <c r="E662" i="2"/>
  <c r="E572" i="2"/>
  <c r="E701" i="2"/>
  <c r="E799" i="2"/>
  <c r="E666" i="2"/>
  <c r="E616" i="2"/>
  <c r="E788" i="2"/>
  <c r="E654" i="2"/>
  <c r="E869" i="2"/>
  <c r="E563" i="2"/>
  <c r="E754" i="2"/>
  <c r="E619" i="2"/>
  <c r="E693" i="2"/>
  <c r="E862" i="2"/>
  <c r="E724" i="2"/>
  <c r="E783" i="2"/>
  <c r="E679" i="2"/>
  <c r="E560" i="2"/>
  <c r="E667" i="2"/>
  <c r="E834" i="2"/>
  <c r="E868" i="2"/>
  <c r="E2418" i="2"/>
  <c r="E750" i="2"/>
  <c r="E544" i="2"/>
  <c r="E807" i="2"/>
  <c r="E752" i="2"/>
  <c r="E811" i="2"/>
  <c r="E692" i="2"/>
  <c r="E839" i="2"/>
  <c r="E580" i="2"/>
  <c r="E865" i="2"/>
  <c r="E603" i="2"/>
  <c r="E682" i="2"/>
  <c r="E854" i="2"/>
  <c r="E697" i="2"/>
  <c r="E760" i="2"/>
  <c r="E569" i="2"/>
  <c r="E645" i="2"/>
  <c r="E2424" i="2"/>
  <c r="E866" i="2"/>
  <c r="E832" i="2"/>
  <c r="E792" i="2"/>
  <c r="E1828" i="2"/>
  <c r="E1842" i="2"/>
  <c r="E1816" i="2"/>
  <c r="E1841" i="2"/>
  <c r="E1832" i="2"/>
  <c r="E1840" i="2"/>
  <c r="E1818" i="2"/>
  <c r="E1824" i="2"/>
  <c r="E1821" i="2"/>
  <c r="E1823" i="2"/>
  <c r="E1813" i="2"/>
  <c r="E1833" i="2"/>
  <c r="E1839" i="2"/>
  <c r="E1835" i="2"/>
  <c r="E1826" i="2"/>
  <c r="E1810" i="2"/>
  <c r="E1845" i="2"/>
  <c r="E1834" i="2"/>
  <c r="E1843" i="2"/>
  <c r="E1829" i="2"/>
  <c r="E1831" i="2"/>
  <c r="E1815" i="2"/>
  <c r="E1838" i="2"/>
  <c r="E1807" i="2"/>
  <c r="E1827" i="2"/>
  <c r="E1837" i="2"/>
  <c r="E1809" i="2"/>
  <c r="E1811" i="2"/>
  <c r="E1836" i="2"/>
  <c r="E1820" i="2"/>
  <c r="E1819" i="2"/>
  <c r="E1817" i="2"/>
  <c r="E1808" i="2"/>
  <c r="E1844" i="2"/>
  <c r="E1822" i="2"/>
  <c r="E1848" i="2"/>
  <c r="E1924" i="2"/>
  <c r="E1892" i="2"/>
  <c r="E1917" i="2"/>
  <c r="E1877" i="2"/>
  <c r="E30" i="2" l="1"/>
  <c r="E36" i="2"/>
  <c r="E2305" i="2"/>
  <c r="E2309" i="2"/>
  <c r="E1876" i="2"/>
  <c r="E1897" i="2"/>
  <c r="E1851" i="2"/>
  <c r="E2302" i="2"/>
  <c r="E24" i="2"/>
  <c r="E2312" i="2"/>
  <c r="E2318" i="2"/>
  <c r="E2" i="2"/>
  <c r="E2300" i="2"/>
  <c r="E2315" i="2"/>
  <c r="E1901" i="2"/>
  <c r="E1893" i="2"/>
  <c r="E1928" i="2"/>
  <c r="E1847" i="2"/>
  <c r="E1891" i="2"/>
  <c r="E1852" i="2"/>
  <c r="E1920" i="2"/>
  <c r="E1889" i="2"/>
  <c r="E1883" i="2"/>
  <c r="E1866" i="2"/>
  <c r="E1918" i="2"/>
  <c r="E1869" i="2"/>
  <c r="E1812" i="2"/>
  <c r="E1850" i="2"/>
  <c r="E1915" i="2"/>
  <c r="E1898" i="2"/>
  <c r="E1858" i="2"/>
  <c r="E1846" i="2"/>
  <c r="E1885" i="2"/>
  <c r="E1879" i="2"/>
  <c r="E1861" i="2"/>
  <c r="E1814" i="2"/>
  <c r="E1830" i="2"/>
  <c r="E1921" i="2"/>
  <c r="E1872" i="2"/>
  <c r="E1857" i="2"/>
  <c r="E1875" i="2"/>
  <c r="E1909" i="2"/>
  <c r="E2324" i="2"/>
  <c r="E2311" i="2"/>
  <c r="E2069" i="2"/>
  <c r="E2090" i="2"/>
  <c r="E2072" i="2"/>
  <c r="E19" i="2"/>
  <c r="E1878" i="2"/>
  <c r="E1881" i="2"/>
  <c r="E1870" i="2"/>
  <c r="E12" i="2"/>
  <c r="E10" i="2"/>
  <c r="E23" i="2"/>
  <c r="E26" i="2"/>
  <c r="E4" i="2"/>
  <c r="E32" i="2"/>
  <c r="E6" i="2"/>
  <c r="E11" i="2"/>
  <c r="E2086" i="2"/>
  <c r="E2091" i="2"/>
  <c r="E2074" i="2"/>
  <c r="E2075" i="2"/>
  <c r="E2060" i="2"/>
  <c r="E1853" i="2"/>
  <c r="E1864" i="2"/>
  <c r="E1899" i="2"/>
  <c r="E3" i="2"/>
  <c r="E18" i="2"/>
  <c r="E31" i="2"/>
  <c r="E13" i="2"/>
  <c r="E8" i="2"/>
  <c r="E14" i="2"/>
  <c r="E2306" i="2"/>
  <c r="E2308" i="2"/>
  <c r="E2310" i="2"/>
  <c r="E2088" i="2"/>
  <c r="E2067" i="2"/>
  <c r="E2078" i="2"/>
  <c r="E2080" i="2"/>
  <c r="E2081" i="2"/>
  <c r="E2058" i="2"/>
  <c r="E2089" i="2"/>
  <c r="E1890" i="2"/>
  <c r="E1927" i="2"/>
  <c r="E1849" i="2"/>
  <c r="E1911" i="2"/>
  <c r="E1902" i="2"/>
  <c r="E1907" i="2"/>
  <c r="E1856" i="2"/>
  <c r="E1926" i="2"/>
  <c r="E1871" i="2"/>
  <c r="E1900" i="2"/>
  <c r="E1874" i="2"/>
  <c r="E1914" i="2"/>
  <c r="E1896" i="2"/>
  <c r="E1860" i="2"/>
  <c r="E1910" i="2"/>
  <c r="E27" i="2"/>
  <c r="E22" i="2"/>
  <c r="E20" i="2"/>
  <c r="E28" i="2"/>
  <c r="E21" i="2"/>
  <c r="E34" i="2"/>
  <c r="E2073" i="2"/>
  <c r="E2061" i="2"/>
  <c r="E2062" i="2"/>
  <c r="E2087" i="2"/>
  <c r="E2057" i="2"/>
  <c r="E2064" i="2"/>
  <c r="E1905" i="2"/>
  <c r="E1887" i="2"/>
  <c r="E1919" i="2"/>
  <c r="E1868" i="2"/>
  <c r="E1862" i="2"/>
  <c r="E1859" i="2"/>
  <c r="E1908" i="2"/>
  <c r="E1884" i="2"/>
  <c r="E1925" i="2"/>
  <c r="E1916" i="2"/>
  <c r="E1873" i="2"/>
  <c r="E1903" i="2"/>
  <c r="E1888" i="2"/>
  <c r="E1855" i="2"/>
  <c r="E1904" i="2"/>
  <c r="E1880" i="2"/>
  <c r="E1886" i="2"/>
  <c r="E1894" i="2"/>
  <c r="E1923" i="2"/>
  <c r="E1913" i="2"/>
  <c r="E1912" i="2"/>
  <c r="E1867" i="2"/>
  <c r="E1906" i="2"/>
  <c r="E1863" i="2"/>
  <c r="E1865" i="2"/>
  <c r="E1854" i="2"/>
  <c r="E1922" i="2"/>
  <c r="E1882" i="2"/>
  <c r="E1895" i="2"/>
  <c r="E1825" i="2"/>
  <c r="E25" i="2"/>
  <c r="E16" i="2"/>
  <c r="E9" i="2"/>
  <c r="E29" i="2"/>
  <c r="E2320" i="2"/>
  <c r="E2304" i="2"/>
  <c r="E2323" i="2"/>
  <c r="E2083" i="2"/>
  <c r="E2085" i="2"/>
  <c r="E2065" i="2"/>
  <c r="E2076" i="2"/>
  <c r="E2059" i="2"/>
  <c r="E2056" i="2"/>
  <c r="E2082" i="2"/>
  <c r="E7" i="2"/>
  <c r="E5" i="2"/>
  <c r="E35" i="2"/>
  <c r="E2314" i="2"/>
  <c r="E2317" i="2"/>
  <c r="E2307" i="2"/>
  <c r="E2316" i="2"/>
  <c r="E2070" i="2"/>
  <c r="E2077" i="2"/>
  <c r="E2063" i="2"/>
</calcChain>
</file>

<file path=xl/sharedStrings.xml><?xml version="1.0" encoding="utf-8"?>
<sst xmlns="http://schemas.openxmlformats.org/spreadsheetml/2006/main" count="33677" uniqueCount="4317">
  <si>
    <t>secretaria</t>
  </si>
  <si>
    <t>unidade</t>
  </si>
  <si>
    <t>funcao</t>
  </si>
  <si>
    <t>subfuncao</t>
  </si>
  <si>
    <t>programa</t>
  </si>
  <si>
    <t>acao</t>
  </si>
  <si>
    <t>natureza</t>
  </si>
  <si>
    <t>Programática_LOA</t>
  </si>
  <si>
    <t>desc_sub</t>
  </si>
  <si>
    <t>processo</t>
  </si>
  <si>
    <t>valor</t>
  </si>
  <si>
    <t>Peça Orçamentária</t>
  </si>
  <si>
    <t>02</t>
  </si>
  <si>
    <t>001</t>
  </si>
  <si>
    <t>04</t>
  </si>
  <si>
    <t>122</t>
  </si>
  <si>
    <t>0001</t>
  </si>
  <si>
    <t>2.011</t>
  </si>
  <si>
    <t>3.3.90.30.00</t>
  </si>
  <si>
    <t>02 - GABINETE DO PREFEITO</t>
  </si>
  <si>
    <t>001-CHEFIA DE GABINETE</t>
  </si>
  <si>
    <t>4-ADMINISTRAÇÃO</t>
  </si>
  <si>
    <t>122-ADMINISTRAÇÃO GERAL</t>
  </si>
  <si>
    <t>0001-Administração e Coordenação Geral​</t>
  </si>
  <si>
    <t xml:space="preserve">2.011-Manutenção de Equipamentos Públicos </t>
  </si>
  <si>
    <t>3.3.90.30.00-MATERIAL DE CONSUMO</t>
  </si>
  <si>
    <t>GÁS ENGARRAFADO</t>
  </si>
  <si>
    <t>LOA</t>
  </si>
  <si>
    <t>MATERIAL DE COPA E COZINHA</t>
  </si>
  <si>
    <t>MATERIAL DE LIMPEZA E PRODUTOS DE HIGIENIZAÇÃO</t>
  </si>
  <si>
    <t>MATERIAL DE EXPEDIENTE</t>
  </si>
  <si>
    <t>3.3.90.39.00</t>
  </si>
  <si>
    <t>3.3.90.39.00-OUTROS SERVIÇOS DE TERCEIROS - PESSOA JURÍDICA</t>
  </si>
  <si>
    <t>MANUTENÇÃO E CONSERVAÇÃO DE BENS IMÓVEIS</t>
  </si>
  <si>
    <t>3.1.71.70.00</t>
  </si>
  <si>
    <t>3.1.71.70.00-RATEIO PELA PARTICIPAÇÃO EM CONSÓRCIO PÚBLICO</t>
  </si>
  <si>
    <t>RATEIO PELA PARTICIPAÇÃO EM CONSÓRCIO PÚBLICO</t>
  </si>
  <si>
    <t>3.3.71.70.00</t>
  </si>
  <si>
    <t>3.3.71.70.00-RATEIO PELA PARTICIPAÇÃO EM CONSÓRCIO PÚBLICO</t>
  </si>
  <si>
    <t>MATERIAL PARA MANUTENÇÃO DE BENS IMÓVEIS</t>
  </si>
  <si>
    <t>4.4.50.52.00</t>
  </si>
  <si>
    <t>4.4.50.52.00-EQUIPAMENTOS E MATERIAL PERMANENTE</t>
  </si>
  <si>
    <t>APARELHOS E UTENSÍLIOS DOMÉSTICOS</t>
  </si>
  <si>
    <t>ASSINATURAS DE PERIÓDICOS E ANUIDADES</t>
  </si>
  <si>
    <t>MANUTENÇÃO E CONSERVAÇÃO DE VEÍCULOS</t>
  </si>
  <si>
    <t>LOCAÇÃO BENS MÓVEIS DE OUTRAS NATUREZAS E INTANGÍVEIS</t>
  </si>
  <si>
    <t>OUTROS MATERIAIS DE CONSUMO</t>
  </si>
  <si>
    <t>012</t>
  </si>
  <si>
    <t>012-FUNDO ESPECIAL DE MANUTENÇÃO DOS BOMBEIROS</t>
  </si>
  <si>
    <t>GÊNEROS DE ALIMENTAÇÃO</t>
  </si>
  <si>
    <t>FORNECIMENTO DE ALIMENTAÇÃO</t>
  </si>
  <si>
    <t>126</t>
  </si>
  <si>
    <t>0002</t>
  </si>
  <si>
    <t>2.007</t>
  </si>
  <si>
    <t>3.3.90.40.00</t>
  </si>
  <si>
    <t>04 - SECRETARIA DE FINANÇAS</t>
  </si>
  <si>
    <t>001-GABINETE DA SECRETARIA DE FINANÇAS</t>
  </si>
  <si>
    <t>126-TECNOLOGIA DA INFORMATIZAÇÃO</t>
  </si>
  <si>
    <t>0002-Governo Inteligente, Aberto e Inovador​</t>
  </si>
  <si>
    <t>2.007-Ampliação e Manutenção de Sistemas de Inteligência, Fiscalização e Tecnologia</t>
  </si>
  <si>
    <t>3.3.90.40.00-SERVIÇOS DE TECNOLOGIA DA INFORMAÇÃO E COMUNICAÇÃO - PESSOA JURÍDICA</t>
  </si>
  <si>
    <t>OUTROS SERVIÇOS DE TECNOLOGIA DA INFORMAÇÃO E COMUNICAÇÃO - PESSOA JURÍDICA</t>
  </si>
  <si>
    <t>961/2024</t>
  </si>
  <si>
    <t>24087/2021</t>
  </si>
  <si>
    <t>9534/2022</t>
  </si>
  <si>
    <t>OUTROS SERVIÇOS DE TERCEIRO PESSOA JURÍDICA - PAGAMENTO ANTECIPADO</t>
  </si>
  <si>
    <t>não tem (certificado digital)</t>
  </si>
  <si>
    <t>MANUTENÇÃO E CONSERVAÇÃO DE BENS MÓVEIS DE OUTRAS NATUREZAS</t>
  </si>
  <si>
    <t>não tem (adiantamentos)</t>
  </si>
  <si>
    <t>3.3.90.93.00</t>
  </si>
  <si>
    <t>3.3.90.93.00-INDENIZAÇÕES E RESTITUIÇÕES</t>
  </si>
  <si>
    <t>RESTITUIÇÕES</t>
  </si>
  <si>
    <t>não tem (ressarcimentos)</t>
  </si>
  <si>
    <t>3.3.90.33.00</t>
  </si>
  <si>
    <t>3.3.90.33.00-PASSAGENS E DESPESAS COM LOCOMOÇÃO</t>
  </si>
  <si>
    <t xml:space="preserve">Ata 77/2025 (viagens) </t>
  </si>
  <si>
    <t>não tem (ar condicionado)</t>
  </si>
  <si>
    <t>não tem (veículos)</t>
  </si>
  <si>
    <t>não tem (bebedouros)</t>
  </si>
  <si>
    <t>não tem (hidraúlica, elétrica...)</t>
  </si>
  <si>
    <t>4.4.90.52.00</t>
  </si>
  <si>
    <t>4.4.90.52.00-EQUIPAMENTOS E MATERIAL PERMANENTE</t>
  </si>
  <si>
    <t>MÁQUINAS, UTENSÍLIOS E EQUIPAMENTOS DIVERSOS</t>
  </si>
  <si>
    <t>Ata 146/2026</t>
  </si>
  <si>
    <t>Ata 66/2025</t>
  </si>
  <si>
    <t>Ata 28 e 48/2026</t>
  </si>
  <si>
    <t>Ata 93/2025</t>
  </si>
  <si>
    <t>MATERIAL ELÉTRICO E ELETRÔNICO</t>
  </si>
  <si>
    <t>Ata 105 e 107/2025</t>
  </si>
  <si>
    <t>MATERIAL PARA MANUTENÇÃO DE VEÍCULOS</t>
  </si>
  <si>
    <t>05</t>
  </si>
  <si>
    <t>05 - PROCURADORIA GERAL DO MUNICÍPIO</t>
  </si>
  <si>
    <t>001-GABINETE DA PROCURADORIA GERAL DO MUNICÍPIO</t>
  </si>
  <si>
    <t>OUTROS SERVIÇOS DE TERCEIROS - PESSOA JURÍDICA</t>
  </si>
  <si>
    <t>Pagamento de Perito</t>
  </si>
  <si>
    <t>Locação de Veículos</t>
  </si>
  <si>
    <t>1221/2025</t>
  </si>
  <si>
    <t>7925/2021</t>
  </si>
  <si>
    <t>1227/2024</t>
  </si>
  <si>
    <t>15401/2015</t>
  </si>
  <si>
    <t>Taxas, Tarifas, Multas e Anuidade</t>
  </si>
  <si>
    <t>Diligências Realizadas por Oficiais de Justiça</t>
  </si>
  <si>
    <t>Despesas com Intimações/Citações de Processos Digitais</t>
  </si>
  <si>
    <t>1272/2026</t>
  </si>
  <si>
    <t>Sistema de Climatização - Materiais</t>
  </si>
  <si>
    <t>MANUTENÇÃO E CONSERVAÇÃO DE MÁQUINAS E EQUIPAMENTOS</t>
  </si>
  <si>
    <t>Sistema de Climatização - Serviços</t>
  </si>
  <si>
    <t>Manutenção de Veículos</t>
  </si>
  <si>
    <t>06</t>
  </si>
  <si>
    <t>06 - SECRETARIA DE ADMINISTRAÇÃO</t>
  </si>
  <si>
    <t>001-GABINETE DA SECRETARIA DE ADMINISTRAÇÃO</t>
  </si>
  <si>
    <t>MATERIAL PARA UTILIZAÇÃO EM GRÁFICA</t>
  </si>
  <si>
    <t>OUTROS MATERIAIS PERMANENTES</t>
  </si>
  <si>
    <t>1780/25</t>
  </si>
  <si>
    <t>LOCAÇÃO DE MÁQUINAS E EQUIPAMENTOS</t>
  </si>
  <si>
    <t>1097/25</t>
  </si>
  <si>
    <t>185/25</t>
  </si>
  <si>
    <t>1284/25</t>
  </si>
  <si>
    <t>3.3.90.92.00</t>
  </si>
  <si>
    <t>3.3.90.92.00-DESPESAS DE EXERCÍCIOS ANTERIORES</t>
  </si>
  <si>
    <t>011</t>
  </si>
  <si>
    <t>128</t>
  </si>
  <si>
    <t>2.003</t>
  </si>
  <si>
    <t>011-FUNDO MUNICIPAL DE VALORIZAÇÃO DOS SERVIDORES</t>
  </si>
  <si>
    <t>128-FORMAÇÃO DE RECURSOS HUMANOS</t>
  </si>
  <si>
    <t>2.003-Qualificação de Servidores e Processos Institucionais</t>
  </si>
  <si>
    <t>07</t>
  </si>
  <si>
    <t>2.006</t>
  </si>
  <si>
    <t>07 - SECRETARIA DE EMPREGO, TRABALHO E RENDA</t>
  </si>
  <si>
    <t>001-GABINETE DA SECRETARIA DE EMPREGO, TRABALHO E RENDA</t>
  </si>
  <si>
    <t xml:space="preserve">2.006-Representações Oficiais </t>
  </si>
  <si>
    <t>3.3.90.36.00</t>
  </si>
  <si>
    <t>3.3.90.36.00-OUTROS SERVIÇOS DE TERCEIROS - PESSOA FÍSICA</t>
  </si>
  <si>
    <t>2.005</t>
  </si>
  <si>
    <t xml:space="preserve">2.005-Promoção de Eventos, Comunicação e Participação Social </t>
  </si>
  <si>
    <t>SERVIÇOS GRÁFICOS E EDITORIAIS</t>
  </si>
  <si>
    <t>11</t>
  </si>
  <si>
    <t>334</t>
  </si>
  <si>
    <t>0017</t>
  </si>
  <si>
    <t>1.002</t>
  </si>
  <si>
    <t>11-TRABALHO</t>
  </si>
  <si>
    <t>334-FOMENTO AO TRABALHO</t>
  </si>
  <si>
    <t>0017-Trabalho, Emprego e Renda​</t>
  </si>
  <si>
    <t>1.002-Reforma e Ampliação de Unidades</t>
  </si>
  <si>
    <t>VEÍCULOS DE TRAÇÃO MECÂNICA</t>
  </si>
  <si>
    <t>333</t>
  </si>
  <si>
    <t>2.027</t>
  </si>
  <si>
    <t>333-EMPREGABILIDADE</t>
  </si>
  <si>
    <t xml:space="preserve">2.027-Intermediação Profissional </t>
  </si>
  <si>
    <t xml:space="preserve">14533/2021 </t>
  </si>
  <si>
    <t>SERVIÇOS DE PUBLICIDADE E PROPAGANDA</t>
  </si>
  <si>
    <t>2.004</t>
  </si>
  <si>
    <t>3.3.50.39.00</t>
  </si>
  <si>
    <t xml:space="preserve">2.004-Qualificação Socioprofissional </t>
  </si>
  <si>
    <t>3.3.50.39.00-OUTROS SERVIÇOS DE TERCEIROS - PESSOA JURÍDICA</t>
  </si>
  <si>
    <t>TERMO DE COLABORAÇÃO</t>
  </si>
  <si>
    <t>2967/2025</t>
  </si>
  <si>
    <t>2.033</t>
  </si>
  <si>
    <t xml:space="preserve">2.033-Fortalecimento da Economia Criativa e Solidária </t>
  </si>
  <si>
    <t>FERRAMENTAS</t>
  </si>
  <si>
    <t>FESTIVIDADES E HOMENAGENS</t>
  </si>
  <si>
    <t>001-FUNDO MUNICIPAL DO TRABALHO</t>
  </si>
  <si>
    <t>2.025</t>
  </si>
  <si>
    <t xml:space="preserve">2.025-Auxílio para Inclusão no Mercado de Trabalho </t>
  </si>
  <si>
    <t>UNIFORMES, TECIDOS E AVIAMENTOS</t>
  </si>
  <si>
    <t>08</t>
  </si>
  <si>
    <t>12</t>
  </si>
  <si>
    <t>08 - SECRETARIA DE EDUCAÇÃO</t>
  </si>
  <si>
    <t>001-GABINETE DA SECRETARIA DA EDUCAÇÃO</t>
  </si>
  <si>
    <t>12-EDUCAÇÃO</t>
  </si>
  <si>
    <t>Manutenção e Reformas de Próprios</t>
  </si>
  <si>
    <t>361</t>
  </si>
  <si>
    <t>0016</t>
  </si>
  <si>
    <t>361-ENSINO FUNDAMENTAL</t>
  </si>
  <si>
    <t>0016-Escola para Todos​</t>
  </si>
  <si>
    <t>365</t>
  </si>
  <si>
    <t>365-EDUCAÇÃO INFANTIL</t>
  </si>
  <si>
    <t>1.003</t>
  </si>
  <si>
    <t>4.4.90.51.00</t>
  </si>
  <si>
    <t>1.003-Implantação de Novas Unidades</t>
  </si>
  <si>
    <t>4.4.90.51.00-OBRAS E INSTALAÇÕES</t>
  </si>
  <si>
    <t>PA 3851/2021 - Escola do Futuro</t>
  </si>
  <si>
    <t>2.001</t>
  </si>
  <si>
    <t>2.001-Remuneração, Benefícios e Encargos</t>
  </si>
  <si>
    <t>RESSARCIMENTO DE DESPESAS COM PESSOAL REQUISITADO</t>
  </si>
  <si>
    <t>PA 1466/2023 e 5551/2023 - Ressarcimento com Pessoa Requisitado - Pref. SP/Estado de SP</t>
  </si>
  <si>
    <t>3.3.90.96.00</t>
  </si>
  <si>
    <t>3.3.90.96.00-RESSARCIMENTO DE DESPESAS DE PESSOAL REQUISITADO</t>
  </si>
  <si>
    <t>OUTROS SERVIÇOS DE PESSOA FÍSICA</t>
  </si>
  <si>
    <t>Papelaria 7 de Setembro</t>
  </si>
  <si>
    <t>Kit Lanche 7 de Setembro</t>
  </si>
  <si>
    <t>Decoração 7 de Setembro</t>
  </si>
  <si>
    <t>3.3.90.31.00</t>
  </si>
  <si>
    <t>3.3.90.31.00-PREMIAÇÕES CULTURAIS, ARTÍSTICAS, CIENTÍFICAS, DESPORTIVAS E OUTRAS</t>
  </si>
  <si>
    <t>PREMIAÇÕES CULTURAIS, ARTÍSTICAS, CIENTÍFICAS, DESPORTIVAS E OUTRAS</t>
  </si>
  <si>
    <t xml:space="preserve">Prêmio Professor Inovador </t>
  </si>
  <si>
    <t>Serviços Gráficos</t>
  </si>
  <si>
    <t>Locação de Equipamentos para Eventos</t>
  </si>
  <si>
    <t>Coffee Break</t>
  </si>
  <si>
    <t>Aquisição de Passagens Aéreas</t>
  </si>
  <si>
    <t>PA 1068/2024 - Gerenciamento de Dados SISTEPLAN</t>
  </si>
  <si>
    <t>2.008</t>
  </si>
  <si>
    <t>2.008-Estágio e Aprendizagem</t>
  </si>
  <si>
    <t>Taxa Administrativa CIEE</t>
  </si>
  <si>
    <t>3.3.90.48.00</t>
  </si>
  <si>
    <t>3.3.90.48.00 - OUTROS AUXILIOS FINANCEIROS A PESSOAS FISICAS</t>
  </si>
  <si>
    <t>Pagamento de Bolsa CIEE</t>
  </si>
  <si>
    <t>364</t>
  </si>
  <si>
    <t>364-ENSINO SUPERIOR</t>
  </si>
  <si>
    <t>Aquisição de Insumos - Polo Chiquinha Gonzaga</t>
  </si>
  <si>
    <t>Materiais de Limpeza e Higiene</t>
  </si>
  <si>
    <t>Materiais de Escritório</t>
  </si>
  <si>
    <t>MATERIAL PARA MANUTENÇÃO DE BENS MÓVEIS</t>
  </si>
  <si>
    <t xml:space="preserve">Aquisição de Insumos </t>
  </si>
  <si>
    <t>Aquisição de Café/Açúcar SED</t>
  </si>
  <si>
    <t>SERVIÇOS DE ENERGIA ELÉTRICA</t>
  </si>
  <si>
    <t>PA 232/2025 - Pagamento de Contas de Energia Elétrica</t>
  </si>
  <si>
    <t>SERVIÇOS DE TELECOMUNICAÇÕES</t>
  </si>
  <si>
    <t>PA 8389/2021 - Pagamento de Contas de Telefonia Fixa</t>
  </si>
  <si>
    <t>Locação de Purificador de Água</t>
  </si>
  <si>
    <t>SERVIÇO DE APOIO ADMINISTRATIVO, TÉCNICO E OPERACIONAL</t>
  </si>
  <si>
    <t>Anuidade (UNDIME)</t>
  </si>
  <si>
    <t>INDENIZAÇÕES</t>
  </si>
  <si>
    <t>Indenização por dados</t>
  </si>
  <si>
    <t>MOBILIÁRIO EM GERAL</t>
  </si>
  <si>
    <t>MATERIAL DE PROTEÇÃO E SEGURANÇA</t>
  </si>
  <si>
    <t>Equipamento de Proteção (EPIs e EPCs)</t>
  </si>
  <si>
    <t>MATERIAL EDUCATIVO E ESPORTIVO</t>
  </si>
  <si>
    <t>Aquisição de Material Esportivo</t>
  </si>
  <si>
    <t>Aquisção de Brinquedos</t>
  </si>
  <si>
    <t>PA 2991/2025 - Locação e Manutenção de Lousas Digitais</t>
  </si>
  <si>
    <t xml:space="preserve">PA 223/2026 - Pragas Urbanas NPL </t>
  </si>
  <si>
    <t>PA 2739/2025 - Limpeza de Caixa D'Água</t>
  </si>
  <si>
    <t>Playground</t>
  </si>
  <si>
    <t>Aquisição de Material Esportivo e Jogos de Mesa (Recreativo)</t>
  </si>
  <si>
    <t>MATERIAL DE CAMA, MESA E BANHO</t>
  </si>
  <si>
    <t>Aquisição de Itens de Cama, Mesa e Banho</t>
  </si>
  <si>
    <t>Aquisição de Colchões</t>
  </si>
  <si>
    <t>Fornecimento Gás Encanado Comgas</t>
  </si>
  <si>
    <t>Pragas Urbanas NPL PA 223/2026</t>
  </si>
  <si>
    <t>Limpeza de Caixa D'Água PA 2739/2025</t>
  </si>
  <si>
    <t>Aquisição de Mobiliários</t>
  </si>
  <si>
    <t>Aquisição de Playground</t>
  </si>
  <si>
    <t>306</t>
  </si>
  <si>
    <t>306-ALIMENTAÇÃO E NUTRIÇÃO</t>
  </si>
  <si>
    <t>Kit Lanche</t>
  </si>
  <si>
    <t>Gás engarrafado de Cozinha por meio de ARP</t>
  </si>
  <si>
    <t>Itens para cozinhas das escolas</t>
  </si>
  <si>
    <t>2.017</t>
  </si>
  <si>
    <t xml:space="preserve">2.017-Suporte ao Aluno </t>
  </si>
  <si>
    <t>PA 6253/2020 - Hortifrut.- ITAUBA-01.110.0000</t>
  </si>
  <si>
    <t>PA 950/2021 - Perecíveis - NS ALIM.-01.110.0000</t>
  </si>
  <si>
    <t>PA 8601/2021 - Estocáveis - NUTRIV-01.110.0000</t>
  </si>
  <si>
    <t>PA 8601/2021 - Estocáveis -GRANFOOD-01.110.0000</t>
  </si>
  <si>
    <t>PA 126/2024 - Pão e Bolo - PAM-01.110.0000</t>
  </si>
  <si>
    <t>PA 126/2024 - Pão e Bolo - DA AMORA-01.110.0000</t>
  </si>
  <si>
    <t>PA 6253/2020 -Hortifrut.- ITAUBA-05.200.0003</t>
  </si>
  <si>
    <t>PA 950/2021 - Perecíveis - NS ALIM.-05.200.0003</t>
  </si>
  <si>
    <t>PA 9601/2021 - Estocáveis - NUTRIV-05.200.0003</t>
  </si>
  <si>
    <t>PA 8601/2021 - Estocáveis -GRANFOOD-05.200.0003</t>
  </si>
  <si>
    <t>PA 126/2024 - Pão e Bolo - PAM-05.200.0003</t>
  </si>
  <si>
    <t>PA 126/2024 - Pão e Bolo - DA AMORA-05.200.0003</t>
  </si>
  <si>
    <t>PA 25379/2025 - AGR.FAM.- 3 EMPR.-05.200.0002</t>
  </si>
  <si>
    <t>3.3.90.32.00</t>
  </si>
  <si>
    <t>3.3.90.32.00-MATERIAL, BEM OU SERVIÇO PARA DISTRIBUIÇÃO GRATUITA</t>
  </si>
  <si>
    <t>OUTROS MATERIAIS DE DISTRIBUIÇÃO GRATUITA</t>
  </si>
  <si>
    <t>PA 2540/2024 - ESTOJO - 01.110.0000</t>
  </si>
  <si>
    <t>PA 2540/2024 - MATERIAL ESC. 01.200.0000</t>
  </si>
  <si>
    <t>PA 22021/2021 - UNIFORME ESC. 01.110.0000</t>
  </si>
  <si>
    <t>PA 22021/2021 - TENIS 01.110.0000</t>
  </si>
  <si>
    <t>2.018</t>
  </si>
  <si>
    <t>2.018-Conectividade e Tecnologia na Educação</t>
  </si>
  <si>
    <t xml:space="preserve">PA 9074/2021 - Computadores Virtuais - ARLEQUIM </t>
  </si>
  <si>
    <t>PA 5008/2021 - Rede Wirelles - TELETEX</t>
  </si>
  <si>
    <t>PA 17682/2021 - Kit Conectividade (serviços) - FAZ EDUCAÇÃO</t>
  </si>
  <si>
    <t>PA 1427/2026 - Inspeção e Segurança - LGPD</t>
  </si>
  <si>
    <t>PA 1340/2026 - Tecnologia Assistiva NPL</t>
  </si>
  <si>
    <t xml:space="preserve">PA 17682/2021 - Kit Conectividade -MULTI LASER </t>
  </si>
  <si>
    <t>EQUIPAMENTOS PARA ÁUDIO, VÍDEO E FOTO</t>
  </si>
  <si>
    <t>PA 5008/2021- Rede Wirelles - TELETEX</t>
  </si>
  <si>
    <t>366</t>
  </si>
  <si>
    <t>2.019</t>
  </si>
  <si>
    <t>366-EDUCAÇÃO DE JOVENS E ADULTOS</t>
  </si>
  <si>
    <t>2.019-Ações Pedagógicas Complementares</t>
  </si>
  <si>
    <t>EJAPRO</t>
  </si>
  <si>
    <t>MATERIAL EDUCACIONAL E CULTURAL</t>
  </si>
  <si>
    <t>Distribuição de Livros</t>
  </si>
  <si>
    <t>367</t>
  </si>
  <si>
    <t>367-EDUCAÇÃO ESPECIAL</t>
  </si>
  <si>
    <t>SERVIÇOS DE APOIO AO ENSINO</t>
  </si>
  <si>
    <t>PA 1273/2026 - Equoterapia</t>
  </si>
  <si>
    <t>PA 8404/2023 - Hidroterapia</t>
  </si>
  <si>
    <t>PA 2965/2025 - Educação em Tempo Integral -Planeta Educ.</t>
  </si>
  <si>
    <t>PA 11604/2007 - Mova Entidades</t>
  </si>
  <si>
    <t>PA 11604/2007 - Mova Educadores e Coordenadores</t>
  </si>
  <si>
    <t>2.020</t>
  </si>
  <si>
    <t xml:space="preserve">2.020-Transporte de Alunos </t>
  </si>
  <si>
    <t>FRETES E TRANSPORTES DE ENCOMENDAS</t>
  </si>
  <si>
    <t xml:space="preserve">PA 499/2024 - TEG - Transporte Escolar Gratuito </t>
  </si>
  <si>
    <t>Transporte Extraclasse por meio de ARP</t>
  </si>
  <si>
    <t>2.022</t>
  </si>
  <si>
    <t>2.022-Parcerias para Criação de Vagas</t>
  </si>
  <si>
    <t>PA 23694/2022 - Chamamento Vagas em Creche - OSC</t>
  </si>
  <si>
    <t>4.4.50.39.00</t>
  </si>
  <si>
    <t>4.4.50.39.00-OUTROS SERVIÇOS DE TERCEIROS - PESSOA JURÍDICA</t>
  </si>
  <si>
    <t>2.023</t>
  </si>
  <si>
    <t xml:space="preserve">2.023-Gestão Compartilhada de Equipamentos Públicos </t>
  </si>
  <si>
    <t>PA 1418/2026 - Chamamento Ceus</t>
  </si>
  <si>
    <t>09</t>
  </si>
  <si>
    <t>09 - SECRETARIA DA SAÚDE</t>
  </si>
  <si>
    <t>001-GABINETE DA SECRETARIA DA SAÚDE</t>
  </si>
  <si>
    <t>3.356/2024</t>
  </si>
  <si>
    <t>131</t>
  </si>
  <si>
    <t>131-COMUNICAÇÃO SOCIAL</t>
  </si>
  <si>
    <t>Despesas de Pronto Pagamento</t>
  </si>
  <si>
    <t>KIT LANCHE</t>
  </si>
  <si>
    <t>COFFEE BREAK</t>
  </si>
  <si>
    <t>SERVIÇOS GRÁFICOS</t>
  </si>
  <si>
    <t>Cursos e Capacitação</t>
  </si>
  <si>
    <t>010</t>
  </si>
  <si>
    <t>10</t>
  </si>
  <si>
    <t>302</t>
  </si>
  <si>
    <t>0015</t>
  </si>
  <si>
    <t>3.3.50.85.00</t>
  </si>
  <si>
    <t>010-DIRETORIA GERAL DE URGÊNCIA E EMERGÊNCIA</t>
  </si>
  <si>
    <t>10-SAÚDE</t>
  </si>
  <si>
    <t>302-ASSISTÊNCIA HOSPITALAR E AMBULATORIAL</t>
  </si>
  <si>
    <t>0015-Atenção e Cuidado em Saúde​</t>
  </si>
  <si>
    <t>3.3.50.85.00-CONTRATO DE GESTÃO</t>
  </si>
  <si>
    <t>CONTRATO DE GESTÃO</t>
  </si>
  <si>
    <t>19.492/2020</t>
  </si>
  <si>
    <t>160/2026</t>
  </si>
  <si>
    <t>19.490/2020</t>
  </si>
  <si>
    <t>6.180/2023</t>
  </si>
  <si>
    <t>273/2024</t>
  </si>
  <si>
    <t>009</t>
  </si>
  <si>
    <t>009-DIRETORIA GERAL DA ATENÇÃO SECUNDÁRIA EM SAÚDE</t>
  </si>
  <si>
    <t>16.321/2022</t>
  </si>
  <si>
    <t>2.013</t>
  </si>
  <si>
    <t xml:space="preserve">2.013-Manutenção de Equipamentos Públicos - Atenção Especializada </t>
  </si>
  <si>
    <t>CONVÊNIO</t>
  </si>
  <si>
    <t>2.434/2022</t>
  </si>
  <si>
    <t>103/2025</t>
  </si>
  <si>
    <t>21.856/2021</t>
  </si>
  <si>
    <t>1.229/2024</t>
  </si>
  <si>
    <t>1.231/2024</t>
  </si>
  <si>
    <t>006</t>
  </si>
  <si>
    <t>2.014</t>
  </si>
  <si>
    <t>006-HOSPITAL E MATERNIDADE MUNICIPAL AMADOR AGUIAR</t>
  </si>
  <si>
    <t xml:space="preserve">2.014-Manutenção de Equipamentos Públicos - Atenção Hospitalar e Urgência e Emergência </t>
  </si>
  <si>
    <t>65/2024</t>
  </si>
  <si>
    <t>2.782/2025</t>
  </si>
  <si>
    <t>008</t>
  </si>
  <si>
    <t>301</t>
  </si>
  <si>
    <t>2.012</t>
  </si>
  <si>
    <t>008-DIRETORIA GERAL DE ATENÇÃO PRIMÁRIA EM SAÚDE</t>
  </si>
  <si>
    <t>301-ATENÇÃO BÁSICA</t>
  </si>
  <si>
    <t xml:space="preserve">2.012-Manutenção de Equipamentos Públicos - Atenção Primária </t>
  </si>
  <si>
    <t>10.553/2022</t>
  </si>
  <si>
    <t>015</t>
  </si>
  <si>
    <t>0014</t>
  </si>
  <si>
    <t>015-DIRETORIA GERAL DA GESTÃO DE SAÚDE</t>
  </si>
  <si>
    <t>0014-Gestão em Saúde​</t>
  </si>
  <si>
    <t>12.336/2023</t>
  </si>
  <si>
    <t>SERVIÇOS DE SOCORRO E SALVAMENTO</t>
  </si>
  <si>
    <t>968/2021</t>
  </si>
  <si>
    <t>21.732/2022</t>
  </si>
  <si>
    <t>793/2025</t>
  </si>
  <si>
    <t>6.379/2021</t>
  </si>
  <si>
    <t>6.989/2021</t>
  </si>
  <si>
    <t>303</t>
  </si>
  <si>
    <t>012-DEPARTAMENTO DE ASSISTÊNCIA FARMACÊUTICA</t>
  </si>
  <si>
    <t>303-SUPORTE PROFILÁTICO E TERAPÊUTICO</t>
  </si>
  <si>
    <t>6.377/2021</t>
  </si>
  <si>
    <t>8.418/2023</t>
  </si>
  <si>
    <t>1.401/2025</t>
  </si>
  <si>
    <t>9.207/2021</t>
  </si>
  <si>
    <t>760/2024</t>
  </si>
  <si>
    <t>SEGUROS EM GERAL</t>
  </si>
  <si>
    <t>1.208/2025</t>
  </si>
  <si>
    <t>MATERIAL DE LIMPEZA</t>
  </si>
  <si>
    <t>MATERIAL DE COPA COZINHA</t>
  </si>
  <si>
    <t>MATERIAL EXPEDIENTE</t>
  </si>
  <si>
    <t>TFD</t>
  </si>
  <si>
    <t>HEMOCOMPONENTES</t>
  </si>
  <si>
    <t>MANUT VEÍCULOS</t>
  </si>
  <si>
    <t>VANS ADAPTADAS</t>
  </si>
  <si>
    <t xml:space="preserve">Manutenção Predial - Materiais </t>
  </si>
  <si>
    <t>Manutenção Predial - Serviços</t>
  </si>
  <si>
    <t>Cesta Básica - Programa de Tuberculose</t>
  </si>
  <si>
    <t>2.971/2025</t>
  </si>
  <si>
    <t/>
  </si>
  <si>
    <t>PMM - 3.3.90.48</t>
  </si>
  <si>
    <t>MATERIAL ODONTOLÓGICO</t>
  </si>
  <si>
    <t>Insumos Odontológicos</t>
  </si>
  <si>
    <t>2.026</t>
  </si>
  <si>
    <t>2.026-Residências e Internações Compulsórias</t>
  </si>
  <si>
    <t>SERVIÇOS DECORRENTES DE DECISÃO JUDICIAL</t>
  </si>
  <si>
    <t>INTERNAÇÕES</t>
  </si>
  <si>
    <t>MATERIAL FARMACOLÓGICO</t>
  </si>
  <si>
    <t>Tiras de Glicemia</t>
  </si>
  <si>
    <t>Equipos para Bomba de Infusão</t>
  </si>
  <si>
    <t>Fios Cirúrgicos</t>
  </si>
  <si>
    <t>Medicamentos Psicotrópicos</t>
  </si>
  <si>
    <t>Aquisição de Medicamentos para Distribuição Gratuita</t>
  </si>
  <si>
    <t>MATERIAL HOSPITALAR</t>
  </si>
  <si>
    <t>Aquisição de Insumos e Materiais Hospitalares</t>
  </si>
  <si>
    <t>Medicamentos Dose Certa</t>
  </si>
  <si>
    <t>Ácido Peracético</t>
  </si>
  <si>
    <t>Próteses Dentárias</t>
  </si>
  <si>
    <t>Fórmula Láctea</t>
  </si>
  <si>
    <t>Uniformes</t>
  </si>
  <si>
    <t xml:space="preserve">Locação de Equipamentos Hospitalares - Ordem Judicial </t>
  </si>
  <si>
    <t>MEDICAMENTOS PARA USO DOMICILIAR</t>
  </si>
  <si>
    <t>Medicamentos Manipulados</t>
  </si>
  <si>
    <t>MEDICAMENTOS FORNECIDOS POR DECISÃO JUDICIAL</t>
  </si>
  <si>
    <t>Aquisição de Medicamentos - Ordem Judicial</t>
  </si>
  <si>
    <t>Manutenção de Geradores</t>
  </si>
  <si>
    <t xml:space="preserve">Mobiliários </t>
  </si>
  <si>
    <t>Equipamentos</t>
  </si>
  <si>
    <t>4.4.90.51</t>
  </si>
  <si>
    <t>Despesas com Viagens</t>
  </si>
  <si>
    <t>MATERIAL DESTINADO À ASSISTÊNCIA SOCIAL</t>
  </si>
  <si>
    <t>Acordo MP - Necessidades Eventuais</t>
  </si>
  <si>
    <t>Oxigenoterapia Domiciliar</t>
  </si>
  <si>
    <t>SERVIÇOS DE GÁS</t>
  </si>
  <si>
    <t xml:space="preserve">Sistema de Climatização </t>
  </si>
  <si>
    <t>EPI e EPC</t>
  </si>
  <si>
    <t>Insumos para Zoonoses</t>
  </si>
  <si>
    <t>SERVIÇO MÉDICO-HOSPITALAR, ODONTOLÓGICO E LABORATORIAIS</t>
  </si>
  <si>
    <t>G.A  - LOTE 04 - DAE</t>
  </si>
  <si>
    <t>G.A - LOTE 01 - DGAPS</t>
  </si>
  <si>
    <t>G.A - LOTE 05 - SAÚDE MENTAL</t>
  </si>
  <si>
    <t>NAJA -HMAA</t>
  </si>
  <si>
    <t>NAJA - LOTE 03 - DGUE</t>
  </si>
  <si>
    <t>OUTRAS DESPESAS DE EXERCÍCIOS ANTERIORES</t>
  </si>
  <si>
    <t>121</t>
  </si>
  <si>
    <t>0004</t>
  </si>
  <si>
    <t>1.001</t>
  </si>
  <si>
    <t>11 - SECRETARIA DE SERVIÇOS E OBRAS</t>
  </si>
  <si>
    <t>001-GABINETE DA SECRETARIA DE SERVIÇOS E OBRAS</t>
  </si>
  <si>
    <t>121-PLANEJAMENTO E ORÇAMENTO</t>
  </si>
  <si>
    <t xml:space="preserve">0004-Planejamento e Gestão de Políticas Públicas </t>
  </si>
  <si>
    <t xml:space="preserve">1.001-Estudos, Pesquisas, Planos e Projetos </t>
  </si>
  <si>
    <t>2358/2025-ATA</t>
  </si>
  <si>
    <t>581/2025-3541/2024</t>
  </si>
  <si>
    <t>25961/2022</t>
  </si>
  <si>
    <t>2234/2024</t>
  </si>
  <si>
    <t>3541/2024</t>
  </si>
  <si>
    <t>581/2025</t>
  </si>
  <si>
    <t>850/2024</t>
  </si>
  <si>
    <t>0011</t>
  </si>
  <si>
    <t>0011-Zeladoria Urbana e Cuidados com a Cidade​</t>
  </si>
  <si>
    <t>DE REFORMA DE PRAÇA -1999/24</t>
  </si>
  <si>
    <t>OBRAS EM ANDAMENTO</t>
  </si>
  <si>
    <t>013/2026-EXPANSÃO VERTICALIZAÇÃO</t>
  </si>
  <si>
    <t>2681/2025</t>
  </si>
  <si>
    <t>257/2024 -CONSTRUÇÃO</t>
  </si>
  <si>
    <t>725/2025</t>
  </si>
  <si>
    <t>7373/203-1142/2026 -ATA DE PROPRIOS</t>
  </si>
  <si>
    <t>LIMPEZA E CONSERVAÇÃO</t>
  </si>
  <si>
    <t>2487/2021-LOGRADOUROS</t>
  </si>
  <si>
    <t>SERVIÇOS BANCÁRIOS</t>
  </si>
  <si>
    <t>MÁQUINAS, FERRAMENTAS E UTENSÍLIOS DE OFICINA</t>
  </si>
  <si>
    <t>3654/2024</t>
  </si>
  <si>
    <t>1301/2025</t>
  </si>
  <si>
    <t>3001/2026- Operação da Verticalização</t>
  </si>
  <si>
    <t>452</t>
  </si>
  <si>
    <t>2.034</t>
  </si>
  <si>
    <t>452-SERVIÇOS URBNOS</t>
  </si>
  <si>
    <t>2.034-Manutenção da Infraestrutura Viária</t>
  </si>
  <si>
    <t>1085/2026-LOCAÇÃO DE MAQUINAS</t>
  </si>
  <si>
    <t>1379/2025-258/2024-3370/2024 MATERIAIS CONTRUÇÃO-MADEIRAS-TINTA -MANUFATURADO DE CONCRETO DENTRE OUTROS</t>
  </si>
  <si>
    <t>014</t>
  </si>
  <si>
    <t>014-FUNDO MUNICIPAL DE MANUTENÇÃO DE VELÓRIOS</t>
  </si>
  <si>
    <t>2233/2024-</t>
  </si>
  <si>
    <t>8504/2021-MANUNTENÇÃO CEMITERIOS</t>
  </si>
  <si>
    <t>111/2024</t>
  </si>
  <si>
    <t>22682/2021</t>
  </si>
  <si>
    <t>CIELO</t>
  </si>
  <si>
    <t>1242/2026-PARAMENTOS GIRASSOIS</t>
  </si>
  <si>
    <t>4.5.90.62.00</t>
  </si>
  <si>
    <t>4.5.90.62.00-AQUISIÇÃO DE PRODUTOS PARA REVENDA</t>
  </si>
  <si>
    <t>AQUISIÇÃO DE PRODUTOS PARA REVENDA</t>
  </si>
  <si>
    <t>2118/2025-2119/2026-URNAS</t>
  </si>
  <si>
    <t>DIVERSAS INDENIZAÇÕES E RESTITUIÇÕES</t>
  </si>
  <si>
    <t>15</t>
  </si>
  <si>
    <t>451</t>
  </si>
  <si>
    <t>0013</t>
  </si>
  <si>
    <t>1.006</t>
  </si>
  <si>
    <t>15-URBANISMO</t>
  </si>
  <si>
    <t>451-INFRA-ESTRUTURA URBANA</t>
  </si>
  <si>
    <t>0013-Mobilidade Urbana e Infraestrutura Viária​</t>
  </si>
  <si>
    <t>1.006-Desenvolvimento da Infraestrutura Viária</t>
  </si>
  <si>
    <t>2757/2025-REACPE</t>
  </si>
  <si>
    <t>2.038</t>
  </si>
  <si>
    <t>452-SERVIÇOS URBANOS</t>
  </si>
  <si>
    <t xml:space="preserve">2.038-Iluminação Pública </t>
  </si>
  <si>
    <t>141/2025 -MATERIAIS ELETRICOS</t>
  </si>
  <si>
    <t>5427/2020-ALQUES</t>
  </si>
  <si>
    <t>232/2025-CONTAS DE CONSUMO</t>
  </si>
  <si>
    <t>3017039/2026-CIP</t>
  </si>
  <si>
    <t>899/2025-LOCAÇÃO DE VEICULOS</t>
  </si>
  <si>
    <t>CONCRETO USINADO</t>
  </si>
  <si>
    <t>1510/2026-TAPA BURACO</t>
  </si>
  <si>
    <t>7603/2022- MAURO LINDENBERG</t>
  </si>
  <si>
    <t>2269/2022-RECAPE TRECHO 3</t>
  </si>
  <si>
    <t>13011/20213-SANTA RITA</t>
  </si>
  <si>
    <t>17</t>
  </si>
  <si>
    <t>0007</t>
  </si>
  <si>
    <t>2.039</t>
  </si>
  <si>
    <t>17-SANEAMENTO</t>
  </si>
  <si>
    <t>0007-Meio Ambiente, Sustentabilidade e Bem-Estar Animal​</t>
  </si>
  <si>
    <t xml:space="preserve">2.039-Limpeza Urbana e Gestão de Resíduos Sólidos </t>
  </si>
  <si>
    <t>28282/2006-LIXO</t>
  </si>
  <si>
    <t>18</t>
  </si>
  <si>
    <t>544</t>
  </si>
  <si>
    <t>0005</t>
  </si>
  <si>
    <t>2.035</t>
  </si>
  <si>
    <t>18-GESTÃO AMBIENTAL</t>
  </si>
  <si>
    <t>544-RECURSOS HÍDRICOS</t>
  </si>
  <si>
    <t>0005-Resiliência Urbana​</t>
  </si>
  <si>
    <t xml:space="preserve">2.035-Manutenção e Serviços de Drenagem Urbana </t>
  </si>
  <si>
    <t>1808/2024- ATA MASSA ASFALTICA</t>
  </si>
  <si>
    <t>543</t>
  </si>
  <si>
    <t>2.037</t>
  </si>
  <si>
    <t>543-RECUPERAÇÃO DE ÁREAS DEGRADADAS</t>
  </si>
  <si>
    <t>2.037-Ampliação e Manutenção de Áreas Verdes</t>
  </si>
  <si>
    <t>1114/2024-AREAS VERDES</t>
  </si>
  <si>
    <t>1915/2025-ECOPONTO ROCHIDALE</t>
  </si>
  <si>
    <t>2486/2021-GALERIAS</t>
  </si>
  <si>
    <t>1808/2024</t>
  </si>
  <si>
    <t>2.032</t>
  </si>
  <si>
    <t>12 - SECRETARIA DE ESPORTE, RECREAÇÃO E LAZER</t>
  </si>
  <si>
    <t>001-GABINETE DA SECRETARIA DE ESPORTE, RECREAÇÃO E LAZER</t>
  </si>
  <si>
    <t xml:space="preserve">2.032-Iniciação Esportiva </t>
  </si>
  <si>
    <t>TERMO DE FOMENTO</t>
  </si>
  <si>
    <t>MATERIAL DE PROCESSAMENTO DE DADOS</t>
  </si>
  <si>
    <t>MATERIAL QUÍMICO</t>
  </si>
  <si>
    <t>811</t>
  </si>
  <si>
    <t>0010</t>
  </si>
  <si>
    <t>2.030</t>
  </si>
  <si>
    <t>811-DESPORTO DE RENDIMENTO</t>
  </si>
  <si>
    <t>0010-Esporte, Lazer e Bem-Estar​</t>
  </si>
  <si>
    <t>2.030-Apoio ao Esporte de Alto Rendimento</t>
  </si>
  <si>
    <t>OUTRAS DESPESAS COM LOCOMOÇÃO</t>
  </si>
  <si>
    <t>PASSAGENS PARA O PAÍS</t>
  </si>
  <si>
    <t>PASSAGENS PARA O EXTERIOR</t>
  </si>
  <si>
    <t>RESSARCIMENTO DE PASSAGENS E DESPESAS COM LOCOMOÇÃO</t>
  </si>
  <si>
    <t>2.028</t>
  </si>
  <si>
    <t>2.028-Disseminação de Atividades Culturais e Esportivas Decentralizadas</t>
  </si>
  <si>
    <t>27</t>
  </si>
  <si>
    <t>2.031</t>
  </si>
  <si>
    <t>27-DESPORTO E LAZER</t>
  </si>
  <si>
    <t xml:space="preserve">2.031-Esporte Amador </t>
  </si>
  <si>
    <t>812</t>
  </si>
  <si>
    <t>812-DESPORTO COMUNITÁRIO</t>
  </si>
  <si>
    <t>SERVIÇOS TÉCNICOS PROFISSIONAIS</t>
  </si>
  <si>
    <t>HOSPEDAGENS</t>
  </si>
  <si>
    <t>13</t>
  </si>
  <si>
    <t>13 - SECRETARIA DE HABITAÇÃO</t>
  </si>
  <si>
    <t>001-GABINETE DA SECRETARIA DE HABITAÇÃO</t>
  </si>
  <si>
    <t>CADASTRAR SEM NATUREZA DE DESPESAS - 3.3.90.33.01 -Passagens para o País. - SEM PA AUTUADO</t>
  </si>
  <si>
    <t>SEM PA AUTUADO</t>
  </si>
  <si>
    <t>387/2026</t>
  </si>
  <si>
    <t>2104/2025</t>
  </si>
  <si>
    <t>262/2026, 903/2026, e 412/2026</t>
  </si>
  <si>
    <t>262/2026 e 412/2026</t>
  </si>
  <si>
    <t>1095/2026</t>
  </si>
  <si>
    <t>368/2026</t>
  </si>
  <si>
    <t>1322/2026</t>
  </si>
  <si>
    <t>366/2026</t>
  </si>
  <si>
    <t>MATERIAL DE SINALIZAÇÃO VISUAL E AFINS</t>
  </si>
  <si>
    <t>1378/2026 e 2569/2026</t>
  </si>
  <si>
    <t xml:space="preserve">326/2025 e 393/2026 </t>
  </si>
  <si>
    <t>147/2025</t>
  </si>
  <si>
    <t>385/2026</t>
  </si>
  <si>
    <t>CONFECÇÃO DE UNIFORMES, BANDEIRAS E FLÂMULAS</t>
  </si>
  <si>
    <t>-</t>
  </si>
  <si>
    <t>125/2025</t>
  </si>
  <si>
    <t>MULTAS INDEDUTÍVEIS - EMPRESAS</t>
  </si>
  <si>
    <t>SERVIÇO DE SELEÇÃO E TREINAMENTO</t>
  </si>
  <si>
    <t>825/2025</t>
  </si>
  <si>
    <t>1293/2026</t>
  </si>
  <si>
    <t>MÁQUINAS, INSTALAÇÕES E UTENSÍLIOS DE ESCRITÓRIO</t>
  </si>
  <si>
    <t>008-FUNDO MUNICIPAL DE POLÍTICA URBANA E HABITACIONAL</t>
  </si>
  <si>
    <t>1415/2026</t>
  </si>
  <si>
    <t>1.009</t>
  </si>
  <si>
    <t xml:space="preserve">1.009-Urbanização de Favelas e Comunidades </t>
  </si>
  <si>
    <t>1905/2025 - Arco Iris</t>
  </si>
  <si>
    <t>2644/2025 - Castanha do Pará</t>
  </si>
  <si>
    <t>427/2026 - Herbert de Souza</t>
  </si>
  <si>
    <t>426/2026 - Rua da Mina</t>
  </si>
  <si>
    <t>16</t>
  </si>
  <si>
    <t>482</t>
  </si>
  <si>
    <t>0012</t>
  </si>
  <si>
    <t>1.010</t>
  </si>
  <si>
    <t>16-HABITAÇÃO</t>
  </si>
  <si>
    <t>482-HABITAÇÃO URBANA</t>
  </si>
  <si>
    <t>0012-Moradia Digna​</t>
  </si>
  <si>
    <t>1.010-Requalificação de Favelas e Comunidades</t>
  </si>
  <si>
    <t>1205/2026 - Manutenção Continuada de Assentamentos Precários</t>
  </si>
  <si>
    <t>1.014</t>
  </si>
  <si>
    <t>1.014-Recuperação de Conjuntos Habitacionais</t>
  </si>
  <si>
    <t>1250/2026 - Recuperação  Estrutural de Unidades Habitacionais BK - Veloso</t>
  </si>
  <si>
    <t>21544/2021 - Morro do Sabão</t>
  </si>
  <si>
    <t>1.011</t>
  </si>
  <si>
    <t xml:space="preserve">1.011-Regularização Fundiária de Assentamentos Precários, Loteamentos e Conjuntos Habitacionais </t>
  </si>
  <si>
    <t>1268/2025 - Regularização Chápeu de Couro/CN, Bonança, P1, P2, e P3 - Rochdale.</t>
  </si>
  <si>
    <t>1094/2026 - Regularização -  BK e Vicentina</t>
  </si>
  <si>
    <t>14</t>
  </si>
  <si>
    <t>245</t>
  </si>
  <si>
    <t>14 - SECRETARIA DE ASSISTÊNCIA SOCIAL</t>
  </si>
  <si>
    <t>001-GABINETE DA SECRETARIA DE ASSISTÊNCIA SOCIAL</t>
  </si>
  <si>
    <t>245-SERVIÇOS SOCIOASSISTENCIAIS</t>
  </si>
  <si>
    <t>Falta Elemento 35</t>
  </si>
  <si>
    <t>657/2024</t>
  </si>
  <si>
    <t>9560/2021</t>
  </si>
  <si>
    <t>005</t>
  </si>
  <si>
    <t>005-FUNDO MUNICIPAL DE ASSISTÊNCIA SOCIAL</t>
  </si>
  <si>
    <t>1049/2026 -Vinculados</t>
  </si>
  <si>
    <t>Atas Gráficos - Falta Sub Elemento</t>
  </si>
  <si>
    <t>ATA Kit Lanche Gabinete - RP R$ 50.000,00 + DTR IGD - R$ 60.000,00</t>
  </si>
  <si>
    <t>PASSAGENS/VIAGENS - Falta Elemento 33 e subelementos</t>
  </si>
  <si>
    <t>Não tem PA aberto</t>
  </si>
  <si>
    <t>ATA Serviços Gráficos -Falta Subelemento</t>
  </si>
  <si>
    <t>ATADE GÁS</t>
  </si>
  <si>
    <t>ATAS MATL LIMPEZA -HIGIENE E DESCARTAVESI</t>
  </si>
  <si>
    <t>ATA Matl Escritório</t>
  </si>
  <si>
    <t>ATAS Café, Chá Adoçante</t>
  </si>
  <si>
    <t>Manutenção Ar Condicionado + Reforma Banheiros</t>
  </si>
  <si>
    <t>SUbelementos incorretos Ressarcimento Servidores</t>
  </si>
  <si>
    <t>Subelemento incorreto - MOBILIÁRIO</t>
  </si>
  <si>
    <t>1049/2026 - Sede RP</t>
  </si>
  <si>
    <t>COFFEE - FALTA SUB 41</t>
  </si>
  <si>
    <t>246</t>
  </si>
  <si>
    <t>0019</t>
  </si>
  <si>
    <t>2.024</t>
  </si>
  <si>
    <t>8-ASSISTÊNCIA SOCIAL</t>
  </si>
  <si>
    <t>246-SEGURANÇA DE RENDA</t>
  </si>
  <si>
    <t>0019-Segurança Alimentar e Combate à Pobreza​</t>
  </si>
  <si>
    <t>2.024-Distribuição de Alimentos e Benefícios para as Famílias em Situação de Vulnerabilidade</t>
  </si>
  <si>
    <t>25075/2021-Falta elemento 48</t>
  </si>
  <si>
    <t>0018</t>
  </si>
  <si>
    <t>2.015</t>
  </si>
  <si>
    <t>0018-Proteção Social e Garantia de Direitos​</t>
  </si>
  <si>
    <t xml:space="preserve">2.015-Manutenção de Equipamentos Públicos - Proteção Básica </t>
  </si>
  <si>
    <t>Diversos - Ver Relação- FALTA SUBELEMENTO</t>
  </si>
  <si>
    <t>2.016</t>
  </si>
  <si>
    <t xml:space="preserve">2.016-Manutenção de Equipamentos Públicos - Proteção Especial </t>
  </si>
  <si>
    <t>Diversos - Ver Relação - FALTA SUBELEMENTO</t>
  </si>
  <si>
    <t>948/2026 - Credenciamento</t>
  </si>
  <si>
    <t>20967/2023</t>
  </si>
  <si>
    <t>4.4.71.70.00</t>
  </si>
  <si>
    <t>4.4.71.70.00-RATEIO PELA PARTICIPAÇÃO EM CONSÓRCIO PÚBLICO</t>
  </si>
  <si>
    <t>Diversos - Ver Relação - Acolhimento por Decisão Judicial - Falta Subelemento</t>
  </si>
  <si>
    <t>Atas COFFE BREAK- Falta Sub Elemento</t>
  </si>
  <si>
    <t>Ata de Kit Lanche</t>
  </si>
  <si>
    <t>14533/2021 - WORKS</t>
  </si>
  <si>
    <t>007</t>
  </si>
  <si>
    <t>007-DEPARTAMENTO DE PROTEÇÃO SOCIAL BÁSICA</t>
  </si>
  <si>
    <t>ATAS - IGD-PBF</t>
  </si>
  <si>
    <t>ATAS MATL LIMPEZA -HIGIENE E DESCARTAVESI - IGD-PBF</t>
  </si>
  <si>
    <t>ATAS - ESCRITÓRIO - IGD-´PBF</t>
  </si>
  <si>
    <t>NOVA CONTRATAÇÃO  IGD-PBF</t>
  </si>
  <si>
    <t>ATAS MATERIAL ELETRICO / HIDÁULICO / DE CONSTRUÇÃO / PINTURA ...- IGD-PBF</t>
  </si>
  <si>
    <t>Instal. e Manut. Ar Condicionado] - IGD-PBF</t>
  </si>
  <si>
    <t>Diversos ATAS - Ver relação</t>
  </si>
  <si>
    <t>ATAS MATL ESCRITÓRIO</t>
  </si>
  <si>
    <t>ATAS CAMA MESA BANHO</t>
  </si>
  <si>
    <t>ATAS VER RELAÇÃO</t>
  </si>
  <si>
    <t>Passeio Idosos Semestral</t>
  </si>
  <si>
    <t>ATA PA 1189/2024Loc. de ônibus - Events diversos</t>
  </si>
  <si>
    <t>Devoluções diversas</t>
  </si>
  <si>
    <t>ATAS MOBILIÁRIO</t>
  </si>
  <si>
    <t>Adiantamentos</t>
  </si>
  <si>
    <t>IGD-PBF - Adiantamentos</t>
  </si>
  <si>
    <t>IGD-PBF</t>
  </si>
  <si>
    <t>EQUIPAMENTOS DE PROCESSAMENTO DE DADOS</t>
  </si>
  <si>
    <t>PA 105/2024</t>
  </si>
  <si>
    <t>Reforma Depto</t>
  </si>
  <si>
    <t>Adiantamentol</t>
  </si>
  <si>
    <t>Mobiliario-eletroeletronico-eletrodomésticos-informatica e outros</t>
  </si>
  <si>
    <t>008-DEPARTAMENTO DE PROTEÇÃO SOCIAL ESPECIAL</t>
  </si>
  <si>
    <t>ATAS MATERIAL ELETRICO / HIDÁULICO / DE CONSTRUÇÃO / PINTURA ...</t>
  </si>
  <si>
    <t>241</t>
  </si>
  <si>
    <t>2.041</t>
  </si>
  <si>
    <t>241-ASSISTÊNCIA AO IDOSO ASSISTÊNCIA À PESSOA IDOSA</t>
  </si>
  <si>
    <t>2.041-Ação Transversal de Garantia de Direitos</t>
  </si>
  <si>
    <t>NÃO CONSTA SUBELEMENTO - ESTIMATIVO . FMI = R$ 20.000,00, RP 01.110 = R$ 10.000,00</t>
  </si>
  <si>
    <t>Estimativa FMI = R$ 10.000,00 - RP 01.110 = R$ 20.000,00</t>
  </si>
  <si>
    <t>LIBRAS</t>
  </si>
  <si>
    <t>NÃO CONSTA SUBELEMENTO - ESTIMATIVO . FMI</t>
  </si>
  <si>
    <t>ATAS ELETROELETRÔNICOS</t>
  </si>
  <si>
    <t>INFORMÁTICA</t>
  </si>
  <si>
    <t>0009</t>
  </si>
  <si>
    <t>15 - SECRETARIA DA CULTURA</t>
  </si>
  <si>
    <t>001-GABINETE DA CULTURA</t>
  </si>
  <si>
    <t>13-CULTURA</t>
  </si>
  <si>
    <t>0009-Cultura, Economia Criativa e Patrimônio Histórico​</t>
  </si>
  <si>
    <t>392</t>
  </si>
  <si>
    <t>392-DIFUSÃO CULTURAL</t>
  </si>
  <si>
    <t>EXPOSIÇÕES, CONGRESSOS E CONFERÊNCIAS</t>
  </si>
  <si>
    <t>CONFERÊNCIAS, EXPOSIÇÕES E ESPETÁCULOS</t>
  </si>
  <si>
    <t>3715/2024</t>
  </si>
  <si>
    <t>EQUIPAMENTOS E MATERIAL PERMANENTE</t>
  </si>
  <si>
    <t>2744/2024</t>
  </si>
  <si>
    <t>4.4.50.51.00</t>
  </si>
  <si>
    <t>4.4.50.51.00-OBRAS E INSTALAÇÕES</t>
  </si>
  <si>
    <t>2562/2024</t>
  </si>
  <si>
    <t>23</t>
  </si>
  <si>
    <t>0008</t>
  </si>
  <si>
    <t>16 - SECRETARIA DE TECNOLOGIA, INOVAÇÃO E DESENVOLVIMENTO ECONÔMICO</t>
  </si>
  <si>
    <t>001-GABINETE DA SECRETARIA DE TECNOLOGIA, INOVAÇÃO E DESENVOLVIMENTO ECONÔMICO</t>
  </si>
  <si>
    <t>23-COMÉRCIO E SERVIÇOS</t>
  </si>
  <si>
    <t>0008-Empreendedorismo, Negócios e Turismo​</t>
  </si>
  <si>
    <t>884/2026</t>
  </si>
  <si>
    <t>797/2025</t>
  </si>
  <si>
    <t>2063/2025</t>
  </si>
  <si>
    <t>809/2026</t>
  </si>
  <si>
    <t>808/2026</t>
  </si>
  <si>
    <t>795/2026</t>
  </si>
  <si>
    <t>1120/2026</t>
  </si>
  <si>
    <t>1233/2026</t>
  </si>
  <si>
    <t>2340/2026</t>
  </si>
  <si>
    <t>1244/2026</t>
  </si>
  <si>
    <t>1077/2026</t>
  </si>
  <si>
    <t>1268/2026</t>
  </si>
  <si>
    <t>2151/2025</t>
  </si>
  <si>
    <t>1298/2026</t>
  </si>
  <si>
    <t>1505/2026</t>
  </si>
  <si>
    <t>1527/2026</t>
  </si>
  <si>
    <t>2796/2025</t>
  </si>
  <si>
    <t>1795/2025</t>
  </si>
  <si>
    <t>667/2026</t>
  </si>
  <si>
    <t>964/2026</t>
  </si>
  <si>
    <t>962/2026</t>
  </si>
  <si>
    <t>17 - SECRETARIA DE MEIO AMBIENTE E RECURSOS HÍDRICOS</t>
  </si>
  <si>
    <t>001-GABINETE DA SECRETARIA DE MEIO AMBIENTE E RECURSOS HÍDRICOS</t>
  </si>
  <si>
    <t>50/2026</t>
  </si>
  <si>
    <t>541</t>
  </si>
  <si>
    <t>541-PRESERVAÇÃO E CONSERVAÇÃO AMBIENTAL</t>
  </si>
  <si>
    <t>18914/2023</t>
  </si>
  <si>
    <t>760/2022</t>
  </si>
  <si>
    <t>51/2026</t>
  </si>
  <si>
    <t>52/2026</t>
  </si>
  <si>
    <t>53/2026</t>
  </si>
  <si>
    <t>54/2026</t>
  </si>
  <si>
    <t>55/2026</t>
  </si>
  <si>
    <t>56/2026</t>
  </si>
  <si>
    <t>57/2026</t>
  </si>
  <si>
    <t>58/2026</t>
  </si>
  <si>
    <t>59/2026</t>
  </si>
  <si>
    <t>60/2026</t>
  </si>
  <si>
    <t>61/2026</t>
  </si>
  <si>
    <t>62/2026</t>
  </si>
  <si>
    <t>191/2026</t>
  </si>
  <si>
    <t>192/2026</t>
  </si>
  <si>
    <t>235/2026</t>
  </si>
  <si>
    <t>382/2026</t>
  </si>
  <si>
    <t>383/2026</t>
  </si>
  <si>
    <t>1312/2026</t>
  </si>
  <si>
    <t>1443/2026</t>
  </si>
  <si>
    <t>1444/2026</t>
  </si>
  <si>
    <t>1458/2026</t>
  </si>
  <si>
    <t>1491/2026</t>
  </si>
  <si>
    <t>1148/2025</t>
  </si>
  <si>
    <t>003</t>
  </si>
  <si>
    <t>003-FUNDO MUNICIPAL DE MEIO AMBIENTE</t>
  </si>
  <si>
    <t>422</t>
  </si>
  <si>
    <t>2.021</t>
  </si>
  <si>
    <t>422-DIREITOS INDIVIDUAIS, COLETIVOS E DIFUSOS</t>
  </si>
  <si>
    <t>2.021-Educação Cidadã</t>
  </si>
  <si>
    <t>002</t>
  </si>
  <si>
    <t>18 - ENCARGOS/ADMINISTRAÇÃO</t>
  </si>
  <si>
    <t>002-RECURSOS SOB A SUPERVISÃO DA SECRETARIA DE ADMINISTRAÇÃO</t>
  </si>
  <si>
    <t>2966/2025</t>
  </si>
  <si>
    <t>2948/24</t>
  </si>
  <si>
    <t xml:space="preserve">TELEFONIA FIXA E MÓVEL - PACOTE DE COMUNICAÇÃO DE DADOS </t>
  </si>
  <si>
    <t>1327/26</t>
  </si>
  <si>
    <t>8389/21</t>
  </si>
  <si>
    <t>22144/2022</t>
  </si>
  <si>
    <t>3744/24</t>
  </si>
  <si>
    <t>3.3.90.48.00-OUTROS AUXÍLIOS FINANCEIROS A PESSOA FÍSICA</t>
  </si>
  <si>
    <t>21417/22, 1035/24 e 17440/23</t>
  </si>
  <si>
    <t>2.009</t>
  </si>
  <si>
    <t>2.009-Locação de Imóveis</t>
  </si>
  <si>
    <t>LOCAÇÃO DE IMÓVEIS</t>
  </si>
  <si>
    <t>diversos</t>
  </si>
  <si>
    <t>18 - ENCARGOS/FINANÇAS</t>
  </si>
  <si>
    <t>001-RECURSOS SOB A SUPERVISÃO DA SECRETARIA DE FINANÇAS</t>
  </si>
  <si>
    <t>19967/2021</t>
  </si>
  <si>
    <t>21942/2021</t>
  </si>
  <si>
    <t>20277/2020</t>
  </si>
  <si>
    <t>18150/2022</t>
  </si>
  <si>
    <t>18438/2022</t>
  </si>
  <si>
    <t>17079/2022</t>
  </si>
  <si>
    <t>23520/2021</t>
  </si>
  <si>
    <t>25565/2021</t>
  </si>
  <si>
    <t>SERVIÇOS DE COMUNICAÇÃO EM GERAL</t>
  </si>
  <si>
    <t>9455/2023</t>
  </si>
  <si>
    <t>não tem (restituições)</t>
  </si>
  <si>
    <t>não tem (ART's e RRT's)</t>
  </si>
  <si>
    <t>0.003</t>
  </si>
  <si>
    <t>0.003-Precatórios e Sentenças Judiciais</t>
  </si>
  <si>
    <t>não tem (honorários e outros)</t>
  </si>
  <si>
    <t>3.3.90.91.00</t>
  </si>
  <si>
    <t>3.3.90.91.00-SENTENÇAS JUDICIAIS</t>
  </si>
  <si>
    <t>OUTRAS SENTENÇAS JUDICIAIS</t>
  </si>
  <si>
    <t>não tem (depósitos judiciais)</t>
  </si>
  <si>
    <t>453</t>
  </si>
  <si>
    <t>2.010</t>
  </si>
  <si>
    <t>453-TRANSPORTES COLETIVOS URBANOS</t>
  </si>
  <si>
    <t xml:space="preserve">2.010-Manutenção do Transporte Coletivo </t>
  </si>
  <si>
    <t>não tem (enem)</t>
  </si>
  <si>
    <t>18 - ENCARGOS/TECNOLOGIA</t>
  </si>
  <si>
    <t>003-RECURSOS SOB SUPERVISÃO DA SECRETARIA DE TECNOLOGIA, INOVAÇÃO E DESENVOLVIMENTO ECONÔMICO</t>
  </si>
  <si>
    <t>1274/2025</t>
  </si>
  <si>
    <t>1277/2025</t>
  </si>
  <si>
    <t>24086/2021</t>
  </si>
  <si>
    <t>14862/2020</t>
  </si>
  <si>
    <t>17357/2021</t>
  </si>
  <si>
    <t>3731/2024</t>
  </si>
  <si>
    <t>1873/2025</t>
  </si>
  <si>
    <t>7622/2022</t>
  </si>
  <si>
    <t>3389/2024</t>
  </si>
  <si>
    <t>7594/2022</t>
  </si>
  <si>
    <t>2341/2025</t>
  </si>
  <si>
    <t>7657/2022</t>
  </si>
  <si>
    <t>659/2023</t>
  </si>
  <si>
    <t>15557/2022</t>
  </si>
  <si>
    <t>21654/2021</t>
  </si>
  <si>
    <t>7700/2022</t>
  </si>
  <si>
    <t>7334/2023</t>
  </si>
  <si>
    <t>1821/2024</t>
  </si>
  <si>
    <t>3041/2025</t>
  </si>
  <si>
    <t>1425/2026</t>
  </si>
  <si>
    <t>1202/2025</t>
  </si>
  <si>
    <t>1608/2026</t>
  </si>
  <si>
    <t>3002/2025</t>
  </si>
  <si>
    <t>998/2026</t>
  </si>
  <si>
    <t>2677/2025</t>
  </si>
  <si>
    <t>2642/2025</t>
  </si>
  <si>
    <t>19</t>
  </si>
  <si>
    <t>19 - SECRETARIA DE TRANSPORTE E DA MOBILIDADE URBANA</t>
  </si>
  <si>
    <t>001-GABINETE DA SECRETARIA DE TRANSPORTE E DA MOBILIDADE URBANA</t>
  </si>
  <si>
    <t>Despesas de Passagens</t>
  </si>
  <si>
    <t>Remuneração</t>
  </si>
  <si>
    <t>2.002</t>
  </si>
  <si>
    <t xml:space="preserve">2.002-Abastecimento de Frota </t>
  </si>
  <si>
    <t>005-FUNDO MUNICIPAL DE TRÂNSITO</t>
  </si>
  <si>
    <t>Indenização</t>
  </si>
  <si>
    <t>Indenizatória</t>
  </si>
  <si>
    <t>2.036</t>
  </si>
  <si>
    <t xml:space="preserve">2.036-Manutenção da Mobilidade Ativa </t>
  </si>
  <si>
    <t>00181/2025</t>
  </si>
  <si>
    <t>1396/2026</t>
  </si>
  <si>
    <t>Sistema de Climatização / Peças</t>
  </si>
  <si>
    <t>Sistema de Climatização / serviço</t>
  </si>
  <si>
    <t>Sistema de Climatização / Aquisição</t>
  </si>
  <si>
    <t>001318/2025</t>
  </si>
  <si>
    <t>PRÓ-LABORE A CONSULTORES EVENTUAIS</t>
  </si>
  <si>
    <t>20</t>
  </si>
  <si>
    <t>0006</t>
  </si>
  <si>
    <t>20 - SECRETARIA DE SEGURANÇA E CONTROLE URBANO</t>
  </si>
  <si>
    <t>001-GABINETE DA SECRETARIA DE SEGURANÇA E CONTROLE URBANO</t>
  </si>
  <si>
    <t>6-SEGURANÇA PÚBLICA</t>
  </si>
  <si>
    <t>0006-Segurança Pública e Fiscalização Inteligente​</t>
  </si>
  <si>
    <t>12412/2023 (COI)</t>
  </si>
  <si>
    <t>181</t>
  </si>
  <si>
    <t>181-POLICIAMENTO</t>
  </si>
  <si>
    <t>225/2026 (Novo locacao)</t>
  </si>
  <si>
    <t>16020/2021 (Nova opcao)</t>
  </si>
  <si>
    <t>2196/2024 (Nogueira)</t>
  </si>
  <si>
    <t>23 - SECRETARIA DE COMUNICAÇÃO</t>
  </si>
  <si>
    <t>001-GABINETE DA SECRETARIA DE COMUNICAÇÃO</t>
  </si>
  <si>
    <t>PEÇAS NÃO INCORPORÁVEIS A IMÓVEIS</t>
  </si>
  <si>
    <t>1379/26</t>
  </si>
  <si>
    <t>24</t>
  </si>
  <si>
    <t>24 - SECRETARIA DE PLANEJAMENTO E GESTÃO</t>
  </si>
  <si>
    <t>001-GABINETE DA SECRETARIA DE PLANEJAMENTO E GESTÃO</t>
  </si>
  <si>
    <t xml:space="preserve">Estudos e Pesquisa </t>
  </si>
  <si>
    <t xml:space="preserve">AVCB
</t>
  </si>
  <si>
    <t xml:space="preserve">Copa e Cozinha
</t>
  </si>
  <si>
    <t xml:space="preserve">Manutenção de Veículos
</t>
  </si>
  <si>
    <t xml:space="preserve">Higiene e Limpeza
</t>
  </si>
  <si>
    <t xml:space="preserve">Materiais de Expediente
</t>
  </si>
  <si>
    <t xml:space="preserve">Sistema de Climatização - Serviços
</t>
  </si>
  <si>
    <t xml:space="preserve">Manutenção Predial - Serviços
</t>
  </si>
  <si>
    <t xml:space="preserve">Locação de Veículos
</t>
  </si>
  <si>
    <t xml:space="preserve">Eletrodomésticos
</t>
  </si>
  <si>
    <t xml:space="preserve">SPSS - Software
</t>
  </si>
  <si>
    <t xml:space="preserve">Premiação - Inova Servidor 
</t>
  </si>
  <si>
    <t xml:space="preserve">Kit Lanche
</t>
  </si>
  <si>
    <t xml:space="preserve">Coffee Break
</t>
  </si>
  <si>
    <t xml:space="preserve">Locação de Equipamentos
</t>
  </si>
  <si>
    <t xml:space="preserve">Serviços Gráficos
</t>
  </si>
  <si>
    <t>AVCB</t>
  </si>
  <si>
    <t>27 - CONTROLADORIA GERAL DO MUNICÍPIO</t>
  </si>
  <si>
    <t>001-GABINETE DA CONTROLADORIA GERAL DO MUNICÍPIO</t>
  </si>
  <si>
    <t>Por demanda planejada para o ano</t>
  </si>
  <si>
    <t>PA 859/2026 + demanda planejada para o ano</t>
  </si>
  <si>
    <t>PA 3450/2024 + demanda planejada para o ano.</t>
  </si>
  <si>
    <t xml:space="preserve">LOCAÇÃO DE SOFTWARE                                     </t>
  </si>
  <si>
    <t>PA 1038/2025 - CT 077/2025</t>
  </si>
  <si>
    <t>PA 10017/2023 - CT  034/2024</t>
  </si>
  <si>
    <t>28</t>
  </si>
  <si>
    <t>28 - SECRETARIA DE GOVERNO</t>
  </si>
  <si>
    <t>001-GABINETE DA SECRETARIA DE GOVERNO</t>
  </si>
  <si>
    <t>007-FUNDO MUNICIPAL DE POLÍTICAS SOBRE DROGAS</t>
  </si>
  <si>
    <t>30</t>
  </si>
  <si>
    <t>30 - SECRETARIA EXECUTIVA DA PESSOA COM DEFICIÊNCIA</t>
  </si>
  <si>
    <t>001-GABINETE DA SECRETARIA EXECUTIVA DA PESSOA COM DEFICIÊNCIA</t>
  </si>
  <si>
    <t>242</t>
  </si>
  <si>
    <t>14-DIREITOS DA CIDADANIA</t>
  </si>
  <si>
    <t>242-ASSISTÊNCIA AO PORTADOR DE DEFICIÊNCIA ASSISTÊNCIA À PESSOA COM DEFICIÊNCIA</t>
  </si>
  <si>
    <t>1951/2025 -1950/2025-1946/2025-1949/2025-1948/2025</t>
  </si>
  <si>
    <t>1946/2025</t>
  </si>
  <si>
    <t>1283/2026</t>
  </si>
  <si>
    <t>31</t>
  </si>
  <si>
    <t>31 - SECRETARIA EXECUTIVA DE POLITICAS DE PROMOÇÃO DA IGUALDADE RACIAL</t>
  </si>
  <si>
    <t>001-GABINETE DA SECRETARIA EXECUTIVA DE POLITICAS DE PROMOÇÃO DA IGUALDADE RACIAL</t>
  </si>
  <si>
    <t>ATA</t>
  </si>
  <si>
    <t xml:space="preserve">ATA Aquisição Sede e Casa de Angola pós reforma </t>
  </si>
  <si>
    <t xml:space="preserve">ATA </t>
  </si>
  <si>
    <t>TRANSPORTE DE SERVIDORES / EMPREGADOS</t>
  </si>
  <si>
    <t xml:space="preserve">Locação de onibus e micro onibus </t>
  </si>
  <si>
    <t xml:space="preserve">ATA - Aquisição de eletrodoméstico Sede e Casa de Angola pós reforma </t>
  </si>
  <si>
    <t>ATA - P.A</t>
  </si>
  <si>
    <t xml:space="preserve">IOMO nº 2888 (Edital) - P.A Letramento para servidores </t>
  </si>
  <si>
    <t>3.3.90.35.00</t>
  </si>
  <si>
    <t>3.3.90.35.00-SERVIÇOS DE CONSULTORIA</t>
  </si>
  <si>
    <t xml:space="preserve">PA Plano Municipal de Promoção da Igualdade Racial </t>
  </si>
  <si>
    <t>ATA (eventos)</t>
  </si>
  <si>
    <t>391</t>
  </si>
  <si>
    <t>2.029</t>
  </si>
  <si>
    <t>391-PATRIMÔNIO HISTÓRICO, ARTÍSTICO E ARQUEOLÓGICO</t>
  </si>
  <si>
    <t>2.029-Valorização do Patrimônio Histórico-Cultural</t>
  </si>
  <si>
    <t>ATA - PA (acervo casa de angola)</t>
  </si>
  <si>
    <t>ATA-PA (Casa de Angola)</t>
  </si>
  <si>
    <t>ATA-PA (Festividades Calendário)</t>
  </si>
  <si>
    <t>ATA-PA (Divulgação serviços)</t>
  </si>
  <si>
    <t>ATA-PA (Festividades Calendário(</t>
  </si>
  <si>
    <t>IOMO nº 2888 (Edital)</t>
  </si>
  <si>
    <t>ATA (Mat Conscientização)</t>
  </si>
  <si>
    <t xml:space="preserve">ATA (CRDH) </t>
  </si>
  <si>
    <t xml:space="preserve"> IOMO nº 2888 (Edital) - P.A (CRDH/Imigrantes -intérprete)</t>
  </si>
  <si>
    <t xml:space="preserve">ATA - P.A Mapeamento Digital dos Espaços Religiosos </t>
  </si>
  <si>
    <t>32</t>
  </si>
  <si>
    <t>32 - SECRETARIA EXECUTIVA DE POLÍTICAS PARA MULHERES E DIVERSIDADE</t>
  </si>
  <si>
    <t>001-GABINETE DA SECRETARIA EXECUTIVA DE POLÍTICAS PARA MULHERES E DIVERSIDADE</t>
  </si>
  <si>
    <t>607/2025</t>
  </si>
  <si>
    <t>184/2024</t>
  </si>
  <si>
    <t>180/2024</t>
  </si>
  <si>
    <t>332/2026</t>
  </si>
  <si>
    <t>1555/2026</t>
  </si>
  <si>
    <t>421/2024</t>
  </si>
  <si>
    <t>33</t>
  </si>
  <si>
    <t>33 - SECRETARIA EXECUTIVA DE COMPRAS E LICITAÇÕES</t>
  </si>
  <si>
    <t>001-GABINETE DA SECRETARIA EXECUTIVA DE COMPRAS E LICITAÇÕES</t>
  </si>
  <si>
    <t>722/2026, 897/2026</t>
  </si>
  <si>
    <t>2123/2025</t>
  </si>
  <si>
    <t>828/2026, 1183/2026</t>
  </si>
  <si>
    <t>197/2025, 2433/2025, 898/2026, 976/2026</t>
  </si>
  <si>
    <t>1182/2026</t>
  </si>
  <si>
    <t xml:space="preserve"> </t>
  </si>
  <si>
    <t>1384/2026-ARP</t>
  </si>
  <si>
    <t>947/2026</t>
  </si>
  <si>
    <t>945/2026</t>
  </si>
  <si>
    <t>1087/2026-ARP</t>
  </si>
  <si>
    <t>21535/2022</t>
  </si>
  <si>
    <t>403/2026</t>
  </si>
  <si>
    <t>11/2026-ARP</t>
  </si>
  <si>
    <t>SERVIÇOS DE PUBLICIDADE LEGAL</t>
  </si>
  <si>
    <t>476/2024</t>
  </si>
  <si>
    <t>31/2022</t>
  </si>
  <si>
    <t>34</t>
  </si>
  <si>
    <t>34 - COORDENADORIA DA DEFESA CIVIL</t>
  </si>
  <si>
    <t>001-GABINETE DA COORDENADORIA DA DEFESA CIVIL</t>
  </si>
  <si>
    <t>568/2026</t>
  </si>
  <si>
    <t>553/2026</t>
  </si>
  <si>
    <t>977/2026</t>
  </si>
  <si>
    <t>182</t>
  </si>
  <si>
    <t>182-DEFESA CIVIL</t>
  </si>
  <si>
    <t>381/2026</t>
  </si>
  <si>
    <t>476/2026</t>
  </si>
  <si>
    <t>477/2026</t>
  </si>
  <si>
    <t>478/2026</t>
  </si>
  <si>
    <t>479/2026</t>
  </si>
  <si>
    <t>480/2026</t>
  </si>
  <si>
    <t>488/2026</t>
  </si>
  <si>
    <t>661/2026</t>
  </si>
  <si>
    <t>880/2026</t>
  </si>
  <si>
    <t>554/2026</t>
  </si>
  <si>
    <t>1102/2026</t>
  </si>
  <si>
    <t>1371/2026</t>
  </si>
  <si>
    <t>1372/2026</t>
  </si>
  <si>
    <t>1373/2026</t>
  </si>
  <si>
    <t>1374/2026</t>
  </si>
  <si>
    <t>2437/2025</t>
  </si>
  <si>
    <t>2528/2025</t>
  </si>
  <si>
    <t>380/2026</t>
  </si>
  <si>
    <t>36</t>
  </si>
  <si>
    <t>36 - SECRETARIA DA FAMÍLIA, CIDADANIA E SEGURANÇA ALIMENTAR</t>
  </si>
  <si>
    <t>001-GABINETE DA SECRETARIA DA FAMÍLIA, CIDADANIA E SEGURANÇA ALIMENTAR</t>
  </si>
  <si>
    <t>1857/2025</t>
  </si>
  <si>
    <t>1053/2026</t>
  </si>
  <si>
    <t>492/2026</t>
  </si>
  <si>
    <t>436/2026</t>
  </si>
  <si>
    <t>1405/2025</t>
  </si>
  <si>
    <t>491-580/2026</t>
  </si>
  <si>
    <t>Contratação de estagiários para apoio às ações de Segurança Alimentar e Nutricional</t>
  </si>
  <si>
    <t>244</t>
  </si>
  <si>
    <t>244-ASSISTÊNCIA COMUNITÁRIA</t>
  </si>
  <si>
    <t>2492/2025-503/2026</t>
  </si>
  <si>
    <t>2128/2025</t>
  </si>
  <si>
    <t>505/2026</t>
  </si>
  <si>
    <t>861/2026</t>
  </si>
  <si>
    <t>512/2026</t>
  </si>
  <si>
    <t>504/2026</t>
  </si>
  <si>
    <t>509/2026</t>
  </si>
  <si>
    <t>1114/2025</t>
  </si>
  <si>
    <t>1260/2025</t>
  </si>
  <si>
    <t>606/2026</t>
  </si>
  <si>
    <t>3000/2025</t>
  </si>
  <si>
    <t>2046/2025</t>
  </si>
  <si>
    <t>2035/2025</t>
  </si>
  <si>
    <t>502/2026</t>
  </si>
  <si>
    <t>511/26</t>
  </si>
  <si>
    <t>2127/2025</t>
  </si>
  <si>
    <t>Contrapartida do Edital 002/2026 de Sistema Alimentar Circular do MDS</t>
  </si>
  <si>
    <t>Manutenção e adequação do piso do Banco de Alimentos</t>
  </si>
  <si>
    <t>Contratação de serviços de desinsetização, desratização e controle de pragas</t>
  </si>
  <si>
    <t>01.001.01.031.0003.2.042.3.3.90.14.00</t>
  </si>
  <si>
    <t>01- CMO</t>
  </si>
  <si>
    <t>LDO</t>
  </si>
  <si>
    <t>01.001.01.031.0003.2.042.3.3.90.30.00</t>
  </si>
  <si>
    <t>01.001.01.031.0003.2.042.3.3.90.32.00</t>
  </si>
  <si>
    <t>01.001.01.031.0003.2.042.3.3.90.33.00</t>
  </si>
  <si>
    <t>01.001.01.031.0003.2.042.3.3.90.35.00</t>
  </si>
  <si>
    <t>01.001.01.031.0003.2.042.3.3.90.37.00</t>
  </si>
  <si>
    <t>01.001.01.031.0003.2.042.3.3.90.39.00</t>
  </si>
  <si>
    <t>01.001.01.031.0003.2.042.3.3.90.40.00</t>
  </si>
  <si>
    <t>01.001.01.031.0003.2.042.3.3.90.47.00</t>
  </si>
  <si>
    <t>01.001.01.031.0003.2.042.3.3.90.48.00</t>
  </si>
  <si>
    <t>01.001.01.031.0003.2.042.3.3.90.92.00</t>
  </si>
  <si>
    <t>01.001.01.031.0003.2.042.3.3.90.93.00</t>
  </si>
  <si>
    <t>01.001.01.031.0003.2.042.4.4.50.52.00</t>
  </si>
  <si>
    <t>01.001.01.031.0003.2.042.4.4.90.92.00</t>
  </si>
  <si>
    <t>02.001.04.122.0001.2.006.3.3.90.33.00</t>
  </si>
  <si>
    <t>02.001.04.122.0001.2.006.3.3.90.39.00</t>
  </si>
  <si>
    <t>02.001.04.122.0001.2.011.3.1.71.70.00</t>
  </si>
  <si>
    <t>02.001.04.122.0001.2.011.3.3.71.70.00</t>
  </si>
  <si>
    <t>02.001.04.122.0001.2.011.3.3.90.30.00</t>
  </si>
  <si>
    <t>02.001.04.122.0001.2.011.3.3.90.39.00</t>
  </si>
  <si>
    <t>02.001.04.131.0002.2.005.3.3.90.30.00</t>
  </si>
  <si>
    <t>02.001.04.131.0002.2.005.3.3.90.39.00</t>
  </si>
  <si>
    <t>02.006.04.122.0018.2.011.3.3.90.30.00</t>
  </si>
  <si>
    <t>02.006.04.122.0018.2.011.3.3.90.39.00</t>
  </si>
  <si>
    <t>02.006.04.131.0002.2.005.3.3.90.30.00</t>
  </si>
  <si>
    <t>02.006.04.131.0002.2.005.3.3.90.39.00</t>
  </si>
  <si>
    <t>02.006.04.244.0019.2.024.3.3.90.32.00</t>
  </si>
  <si>
    <t>02.006.08.244.0019.2.024.3.3.90.32.00</t>
  </si>
  <si>
    <t>02.006.08.334.0017.2.004.3.3.90.30.00</t>
  </si>
  <si>
    <t>02.006.08.334.0017.2.004.4.4.50.52.00</t>
  </si>
  <si>
    <t>02.012.04.122.0001.2.011.3.3.90.30.00</t>
  </si>
  <si>
    <t>02.012.04.122.0001.2.011.4.4.90.52.00</t>
  </si>
  <si>
    <t>04.001.04.122.0001.2.006.3.3.90.33.00</t>
  </si>
  <si>
    <t>04.001.04.122.0001.2.006.3.3.90.39.00</t>
  </si>
  <si>
    <t>04.001.04.122.0001.2.006.3.3.90.93.00</t>
  </si>
  <si>
    <t>04.001.04.122.0001.2.011.3.3.90.30.00</t>
  </si>
  <si>
    <t>04.001.04.122.0001.2.011.3.3.90.39.00</t>
  </si>
  <si>
    <t>04.001.04.126.0002.2.007.3.3.90.39.00</t>
  </si>
  <si>
    <t>04.001.04.126.0002.2.007.3.3.90.40.00</t>
  </si>
  <si>
    <t>04.001.04.128.0002.2.003.3.3.90.39.00</t>
  </si>
  <si>
    <t>04.001.04.131.0002.2.005.3.3.90.39.00</t>
  </si>
  <si>
    <t>05.001.04.122.0001.2.005.3.3.90.30.00</t>
  </si>
  <si>
    <t>05.001.04.122.0001.2.005.3.3.90.39.00</t>
  </si>
  <si>
    <t>05.001.04.122.0001.2.006.3.3.90.33.00</t>
  </si>
  <si>
    <t>05.001.04.122.0001.2.006.3.3.90.39.00</t>
  </si>
  <si>
    <t>05.001.04.122.0001.2.011.3.3.90.30.00</t>
  </si>
  <si>
    <t>05.001.04.122.0001.2.011.3.3.90.36.00</t>
  </si>
  <si>
    <t>05.001.04.122.0001.2.011.3.3.90.39.00</t>
  </si>
  <si>
    <t>05.001.04.126.0002.2.007.3.3.90.40.00</t>
  </si>
  <si>
    <t>05.001.04.128.0002.2.003.3.3.90.39.00</t>
  </si>
  <si>
    <t>05.001.04.131.0002.2.005.3.3.90.39.00</t>
  </si>
  <si>
    <t>06.001.04.122.0001.2.006.3.3.90.33.00</t>
  </si>
  <si>
    <t>06.001.04.122.0001.2.006.3.3.90.39.00</t>
  </si>
  <si>
    <t>06.001.04.122.0001.2.011.3.3.50.39.00</t>
  </si>
  <si>
    <t>06.001.04.122.0001.2.011.3.3.90.30.00</t>
  </si>
  <si>
    <t>06.001.04.122.0001.2.011.3.3.90.39.00</t>
  </si>
  <si>
    <t>06.001.04.126.0002.2.007.3.3.90.39.00</t>
  </si>
  <si>
    <t>06.001.04.128.0002.2.003.3.3.90.36.00</t>
  </si>
  <si>
    <t>06.001.04.128.0002.2.003.3.3.90.39.00</t>
  </si>
  <si>
    <t>06.001.04.131.0002.2.005.3.3.90.30.00</t>
  </si>
  <si>
    <t>06.001.04.131.0002.2.005.3.3.90.39.00</t>
  </si>
  <si>
    <t>06.011.04.128.0002.2.003.3.3.90.39.00</t>
  </si>
  <si>
    <t>07.001.04.122.0001.2.006.3.3.90.33.00</t>
  </si>
  <si>
    <t>07.001.04.122.0001.2.006.3.3.90.39.00</t>
  </si>
  <si>
    <t>07.001.04.128.0002.2.003.3.3.90.36.00</t>
  </si>
  <si>
    <t>07.001.04.128.0002.2.003.3.3.90.39.00</t>
  </si>
  <si>
    <t>07.001.04.131.0002.2.005.3.3.90.30.00</t>
  </si>
  <si>
    <t>07.001.04.131.0002.2.005.3.3.90.39.00</t>
  </si>
  <si>
    <t>07.001.11.122.0017.2.011.3.3.90.30.00</t>
  </si>
  <si>
    <t>07.001.11.122.0017.2.011.3.3.90.39.00</t>
  </si>
  <si>
    <t>07.001.11.333.0017.2.027.3.3.90.39.00</t>
  </si>
  <si>
    <t>07.001.11.334.0017.2.004.3.3.50.39.00</t>
  </si>
  <si>
    <t>07.001.11.334.0017.2.004.3.3.90.30.00</t>
  </si>
  <si>
    <t>07.001.11.334.0017.2.004.3.3.90.39.00</t>
  </si>
  <si>
    <t>07.001.11.334.0017.2.025.3.3.90.48.00</t>
  </si>
  <si>
    <t>07.001.11.334.0017.2.033.3.3.90.30.00</t>
  </si>
  <si>
    <t>07.001.11.334.0017.2.033.3.3.90.39.00</t>
  </si>
  <si>
    <t>07.001.11.334.0017.2.033.4.4.90.52.00</t>
  </si>
  <si>
    <t>07.005.11.333.0017.2.027.3.3.90.39.00</t>
  </si>
  <si>
    <t>08.001.04.131.0002.2.005.3.3.90.30.00</t>
  </si>
  <si>
    <t>08.001.04.131.0002.2.005.3.3.90.39.00</t>
  </si>
  <si>
    <t>08.001.12.122.0001.2.006.3.3.90.33.00</t>
  </si>
  <si>
    <t>08.001.12.122.0001.2.006.3.3.90.39.00</t>
  </si>
  <si>
    <t>08.001.12.122.0001.2.008.3.3.90.39.00</t>
  </si>
  <si>
    <t>08.001.12.122.0001.2.008.3.3.90.48.00</t>
  </si>
  <si>
    <t>08.001.12.122.0001.2.011.3.3.50.39.00</t>
  </si>
  <si>
    <t>08.001.12.122.0001.2.011.3.3.90.30.00</t>
  </si>
  <si>
    <t>08.001.12.122.0001.2.011.3.3.90.39.00</t>
  </si>
  <si>
    <t>08.001.12.122.0001.2.011.4.4.90.52.00</t>
  </si>
  <si>
    <t>08.001.12.122.0002.2.003.3.3.90.36.00</t>
  </si>
  <si>
    <t>08.001.12.122.0002.2.003.3.3.90.39.00</t>
  </si>
  <si>
    <t>08.001.12.122.0002.2.005.3.3.90.31.00</t>
  </si>
  <si>
    <t>08.001.12.122.0016.2.019.3.3.50.39.00</t>
  </si>
  <si>
    <t>08.001.12.122.0016.2.019.3.3.90.39.00</t>
  </si>
  <si>
    <t>08.001.12.122.0016.2.023.3.3.50.39.00</t>
  </si>
  <si>
    <t>08.001.12.122.0016.2.023.4.4.50.39.00</t>
  </si>
  <si>
    <t>08.001.12.306.0016.2.011.3.3.90.30.00</t>
  </si>
  <si>
    <t>08.001.12.306.0016.2.011.3.3.90.39.00</t>
  </si>
  <si>
    <t>08.001.12.306.0016.2.011.4.4.90.52.00</t>
  </si>
  <si>
    <t>08.001.12.306.0016.2.017.3.3.90.30.00</t>
  </si>
  <si>
    <t>08.001.12.361.0002.2.005.3.3.90.39.00</t>
  </si>
  <si>
    <t>08.001.12.361.0002.2.007.3.3.90.40.00</t>
  </si>
  <si>
    <t>08.001.12.361.0016.2.011.3.3.50.43.00</t>
  </si>
  <si>
    <t>08.001.12.361.0016.2.011.3.3.90.30.00</t>
  </si>
  <si>
    <t>08.001.12.361.0016.2.011.3.3.90.39.00</t>
  </si>
  <si>
    <t>08.001.12.361.0016.2.011.4.4.90.52.00</t>
  </si>
  <si>
    <t>08.001.12.361.0016.2.017.3.3.90.32.00</t>
  </si>
  <si>
    <t>08.001.12.361.0016.2.018.3.3.90.40.00</t>
  </si>
  <si>
    <t>08.001.12.361.0016.2.018.4.4.90.52.00</t>
  </si>
  <si>
    <t>08.001.12.361.0016.2.019.3.3.90.32.00</t>
  </si>
  <si>
    <t>08.001.12.361.0016.2.019.3.3.90.39.00</t>
  </si>
  <si>
    <t>08.001.12.361.0016.2.020.3.3.90.39.00</t>
  </si>
  <si>
    <t>08.001.12.361.0016.2.023.3.3.50.39.00</t>
  </si>
  <si>
    <t>08.001.12.361.0016.2.023.4.4.50.39.00</t>
  </si>
  <si>
    <t>08.001.12.364.0001.2.011.3.3.90.30.00</t>
  </si>
  <si>
    <t>08.001.12.365.0002.2.005.3.3.90.39.00</t>
  </si>
  <si>
    <t>08.001.12.365.0002.2.007.3.3.90.40.00</t>
  </si>
  <si>
    <t>08.001.12.365.0016.2.011.3.3.50.43.00</t>
  </si>
  <si>
    <t>08.001.12.365.0016.2.011.3.3.90.30.00</t>
  </si>
  <si>
    <t>08.001.12.365.0016.2.011.3.3.90.39.00</t>
  </si>
  <si>
    <t>08.001.12.365.0016.2.011.4.4.90.52.00</t>
  </si>
  <si>
    <t>08.001.12.365.0016.2.017.3.3.90.32.00</t>
  </si>
  <si>
    <t>08.001.12.365.0016.2.018.3.3.90.40.00</t>
  </si>
  <si>
    <t>08.001.12.365.0016.2.019.3.3.90.32.00</t>
  </si>
  <si>
    <t>08.001.12.365.0016.2.019.3.3.90.39.00</t>
  </si>
  <si>
    <t>08.001.12.365.0016.2.020.3.3.90.39.00</t>
  </si>
  <si>
    <t>08.001.12.365.0016.2.022.3.3.50.39.00</t>
  </si>
  <si>
    <t>08.001.12.365.0016.2.022.4.4.50.39.00</t>
  </si>
  <si>
    <t>08.001.12.365.0016.2.023.3.3.50.39.00</t>
  </si>
  <si>
    <t>08.001.12.365.0016.2.023.4.4.50.39.00</t>
  </si>
  <si>
    <t>08.001.12.366.0016.2.019.3.3.50.39.00</t>
  </si>
  <si>
    <t>08.001.12.366.0016.2.019.3.3.90.48.00</t>
  </si>
  <si>
    <t>08.001.12.366.0016.2.019.4.4.50.39.00</t>
  </si>
  <si>
    <t>08.001.12.367.0016.2.019.3.3.90.30.00</t>
  </si>
  <si>
    <t>08.001.12.367.0016.2.019.3.3.90.39.00</t>
  </si>
  <si>
    <t>08.001.12.367.0016.2.019.4.4.90.52.00</t>
  </si>
  <si>
    <t>09.001.04.126.0002.2.007.3.3.90.39.00</t>
  </si>
  <si>
    <t>09.001.04.131.0002.2.005.3.3.90.30.00</t>
  </si>
  <si>
    <t>09.001.04.131.0002.2.005.3.3.90.39.00</t>
  </si>
  <si>
    <t>09.001.10.122.0001.2.006.3.3.90.33.00</t>
  </si>
  <si>
    <t>09.001.10.122.0001.2.006.3.3.90.39.00</t>
  </si>
  <si>
    <t>09.001.10.302.0015.2.026.3.3.90.39.00</t>
  </si>
  <si>
    <t>09.006.10.302.0015.2.014.3.3.90.30.00</t>
  </si>
  <si>
    <t>09.006.10.302.0015.2.014.3.3.90.39.00</t>
  </si>
  <si>
    <t>09.006.10.302.0015.2.014.3.3.90.93.00</t>
  </si>
  <si>
    <t>09.008.10.301.0015.2.012.3.3.50.39.00</t>
  </si>
  <si>
    <t>09.008.10.301.0015.2.012.3.3.90.30.00</t>
  </si>
  <si>
    <t>09.008.10.301.0015.2.012.3.3.90.32.00</t>
  </si>
  <si>
    <t>09.008.10.301.0015.2.012.3.3.90.39.00</t>
  </si>
  <si>
    <t>09.008.10.301.0015.2.012.4.4.50.52.00</t>
  </si>
  <si>
    <t>09.009.10.302.0015.2.013.3.3.50.39.00</t>
  </si>
  <si>
    <t>09.009.10.302.0015.2.013.3.3.90.30.00</t>
  </si>
  <si>
    <t>09.009.10.302.0015.2.013.3.3.90.39.00</t>
  </si>
  <si>
    <t>09.009.10.302.0015.2.013.3.3.90.40.00</t>
  </si>
  <si>
    <t>09.009.10.302.0015.2.013.3.3.90.93.00</t>
  </si>
  <si>
    <t>09.009.10.302.0015.2.013.4.4.50.51.00</t>
  </si>
  <si>
    <t>09.009.10.302.0015.2.013.4.4.50.52.00</t>
  </si>
  <si>
    <t>09.009.10.302.0015.2.013.4.4.90.52.00</t>
  </si>
  <si>
    <t>09.009.10.302.0015.2.023.3.3.50.85.00</t>
  </si>
  <si>
    <t>09.010.10.302.0015.2.014.3.3.90.30.00</t>
  </si>
  <si>
    <t>09.010.10.302.0015.2.014.3.3.90.39.00</t>
  </si>
  <si>
    <t>09.010.10.302.0015.2.023.3.3.50.85.00</t>
  </si>
  <si>
    <t>09.012.10.303.0014.2.011.3.3.90.30.00</t>
  </si>
  <si>
    <t>09.012.10.303.0014.2.011.3.3.90.32.00</t>
  </si>
  <si>
    <t>09.012.10.303.0014.2.011.3.3.90.39.00</t>
  </si>
  <si>
    <t>09.012.10.303.0014.2.011.4.4.90.52.00</t>
  </si>
  <si>
    <t>09.012.10.303.0015.2.011.3.3.90.30.00</t>
  </si>
  <si>
    <t>09.015.04.128.0002.2.003.3.3.90.36.00</t>
  </si>
  <si>
    <t>09.015.04.128.0002.2.003.3.3.90.39.00</t>
  </si>
  <si>
    <t>09.015.10.122.0014.2.011.3.3.90.30.00</t>
  </si>
  <si>
    <t>09.015.10.122.0014.2.011.3.3.90.32.00</t>
  </si>
  <si>
    <t>09.015.10.122.0014.2.011.3.3.90.39.00</t>
  </si>
  <si>
    <t>09.015.10.122.0014.2.011.3.3.90.93.00</t>
  </si>
  <si>
    <t>09.015.10.128.0014.2.008.3.3.90.48.00</t>
  </si>
  <si>
    <t>11.001.04.122.0011.2.011.3.3.90.30.00</t>
  </si>
  <si>
    <t>11.001.04.122.0011.2.011.3.3.90.39.00</t>
  </si>
  <si>
    <t>11.001.04.122.0011.2.011.4.4.90.52.00</t>
  </si>
  <si>
    <t>11.001.04.131.0002.2.005.3.3.90.30.00</t>
  </si>
  <si>
    <t>11.001.04.131.0002.2.005.3.3.90.39.00</t>
  </si>
  <si>
    <t>11.001.15.452.0011.2.038.3.3.90.30.00</t>
  </si>
  <si>
    <t>11.001.15.452.0011.2.038.3.3.90.39.00</t>
  </si>
  <si>
    <t>11.001.15.452.0013.2.034.3.3.90.39.00</t>
  </si>
  <si>
    <t>11.001.15.452.0013.2.034.4.4.90.52.00</t>
  </si>
  <si>
    <t>11.001.17.452.0007.2.039.3.3.90.30.00</t>
  </si>
  <si>
    <t>11.001.17.452.0007.2.039.3.3.90.39.00</t>
  </si>
  <si>
    <t>11.001.17.452.0007.2.039.4.4.90.51.00</t>
  </si>
  <si>
    <t>11.001.17.452.0007.2.039.4.4.90.52.00</t>
  </si>
  <si>
    <t>11.001.18.543.0007.2.037.3.3.50.39.00</t>
  </si>
  <si>
    <t>11.001.18.543.0007.2.037.3.3.90.39.00</t>
  </si>
  <si>
    <t>11.001.18.544.0005.2.035.3.3.90.39.00</t>
  </si>
  <si>
    <t>11.008.17.452.0007.2.039.3.3.90.39.00</t>
  </si>
  <si>
    <t>11.008.17.452.0007.2.039.4.4.90.51.00</t>
  </si>
  <si>
    <t>11.014.04.122.0011.2.011.3.3.90.30.00</t>
  </si>
  <si>
    <t>11.014.04.122.0011.2.011.3.3.90.39.00</t>
  </si>
  <si>
    <t>11.014.04.122.0011.2.011.4.4.90.52.00</t>
  </si>
  <si>
    <t>11.014.04.122.0011.2.011.4.5.90.62.00</t>
  </si>
  <si>
    <t>11.014.18.543.0007.2.037.3.3.90.39.00</t>
  </si>
  <si>
    <t>12.001.04.122.0001.2.006.3.3.90.33.00</t>
  </si>
  <si>
    <t>12.001.04.122.0001.2.006.3.3.90.39.00</t>
  </si>
  <si>
    <t>12.001.04.128.0002.2.003.3.3.90.30.00</t>
  </si>
  <si>
    <t>12.001.04.128.0002.2.003.3.3.90.36.00</t>
  </si>
  <si>
    <t>12.001.04.128.0002.2.003.3.3.90.39.00</t>
  </si>
  <si>
    <t>12.001.04.131.0002.2.005.3.3.90.30.00</t>
  </si>
  <si>
    <t>12.001.04.131.0002.2.005.3.3.90.39.00</t>
  </si>
  <si>
    <t>12.001.27.811.0010.2.030.3.3.50.39.00</t>
  </si>
  <si>
    <t>12.001.27.811.0010.2.030.3.3.90.30.00</t>
  </si>
  <si>
    <t>12.001.27.811.0010.2.030.3.3.90.39.00</t>
  </si>
  <si>
    <t>12.001.27.811.0010.2.030.3.3.90.48.00</t>
  </si>
  <si>
    <t>12.001.27.811.0010.2.030.4.4.50.52.00</t>
  </si>
  <si>
    <t>12.001.27.811.0010.2.030.4.4.90.51.00</t>
  </si>
  <si>
    <t>12.001.27.812.0010.2.011.3.3.90.30.00</t>
  </si>
  <si>
    <t>12.001.27.812.0010.2.011.3.3.90.39.00</t>
  </si>
  <si>
    <t>12.001.27.812.0010.2.028.3.3.90.30.00</t>
  </si>
  <si>
    <t>12.001.27.812.0010.2.028.3.3.90.36.00</t>
  </si>
  <si>
    <t>12.001.27.812.0010.2.028.3.3.90.39.00</t>
  </si>
  <si>
    <t>12.001.27.812.0010.2.028.4.4.90.52.00</t>
  </si>
  <si>
    <t>12.001.27.812.0010.2.030.4.4.90.51.00</t>
  </si>
  <si>
    <t>12.001.27.812.0010.2.031.3.3.50.39.00</t>
  </si>
  <si>
    <t>12.001.27.812.0010.2.031.3.3.90.30.00</t>
  </si>
  <si>
    <t>12.001.27.812.0010.2.031.3.3.90.31.00</t>
  </si>
  <si>
    <t>12.001.27.812.0010.2.031.3.3.90.39.00</t>
  </si>
  <si>
    <t>12.001.27.812.0010.2.031.4.4.50.52.00</t>
  </si>
  <si>
    <t>12.001.27.812.0010.2.031.4.4.90.52.00</t>
  </si>
  <si>
    <t>12.001.27.812.0010.2.032.3.3.90.30.00</t>
  </si>
  <si>
    <t>12.001.27.812.0010.2.032.3.3.90.39.00</t>
  </si>
  <si>
    <t>12.001.27.812.0010.2028.3.3.50.39..00</t>
  </si>
  <si>
    <t>13.001.04.122.0001.2.006.3.3.90.33.00</t>
  </si>
  <si>
    <t>13.001.04.122.0001.2.006.3.3.90.39.00</t>
  </si>
  <si>
    <t>13.001.04.122.0001.2.011.3.3.90.30.00</t>
  </si>
  <si>
    <t>13.001.04.122.0001.2.011.3.3.90.39.00</t>
  </si>
  <si>
    <t>13.001.04.122.0001.2.011.4.4.90.52.00</t>
  </si>
  <si>
    <t>13.001.04.128.0002.2.003.3.3.90.36.00</t>
  </si>
  <si>
    <t>13.001.04.128.0002.2.003.3.3.90.39.00</t>
  </si>
  <si>
    <t>13.001.04.131.0002.2.005.3.3.90.30.00</t>
  </si>
  <si>
    <t>13.001.04.131.0002.2.005.3.3.90.39.00</t>
  </si>
  <si>
    <t>13.001.16.244.0012.2.040.3.3.90.48.00</t>
  </si>
  <si>
    <t>14.001.04.122.0001.2.005.3.3.90.39.00</t>
  </si>
  <si>
    <t>14.001.04.122.0001.2.006.3.3.90.33.00</t>
  </si>
  <si>
    <t>14.001.04.122.0001.2.006.3.3.90.39.00</t>
  </si>
  <si>
    <t>14.001.04.122.0001.2.011.3.3.90.30.00</t>
  </si>
  <si>
    <t>14.001.04.122.0001.2.011.3.3.90.39.00</t>
  </si>
  <si>
    <t>14.001.04.122.0001.2.011.3.3.90.93.00</t>
  </si>
  <si>
    <t>14.001.04.122.0001.2.011.4.4.90.52.00</t>
  </si>
  <si>
    <t>14.001.04.126.0002.2.007.3.3.90.40.00</t>
  </si>
  <si>
    <t>14.001.04.128.0002.2.003.3.3.90.39.00</t>
  </si>
  <si>
    <t>14.001.04.131.0001.2.005.3.3.90.30.00</t>
  </si>
  <si>
    <t>14.001.04.131.0002.2.005.3.3.90.30.00</t>
  </si>
  <si>
    <t>14.001.04.131.0002.2.005.3.3.90.39.00</t>
  </si>
  <si>
    <t>14.001.08.241.0018.2.041.3.3.50.39.00</t>
  </si>
  <si>
    <t>14.001.08.241.0018.2.041.3.3.90.30.00</t>
  </si>
  <si>
    <t>14.001.08.241.0018.2.041.3.3.90.36.00</t>
  </si>
  <si>
    <t>14.001.08.241.0018.2.041.3.3.90.39.00</t>
  </si>
  <si>
    <t>14.001.08.241.0018.2.041.4.4.50.52.00</t>
  </si>
  <si>
    <t>14.001.08.241.0018.2.041.4.4.90.52.00</t>
  </si>
  <si>
    <t>14.001.08.245.0018.2.015.3.3.90.39.00</t>
  </si>
  <si>
    <t>14.001.08.245.0018.2.026.3.3.90.39.00</t>
  </si>
  <si>
    <t>14.001.08.245.0018.2.041.3.3.50.39.00</t>
  </si>
  <si>
    <t>14.001.08.245.0018.2.041.3.3.90.30.00</t>
  </si>
  <si>
    <t>14.001.08.245.0018.2.041.3.3.90.36.00</t>
  </si>
  <si>
    <t>14.001.08.245.0018.2.041.3.3.90.39.00</t>
  </si>
  <si>
    <t>14.001.08.245.0018.2.041.4.4.50.51.00</t>
  </si>
  <si>
    <t>14.001.08.245.0018.2.041.4.4.50.52.00</t>
  </si>
  <si>
    <t>14.001.08.245.0018.2.041.4.4.90.52.00</t>
  </si>
  <si>
    <t>14.001.08.246.0018.2.027.3.3.90.39.00</t>
  </si>
  <si>
    <t>14.001.08.246.0019.2.024.3.3.90.48.00</t>
  </si>
  <si>
    <t>14.005.04.128.0002.2.003.3.3.90.39.00</t>
  </si>
  <si>
    <t>14.005.04.131.0002.2.005.3.3.90.30.00</t>
  </si>
  <si>
    <t>14.005.04.131.0002.2.005.3.3.90.39.00</t>
  </si>
  <si>
    <t>14.005.08.122.0018.2.011.3.3.90.30.00</t>
  </si>
  <si>
    <t>14.005.08.122.0018.2.011.3.3.90.39.00</t>
  </si>
  <si>
    <t>14.005.08.122.0018.2.011.4.4.90.52.00</t>
  </si>
  <si>
    <t>14.005.08.241.0018.2.015.4.4.90.52.00</t>
  </si>
  <si>
    <t>14.005.08.245.0018.2.005.3.3.90.30.00</t>
  </si>
  <si>
    <t>14.005.08.245.0018.2.005.3.3.90.39.00</t>
  </si>
  <si>
    <t>14.005.08.245.0018.2.015.3.3.50.39.00</t>
  </si>
  <si>
    <t>14.005.08.245.0018.2.015.3.3.90.30.00</t>
  </si>
  <si>
    <t>14.005.08.245.0018.2.015.3.3.90.39.00</t>
  </si>
  <si>
    <t>14.005.08.245.0018.2.015.3.3.90.93.00</t>
  </si>
  <si>
    <t>14.005.08.245.0018.2.015.4.4.50.52.00</t>
  </si>
  <si>
    <t>14.005.08.245.0018.2.015.4.4.90.52.00</t>
  </si>
  <si>
    <t>14.005.08.245.0018.2.016.3.3.50.39.00</t>
  </si>
  <si>
    <t>14.005.08.245.0018.2.016.3.3.71.70.00</t>
  </si>
  <si>
    <t>14.005.08.245.0018.2.016.3.3.90.30.00</t>
  </si>
  <si>
    <t>14.005.08.245.0018.2.016.3.3.90.39.00</t>
  </si>
  <si>
    <t>14.005.08.245.0018.2.016.3.3.90.48.00</t>
  </si>
  <si>
    <t>14.005.08.245.0018.2.016.3.3.90.93.00</t>
  </si>
  <si>
    <t>14.005.08.245.0018.2.016.4.4.50.52.00</t>
  </si>
  <si>
    <t>14.005.08.245.0018.2.016.4.4.71.70.00</t>
  </si>
  <si>
    <t>14.005.08.245.0018.2.016.4.4.90.52.00</t>
  </si>
  <si>
    <t>14.005.08.246.0018.2.024.3.3.90.30.00</t>
  </si>
  <si>
    <t>14.005.08.246.0018.2.024.3.3.90.39.00</t>
  </si>
  <si>
    <t>14.005.08.246.0018.2.024.3.3.90.93.00</t>
  </si>
  <si>
    <t>14.005.08.246.0018.2.024.4.4.90.52.00</t>
  </si>
  <si>
    <t>14.007.08.245.0018.2.005.3.3.90.30.00</t>
  </si>
  <si>
    <t>14.007.08.245.0018.2.005.3.3.90.39.00</t>
  </si>
  <si>
    <t>14.007.08.245.0018.2.015.3.3.90.30.00</t>
  </si>
  <si>
    <t>14.007.08.245.0018.2.015.3.3.90.39.00</t>
  </si>
  <si>
    <t>14.007.08.245.0018.2.015.3.3.90.93.00</t>
  </si>
  <si>
    <t>14.007.08.245.0018.2.015.4.4.90.52.00</t>
  </si>
  <si>
    <t>14.008.08.245.0018.2.005.3.3.90.39.00</t>
  </si>
  <si>
    <t>14.008.08.245.0018.2.016.3.3.90.30.00</t>
  </si>
  <si>
    <t>14.008.08.245.0018.2.016.3.3.90.48.00</t>
  </si>
  <si>
    <t>14.008.08.245.0018.2.016.3.3.90.93.00</t>
  </si>
  <si>
    <t>14.008.08.245.0018.2.016.4.4.90.52.00</t>
  </si>
  <si>
    <t>15.001.04.122.0001.2.006.3.3.90.33.00</t>
  </si>
  <si>
    <t>15.001.04.122.0001.2.006.3.3.90.39.00</t>
  </si>
  <si>
    <t>15.001.04.128.0002.2.003.3.3.90.36.00</t>
  </si>
  <si>
    <t>15.001.04.128.0002.2.003.3.3.90.39.00</t>
  </si>
  <si>
    <t>15.001.04.131.0002.2.005.3.3.50.39.00</t>
  </si>
  <si>
    <t>15.001.04.131.0002.2.005.3.3.90.30.00</t>
  </si>
  <si>
    <t>15.001.04.131.0002.2.005.3.3.90.39.00</t>
  </si>
  <si>
    <t>15.001.13.334.0009.2.033.3.3.90.30.00</t>
  </si>
  <si>
    <t>15.001.13.391.0009.2.029.3.3.50.43.00</t>
  </si>
  <si>
    <t>15.001.13.391.0009.2.029.3.3.90.39.00</t>
  </si>
  <si>
    <t>15.001.13.392.0009.2.011.3.3.90.30.00</t>
  </si>
  <si>
    <t>15.001.13.392.0009.2.011.3.3.90.39.00</t>
  </si>
  <si>
    <t>15.001.13.392.0009.2.023.3.3.50.39.00</t>
  </si>
  <si>
    <t>15.001.13.392.0009.2.023.4.4.50.51.00</t>
  </si>
  <si>
    <t>15.001.13.392.0009.2.023.4.4.50.52.00</t>
  </si>
  <si>
    <t>15.001.13.392.0009.2.028.3.3.50.39.00</t>
  </si>
  <si>
    <t>15.001.13.392.0009.2.028.3.3.90.36.00</t>
  </si>
  <si>
    <t>15.001.13.392.0009.2.028.3.3.90.39.00</t>
  </si>
  <si>
    <t>15.002.13.391.0009.2.029.3.3.90.39.00</t>
  </si>
  <si>
    <t>15.002.13.392.0009.2.011.3.3.90.30.00</t>
  </si>
  <si>
    <t>15.002.13.392.0009.2.028.3.3.90.36.00</t>
  </si>
  <si>
    <t>15.002.13.392.0009.2.028.3.3.90.39.00</t>
  </si>
  <si>
    <t>16.001.04.122.0001.2.006.3.3.90.36.00</t>
  </si>
  <si>
    <t>16.001.04.122.0001.2.006.3.3.90.39.00</t>
  </si>
  <si>
    <t>16.001.04.128.0002.2.003.3.3.90.36.00</t>
  </si>
  <si>
    <t>16.001.04.128.0002.2.003.3.3.90.39.00</t>
  </si>
  <si>
    <t>16.001.04.131.0002.2.005.3.3.90.30.00</t>
  </si>
  <si>
    <t>16.001.04.131.0002.2.005.3.3.90.39.00</t>
  </si>
  <si>
    <t>16.001.23.334.0008.2.011.3.3.90.30.00</t>
  </si>
  <si>
    <t>16.001.23.334.0008.2.011.3.3.90.31.00</t>
  </si>
  <si>
    <t>16.001.23.334.0008.2.011.3.3.90.39.00</t>
  </si>
  <si>
    <t>17.001.04.122.0001.2.006.3.3.90.33.00</t>
  </si>
  <si>
    <t>17.001.04.122.0001.2.006.3.3.90.39.00</t>
  </si>
  <si>
    <t>17.001.04.128.0002.2.003.3.3.90.36.00</t>
  </si>
  <si>
    <t>17.001.04.128.0002.2.003.3.3.90.39.00</t>
  </si>
  <si>
    <t>17.001.04.131.0002.2.005.3.3.90.30.00</t>
  </si>
  <si>
    <t>17.001.04.131.0002.2.005.3.3.90.39.00</t>
  </si>
  <si>
    <t>17.001.18.422.0007.2.021.3.3.90.30.00</t>
  </si>
  <si>
    <t>17.001.18.422.0007.2.021.3.3.90.39.00</t>
  </si>
  <si>
    <t>17.001.18.541.0007.2.011.3.3.50.39.00</t>
  </si>
  <si>
    <t>17.001.18.541.0007.2.011.3.3.50.85.00</t>
  </si>
  <si>
    <t>17.001.18.541.0007.2.011.3.3.90.30.00</t>
  </si>
  <si>
    <t>17.001.18.541.0007.2.011.3.3.90.39.00</t>
  </si>
  <si>
    <t>17.001.18.541.0007.2.011.3.3.90.93.00</t>
  </si>
  <si>
    <t>17.001.18.541.0007.2.011.4.4.90.52.00</t>
  </si>
  <si>
    <t>17.003.18.422.0007.2.021.3.3.90.35.00</t>
  </si>
  <si>
    <t>18.001.04.122.0001.2.011.3.3.90.39.00</t>
  </si>
  <si>
    <t>18.001.04.122.0001.2.011.3.3.90.93.00</t>
  </si>
  <si>
    <t>18.001.04.453.0013.2.010.3.3.90.93.00</t>
  </si>
  <si>
    <t>18.002.04.122.0001.2.009.3.3.90.36.00</t>
  </si>
  <si>
    <t>18.002.04.122.0001.2.009.3.3.90.39.00</t>
  </si>
  <si>
    <t>18.002.04.122.0001.2.009.3.3.90.93.00</t>
  </si>
  <si>
    <t>18.002.04.122.0001.2.011.3.3.90.39.00</t>
  </si>
  <si>
    <t>18.002.04.122.0001.2.011.3.3.90.40.00</t>
  </si>
  <si>
    <t>18.002.04.122.0001.2.011.3.3.91.39.00</t>
  </si>
  <si>
    <t>18.002.04.126.0002.2.007.3.3.90.40.00</t>
  </si>
  <si>
    <t>18.002.04.128.0001.2.008.3.3.90.39.00</t>
  </si>
  <si>
    <t>18.002.04.128.0001.2.008.3.3.90.48.00</t>
  </si>
  <si>
    <t>18.003.04.126.0002.2.007.3.3.90.30.00</t>
  </si>
  <si>
    <t>18.003.04.126.0002.2.007.3.3.90.39.00</t>
  </si>
  <si>
    <t>18.003.04.126.0002.2.007.3.3.90.40.00</t>
  </si>
  <si>
    <t>18.003.04.126.0002.2.007.4.4.90.40.00</t>
  </si>
  <si>
    <t>18.003.04.126.0002.2.007.4.4.90.52.00</t>
  </si>
  <si>
    <t>19.001.04.122.0001.2.002.3.3.90.39.00</t>
  </si>
  <si>
    <t>19.001.04.122.0001.2.006.3.3.90.33.00</t>
  </si>
  <si>
    <t>19.001.04.122.0001.2.006.3.3.90.39.00</t>
  </si>
  <si>
    <t>19.001.04.128.0002.2.003.3.3.90.39.00</t>
  </si>
  <si>
    <t>19.001.04.131.0002.2.005.3.3.90.30.00</t>
  </si>
  <si>
    <t>19.001.04.131.0002.2.005.3.3.90.39.00</t>
  </si>
  <si>
    <t>19.001.15.126.0013.2.007.3.3.90.39.00</t>
  </si>
  <si>
    <t>19.001.15.422.0013.2.021.3.3.90.30.00</t>
  </si>
  <si>
    <t>19.001.15.422.0013.2.021.3.3.90.39.00</t>
  </si>
  <si>
    <t>19.001.15.451.0013.2.011.3.3.90.30.00</t>
  </si>
  <si>
    <t>19.001.15.451.0013.2.011.3.3.90.36.00</t>
  </si>
  <si>
    <t>19.001.15.451.0013.2.011.3.3.90.39.00</t>
  </si>
  <si>
    <t>19.001.15.451.0013.2.011.4.4.90.52.00</t>
  </si>
  <si>
    <t>19.001.15.451.0013.2.034.3.3.90.39.00</t>
  </si>
  <si>
    <t>19.001.15.451.0013.2.036.3.3.90.39.00</t>
  </si>
  <si>
    <t>19.001.15.453.0013.2.010.3.3.90.39.00</t>
  </si>
  <si>
    <t>19.005.04.122.0001.2.002.3.3.90.39.00</t>
  </si>
  <si>
    <t>19.005.15.126.0013.2.007.3.3.90.39.00</t>
  </si>
  <si>
    <t>19.005.15.451.0013.2.011.3.3.90.39.00</t>
  </si>
  <si>
    <t>19.005.15.451.0013.2.034.3.3.90.39.00</t>
  </si>
  <si>
    <t>20.001.04.122.0001.2.006.3.3.90.33.00</t>
  </si>
  <si>
    <t>20.001.04.122.0001.2.006.3.3.90.39.00</t>
  </si>
  <si>
    <t>20.001.04.128.0002.2.003.3.3.90.39.00</t>
  </si>
  <si>
    <t>20.001.04.131.0002.2.005.3.3.90.30.00</t>
  </si>
  <si>
    <t>20.001.04.131.0002.2.005.3.3.90.39.00</t>
  </si>
  <si>
    <t>20.001.06.126.0006.2.007.3.3.90.39.00</t>
  </si>
  <si>
    <t>20.001.06.181.0006.2.011.3.3.90.30.00</t>
  </si>
  <si>
    <t>20.001.06.181.0006.2.011.3.3.90.39.00</t>
  </si>
  <si>
    <t>20.001.06.181.0006.2.011.4.4.90.52.00</t>
  </si>
  <si>
    <t>21.001.09.272.0001.2.011.3.3.90.14.00</t>
  </si>
  <si>
    <t>21 - IPMO</t>
  </si>
  <si>
    <t>21.001.09.272.0001.2.011.3.3.90.30.00</t>
  </si>
  <si>
    <t>21.001.09.272.0001.2.011.3.3.90.33.00</t>
  </si>
  <si>
    <t>21.001.09.272.0001.2.011.3.3.90.35.00</t>
  </si>
  <si>
    <t>21.001.09.272.0001.2.011.3.3.90.36.00</t>
  </si>
  <si>
    <t>21.001.09.272.0001.2.011.3.3.90.39.00</t>
  </si>
  <si>
    <t>21.001.09.272.0001.2.011.3.3.90.40.00</t>
  </si>
  <si>
    <t>21.001.09.272.0001.2.011.3.3.90.92.00</t>
  </si>
  <si>
    <t>21.001.09.272.0001.2.011.4.4.90.52.00</t>
  </si>
  <si>
    <t>21.001.09.272.0002.2.003.3.3.90.14.00</t>
  </si>
  <si>
    <t>21.001.09.272.0002.2.003.3.3.90.39.00</t>
  </si>
  <si>
    <t>21.001.09.272.0002.2.003.3.3.90.93.00</t>
  </si>
  <si>
    <t>21.003.09.272.0020.2.043.3.1.90.01.00</t>
  </si>
  <si>
    <t>21.003.09.272.0020.2.043.3.1.90.03.00</t>
  </si>
  <si>
    <t>21.003.09.272.0020.2.043.3.1.90.91.00</t>
  </si>
  <si>
    <t>21.003.09.272.0020.2.043.3.3.90.93.00</t>
  </si>
  <si>
    <t>21.005.09.272.0020.2.043.3.1.90.01.00</t>
  </si>
  <si>
    <t>21.005.09.272.0020.2.043.3.1.90.03.00</t>
  </si>
  <si>
    <t>21.005.09.272.0020.2.043.3.1.90.91.00</t>
  </si>
  <si>
    <t>21.005.09.272.0020.2.043.3.3.90.93.00</t>
  </si>
  <si>
    <t>21.006.04.241.0018.2.044.3.3.90.48.00</t>
  </si>
  <si>
    <t>22.001.04.122.0001.2.011.3.3.90.37.00</t>
  </si>
  <si>
    <t>22 - FITO</t>
  </si>
  <si>
    <t>22.001.04.122.0001.2.011.4.4.90.93.00</t>
  </si>
  <si>
    <t>22.001.04.126.0002.2.007.3.3.90.40.00</t>
  </si>
  <si>
    <t>22.001.04.128.0001.2.008.3.3.90.36.00</t>
  </si>
  <si>
    <t>22.001.04.128.0002.2.003.3.3.90.39.00</t>
  </si>
  <si>
    <t>22.002.04.361.0002.2.003.3.3.90.39.00</t>
  </si>
  <si>
    <t>22.002.12.122.0001.2.011.3.3.90.30.00</t>
  </si>
  <si>
    <t>22.002.12.126.0002.2.007.3.3.90.40.00</t>
  </si>
  <si>
    <t>22.002.12.361.0001.2.008.3.3.90.36.00</t>
  </si>
  <si>
    <t>22.002.12.361.0016.2.011.3.3.90.47.00</t>
  </si>
  <si>
    <t>22.002.12.361.0016.2.020.4.4.90.52.00</t>
  </si>
  <si>
    <t>22.004.04.362.0002.2.003.3.3.90.39.00</t>
  </si>
  <si>
    <t>22.004.12.122.0001.2.011.3.3.90.30.00</t>
  </si>
  <si>
    <t>22.004.12.126.0002.2.007.3.3.90.40.00</t>
  </si>
  <si>
    <t>22.004.12.362.0001.2.008.3.3.90.36.00</t>
  </si>
  <si>
    <t>22.004.12.362.0001.2.011.3.3.90.30.00</t>
  </si>
  <si>
    <t>22.004.12.362.0016.2.020.4.4.90.52.00</t>
  </si>
  <si>
    <t>22.006.12.364.0001.2.011.3.3.90.39.00</t>
  </si>
  <si>
    <t>22.007.04.128.0002.2.003.3.3.90.39.00</t>
  </si>
  <si>
    <t>22.007.13.126.0002.2.007.3.3.90.40.00</t>
  </si>
  <si>
    <t>22.007.13.128.0001.2.008.3.3.90.36.00</t>
  </si>
  <si>
    <t>22.007.13.392.0009.2.011.3.3.90.92.00</t>
  </si>
  <si>
    <t>22.008.12.365.0001.2.008.3.3.90.36.00</t>
  </si>
  <si>
    <t>22.016.12.126.0002.2.007.3.3.90.40.00</t>
  </si>
  <si>
    <t>22.016.12.365.0001.2.008.3.3.90.36.00</t>
  </si>
  <si>
    <t>22.016.12.365.0002.2.003.3.3.90.39.00</t>
  </si>
  <si>
    <t>22.016.12.365.0016.2.011.3.3.90.33.00</t>
  </si>
  <si>
    <t>22.016.12.365.0016.2.011.3.3.90.37.00</t>
  </si>
  <si>
    <t>22.016.12.365.0016.2.017.3.3.90.30.00</t>
  </si>
  <si>
    <t>22.016.12.365.0016.2.020.4.4.90.52.00</t>
  </si>
  <si>
    <t>23.001.04.122.0001.2.005.3.3.90.30.00</t>
  </si>
  <si>
    <t>23.001.04.122.0001.2.005.3.3.90.39.00</t>
  </si>
  <si>
    <t>23.001.04.122.0001.2.006.3.3.90.33.00</t>
  </si>
  <si>
    <t>23.001.04.122.0001.2.006.3.3.90.39.00</t>
  </si>
  <si>
    <t>23.001.04.122.0001.2.011.3.3.90.30.00</t>
  </si>
  <si>
    <t>23.001.04.122.0001.2.011.3.3.90.39.00</t>
  </si>
  <si>
    <t>23.001.04.128.0002.2.003.3.3.90.39.00</t>
  </si>
  <si>
    <t>23.001.04.131.0002.2.005.3.3.90.30.00</t>
  </si>
  <si>
    <t>23.001.04.131.0002.2.005.3.3.90.39.00</t>
  </si>
  <si>
    <t>24.001.04.122.0001.2.006.3.3.90.33.00</t>
  </si>
  <si>
    <t>24.001.04.122.0001.2.006.3.3.90.39.00</t>
  </si>
  <si>
    <t>24.001.04.122.0001.2.011.3.3.90.30.00</t>
  </si>
  <si>
    <t>24.001.04.122.0001.2.011.3.3.90.39.00</t>
  </si>
  <si>
    <t>24.001.04.122.0001.2.011.4.4.90.51.00</t>
  </si>
  <si>
    <t>24.001.04.122.0001.2.011.4.4.90.52.00</t>
  </si>
  <si>
    <t>24.001.04.126.0002.2.007.3.3.90.40.00</t>
  </si>
  <si>
    <t>24.001.04.128.0002.2.003.3.3.90.30.00</t>
  </si>
  <si>
    <t>24.001.04.128.0002.2.003.3.3.90.36.00</t>
  </si>
  <si>
    <t>24.001.04.128.0002.2.003.3.3.90.39.00</t>
  </si>
  <si>
    <t>24.001.04.131.0002.2.005.3.3.90.30.00</t>
  </si>
  <si>
    <t>24.001.04.131.0002.2.005.3.3.90.31.00</t>
  </si>
  <si>
    <t>24.001.04.131.0002.2.005.3.3.90.39.00</t>
  </si>
  <si>
    <t>27.001.04.122.0001.2.006.3.3.90.33.00</t>
  </si>
  <si>
    <t>27.001.04.122.0001.2.006.3.3.90.39.00</t>
  </si>
  <si>
    <t>27.001.04.122.0001.2.011.3.3.90.30.00</t>
  </si>
  <si>
    <t>27.001.04.122.0001.2.011.3.3.90.39.00</t>
  </si>
  <si>
    <t>27.001.04.122.0001.2.011.4.4.90.52.00</t>
  </si>
  <si>
    <t>27.001.04.126.0002.2.007.3.3.90.39.00</t>
  </si>
  <si>
    <t>27.001.04.126.0002.2.007.3.3.90.40.00</t>
  </si>
  <si>
    <t>27.001.04.128.0002.2.003.3.3.90.39.00</t>
  </si>
  <si>
    <t>27.001.04.131.0002.2.005.3.3.90.39.00</t>
  </si>
  <si>
    <t>28.001.04.122.0001.2.006.3.3.90.33.00</t>
  </si>
  <si>
    <t>28.001.04.122.0001.2.006.3.3.90.39.00</t>
  </si>
  <si>
    <t>28.001.04.122.0001.2.011.3.3.90.30.00</t>
  </si>
  <si>
    <t>28.001.04.122.0001.2.011.3.3.90.39.00</t>
  </si>
  <si>
    <t>28.001.04.126.0002.2.007.3.3.90.39.00</t>
  </si>
  <si>
    <t>28.001.04.126.0002.2.007.3.3.90.40.00</t>
  </si>
  <si>
    <t>28.001.04.128.0002.2.003.3.3.90.36.00</t>
  </si>
  <si>
    <t>28.001.04.128.0002.2.003.3.3.90.39.00</t>
  </si>
  <si>
    <t>28.001.04.131.0002.2.005.3.3.90.30.00</t>
  </si>
  <si>
    <t>28.001.04.131.0002.2.005.3.3.90.39.00</t>
  </si>
  <si>
    <t>28.007.04.131.0002.2.005.3.3.90.30.00</t>
  </si>
  <si>
    <t>28.007.04.131.0002.2.005.3.3.90.39.00</t>
  </si>
  <si>
    <t>29.001.04.122.0001.2.006.3.3.90.33.00</t>
  </si>
  <si>
    <t>29 - SEIJ</t>
  </si>
  <si>
    <t>29.001.04.122.0001.2.006.3.3.90.39.00</t>
  </si>
  <si>
    <t>29.001.04.128.0002.2.003.3.3.90.36.00</t>
  </si>
  <si>
    <t>29.001.04.128.0002.2.003.3.3.90.39.00</t>
  </si>
  <si>
    <t>29.001.04.131.0002.2.005.3.3.90.30.00</t>
  </si>
  <si>
    <t>29.001.04.131.0002.2.005.3.3.90.39.00</t>
  </si>
  <si>
    <t>29.001.14.243.0018.2.011.3.3.90.30.00</t>
  </si>
  <si>
    <t>29.001.14.243.0018.2.011.3.3.90.39.00</t>
  </si>
  <si>
    <t>29.001.14.243.0018.2.011.4.4.90.52.00</t>
  </si>
  <si>
    <t>29.001.14.243.0018.2.041.3.3.50.39.00</t>
  </si>
  <si>
    <t>29.002.14.243.0018.2.041.3.3.50.39.00</t>
  </si>
  <si>
    <t>29.002.14.243.0018.2.041.4.4.50.39.00</t>
  </si>
  <si>
    <t>29.002.14.243.0018.2.041.4.4.50.52.00</t>
  </si>
  <si>
    <t>30.001.04.122.0001.2.006.3.3.90.33.00</t>
  </si>
  <si>
    <t>30.001.04.122.0001.2.006.3.3.90.39.00</t>
  </si>
  <si>
    <t>30.001.04.122.0001.2.011.3.3.90.30.00</t>
  </si>
  <si>
    <t>30.001.04.122.0001.2.011.3.3.90.39.00</t>
  </si>
  <si>
    <t>30.001.04.122.0001.2.011.4.4.90.52.00</t>
  </si>
  <si>
    <t>30.001.04.128.0002.2.003.3.3.90.36.00</t>
  </si>
  <si>
    <t>30.001.04.128.0002.2.003.3.3.90.39.00</t>
  </si>
  <si>
    <t>30.001.04.131.0002.2.005.3.3.90.30.00</t>
  </si>
  <si>
    <t>30.001.04.131.0002.2.005.3.3.90.36.00</t>
  </si>
  <si>
    <t>30.001.04.131.0002.2.005.3.3.90.39.00</t>
  </si>
  <si>
    <t>30.001.14.242.0010.2.041.3.3.50.39.00</t>
  </si>
  <si>
    <t>30.001.14.242.0016.2.041.3.3.90.39.00</t>
  </si>
  <si>
    <t>30.001.14.242.0018.2.041.3.3.50.39.00</t>
  </si>
  <si>
    <t>30.001.14.242.0018.2.041.3.3.90.36.00</t>
  </si>
  <si>
    <t>30.001.14.242.0018.2.041.3.3.90.39.00</t>
  </si>
  <si>
    <t>30.001.14.242.0018.2.041.3.3.90.40.00</t>
  </si>
  <si>
    <t>30.001.14.242.0018.2.041.4.4.50.52.00</t>
  </si>
  <si>
    <t>30.002.14.242.0018.2.041.3.3.90.30.00</t>
  </si>
  <si>
    <t>30.002.14.242.0018.2.041.3.3.90.39.00</t>
  </si>
  <si>
    <t>30.002.14.242.0018.2.041.4.4.90.51.00</t>
  </si>
  <si>
    <t>30.002.14.242.0018.2.041.4.4.90.52.00</t>
  </si>
  <si>
    <t>31.001.04.122.0001.2.006.3.3.90.33.00</t>
  </si>
  <si>
    <t>31.001.04.122.0001.2.006.3.3.90.39.00</t>
  </si>
  <si>
    <t>31.001.04.128.0002.2.003.3.3.90.39.00</t>
  </si>
  <si>
    <t>31.001.04.131.0002.2.005.3.3.90.30.00</t>
  </si>
  <si>
    <t>31.001.04.131.0002.2.005.3.3.90.39.00</t>
  </si>
  <si>
    <t>31.001.14.391.0009.2.029.3.3.90.40.00</t>
  </si>
  <si>
    <t>31.001.14.422.0018.2.011.3.3.90.30.00</t>
  </si>
  <si>
    <t>31.001.14.422.0018.2.011.3.3.90.39.00</t>
  </si>
  <si>
    <t>31.001.14.422.0018.2.011.4.4.90.52.00</t>
  </si>
  <si>
    <t>32.001.04.122.0001.2.006.3.3.90.33.00</t>
  </si>
  <si>
    <t>32.001.04.122.0001.2.006.3.3.90.39.00</t>
  </si>
  <si>
    <t>32.001.04.128.0002.2.003.3.3.90.36.00</t>
  </si>
  <si>
    <t>32.001.04.131.0002.2.005.3.3.90.30.00</t>
  </si>
  <si>
    <t>32.001.04.131.0002.2.005.3.3.90.39.00</t>
  </si>
  <si>
    <t>32.001.14.334.0017.2.004.3.3.90.39.00</t>
  </si>
  <si>
    <t>32.001.14.422.0018.2.011.3.3.50.39.00</t>
  </si>
  <si>
    <t>32.001.14.422.0018.2.011.3.3.71.70.00</t>
  </si>
  <si>
    <t>32.001.14.422.0018.2.011.3.3.90.30.00</t>
  </si>
  <si>
    <t>32.001.14.422.0018.2.011.3.3.90.39.00</t>
  </si>
  <si>
    <t>32.001.14.422.0018.2.011.4.4.71.70.00</t>
  </si>
  <si>
    <t>32.001.14.422.0018.2.011.4.4.90.52.00</t>
  </si>
  <si>
    <t>32.002.14.422.0018.2.011.3.3.90.30.00</t>
  </si>
  <si>
    <t>32.002.14.422.0018.2.011.3.3.90.39.00</t>
  </si>
  <si>
    <t>32.002.14.422.0018.2.011.4.4.90.52.00</t>
  </si>
  <si>
    <t>33.001.04.122.0001.2.006.3.3.90.33.00</t>
  </si>
  <si>
    <t>33.001.04.122.0001.2.006.3.3.90.39.00</t>
  </si>
  <si>
    <t>33.001.04.122.0001.2.011.3.3.90.30.00</t>
  </si>
  <si>
    <t>33.001.04.122.0001.2.011.3.3.90.39.00</t>
  </si>
  <si>
    <t>33.001.04.122.0001.2.011.4.4.90.52.00</t>
  </si>
  <si>
    <t>33.001.04.126.0002.2.007.3.3.90.39.00</t>
  </si>
  <si>
    <t>33.001.04.126.0002.2.007.3.3.90.40.00</t>
  </si>
  <si>
    <t>33.001.04.128.0002.2.003.3.3.90.39.00</t>
  </si>
  <si>
    <t>33.001.04.131.0002.2.005.3.3.90.39.00</t>
  </si>
  <si>
    <t>34.001.04.122.0001.2.006.3.3.90.33.00</t>
  </si>
  <si>
    <t>34.001.04.122.0001.2.006.3.3.90.39.00</t>
  </si>
  <si>
    <t>34.001.04.126.0002.2.007.3.3.90.30.00</t>
  </si>
  <si>
    <t>34.001.04.126.0002.2.007.3.3.90.39.00</t>
  </si>
  <si>
    <t>34.001.04.126.0002.2.007.4.4.90.52.00</t>
  </si>
  <si>
    <t>34.001.04.128.0002.2.003.3.3.90.36.00</t>
  </si>
  <si>
    <t>34.001.04.131.0002.2.005.3.3.90.30.00</t>
  </si>
  <si>
    <t>34.001.04.131.0002.2.005.3.3.90.39.00</t>
  </si>
  <si>
    <t>34.001.15.182.0005.2.011.3.3.90.30.00</t>
  </si>
  <si>
    <t>34.001.15.182.0005.2.011.3.3.90.39.00</t>
  </si>
  <si>
    <t>34.001.15.182.0005.2.011.4.4.90.52.00</t>
  </si>
  <si>
    <t>35.001.04.122.0001.2.006.3.3.90.33.00</t>
  </si>
  <si>
    <t>35.001.04.122.0001.2.006.3.3.90.39.00</t>
  </si>
  <si>
    <t>35.001.04.122.0001.2.011.3.3.90.30.00</t>
  </si>
  <si>
    <t>35.001.04.122.0001.2.011.3.3.90.39.00</t>
  </si>
  <si>
    <t>35.001.04.122.0001.2.011.4.4.90.52.00</t>
  </si>
  <si>
    <t>35.001.04.128.0002.2.003.3.3.90.39.00</t>
  </si>
  <si>
    <t>35.001.04.131.0002.2.005.3.3.90.39.00</t>
  </si>
  <si>
    <t>36.001.04.122.0001.2.006.3.3.90.33.00</t>
  </si>
  <si>
    <t>36.001.04.122.0001.2.006.3.3.90.39.00</t>
  </si>
  <si>
    <t>36.001.04.128.0002.2.003.3.3.90.39.00</t>
  </si>
  <si>
    <t>36.001.04.131.0002.2.005.3.3.90.30.00</t>
  </si>
  <si>
    <t>36.001.04.131.0002.2.005.3.3.90.39.00</t>
  </si>
  <si>
    <t>36.001.08.244.0019.2.011.3.3.90.30.00</t>
  </si>
  <si>
    <t>36.001.08.244.0019.2.011.3.3.90.39.00</t>
  </si>
  <si>
    <t>36.001.08.244.0019.2.011.3.3.90.93.00</t>
  </si>
  <si>
    <t>36.001.08.244.0019.2.011.4.4.90.52.00</t>
  </si>
  <si>
    <t>36.001.08.244.0019.2.024.3.3.90.30.00</t>
  </si>
  <si>
    <t>36.001.08.244.0019.2.024.3.3.90.32.00</t>
  </si>
  <si>
    <t>36.001.14.244.0018.2.041.3.3.50.39.00</t>
  </si>
  <si>
    <t>36.001.14.244.0018.2.041.3.3.90.30.00</t>
  </si>
  <si>
    <t>36.001.14.244.0018.2.041.3.3.90.39.00</t>
  </si>
  <si>
    <t>36.001.14.244.0018.2.041.4.4.50.39.00</t>
  </si>
  <si>
    <t>36.001.14.244.0018.2.041.4.4.90.52.00</t>
  </si>
  <si>
    <t>77.777.99.999.9999.9.999.9.9.99.99.00</t>
  </si>
  <si>
    <t>99.999.99.999.9999.9.999.9.9.99.99.00</t>
  </si>
  <si>
    <t>02.001.04.122.0001.2.011.4.4.50.52.00</t>
  </si>
  <si>
    <t>02.012.04.122.0001.2.011.3.3.90.39.00</t>
  </si>
  <si>
    <t>02.012.04.122.0001.2.011.4.4.50.52.00</t>
  </si>
  <si>
    <t>04.001.04.122.0001.2.011.3.3.90.93.00</t>
  </si>
  <si>
    <t>04.001.04.122.0002.2.011.3.3.90.33.00</t>
  </si>
  <si>
    <t>04.001.04.122.0001.2.011.4.4.90.52.00</t>
  </si>
  <si>
    <t>05.001.04.122.0001.2.011.4.4.90.52.00</t>
  </si>
  <si>
    <t>06.001.04.122.0001.2.011.4.4.90.52.00</t>
  </si>
  <si>
    <t>06.001.04.122.0001.2.011.3.3.90.92.00</t>
  </si>
  <si>
    <t>06.001.04.122.0001.2.011.3.3.90.93.00</t>
  </si>
  <si>
    <t>06.011.04.128.0002.2.003.3.3.90.30.00</t>
  </si>
  <si>
    <t>06.011.04.128.0002.2.003.3.3.90.40.00</t>
  </si>
  <si>
    <t>06.011.04.128.0002.2.003.4.4.90.52.00</t>
  </si>
  <si>
    <t>07.001.04.122.0002.2.003.3.3.90.36.00</t>
  </si>
  <si>
    <t>07.001.04.122.0002.2.003.3.3.90.39.00</t>
  </si>
  <si>
    <t>07.001.04.122.0002.2.005.3.3.90.30.00</t>
  </si>
  <si>
    <t>07.001.04.122.0002.2.005.3.3.90.39.00</t>
  </si>
  <si>
    <t>07.001.11.334.0017.2.011.3.3.90.30.00</t>
  </si>
  <si>
    <t>07.001.11.334.0017.2.011.3.3.90.39.00</t>
  </si>
  <si>
    <t>07.001.11.334.0017.2.011.4.4.90.52.00</t>
  </si>
  <si>
    <t>07.001.11.333.0017.2.027.3.3.90.30.00</t>
  </si>
  <si>
    <t>07.001.11.333.0017.2.027.4.4.90.52.00</t>
  </si>
  <si>
    <t>07.001.11.333.0017.2.004.3.3.50.39.00</t>
  </si>
  <si>
    <t>07.001.11.333.0017.2.004.3.3.90.30.00</t>
  </si>
  <si>
    <t>07.001.11.333.0017.2.004.3.3.90.39.00</t>
  </si>
  <si>
    <t>07.001.11.334.0017.2.027.3.3.90.30.00</t>
  </si>
  <si>
    <t>07.001.11.334.0017.2.027.3.3.90.39.00</t>
  </si>
  <si>
    <t>07.001.11.334.0017.2.027.4.4.90.52.00</t>
  </si>
  <si>
    <t>07.001.11.334.0017.2.025.3.3.90.30.00</t>
  </si>
  <si>
    <t>07.001.11.334.0017.2.025.3.3.90.39.00</t>
  </si>
  <si>
    <t>08.001.12.122.0002.2.005.3.3.90.30.00</t>
  </si>
  <si>
    <t>08.001.12.122.0002.2.005.3.3.90.39.00</t>
  </si>
  <si>
    <t>08.001.12.122.0001.2.011.3.3.90.93.00</t>
  </si>
  <si>
    <t>08.001.12.361.0016.2.018.3.3.90.30.00</t>
  </si>
  <si>
    <t>08.001.12.366.0016.2.019.3.3.90.39.00</t>
  </si>
  <si>
    <t>09.001.04.128.0002.2.003.3.3.90.36.00</t>
  </si>
  <si>
    <t>09.010.10.302.0002.2.014.3.3.90.30.00</t>
  </si>
  <si>
    <t>09.008.10.301.0015.2.012.</t>
  </si>
  <si>
    <t>09.008.10.301.0014.2.012.3.3.90.39.00</t>
  </si>
  <si>
    <t>09.012.10.303.0015.2.011.3.3.90.32.00</t>
  </si>
  <si>
    <t>09.015.10.302.0015.2.014.3.3.90.30.00</t>
  </si>
  <si>
    <t>09.015.10.122.0014.2.011.3.3.90.92.00</t>
  </si>
  <si>
    <t>11.001.04.121.0011.2.011.4.4.90.52.00</t>
  </si>
  <si>
    <t>11.001.04.452.0011.2.034.3.3.90.39.00</t>
  </si>
  <si>
    <t>11.001.04.121.0011.2.011.3.3.90.93.00</t>
  </si>
  <si>
    <t>11.001.15.451.0011.2.011.4.4.90.51.00</t>
  </si>
  <si>
    <t>12.001.04.122.0002.2.032.3.3.50.39.00</t>
  </si>
  <si>
    <t>12.001.04.122.0001.2.011.3.3.90.30.00</t>
  </si>
  <si>
    <t>12.001.04.811.0010.2.030.3.3.90.33.00</t>
  </si>
  <si>
    <t>12.001.04.131.0010.2.005.3.3.90.39.00</t>
  </si>
  <si>
    <t>12.001.04.122.0004.2.011.3.3.90.39.00</t>
  </si>
  <si>
    <t>12.001.04.121.0001.2.011.3.3.90.39.00</t>
  </si>
  <si>
    <t>12.001.04.122.0001.2.011.3.3.90.39.00</t>
  </si>
  <si>
    <t>12.001.04.131.0001.2.006.3.3.90.39.00</t>
  </si>
  <si>
    <t>12.001.04.121.0001.2.032.3.3.90.92.00</t>
  </si>
  <si>
    <t>12.001.04.122.0001.2.006.3.3.90.93.00</t>
  </si>
  <si>
    <t>12.001.04.121.0010.2.030.4.4.90.52.00</t>
  </si>
  <si>
    <t>12.001.04.122.0002.2.028.3.3.90.39.00</t>
  </si>
  <si>
    <t>12.001.27.811.0010.2.031.3.3.90.31.00</t>
  </si>
  <si>
    <t>12.001.27.812.0010.2.032.3.3.90.36.00</t>
  </si>
  <si>
    <t>12.001.27.812.0010.2.030.3.3.90.39.00</t>
  </si>
  <si>
    <t>12.001.27.812.0010.2.006.3.3.90.39.00</t>
  </si>
  <si>
    <t>12.001.27.812.0001.2.032.3.3.90.39.00</t>
  </si>
  <si>
    <t>13.001.04.122.0001.2.003.3.3.90.36.00</t>
  </si>
  <si>
    <t>13.001.04.122.0001.2.003.3.3.90.39.00</t>
  </si>
  <si>
    <t>13.001.04.122.0001.2.005.3.3.90.93.00</t>
  </si>
  <si>
    <t>13.008.04.122.0001.2.005.3.3.90.93.00</t>
  </si>
  <si>
    <t>13.001.04.122.0001.2.005.3.3.90.39.00</t>
  </si>
  <si>
    <t>14.001.08.246.0019.2.024.3.3.90.39.00</t>
  </si>
  <si>
    <t>14.005.08.245.0018.2.011.3.3.90.39.00</t>
  </si>
  <si>
    <t>14.005.08.245.0018.2.016.3.3.90.36.00</t>
  </si>
  <si>
    <t>14.008.08.245.0018.2.016.3.3.90.39.00</t>
  </si>
  <si>
    <t>15.001.13.131.0009.2.005.3.3.90.39.00</t>
  </si>
  <si>
    <t>15.001.13.392.0001.2.011.3.3.90.30.00</t>
  </si>
  <si>
    <t>16.001.23.131.0002.2.005.3.3.90.39.00</t>
  </si>
  <si>
    <t>17.001.04.122.0007.2.011.3.3.90.30.00</t>
  </si>
  <si>
    <t>17.001.04.541.0007.2.011.3.3.50.85.00</t>
  </si>
  <si>
    <t>17.001.04.541.0007.2.011.3.3.90.39.00</t>
  </si>
  <si>
    <t>17.001.04.122.0007.2.011.3.3.90.39.00</t>
  </si>
  <si>
    <t>17.001..131.0002.2.005.3.3.90.39.00</t>
  </si>
  <si>
    <t>17.001.18.122.0001.2.011.3.3.90.93.00</t>
  </si>
  <si>
    <t>18.002.04.122.0001.2.011.3.3.90.92.00</t>
  </si>
  <si>
    <t>18.002.04.122.0001.2.011.3.3.90.93.00</t>
  </si>
  <si>
    <t>18.002.04.122.0001.2.009.3.3.90.92.00</t>
  </si>
  <si>
    <t>18.001.04.122.0001.2.011.3.3.90.91.00</t>
  </si>
  <si>
    <t>19.001.04.451.0013..3.3.90.39.00</t>
  </si>
  <si>
    <t>19.005.04.451.0013..3.3.90.39.00</t>
  </si>
  <si>
    <t>19.001.04.122.0013..3.3.90.93.00</t>
  </si>
  <si>
    <t>19.001.15.451.0013..3.3.90.39.00</t>
  </si>
  <si>
    <t>23.001.04.122.0001.2.005.4.4.90.52.00</t>
  </si>
  <si>
    <t>23.001.04.128.0002.2.003.4.4.90.52.00</t>
  </si>
  <si>
    <t>23.001.04.131.0002.2.005.4.4.90.52.00</t>
  </si>
  <si>
    <t>24.001.04.121.0001.2.011.3.3.90.39.00</t>
  </si>
  <si>
    <t>24.001.04.121.0001.2.011.3.3.90.30.00</t>
  </si>
  <si>
    <t>24.001.04.121.0001.2.011.4.4.90.52.00</t>
  </si>
  <si>
    <t>24.001.04.121.0001.2.007.3.3.90.40.00</t>
  </si>
  <si>
    <t>24.001.04.121.0001.2.005.3.3.90.31.00</t>
  </si>
  <si>
    <t>24.001.04.121.0001.2.005.3.3.90.30.00</t>
  </si>
  <si>
    <t>24.001.04.121.0001.2.005.3.3.90.39.00</t>
  </si>
  <si>
    <t>24.001.04.121.0001.2.011.4.4.90.51.00</t>
  </si>
  <si>
    <t>27.001.04.126.0001.2.007.3.3.90.39.00</t>
  </si>
  <si>
    <t>27.001.04.126.0001.2.007.3.3.90.40.00</t>
  </si>
  <si>
    <t>27.001.04.131.0002.2.005.3.3.90.30.00</t>
  </si>
  <si>
    <t>27.001.04.131.0002.2.005.4.4.90.52.00</t>
  </si>
  <si>
    <t>28.001.04.122.0001.2.011.4.4.90.52.00</t>
  </si>
  <si>
    <t>28.007.04.131.0001.2.005.3.3.90.39.00</t>
  </si>
  <si>
    <t>28.007.04.122.0001.2.005.3.3.90.30.00</t>
  </si>
  <si>
    <t>30.001.14.242..2.041.3.3.50.39.00</t>
  </si>
  <si>
    <t>30.001.14.242..2.041.4.4.50.52.00</t>
  </si>
  <si>
    <t>31.001.04.122.0001.2.011.3.3.90.30.00</t>
  </si>
  <si>
    <t>31.001.04.422.0018.2.005.3.3.90.39.00</t>
  </si>
  <si>
    <t>31.001.04.122.0001.2.011.4.4.90.52.00</t>
  </si>
  <si>
    <t>31.001.04.122.0001.2.011.3.3.90.39.00</t>
  </si>
  <si>
    <t>31.001.04.128.0001.2.003.3.3.90.39.00</t>
  </si>
  <si>
    <t>31.001.04.422.0002.2.003.3.3.90.35.00</t>
  </si>
  <si>
    <t>31.001.14.391.0009.2.029.4.4.90.52.00</t>
  </si>
  <si>
    <t>31.001.14.131.0002.2.005.3.3.90.39.00</t>
  </si>
  <si>
    <t>31.001.14.422.0009.2.029.3.3.90.31.00</t>
  </si>
  <si>
    <t>31.001.14.422.0018.2.005.3.3.90.36.00</t>
  </si>
  <si>
    <t>31.001.14.422.0018.2.005.3.3.90.39.00</t>
  </si>
  <si>
    <t>31.001.14.422.0018.2.005.3.3.90.30.00</t>
  </si>
  <si>
    <t>31.001.14.422.0002.2.011.3.3.90.33.00</t>
  </si>
  <si>
    <t>31.001.14.422.0002.2.011.3.3.90.39.00</t>
  </si>
  <si>
    <t>32.001.04.131.0001.2.005.3.3.90.39.00</t>
  </si>
  <si>
    <t>33.001.04.122.0001.2.006.3.3.90.93.00</t>
  </si>
  <si>
    <t>01.001.01.031.0003.1.003.3.3.90.39.00</t>
  </si>
  <si>
    <t>01.001.01.031.0003.1.003.3.3.90.92.00</t>
  </si>
  <si>
    <t>01.001.01.031.0003.1.003.3.3.90.93.00</t>
  </si>
  <si>
    <t>01.001.01.031.0003.1.003.4.4.90.51.00</t>
  </si>
  <si>
    <t>01.001.01.031.0003.1.003.4.4.90.52.00</t>
  </si>
  <si>
    <t>01.001.01.031.0003.1.003.4.4.90.92.00</t>
  </si>
  <si>
    <t>01.001.01.122.0003.2.001.3.1.90.11.00</t>
  </si>
  <si>
    <t>01.001.01.122.0003.2.001.3.1.90.13.00</t>
  </si>
  <si>
    <t>01.001.01.122.0003.2.001.3.1.90.16.00</t>
  </si>
  <si>
    <t>01.001.01.122.0003.2.001.3.1.90.91.00</t>
  </si>
  <si>
    <t>01.001.01.122.0003.2.001.3.1.90.92.00</t>
  </si>
  <si>
    <t>01.001.01.122.0003.2.001.3.1.90.94.00</t>
  </si>
  <si>
    <t>01.001.01.122.0003.2.001.3.1.90.96.00</t>
  </si>
  <si>
    <t>01.001.01.122.0003.2.001.3.1.91.13.00</t>
  </si>
  <si>
    <t>01.001.01.122.0003.2.001.3.1.91.92.00</t>
  </si>
  <si>
    <t>01.001.01.122.0003.2.001.3.3.90.08.00</t>
  </si>
  <si>
    <t>01.001.01.122.0003.2.001.3.3.90.39.00</t>
  </si>
  <si>
    <t>01.001.01.122.0003.2.001.3.3.90.46.00</t>
  </si>
  <si>
    <t>01.001.01.122.0003.2.001.3.3.90.47.00</t>
  </si>
  <si>
    <t>01.001.01.122.0003.2.001.3.3.90.49.00</t>
  </si>
  <si>
    <t>01.001.01.122.0003.2.001.3.3.90.92.00</t>
  </si>
  <si>
    <t>02.001.04.121.0004.1.001.3.3.80.35.00</t>
  </si>
  <si>
    <t>02.001.04.122.0001.1.002.3.3.90.39.00</t>
  </si>
  <si>
    <t>02.001.04.122.0001.2.001.3.1.90.11.00</t>
  </si>
  <si>
    <t>02.001.04.122.0001.2.001.3.1.90.13.00</t>
  </si>
  <si>
    <t>02.001.04.122.0001.2.001.3.1.91.13.00</t>
  </si>
  <si>
    <t>02.001.04.122.0001.2.001.3.3.90.46.00</t>
  </si>
  <si>
    <t>02.001.04.122.0001.2.001.3.3.90.49.00</t>
  </si>
  <si>
    <t>04.001.04.122.0001.1.002.3.3.90.39.00</t>
  </si>
  <si>
    <t>04.001.04.122.0001.2.001.3.1.90.11.00</t>
  </si>
  <si>
    <t>04.001.04.122.0001.2.001.3.1.90.13.00</t>
  </si>
  <si>
    <t>04.001.04.122.0001.2.001.3.1.91.13.00</t>
  </si>
  <si>
    <t>04.001.04.122.0001.2.001.3.3.90.46.00</t>
  </si>
  <si>
    <t>04.001.04.122.0001.2.001.3.3.90.49.00</t>
  </si>
  <si>
    <t>05.001.04.121.0004.1.001.3.3.90.35.00</t>
  </si>
  <si>
    <t>05.001.04.122.0001.1.002.3.3.90.39.00</t>
  </si>
  <si>
    <t>05.001.04.122.0001.2.001.3.1.90.11.00</t>
  </si>
  <si>
    <t>05.001.04.122.0001.2.001.3.1.90.13.00</t>
  </si>
  <si>
    <t>05.001.04.122.0001.2.001.3.1.91.13.00</t>
  </si>
  <si>
    <t>05.001.04.122.0001.2.001.3.3.90.46.00</t>
  </si>
  <si>
    <t>05.001.04.122.0001.2.001.3.3.90.49.00</t>
  </si>
  <si>
    <t>06.001.04.122.0001.2.001.3.1.90.11.00</t>
  </si>
  <si>
    <t>06.001.04.122.0001.2.001.3.1.90.13.00</t>
  </si>
  <si>
    <t>06.001.04.122.0001.2.001.3.1.91.13.00</t>
  </si>
  <si>
    <t>06.001.04.122.0001.2.001.3.3.90.46.00</t>
  </si>
  <si>
    <t>06.001.04.122.0001.2.001.3.3.90.49.00</t>
  </si>
  <si>
    <t>07.001.04.121.0004.1.001.3.3.90.35.00</t>
  </si>
  <si>
    <t>07.001.04.122.0001.2.001.3.1.90.11.00</t>
  </si>
  <si>
    <t>07.001.04.122.0001.2.001.3.1.90.13.00</t>
  </si>
  <si>
    <t>07.001.04.122.0001.2.001.3.1.91.13.00</t>
  </si>
  <si>
    <t>07.001.04.122.0001.2.001.3.3.90.46.00</t>
  </si>
  <si>
    <t>07.001.04.122.0001.2.001.3.3.90.49.00</t>
  </si>
  <si>
    <t>07.001.11.122.0017.1.002.3.3.90.39.00</t>
  </si>
  <si>
    <t>07.001.18.542.0007.1.003.4.4.90.51.00</t>
  </si>
  <si>
    <t>08.001.04.121.0004.1.001.3.3.90.35.00</t>
  </si>
  <si>
    <t>08.001.04.121.0004.1001.3.3.90.35..00</t>
  </si>
  <si>
    <t>08.001.12.122.0001.1.002.3.3.90.39.00</t>
  </si>
  <si>
    <t>08.001.12.122.0001.1.002.4.4.90.51.00</t>
  </si>
  <si>
    <t>08.001.12.122.0001.2.001.3.1.90.11.00</t>
  </si>
  <si>
    <t>08.001.12.122.0001.2.001.3.1.90.13.00</t>
  </si>
  <si>
    <t>08.001.12.122.0001.2.001.3.1.91.13.00</t>
  </si>
  <si>
    <t>08.001.12.122.0001.2.001.3.3.90.46.00</t>
  </si>
  <si>
    <t>08.001.12.122.0001.2.001.3.3.90.49.00</t>
  </si>
  <si>
    <t>08.001.12.361.0001.2.001.3.1.90.11.00</t>
  </si>
  <si>
    <t>08.001.12.361.0001.2.001.3.1.90.13.00</t>
  </si>
  <si>
    <t>08.001.12.361.0001.2.001.3.1.91.13.00</t>
  </si>
  <si>
    <t>08.001.12.361.0001.2.001.3.3.90.46.00</t>
  </si>
  <si>
    <t>08.001.12.361.0001.2.001.3.3.90.49.00</t>
  </si>
  <si>
    <t>08.001.12.361.0016.1.002.3.3.90.39.00</t>
  </si>
  <si>
    <t>08.001.12.361.0016.1.003.4.4.90.51.00</t>
  </si>
  <si>
    <t>08.001.12.361.0016.1.003.4.4.90.52.00</t>
  </si>
  <si>
    <t>08.001.12.365.0001.2.001.3.1.90.11.00</t>
  </si>
  <si>
    <t>08.001.12.365.0001.2.001.3.1.90.13.00</t>
  </si>
  <si>
    <t>08.001.12.365.0001.2.001.3.1.91.13.00</t>
  </si>
  <si>
    <t>08.001.12.365.0001.2.001.3.3.90.46.00</t>
  </si>
  <si>
    <t>08.001.12.365.0001.2.001.3.3.90.49.00</t>
  </si>
  <si>
    <t>08.001.12.365.0016.1.002.3.3.90.39.00</t>
  </si>
  <si>
    <t>08.001.12.365.0016.1.003.4.4.90.51.00</t>
  </si>
  <si>
    <t>08.001.12.365.0016.1.003.4.4.90.52.00</t>
  </si>
  <si>
    <t>08.001.12.366.0001.2.001.3.1.90.11.00</t>
  </si>
  <si>
    <t>08.001.12.366.0001.2.001.3.1.90.13.00</t>
  </si>
  <si>
    <t>08.001.12.366.0001.2.001.3.1.91.13.00</t>
  </si>
  <si>
    <t>08.001.12.366.0001.2.001.3.3.90.46.00</t>
  </si>
  <si>
    <t>08.001.12.366.0001.2.001.3.3.90.49.00</t>
  </si>
  <si>
    <t>09.001.04.122.0001.2.001.3.1.90.94.00</t>
  </si>
  <si>
    <t>09.001.10.122.0001.2.001.3.1.90.11.00</t>
  </si>
  <si>
    <t>09.001.10.122.0001.2.001.3.1.90.13.00</t>
  </si>
  <si>
    <t>09.001.10.122.0001.2.001.3.1.91.13.00</t>
  </si>
  <si>
    <t>09.001.10.122.0001.2.001.3.3.90.46.00</t>
  </si>
  <si>
    <t>09.001.10.122.0001.2.001.3.3.90.49.00</t>
  </si>
  <si>
    <t>09.001.10.304.0001.2.001.3.1.90.11.00</t>
  </si>
  <si>
    <t>09.001.10.304.0001.2.001.3.1.90.13.00</t>
  </si>
  <si>
    <t>09.001.10.304.0001.2.001.3.1.91.13.00</t>
  </si>
  <si>
    <t>09.001.10.304.0001.2.001.3.3.90.49.00</t>
  </si>
  <si>
    <t>09.001.10.305.0001.2.001.3.1.90.11.00</t>
  </si>
  <si>
    <t>09.001.10.305.0001.2.001.3.1.90.13.00</t>
  </si>
  <si>
    <t>09.001.10.305.0001.2.001.3.1.91.13.00</t>
  </si>
  <si>
    <t>09.001.10.305.0001.2.001.3.3.90.46.00</t>
  </si>
  <si>
    <t>09.001.10.305.0001.2.001.3.3.90.49.00</t>
  </si>
  <si>
    <t>09.006.10.302.0015.1.002.3.3.90.30.00</t>
  </si>
  <si>
    <t>09.006.10.302.0015.1.002.3.3.90.39.00</t>
  </si>
  <si>
    <t>09.006.10.302.0015.1.002.4.4.90.51.00</t>
  </si>
  <si>
    <t>09.006.10.302.0015.1.002.4.4.90.52.00</t>
  </si>
  <si>
    <t>09.008.10.301.0015.1.002.3.3.90.30.00</t>
  </si>
  <si>
    <t>09.008.10.301.0015.1.002.3.3.90.39.00</t>
  </si>
  <si>
    <t>09.008.10.301.0015.1.002.4.4.90.51.00</t>
  </si>
  <si>
    <t>09.008.10.301.0015.1.002.4.4.90.52.00</t>
  </si>
  <si>
    <t>09.008.10.301.0015.1.003.4.4.90.51.00</t>
  </si>
  <si>
    <t>09.009.10.302.0015.1.002.3.3.90.30.00</t>
  </si>
  <si>
    <t>09.009.10.302.0015.1.002.3.3.90.39.00</t>
  </si>
  <si>
    <t>09.009.10.302.0015.1.002.4.4.90.51.00</t>
  </si>
  <si>
    <t>09.009.10.302.0015.1.002.4.4.90.52.00</t>
  </si>
  <si>
    <t>09.009.10.302.0015.1.003.4.4.90.51.00</t>
  </si>
  <si>
    <t>09.010.10.302.0015.1.002.3.3.90.30.00</t>
  </si>
  <si>
    <t>09.010.10.302.0015.1.002.3.3.90.39.00</t>
  </si>
  <si>
    <t>09.010.10.302.0015.1.002.4.4.90.51.00</t>
  </si>
  <si>
    <t>09.010.10.302.0015.1.002.4.4.90.52.00</t>
  </si>
  <si>
    <t>09.015.04.121.0004.1.001.3.3.90.35.00</t>
  </si>
  <si>
    <t>09.015.10.122.0014.1.002.3.3.90.30.00</t>
  </si>
  <si>
    <t>09.015.10.122.0014.1.002.3.3.90.39.00</t>
  </si>
  <si>
    <t>09.015.10.122.0014.1.002.4.4.90.51.00</t>
  </si>
  <si>
    <t>09.015.10.122.0014.1.002.4.4.90.52.00</t>
  </si>
  <si>
    <t>11.001.04.121.0004.1.001.3.3.90.39.00</t>
  </si>
  <si>
    <t>11.001.04.121.0004.1.001.3.3.90.40.00</t>
  </si>
  <si>
    <t>11.001.04.122.0001.2.001.3.1.90.11.00</t>
  </si>
  <si>
    <t>11.001.04.122.0001.2.001.3.1.90.13.00</t>
  </si>
  <si>
    <t>11.001.04.122.0001.2.001.3.1.91.13.00</t>
  </si>
  <si>
    <t>11.001.04.122.0001.2.001.3.3.90.46.00</t>
  </si>
  <si>
    <t>11.001.04.122.0001.2.001.3.3.90.49.00</t>
  </si>
  <si>
    <t>11.001.04.122.0011.1.002.3.3.90.39.00</t>
  </si>
  <si>
    <t>11.001.04.122.0011.1.003.4.4.90.51.00</t>
  </si>
  <si>
    <t>11.001.15.451.0011.1.005.3.3.90.39.00</t>
  </si>
  <si>
    <t>11.001.15.451.0013.1.005.4.4.90.51.00</t>
  </si>
  <si>
    <t>11.001.15.451.0013.1.006.4.4.90.51.00</t>
  </si>
  <si>
    <t>11.001.18.452.0007.1.003.3.3.90.39.00</t>
  </si>
  <si>
    <t>11.001.18.544.0005.1.007.4.4.90.51.00</t>
  </si>
  <si>
    <t>11.001.18.544.0005.1.008.4.4.90.51.00</t>
  </si>
  <si>
    <t>11.014.04.122.0011.1.003.4.4.90.51.00</t>
  </si>
  <si>
    <t>12.001.04.121.0004.1.001.3.3.90.35.00</t>
  </si>
  <si>
    <t>12.001.04.122.0001.2.001.3.1.90.11.00</t>
  </si>
  <si>
    <t>12.001.04.122.0001.2.001.3.1.90.13.00</t>
  </si>
  <si>
    <t>12.001.04.122.0001.2.001.3.1.91.13.00</t>
  </si>
  <si>
    <t>12.001.04.122.0001.2.001.3.3.90.46.00</t>
  </si>
  <si>
    <t>12.001.04.122.0001.2.001.3.3.90.49.00</t>
  </si>
  <si>
    <t>12.001.27.812.0010.1.002.3.3.90.39.00</t>
  </si>
  <si>
    <t>12.001.27.812.0010.1.002.4.4.90.51.00</t>
  </si>
  <si>
    <t>12.001.27.812.0010.1.003.3.3.90.39.00</t>
  </si>
  <si>
    <t>12.001.27.812.0010.1.003.4.4.90.51.00</t>
  </si>
  <si>
    <t>13.001.04.121.0004.1.001.3.3.90.35.00</t>
  </si>
  <si>
    <t>13.001.04.122.0001.1.002.3.3.90.39.00</t>
  </si>
  <si>
    <t>13.001.04.122.0001.2.001.3.1.90.11.00</t>
  </si>
  <si>
    <t>13.001.04.122.0001.2.001.3.1.90.13.00</t>
  </si>
  <si>
    <t>13.001.04.122.0001.2.001.3.1.91.13.00</t>
  </si>
  <si>
    <t>13.001.04.122.0001.2.001.3.3.90.46.00</t>
  </si>
  <si>
    <t>13.001.04.122.0001.2.001.3.3.90.49.00</t>
  </si>
  <si>
    <t>13.001.15.451.0005.1.009.4.4.90.51.00</t>
  </si>
  <si>
    <t>13.001.16.482.0012.1.009.4.4.90.51.00</t>
  </si>
  <si>
    <t>13.001.16.482.0012.1.009.4.4.90.52.00</t>
  </si>
  <si>
    <t>13.001.16.482.0012.1.010.4.4.90.51.00</t>
  </si>
  <si>
    <t>13.001.16.482.0012.1.011.3.3.90.39.00</t>
  </si>
  <si>
    <t>13.001.16.482.0012.1.012.4.4.90.51.00</t>
  </si>
  <si>
    <t>13.001.16.482.0012.1.013.4.4.90.51.00</t>
  </si>
  <si>
    <t>13.001.16.482.0012.1.014.4.4.90.51.00</t>
  </si>
  <si>
    <t>13.008.15.451.0005.1.009.4.4.90.51.00</t>
  </si>
  <si>
    <t>13.008.16.482.0012.1.013.4.4.90.51.00</t>
  </si>
  <si>
    <t>14.001.04.121.0004.1.001.3.3.90.35.00</t>
  </si>
  <si>
    <t>14.001.04.122.0001.2.001.3.1.90.11.00</t>
  </si>
  <si>
    <t>14.001.04.122.0001.2.001.3.1.90.13.00</t>
  </si>
  <si>
    <t>14.001.04.122.0001.2.001.3.1.91.13.00</t>
  </si>
  <si>
    <t>14.001.04.122.0001.2.001.3.3.90.46.00</t>
  </si>
  <si>
    <t>14.001.04.122.0001.2.001.3.3.90.49.00</t>
  </si>
  <si>
    <t>14.001.08.245.0001.1.002.3.3.90.39.00</t>
  </si>
  <si>
    <t>14.007.08.245.0018.1.003.3.3.90.39.00</t>
  </si>
  <si>
    <t>14.008.08.245.0018.1.002.3.3.90.30.00</t>
  </si>
  <si>
    <t>15.001.04.121.0004.1.001.3.3.90.35.00</t>
  </si>
  <si>
    <t>15.001.04.122.0001.2.001.3.1.90.11.00</t>
  </si>
  <si>
    <t>15.001.04.122.0001.2.001.3.1.90.13.00</t>
  </si>
  <si>
    <t>15.001.04.122.0001.2.001.3.1.91.13.00</t>
  </si>
  <si>
    <t>15.001.04.122.0001.2.001.3.3.90.46.00</t>
  </si>
  <si>
    <t>15.001.04.122.0001.2.001.3.3.90.49.00</t>
  </si>
  <si>
    <t>15.001.13.392.0009.1.002.3.3.90.39.00</t>
  </si>
  <si>
    <t>15.001.13.392.0009.1.002.4.4.50.51.00</t>
  </si>
  <si>
    <t>15.001.13.392.0009.1.002.4.4.90.52.00</t>
  </si>
  <si>
    <t>16.001.04.121.0004.1.001.3.3.90.35.00</t>
  </si>
  <si>
    <t>16.001.04.122.0001.1.002.3.3.90.39.00</t>
  </si>
  <si>
    <t>16.001.04.122.0001.2.001.3.1.90.11.00</t>
  </si>
  <si>
    <t>16.001.04.122.0001.2.001.3.1.90.13.00</t>
  </si>
  <si>
    <t>16.001.04.122.0001.2.001.3.1.91.13.00</t>
  </si>
  <si>
    <t>16.001.04.122.0001.2.001.3.3.90.46.00</t>
  </si>
  <si>
    <t>16.001.04.122.0001.2.001.3.3.90.49.00</t>
  </si>
  <si>
    <t>16.001.23.692.0008.1.002.3.3.90.39.00</t>
  </si>
  <si>
    <t>16.001.23.692.0008.1.003.4.4.90.52.00</t>
  </si>
  <si>
    <t>17.001.04.122.0001.2.001.3.1.90.11.00</t>
  </si>
  <si>
    <t>17.001.04.122.0001.2.001.3.1.90.13.00</t>
  </si>
  <si>
    <t>17.001.04.122.0001.2.001.3.1.91.13.00</t>
  </si>
  <si>
    <t>17.001.04.122.0001.2.001.3.3.90.46.00</t>
  </si>
  <si>
    <t>17.001.04.122.0001.2.001.3.3.90.49.00</t>
  </si>
  <si>
    <t>17.001.18.541.0007.1.002.3.3.90.39.00</t>
  </si>
  <si>
    <t>17.003.04.121.0004.1.001.3.3.90.35.00</t>
  </si>
  <si>
    <t>18.001.04.123.0021.0.001.3.2.90.21.00</t>
  </si>
  <si>
    <t>18.001.04.123.0021.0.001.3.2.90.22.00</t>
  </si>
  <si>
    <t>18.001.04.123.0021.0.001.3.2.91.21.00</t>
  </si>
  <si>
    <t>18.001.04.123.0021.0.001.4.6.90.71.00</t>
  </si>
  <si>
    <t>18.001.04.123.0021.0.001.4.6.91.71.00</t>
  </si>
  <si>
    <t>18.001.04.123.0021.0.002.3.3.90.47.00</t>
  </si>
  <si>
    <t>18.001.04.123.0021.0.002.3.3.91.97.00</t>
  </si>
  <si>
    <t>18.001.04.123.0021.0.003.3.1.90.91.00</t>
  </si>
  <si>
    <t>18.001.04.123.0021.0.003.3.3.90.91.00</t>
  </si>
  <si>
    <t>18.001.04.123.0021.0.003.4.4.90.91.00</t>
  </si>
  <si>
    <t>18.001.04.123.0021.0.003.4.6.90.91.00</t>
  </si>
  <si>
    <t>18.001.28.846.0021.0.003.3.1.90.13.00</t>
  </si>
  <si>
    <t>18.001.28.846.0021.0.003.3.1.91.13.00</t>
  </si>
  <si>
    <t>18.001.28.846.0021.0.003.3.3.90.93.00</t>
  </si>
  <si>
    <t>18.002.04.122.0001.1.001.3.3.90.35.00</t>
  </si>
  <si>
    <t>18.002.04.122.0001.1.002.3.3.90.39.00</t>
  </si>
  <si>
    <t>18.002.04.122.0001.2.001.3.1.90.11.00</t>
  </si>
  <si>
    <t>18.002.04.122.0001.2.001.3.1.90.13.00</t>
  </si>
  <si>
    <t>18.002.04.122.0001.2.001.3.1.90.94.00</t>
  </si>
  <si>
    <t>18.002.04.122.0001.2.001.3.1.91.13.00</t>
  </si>
  <si>
    <t>18.002.04.122.0001.2.001.3.3.90.46.00</t>
  </si>
  <si>
    <t>18.002.04.122.0001.2.001.3.3.90.49.00</t>
  </si>
  <si>
    <t>18.002.04.122.0001.2.001.3.3.91.39.00</t>
  </si>
  <si>
    <t>18.003.04.126.0002.1004.4.4.90.52..00</t>
  </si>
  <si>
    <t>19.001.04.121.0004.1.001.3.3.90.35.00</t>
  </si>
  <si>
    <t>19.001.04.122.0001.2.001.3.1.90.11.00</t>
  </si>
  <si>
    <t>19.001.04.122.0001.2.001.3.1.90.13.00</t>
  </si>
  <si>
    <t>19.001.04.122.0001.2.001.3.1.91.13.00</t>
  </si>
  <si>
    <t>19.001.04.122.0001.2.001.3.3.90.46.00</t>
  </si>
  <si>
    <t>19.001.04.122.0001.2.001.3.3.90.49.00</t>
  </si>
  <si>
    <t>19.001.15.451.0013.1.002.3.3.90.39.00</t>
  </si>
  <si>
    <t>19.001.15.451.0013.1.006.4.4.90.52.00</t>
  </si>
  <si>
    <t>20.001.04.122.0001.2.001.3.1.90.11.00</t>
  </si>
  <si>
    <t>20.001.04.122.0001.2.001.3.1.90.13.00</t>
  </si>
  <si>
    <t>20.001.04.122.0001.2.001.3.1.91.13.00</t>
  </si>
  <si>
    <t>20.001.04.122.0001.2.001.3.3.90.46.00</t>
  </si>
  <si>
    <t>20.001.04.122.0001.2.001.3.3.90.49.00</t>
  </si>
  <si>
    <t>20.001.06.181.0006.1.002.3.3.90.39.00</t>
  </si>
  <si>
    <t>20.001.06.181.0006.1.002.4.4.90.51.00</t>
  </si>
  <si>
    <t>20.001.06.181.0006.1.003.4.4.90.51.00</t>
  </si>
  <si>
    <t>21.001.09.272.0001.1.002.3.3.90.39.00</t>
  </si>
  <si>
    <t>21.001.09.272.0001.1.002.4.4.90.51.00</t>
  </si>
  <si>
    <t>21.001.09.272.0001.1.002.4.4.90.52.00</t>
  </si>
  <si>
    <t>21.001.09.272.0001.1.002.4.4.90.61.00</t>
  </si>
  <si>
    <t>21.001.09.272.0001.2.001.3.1.90.11.00</t>
  </si>
  <si>
    <t>21.001.09.272.0001.2.001.3.1.90.13.00</t>
  </si>
  <si>
    <t>21.001.09.272.0001.2.001.3.1.90.16.00</t>
  </si>
  <si>
    <t>21.001.09.272.0001.2.001.3.1.90.92.00</t>
  </si>
  <si>
    <t>21.001.09.272.0001.2.001.3.1.90.94.00</t>
  </si>
  <si>
    <t>21.001.09.272.0001.2.001.3.1.91.13.00</t>
  </si>
  <si>
    <t>21.001.09.272.0001.2.001.3.3.90.39.00</t>
  </si>
  <si>
    <t>21.001.09.272.0001.2.001.3.3.90.46.00</t>
  </si>
  <si>
    <t>21.001.09.272.0001.2.001.3.3.90.49.00</t>
  </si>
  <si>
    <t>21.001.09.272.0004.1.001.3.3.90.35.00</t>
  </si>
  <si>
    <t>21.001.09.272.0004.1.001.3.3.90.39.00</t>
  </si>
  <si>
    <t>21.001.09.272.0021.0.002.3.3.90.47.00</t>
  </si>
  <si>
    <t>21.001.09.272.0021.0.003.3.1.90.91.00</t>
  </si>
  <si>
    <t>21.001.09.272.0021.0.003.3.3.90.91.00</t>
  </si>
  <si>
    <t>22.001.04.122.0001.1.002.4.4.90.51.00</t>
  </si>
  <si>
    <t>22.001.04.122.0001.1.002.4.4.90.92.00</t>
  </si>
  <si>
    <t>22.001.04.122.0001.2.001.3.1.90.11.00</t>
  </si>
  <si>
    <t>22.001.04.122.0001.2.001.3.1.90.13.00</t>
  </si>
  <si>
    <t>22.001.04.122.0001.2.001.3.1.90.94.00</t>
  </si>
  <si>
    <t>22.001.04.122.0001.2.001.3.1.91.13.00</t>
  </si>
  <si>
    <t>22.001.04.122.0001.2.001.3.3.90.46.00</t>
  </si>
  <si>
    <t>22.001.04.122.0021.0.001.3.2.90.21.00</t>
  </si>
  <si>
    <t>22.001.04.122.0021.0.001.4.6.90.71.00</t>
  </si>
  <si>
    <t>22.001.04.122.0021.0.003.3.1.90.91.00</t>
  </si>
  <si>
    <t>22.001.04.331.0001.2.001.3.3.90.49.00</t>
  </si>
  <si>
    <t>22.002.12.122.0021.0.003.3.1.90.91.00</t>
  </si>
  <si>
    <t>22.002.12.361.0001.2.001.3.1.90.11.00</t>
  </si>
  <si>
    <t>22.002.12.361.0001.2.001.3.1.90.13.00</t>
  </si>
  <si>
    <t>22.002.12.361.0001.2.001.3.1.90.16.00</t>
  </si>
  <si>
    <t>22.002.12.361.0001.2.001.3.1.90.94.00</t>
  </si>
  <si>
    <t>22.002.12.361.0001.2.001.3.1.91.13.00</t>
  </si>
  <si>
    <t>22.002.12.361.0001.2.001.3.3.90.46.00</t>
  </si>
  <si>
    <t>22.003.12.122.0021.0.003.3.1.90.91.00</t>
  </si>
  <si>
    <t>22.004.12.122.0021.0.003.3.1.90.91.00</t>
  </si>
  <si>
    <t>22.004.12.362.0001.2.001.3.1.90.11.00</t>
  </si>
  <si>
    <t>22.004.12.362.0001.2.001.3.1.90.13.00</t>
  </si>
  <si>
    <t>22.004.12.362.0001.2.001.3.1.90.16.00</t>
  </si>
  <si>
    <t>22.004.12.362.0001.2.001.3.1.90.94.00</t>
  </si>
  <si>
    <t>22.004.12.362.0001.2.001.3.1.91.13.00</t>
  </si>
  <si>
    <t>22.004.12.362.0001.2.001.3.3.90.46.00</t>
  </si>
  <si>
    <t>22.005.12.122.0021.0.003.3.1.90.91.00</t>
  </si>
  <si>
    <t>22.006.12.122.0021.0.003.3.1.90.91.00</t>
  </si>
  <si>
    <t>22.006.12.364.0001.2.001.3.1.90.16.00</t>
  </si>
  <si>
    <t>22.007.13.122.0021.0.003.3.1.90.91.00</t>
  </si>
  <si>
    <t>22.007.13.392.0001.2.001.3.1.90.11.00</t>
  </si>
  <si>
    <t>22.007.13.392.0001.2.001.3.1.90.13.00</t>
  </si>
  <si>
    <t>22.007.13.392.0001.2.001.3.3.90.46.00</t>
  </si>
  <si>
    <t>22.007.13.392.0001.2.001.3.3.90.49.00</t>
  </si>
  <si>
    <t>22.008.12.365.0001.2.001.3.1.90.11.00</t>
  </si>
  <si>
    <t>22.008.12.365.0001.2.001.3.1.90.13.00</t>
  </si>
  <si>
    <t>22.008.12.365.0001.2.001.3.1.90.16.00</t>
  </si>
  <si>
    <t>22.008.12.365.0001.2.001.3.1.90.94.00</t>
  </si>
  <si>
    <t>22.008.12.365.0001.2.001.3.1.91.13.00</t>
  </si>
  <si>
    <t>22.008.12.365.0001.2.001.3.3.90.46.00</t>
  </si>
  <si>
    <t>22.008.12.365.0001.2.001.3.3.90.49.00</t>
  </si>
  <si>
    <t>22.009.12.365.0001.2.001.3.1.90.94.00</t>
  </si>
  <si>
    <t>22.010.12.365.0001.2.001.3.1.90.94.00</t>
  </si>
  <si>
    <t>22.011.12.365.0001.2.001.3.1.90.94.00</t>
  </si>
  <si>
    <t>22.012.12.365.0001.2.001.3.1.90.94.00</t>
  </si>
  <si>
    <t>22.013.12.365.0001.2.001.3.1.90.94.00</t>
  </si>
  <si>
    <t>22.014.12.365.0001.2.001.3.1.90.94.00</t>
  </si>
  <si>
    <t>22.015.12.365.0001.2.001.3.1.90.94.00</t>
  </si>
  <si>
    <t>22.016.12.122.0021.0.003.3.1.90.91.00</t>
  </si>
  <si>
    <t>22.016.12.365.0001.2.001.3.1.90.11.00</t>
  </si>
  <si>
    <t>22.016.12.365.0001.2.001.3.1.90.16.00</t>
  </si>
  <si>
    <t>22.016.12.365.0001.2.001.3.1.91.13.00</t>
  </si>
  <si>
    <t>22.016.12.365.0016.1.002.3.3.90.39.00</t>
  </si>
  <si>
    <t>23.001.04.122.0001.2.001.3.1.90.11.00</t>
  </si>
  <si>
    <t>23.001.04.122.0001.2.001.3.1.90.13.00</t>
  </si>
  <si>
    <t>23.001.04.122.0001.2.001.3.1.91.13.00</t>
  </si>
  <si>
    <t>23.001.04.122.0001.2.001.3.3.90.46.00</t>
  </si>
  <si>
    <t>23.001.04.122.0001.2.001.3.3.90.49.00</t>
  </si>
  <si>
    <t>24.001.04.121.0004.1.001.3.3.90.35.00</t>
  </si>
  <si>
    <t>24.001.04.121.0004.1.001.3.3.90.36.00</t>
  </si>
  <si>
    <t>24.001.04.121.0004.1.001.3.3.90.39.00</t>
  </si>
  <si>
    <t>24.001.04.121.0004.1.001.3.3.90.48.00</t>
  </si>
  <si>
    <t>24.001.04.122.0001.1.002.3.3.90.39.00</t>
  </si>
  <si>
    <t>24.001.04.122.0001.2.001.3.1.90.11.00</t>
  </si>
  <si>
    <t>24.001.04.122.0001.2.001.3.1.90.13.00</t>
  </si>
  <si>
    <t>24.001.04.122.0001.2.001.3.1.91.13.00</t>
  </si>
  <si>
    <t>24.001.04.122.0001.2.001.3.3.90.46.00</t>
  </si>
  <si>
    <t>24.001.04.122.0001.2.001.3.3.90.49.00</t>
  </si>
  <si>
    <t>27.001.04.121.0004.1.001.3.3.90.35.00</t>
  </si>
  <si>
    <t>27.001.04.121.0004.1.001.3.3.90.39.00</t>
  </si>
  <si>
    <t>27.001.04.122.0001.1.002.3.3.90.39.00</t>
  </si>
  <si>
    <t>27.001.04.122.0001.2.001.3.1.90.11.00</t>
  </si>
  <si>
    <t>27.001.04.122.0001.2.001.3.1.90.13.00</t>
  </si>
  <si>
    <t>27.001.04.122.0001.2.001.3.1.91.13.00</t>
  </si>
  <si>
    <t>27.001.04.122.0001.2.001.3.3.90.46.00</t>
  </si>
  <si>
    <t>27.001.04.122.0001.2.001.3.3.90.49.00</t>
  </si>
  <si>
    <t>28.001.04.121.0004.1.001.3.3.90.35.00</t>
  </si>
  <si>
    <t>28.001.04.122.0001.1.002.3.3.90.39.00</t>
  </si>
  <si>
    <t>28.001.04.122.0001.2.001.3.1.90.11.00</t>
  </si>
  <si>
    <t>28.001.04.122.0001.2.001.3.1.90.13.00</t>
  </si>
  <si>
    <t>28.001.04.122.0001.2.001.3.1.91.13.00</t>
  </si>
  <si>
    <t>28.001.04.122.0001.2.001.3.3.90.49.00</t>
  </si>
  <si>
    <t>29.001.04.122.0001.2.001.3.1.90.11.00</t>
  </si>
  <si>
    <t>29.001.04.122.0001.2.001.3.1.90.13.00</t>
  </si>
  <si>
    <t>29.001.04.122.0001.2.001.3.1.91.13.00</t>
  </si>
  <si>
    <t>29.001.04.122.0001.2.001.3.3.90.46.00</t>
  </si>
  <si>
    <t>29.001.04.122.0001.2.001.3.3.90.49.00</t>
  </si>
  <si>
    <t>29.001.14.243.0001.1.002.3.3.90.39.00</t>
  </si>
  <si>
    <t>29.001.14.243.0018.1.003.4.4.90.52.00</t>
  </si>
  <si>
    <t>30.001.04.121.0004.1.001.3.3.90.35.00</t>
  </si>
  <si>
    <t>30.001.04.122.0001.2.001.3.1.90.11.00</t>
  </si>
  <si>
    <t>30.001.04.122.0001.2.001.3.1.90.13.00</t>
  </si>
  <si>
    <t>30.001.04.122.0001.2.001.3.1.91.13.00</t>
  </si>
  <si>
    <t>30.001.04.122.0001.2.001.3.3.90.46.00</t>
  </si>
  <si>
    <t>30.001.04.122.0001.2.001.3.3.90.49.00</t>
  </si>
  <si>
    <t>30.001.14.242.0001.1.002.3.3.90.30.00</t>
  </si>
  <si>
    <t>30.001.14.242.0001.1.002.3.3.90.39.00</t>
  </si>
  <si>
    <t>30.001.14.242.0018.1.003.3.3.90.30.00</t>
  </si>
  <si>
    <t>30.001.14.242.0018.1.003.3.3.90.39.00</t>
  </si>
  <si>
    <t>30.001.14.242.0018.1.003.4.4.90.51.00</t>
  </si>
  <si>
    <t>30.001.14.242.0018.1.003.4.4.90.52.00</t>
  </si>
  <si>
    <t>31.001.04.122.0001.2.001.3.1.90.11.00</t>
  </si>
  <si>
    <t>31.001.04.122.0001.2.001.3.1.90.13.00</t>
  </si>
  <si>
    <t>31.001.04.122.0001.2.001.3.1.91.13.00</t>
  </si>
  <si>
    <t>31.001.04.122.0001.2.001.3.3.90.46.00</t>
  </si>
  <si>
    <t>31.001.04.122.0001.2.001.3.3.90.49.00</t>
  </si>
  <si>
    <t>31.001.14.422.0018.1.002.3.3.90.39.00</t>
  </si>
  <si>
    <t>32.001.04.121.0004.1.001.3.3.90.35.00</t>
  </si>
  <si>
    <t>32.001.04.122.0001.2.001.3.1.90.11.00</t>
  </si>
  <si>
    <t>32.001.04.122.0001.2.001.3.1.90.13.00</t>
  </si>
  <si>
    <t>32.001.04.122.0001.2.001.3.1.91.13.00</t>
  </si>
  <si>
    <t>32.001.04.122.0001.2.001.3.3.90.46.00</t>
  </si>
  <si>
    <t>32.001.04.122.0001.2.001.3.3.90.49.00</t>
  </si>
  <si>
    <t>32.001.14.422.0001.1.002.3.3.90.30.00</t>
  </si>
  <si>
    <t>32.001.14.422.0001.1.002.3.3.90.39.00</t>
  </si>
  <si>
    <t>33.001.04.122.0001.1.002.3.3.90.39.00</t>
  </si>
  <si>
    <t>33.001.04.122.0001.2.001.3.1.90.11.00</t>
  </si>
  <si>
    <t>33.001.04.122.0001.2.001.3.1.90.13.00</t>
  </si>
  <si>
    <t>33.001.04.122.0001.2.001.3.1.91.13.00</t>
  </si>
  <si>
    <t>33.001.04.122.0001.2.001.3.3.90.46.00</t>
  </si>
  <si>
    <t>33.001.04.122.0001.2.001.3.3.90.49.00</t>
  </si>
  <si>
    <t>34.001.04.121.0004.1.001.3.3.90.35.00</t>
  </si>
  <si>
    <t>34.001.04.122.0001.2.001.3.1.90.11.00</t>
  </si>
  <si>
    <t>34.001.04.122.0001.2.001.3.1.90.13.00</t>
  </si>
  <si>
    <t>34.001.04.122.0001.2.001.3.1.91.13.00</t>
  </si>
  <si>
    <t>34.001.04.122.0001.2.001.3.3.90.49.00</t>
  </si>
  <si>
    <t>34.001.15.182.0005.1.002.3.3.90.39.00</t>
  </si>
  <si>
    <t>35.001.04.122.0001.1.002.3.3.90.30.00</t>
  </si>
  <si>
    <t>35.001.04.122.0001.1.002.3.3.90.39.00</t>
  </si>
  <si>
    <t>35.001.04.122.0001.1.002.4.4.90.52.00</t>
  </si>
  <si>
    <t>35.001.04.122.0001.2.001.3.1.90.11.00</t>
  </si>
  <si>
    <t>35.001.04.122.0001.2.001.3.1.90.13.00</t>
  </si>
  <si>
    <t>35.001.04.122.0001.2.001.3.1.91.13.00</t>
  </si>
  <si>
    <t>35.001.04.122.0001.2.001.3.3.90.46.00</t>
  </si>
  <si>
    <t>35.001.04.122.0001.2.001.3.3.90.49.00</t>
  </si>
  <si>
    <t>36.001.04.122.0001.1.002.3.3.90.39.00</t>
  </si>
  <si>
    <t>36.001.04.122.0001.2.001.3.1.90.11.00</t>
  </si>
  <si>
    <t>36.001.04.122.0001.2.001.3.1.90.13.00</t>
  </si>
  <si>
    <t>36.001.04.122.0001.2.001.3.1.91.13.00</t>
  </si>
  <si>
    <t>36.001.04.122.0001.2.001.3.3.90.46.00</t>
  </si>
  <si>
    <t>36.001.04.122.0001.2.001.3.3.90.49.00</t>
  </si>
  <si>
    <t>07.001.11.334.0017.1.002.3.3.90.39.00</t>
  </si>
  <si>
    <t>08.001.12.122.0001.2.001.3.3.90.92.00</t>
  </si>
  <si>
    <t>08.001.12.122.0001.2.001.3.3.90.96.00</t>
  </si>
  <si>
    <t>09.006.10.302.0015.1.002.</t>
  </si>
  <si>
    <t>09.008.10.301.0015.1.002.</t>
  </si>
  <si>
    <t>09.009.10.302.0015.1.002.</t>
  </si>
  <si>
    <t>09.010.10.302.0015.1.002.</t>
  </si>
  <si>
    <t>09.015.10.122.0014.1.002.</t>
  </si>
  <si>
    <t>11.001.04.122.0001.1.001.3.3.90.30.00</t>
  </si>
  <si>
    <t>11.001.04.122.0001.1.002.3.3.90.30.00</t>
  </si>
  <si>
    <t>11.001.04.122.0011.1.003.3.3.90.39.00</t>
  </si>
  <si>
    <t>12.001.04.121.0001.1.003.3.3.90.39.00</t>
  </si>
  <si>
    <t>12.001.04.122.0001.2.001.3.3.90.93.00</t>
  </si>
  <si>
    <t>12.001.04.122.0002.1.002.4.4.90.51.00</t>
  </si>
  <si>
    <t>13.001.16.482.0012.1.010.3.3.90.39.00</t>
  </si>
  <si>
    <t>14.001.04.245.0001.1.001.3.3.90.39.00</t>
  </si>
  <si>
    <t>14.001.04.121.0004.1.001.3.3.90.40.00</t>
  </si>
  <si>
    <t>14.008.08.245.0018.1.002.3.3.90.39.00</t>
  </si>
  <si>
    <t>17.001.04.122.0007.2.001.3.3.90.30.00</t>
  </si>
  <si>
    <t>17.003.04.541.0007.1.001.3.3.90.39.00</t>
  </si>
  <si>
    <t>18.001.04.122.0001.0.003.3.3.90.39.00</t>
  </si>
  <si>
    <t>19.001.04.122.0001.2.001.</t>
  </si>
  <si>
    <t>19.001.04.121.0004.1.001.3.3.90.39.00</t>
  </si>
  <si>
    <t>19.001.15.121.0013.1.002.3.3.90.39.00</t>
  </si>
  <si>
    <t>19.001.15.451.0013.1.006.</t>
  </si>
  <si>
    <t>23.001.04.122.0001.2.001.</t>
  </si>
  <si>
    <t>24.001.04.122.0001.1.001.3.3.90.39.00</t>
  </si>
  <si>
    <t>24.001.04.121.0001.1.002.4.4.90.52.00</t>
  </si>
  <si>
    <t>28.001.04.122.0004.1.001.3.3.90.39.00</t>
  </si>
  <si>
    <t>28.001.04.122.0001.1.002.3.3.90.30.00</t>
  </si>
  <si>
    <t>31.001.14.391.0009.1.002.3.3.90.39.00</t>
  </si>
  <si>
    <t>36.001.04.128.0019.2.001.3.3.90.39.00</t>
  </si>
  <si>
    <t>36.001.08.244.0019.1.002.3.3.90.39.00</t>
  </si>
  <si>
    <t>Confirmar com a Dani</t>
  </si>
  <si>
    <t>01</t>
  </si>
  <si>
    <t>031</t>
  </si>
  <si>
    <t>0003</t>
  </si>
  <si>
    <t>2.042</t>
  </si>
  <si>
    <t>3.3.90.14.00</t>
  </si>
  <si>
    <t>3.3.90.37.00</t>
  </si>
  <si>
    <t>3.3.90.47.00</t>
  </si>
  <si>
    <t>4.4.90.92.00</t>
  </si>
  <si>
    <t>3.1.90.11.00</t>
  </si>
  <si>
    <t>3.1.90.13.00</t>
  </si>
  <si>
    <t>3.1.90.16.00</t>
  </si>
  <si>
    <t>3.1.90.91.00</t>
  </si>
  <si>
    <t>3.1.90.92.00</t>
  </si>
  <si>
    <t>3.1.90.94.00</t>
  </si>
  <si>
    <t>3.1.90.96.00</t>
  </si>
  <si>
    <t>3.1.91.13.00</t>
  </si>
  <si>
    <t>3.1.91.92.00</t>
  </si>
  <si>
    <t>3.3.90.08.00</t>
  </si>
  <si>
    <t>3.3.90.46.00</t>
  </si>
  <si>
    <t>3.3.90.49.00</t>
  </si>
  <si>
    <t>22</t>
  </si>
  <si>
    <t>4.4.90.93.00</t>
  </si>
  <si>
    <t>004</t>
  </si>
  <si>
    <t>362</t>
  </si>
  <si>
    <t>016</t>
  </si>
  <si>
    <t>331</t>
  </si>
  <si>
    <t>013</t>
  </si>
  <si>
    <t>29</t>
  </si>
  <si>
    <t>243</t>
  </si>
  <si>
    <t>21</t>
  </si>
  <si>
    <t>272</t>
  </si>
  <si>
    <t>0020</t>
  </si>
  <si>
    <t>2.043</t>
  </si>
  <si>
    <t>3.1.90.01.00</t>
  </si>
  <si>
    <t>3.1.90.03.00</t>
  </si>
  <si>
    <t>2.044</t>
  </si>
  <si>
    <t>4.4.90.61.00</t>
  </si>
  <si>
    <t>PROGRAMÁTICA</t>
  </si>
  <si>
    <t>VALOR FINAL  PLDO 27</t>
  </si>
  <si>
    <t>DS_INICIATIVA</t>
  </si>
  <si>
    <t>Programática LDO</t>
  </si>
  <si>
    <t>Secretaria</t>
  </si>
  <si>
    <t>Ação</t>
  </si>
  <si>
    <t>01.001.01.031.0003.1.003.3.3.90.39.01.110.0000</t>
  </si>
  <si>
    <t>Construção da Nova Sede da Câmara</t>
  </si>
  <si>
    <t>01.001.01.031.0003.1.003.3.3.90.92.01.110.0000</t>
  </si>
  <si>
    <t>01.001.01.031.0003.1.003.3.3.90.93.01.110.0000</t>
  </si>
  <si>
    <t>01.001.01.031.0003.1.003.4.4.90.51.01.110.0000</t>
  </si>
  <si>
    <t>01.001.01.031.0003.1.003.4.4.90.52.01.110.0000</t>
  </si>
  <si>
    <t>01.001.01.031.0003.1.003.4.4.90.92.01.110.0000</t>
  </si>
  <si>
    <t>01.001.01.031.0003.2.042.3.3.90.14.01.110.0000</t>
  </si>
  <si>
    <t>Manutenção das Atividades Legislativas</t>
  </si>
  <si>
    <t>01.001.01.031.0003.2.042.3.3.90.30.01.110.0000</t>
  </si>
  <si>
    <t>01.001.01.031.0003.2.042.3.3.90.32.01.110.0000</t>
  </si>
  <si>
    <t>01.001.01.031.0003.2.042.3.3.90.33.01.110.0000</t>
  </si>
  <si>
    <t>01.001.01.031.0003.2.042.3.3.90.35.01.110.0000</t>
  </si>
  <si>
    <t>01.001.01.031.0003.2.042.3.3.90.37.01.110.0000</t>
  </si>
  <si>
    <t>01.001.01.031.0003.2.042.3.3.90.39.01.110.0000</t>
  </si>
  <si>
    <t>01.001.01.031.0003.2.042.3.3.90.40.01.110.0000</t>
  </si>
  <si>
    <t>01.001.01.031.0003.2.042.3.3.90.47.01.110.0000</t>
  </si>
  <si>
    <t>01.001.01.031.0003.2.042.3.3.90.48.01.110.0000</t>
  </si>
  <si>
    <t>01.001.01.031.0003.2.042.3.3.90.92.01.110.0000</t>
  </si>
  <si>
    <t>01.001.01.031.0003.2.042.3.3.90.93.01.110.0000</t>
  </si>
  <si>
    <t>01.001.01.031.0003.2.042.4.4.50.52.01.110.0000</t>
  </si>
  <si>
    <t>01.001.01.031.0003.2.042.4.4.90.92.01.110.0000</t>
  </si>
  <si>
    <t>Despesas de Exercícios Anteriores</t>
  </si>
  <si>
    <t>01.001.01.122.0003.2.001.3.1.90.11.01.110.0000</t>
  </si>
  <si>
    <t>Legislativo - Despesa com Pessoal</t>
  </si>
  <si>
    <t>01.001.01.122.0003.2.001.3.1.90.13.01.110.0000</t>
  </si>
  <si>
    <t>01.001.01.122.0003.2.001.3.1.90.16.01.110.0000</t>
  </si>
  <si>
    <t>01.001.01.122.0003.2.001.3.1.90.91.01.110.0000</t>
  </si>
  <si>
    <t>01.001.01.122.0003.2.001.3.1.90.92.01.110.0000</t>
  </si>
  <si>
    <t>01.001.01.122.0003.2.001.3.1.90.94.01.110.0000</t>
  </si>
  <si>
    <t>01.001.01.122.0003.2.001.3.1.90.96.01.110.0000</t>
  </si>
  <si>
    <t>01.001.01.122.0003.2.001.3.1.91.13.01.110.0000</t>
  </si>
  <si>
    <t>01.001.01.122.0003.2.001.3.1.91.92.01.110.0000</t>
  </si>
  <si>
    <t>01.001.01.122.0003.2.001.3.3.90.08.01.110.0000</t>
  </si>
  <si>
    <t>01.001.01.122.0003.2.001.3.3.90.39.01.110.0000</t>
  </si>
  <si>
    <t>01.001.01.122.0003.2.001.3.3.90.46.01.110.0000</t>
  </si>
  <si>
    <t>01.001.01.122.0003.2.001.3.3.90.47.01.110.0000</t>
  </si>
  <si>
    <t>01.001.01.122.0003.2.001.3.3.90.49.01.110.0000</t>
  </si>
  <si>
    <t>01.001.01.122.0003.2.001.3.3.90.92.01.110.0000</t>
  </si>
  <si>
    <t>02.001.04.121.0004.1.001.3.3.80.35.01.110.0000</t>
  </si>
  <si>
    <t>Estudos e Pesquisas</t>
  </si>
  <si>
    <t>02.001.04.122.0001.1.002.3.3.90.39.01.110.0000</t>
  </si>
  <si>
    <t>Reforma do Fundo Social de Solidariedade</t>
  </si>
  <si>
    <t>02.001.04.122.0001.2.001.3.1.90.11.01.110.0000</t>
  </si>
  <si>
    <t>02.001.04.122.0001.2.001.3.1.90.13.01.110.0000</t>
  </si>
  <si>
    <t>02.001.04.122.0001.2.001.3.1.91.13.01.110.0000</t>
  </si>
  <si>
    <t>02.001.04.122.0001.2.001.3.3.90.46.01.110.0000</t>
  </si>
  <si>
    <t xml:space="preserve">Vale Alimentação </t>
  </si>
  <si>
    <t>02.001.04.122.0001.2.001.3.3.90.49.01.110.0000</t>
  </si>
  <si>
    <t>Vale Transporte</t>
  </si>
  <si>
    <t>02.001.04.122.0001.2.006.3.3.90.33.01.110.0000</t>
  </si>
  <si>
    <t>Despesas com Passagens e Locomoção</t>
  </si>
  <si>
    <t>02.001.04.122.0001.2.006.3.3.90.39.01.110.0000</t>
  </si>
  <si>
    <t>02.001.04.122.0001.2.011.3.1.71.70.01.110.0000</t>
  </si>
  <si>
    <t xml:space="preserve">CIOESTE </t>
  </si>
  <si>
    <t>02.001.04.122.0001.2.011.3.3.71.70.01.110.0000</t>
  </si>
  <si>
    <t>02.001.04.122.0001.2.011.3.3.90.30.01.110.0000</t>
  </si>
  <si>
    <t>Copa e Cozinha</t>
  </si>
  <si>
    <t>Materiais de Expediente</t>
  </si>
  <si>
    <t>02.001.04.122.0001.2.011.3.3.90.39.01.110.0000</t>
  </si>
  <si>
    <t>02.001.04.131.0002.2.005.3.3.90.30.01.110.0000</t>
  </si>
  <si>
    <t>02.001.04.131.0002.2.005.3.3.90.39.01.110.0000</t>
  </si>
  <si>
    <t>Locação de Equipamentos</t>
  </si>
  <si>
    <t>02.006.04.122.0018.2.011.3.3.90.30.01.110.0000</t>
  </si>
  <si>
    <t>Higiene e Limpeza</t>
  </si>
  <si>
    <t>02.006.04.122.0018.2.011.3.3.90.39.01.110.0000</t>
  </si>
  <si>
    <t>02.006.04.131.0002.2.005.3.3.90.30.01.110.0000</t>
  </si>
  <si>
    <t>02.006.04.131.0002.2.005.3.3.90.39.01.110.0000</t>
  </si>
  <si>
    <t>Decoração de Natal</t>
  </si>
  <si>
    <t>Decoração Eventos FSS</t>
  </si>
  <si>
    <t>02.006.04.131.0002.2.005.3.3.90.39.03.100.0202</t>
  </si>
  <si>
    <t>02.006.04.244.0019.2.024.3.3.90.32.01.110.0000</t>
  </si>
  <si>
    <t xml:space="preserve">Casamento Comunitário </t>
  </si>
  <si>
    <t>02.006.04.244.0019.2.024.3.3.90.32.03.100.0202</t>
  </si>
  <si>
    <t>02.006.08.244.0019.2.024.3.3.90.32.01.110.0000</t>
  </si>
  <si>
    <t xml:space="preserve">Alianças para o Casamento Comunitário </t>
  </si>
  <si>
    <t>Cadeira de Rodas e Muletas</t>
  </si>
  <si>
    <t>Campanha do Agasalho</t>
  </si>
  <si>
    <t>Dignidade Menstrual</t>
  </si>
  <si>
    <t>Distribuição de Brinquedos</t>
  </si>
  <si>
    <t>Distribuição de Cestas Básicas</t>
  </si>
  <si>
    <t>Distribuição de Ovos de Páscoa</t>
  </si>
  <si>
    <t>Kit Maternidade</t>
  </si>
  <si>
    <t>02.006.08.244.0019.2.024.3.3.90.32.03.100.0202</t>
  </si>
  <si>
    <t>02.006.08.244.0019.2.024.3.3.90.32.08.110.0000</t>
  </si>
  <si>
    <t xml:space="preserve">Emenda Impositiva - Bancada de Vereadores -  Ações do Fundo Social </t>
  </si>
  <si>
    <t>02.006.08.334.0017.2.004.3.3.90.30.01.110.0000</t>
  </si>
  <si>
    <t>Aquisição de Insumos</t>
  </si>
  <si>
    <t>02.006.08.334.0017.2.004.3.3.90.30.08.110.0000</t>
  </si>
  <si>
    <t xml:space="preserve">Emenda Impositiva  - Delbio Teruel - Aula de Costura </t>
  </si>
  <si>
    <t>02.006.08.334.0017.2.004.4.4.50.52.08.110.0000</t>
  </si>
  <si>
    <t>02.012.04.122.0001.2.011.3.3.90.30.01.110.0000</t>
  </si>
  <si>
    <t>Equipamentos de Proteção (EPI´s e EPC´s)</t>
  </si>
  <si>
    <t>Estocáveis e Perecíveis</t>
  </si>
  <si>
    <t>02.012.04.122.0001.2.011.3.3.90.30.03.100.0201</t>
  </si>
  <si>
    <t>02.012.04.122.0001.2.011.3.3.90.30.08.110.0000</t>
  </si>
  <si>
    <t xml:space="preserve">Emenda Impositiva  - Ralfi Silva  - Ações do Corpo de Bombeiros </t>
  </si>
  <si>
    <t xml:space="preserve">Emenda Impositiva - Josias da Juco - Ações do Corpo de Bombeiros </t>
  </si>
  <si>
    <t>02.012.04.122.0001.2.011.4.4.90.52.08.110.0000</t>
  </si>
  <si>
    <t xml:space="preserve">Emenda Impositiva - Elania Silva - Equipamentos para os Bombeiros </t>
  </si>
  <si>
    <t xml:space="preserve">Emenda Impositiva - Sergio Fontellas - Equipamentos para os Bombeiros </t>
  </si>
  <si>
    <t>04.001.04.122.0001.1.002.3.3.90.39.01.110.0000</t>
  </si>
  <si>
    <t>Reformas e Adequações</t>
  </si>
  <si>
    <t>04.001.04.122.0001.2.001.3.1.90.11.01.110.0000</t>
  </si>
  <si>
    <t>04.001.04.122.0001.2.001.3.1.90.13.01.110.0000</t>
  </si>
  <si>
    <t>04.001.04.122.0001.2.001.3.1.91.13.01.110.0000</t>
  </si>
  <si>
    <t>04.001.04.122.0001.2.001.3.3.90.46.01.110.0000</t>
  </si>
  <si>
    <t>04.001.04.122.0001.2.001.3.3.90.49.01.110.0000</t>
  </si>
  <si>
    <t>04.001.04.122.0001.2.006.3.3.90.33.01.110.0000</t>
  </si>
  <si>
    <t>04.001.04.122.0001.2.006.3.3.90.39.01.110.0000</t>
  </si>
  <si>
    <t>04.001.04.122.0001.2.006.3.3.90.93.01.110.0000</t>
  </si>
  <si>
    <t>Ressarcimentos</t>
  </si>
  <si>
    <t>04.001.04.122.0001.2.011.3.3.90.30.01.110.0000</t>
  </si>
  <si>
    <t>04.001.04.122.0001.2.011.3.3.90.39.01.110.0000</t>
  </si>
  <si>
    <t>Certificado Digital</t>
  </si>
  <si>
    <t>Manutenção de Bens Móveis</t>
  </si>
  <si>
    <t>04.001.04.126.0002.2.007.3.3.90.39.01.110.0000</t>
  </si>
  <si>
    <t>Consulta de Matrículas de Imóveis</t>
  </si>
  <si>
    <t>04.001.04.126.0002.2.007.3.3.90.40.01.110.0000</t>
  </si>
  <si>
    <t>Sistema de Compras, Financeiro e Almoxarifado</t>
  </si>
  <si>
    <t xml:space="preserve">Sistema de Gestão Tributária </t>
  </si>
  <si>
    <t>04.001.04.128.0002.2.003.3.3.90.39.01.110.0000</t>
  </si>
  <si>
    <t>04.001.04.131.0002.2.005.3.3.90.39.01.110.0000</t>
  </si>
  <si>
    <t>05.001.04.121.0004.1.001.3.3.90.35.01.110.0000</t>
  </si>
  <si>
    <t>05.001.04.122.0001.1.002.3.3.90.39.01.110.0000</t>
  </si>
  <si>
    <t>Reforma da Execução Fiscal</t>
  </si>
  <si>
    <t>05.001.04.122.0001.2.001.3.1.90.11.01.110.0000</t>
  </si>
  <si>
    <t>05.001.04.122.0001.2.001.3.1.90.13.01.110.0000</t>
  </si>
  <si>
    <t>05.001.04.122.0001.2.001.3.1.91.13.01.110.0000</t>
  </si>
  <si>
    <t>05.001.04.122.0001.2.001.3.3.90.46.01.110.0000</t>
  </si>
  <si>
    <t>05.001.04.122.0001.2.001.3.3.90.49.01.110.0000</t>
  </si>
  <si>
    <t>05.001.04.122.0001.2.005.3.3.90.30.01.110.0000</t>
  </si>
  <si>
    <t>05.001.04.122.0001.2.005.3.3.90.39.01.110.0000</t>
  </si>
  <si>
    <t>05.001.04.122.0001.2.006.3.3.90.33.01.110.0000</t>
  </si>
  <si>
    <t>05.001.04.122.0001.2.006.3.3.90.39.01.110.0000</t>
  </si>
  <si>
    <t>05.001.04.122.0001.2.011.3.3.90.30.01.110.0000</t>
  </si>
  <si>
    <t>05.001.04.122.0001.2.011.3.3.90.36.01.110.0000</t>
  </si>
  <si>
    <t>05.001.04.122.0001.2.011.3.3.90.39.01.110.0000</t>
  </si>
  <si>
    <t>Cadastro para Inclusão de Inadimplentes</t>
  </si>
  <si>
    <t xml:space="preserve">Despesas Com Cartórios </t>
  </si>
  <si>
    <t>Leituras de Publicações no DOE</t>
  </si>
  <si>
    <t>Publicações de Atos Oficiais</t>
  </si>
  <si>
    <t>05.001.04.126.0002.2.007.3.3.90.40.01.110.0000</t>
  </si>
  <si>
    <t>Sistema de Processos da Dívida Ativa</t>
  </si>
  <si>
    <t>05.001.04.128.0002.2.003.3.3.90.39.01.110.0000</t>
  </si>
  <si>
    <t>05.001.04.131.0002.2.005.3.3.90.39.01.110.0000</t>
  </si>
  <si>
    <t>06.001.04.122.0001.2.001.3.1.90.11.01.110.0000</t>
  </si>
  <si>
    <t>06.001.04.122.0001.2.001.3.1.90.13.01.110.0000</t>
  </si>
  <si>
    <t>06.001.04.122.0001.2.001.3.1.91.13.01.110.0000</t>
  </si>
  <si>
    <t>06.001.04.122.0001.2.001.3.3.90.46.01.110.0000</t>
  </si>
  <si>
    <t>06.001.04.122.0001.2.001.3.3.90.49.01.110.0000</t>
  </si>
  <si>
    <t>06.001.04.122.0001.2.006.3.3.90.33.01.110.0000</t>
  </si>
  <si>
    <t>06.001.04.122.0001.2.006.3.3.90.39.01.110.0000</t>
  </si>
  <si>
    <t>06.001.04.122.0001.2.011.3.3.50.39.08.110.0000</t>
  </si>
  <si>
    <t xml:space="preserve">Emenda Impositiva  - Rodrigo Gansinho - Anjos da Guarda </t>
  </si>
  <si>
    <t>06.001.04.122.0001.2.011.3.3.90.30.01.110.0000</t>
  </si>
  <si>
    <t>06.001.04.122.0001.2.011.3.3.90.39.01.110.0000</t>
  </si>
  <si>
    <t>Restaurante do Servidor</t>
  </si>
  <si>
    <t>06.001.04.126.0002.2.007.3.3.90.39.01.110.0000</t>
  </si>
  <si>
    <t>Controle de Acesso ao Paço Municipal</t>
  </si>
  <si>
    <t>Guarda e Digitalização do Arquivo Municipal</t>
  </si>
  <si>
    <t>06.001.04.128.0002.2.003.3.3.90.36.01.110.0000</t>
  </si>
  <si>
    <t>06.001.04.128.0002.2.003.3.3.90.39.01.110.0000</t>
  </si>
  <si>
    <t>06.001.04.131.0002.2.005.3.3.90.30.01.110.0000</t>
  </si>
  <si>
    <t>06.001.04.131.0002.2.005.3.3.90.39.01.110.0000</t>
  </si>
  <si>
    <t>06.011.04.128.0002.2.003.3.3.90.39.01.110.0000</t>
  </si>
  <si>
    <t>Escola de Governo</t>
  </si>
  <si>
    <t>07.001.04.121.0004.1.001.3.3.90.35.01.110.0000</t>
  </si>
  <si>
    <t>07.001.04.122.0001.2.001.3.1.90.11.01.110.0000</t>
  </si>
  <si>
    <t>07.001.04.122.0001.2.001.3.1.90.11.02.100.0000</t>
  </si>
  <si>
    <t>07.001.04.122.0001.2.001.3.1.90.13.01.110.0000</t>
  </si>
  <si>
    <t>07.001.04.122.0001.2.001.3.1.91.13.01.110.0000</t>
  </si>
  <si>
    <t>07.001.04.122.0001.2.001.3.3.90.46.01.110.0000</t>
  </si>
  <si>
    <t>07.001.04.122.0001.2.001.3.3.90.49.01.110.0000</t>
  </si>
  <si>
    <t>07.001.04.122.0001.2.006.3.3.90.33.01.110.0000</t>
  </si>
  <si>
    <t>07.001.04.122.0001.2.006.3.3.90.39.01.110.0000</t>
  </si>
  <si>
    <t>07.001.04.128.0002.2.003.3.3.90.36.01.110.0000</t>
  </si>
  <si>
    <t>07.001.04.128.0002.2.003.3.3.90.39.01.110.0000</t>
  </si>
  <si>
    <t>07.001.04.131.0002.2.005.3.3.90.30.01.110.0000</t>
  </si>
  <si>
    <t>07.001.04.131.0002.2.005.3.3.90.39.01.110.0000</t>
  </si>
  <si>
    <t>07.001.11.122.0017.1.002.3.3.90.39.01.110.0000</t>
  </si>
  <si>
    <t>Sede SETRE/Portal Centro</t>
  </si>
  <si>
    <t>07.001.11.122.0017.2.011.3.3.90.30.01.110.0000</t>
  </si>
  <si>
    <t>07.001.11.122.0017.2.011.3.3.90.39.01.110.0000</t>
  </si>
  <si>
    <t>07.001.11.333.0017.2.027.3.3.90.39.01.110.0000</t>
  </si>
  <si>
    <t>Intermediação de Mão de Obra</t>
  </si>
  <si>
    <t>07.001.11.334.0017.2.004.3.3.50.39.01.110.0000</t>
  </si>
  <si>
    <t>Jovem Aprendiz</t>
  </si>
  <si>
    <t>07.001.11.334.0017.2.004.3.3.50.39.08.110.0000</t>
  </si>
  <si>
    <t>Emenda Impositiva - Laércio Mendonça  - Fazer Bem Faz Bem</t>
  </si>
  <si>
    <t>07.001.11.334.0017.2.004.3.3.90.30.01.110.0000</t>
  </si>
  <si>
    <t>07.001.11.334.0017.2.004.3.3.90.39.01.110.0000</t>
  </si>
  <si>
    <t>07.001.11.334.0017.2.025.3.3.90.48.01.110.0000</t>
  </si>
  <si>
    <t>Bolsa-Trabalho</t>
  </si>
  <si>
    <t>Começar - Secretarias</t>
  </si>
  <si>
    <t>Passe Emprego</t>
  </si>
  <si>
    <t>Recomeçar - CASA CIVIL</t>
  </si>
  <si>
    <t>Recomeçar - CGM</t>
  </si>
  <si>
    <t>Recomeçar - DEFESA CIVIL</t>
  </si>
  <si>
    <t>Recomeçar - GP</t>
  </si>
  <si>
    <t>Recomeçar - PGM</t>
  </si>
  <si>
    <t>Recomeçar - SA</t>
  </si>
  <si>
    <t>Recomeçar - SAS</t>
  </si>
  <si>
    <t>Recomeçar - SECOL</t>
  </si>
  <si>
    <t>Recomeçar - SECOM</t>
  </si>
  <si>
    <t>Recomeçar - SECONTRU</t>
  </si>
  <si>
    <t>Recomeçar - SECULT</t>
  </si>
  <si>
    <t>Recomeçar - SED</t>
  </si>
  <si>
    <t>Recomeçar - SEFAM</t>
  </si>
  <si>
    <t>Recomeçar - SEGOV</t>
  </si>
  <si>
    <t>Recomeçar - SEHAB</t>
  </si>
  <si>
    <t>Recomeçar - SEIJ</t>
  </si>
  <si>
    <t>Recomeçar - SEMARH</t>
  </si>
  <si>
    <t>Recomeçar - SEMUD</t>
  </si>
  <si>
    <t>Recomeçar - SEPCD</t>
  </si>
  <si>
    <t>Recomeçar - SEPLAG</t>
  </si>
  <si>
    <t>Recomeçar - SEPPIR</t>
  </si>
  <si>
    <t>Recomeçar - SEREL</t>
  </si>
  <si>
    <t>Recomeçar - SETIDE</t>
  </si>
  <si>
    <t>Recomeçar - SETRAN</t>
  </si>
  <si>
    <t>Recomeçar - SETRE</t>
  </si>
  <si>
    <t>Recomeçar - SF</t>
  </si>
  <si>
    <t>Recomeçar - SS</t>
  </si>
  <si>
    <t>Recomeçar - SSO</t>
  </si>
  <si>
    <t>07.001.11.334.0017.2.033.3.3.90.30.01.110.0000</t>
  </si>
  <si>
    <t>07.001.11.334.0017.2.033.3.3.90.39.01.110.0000</t>
  </si>
  <si>
    <t>Incubadora</t>
  </si>
  <si>
    <t>07.001.11.334.0017.2.033.4.4.90.52.01.110.0000</t>
  </si>
  <si>
    <t>Ferramentas Manuais</t>
  </si>
  <si>
    <t>07.001.18.542.0007.1.003.4.4.90.51.01.110.0000</t>
  </si>
  <si>
    <t>Pátio de Compostagem</t>
  </si>
  <si>
    <t>07.005.11.333.0017.2.027.3.3.90.39.03.100.0000</t>
  </si>
  <si>
    <t>08.001.04.121.0004.1.001.3.3.90.35.01.110.0000</t>
  </si>
  <si>
    <t>08.001.04.121.0004.1001.3.3.90.35.01.110.0000</t>
  </si>
  <si>
    <t>08.001.04.131.0002.2.005.3.3.90.30.01.110.0000</t>
  </si>
  <si>
    <t>7 de Setembro</t>
  </si>
  <si>
    <t>08.001.04.131.0002.2.005.3.3.90.39.01.110.0000</t>
  </si>
  <si>
    <t>08.001.12.122.0001.1.002.3.3.90.39.01.110.0000</t>
  </si>
  <si>
    <t>08.001.12.122.0001.1.002.3.3.90.39.08.110.0000</t>
  </si>
  <si>
    <t xml:space="preserve">Emenda Impositiva  - Cantor Goleiro  - Cobertura da EMEF Hugo Ribeiro Almeida </t>
  </si>
  <si>
    <t>Emenda Impositiva  - Cantor Goleiro  - Cobertura da EMEIEF Messias Gonçalves da Silva</t>
  </si>
  <si>
    <t xml:space="preserve">Emenda Impositiva  - Cantor Goleiro  - Cobertura da EMEIEF Saad Bechara </t>
  </si>
  <si>
    <t>08.001.12.122.0001.1.002.4.4.90.51.08.110.0000</t>
  </si>
  <si>
    <t>08.001.12.122.0001.2.001.3.1.90.11.01.110.0000</t>
  </si>
  <si>
    <t>08.001.12.122.0001.2.001.3.1.90.11.01.200.0000</t>
  </si>
  <si>
    <t>08.001.12.122.0001.2.001.3.1.90.13.01.110.0000</t>
  </si>
  <si>
    <t>08.001.12.122.0001.2.001.3.1.90.13.01.200.0000</t>
  </si>
  <si>
    <t>08.001.12.122.0001.2.001.3.1.91.13.01.200.0000</t>
  </si>
  <si>
    <t>08.001.12.122.0001.2.001.3.3.90.46.01.200.0000</t>
  </si>
  <si>
    <t>08.001.12.122.0001.2.001.3.3.90.49.01.200.0000</t>
  </si>
  <si>
    <t>08.001.12.122.0001.2.006.3.3.90.33.01.200.0000</t>
  </si>
  <si>
    <t>08.001.12.122.0001.2.006.3.3.90.39.01.200.0000</t>
  </si>
  <si>
    <t>08.001.12.122.0001.2.008.3.3.90.39.01.200.0000</t>
  </si>
  <si>
    <t>Estagiários - Ensino Superior SED  - Taxa</t>
  </si>
  <si>
    <t>08.001.12.122.0001.2.008.3.3.90.48.01.110.0000</t>
  </si>
  <si>
    <t>Estagiários Ensino Superior - SED</t>
  </si>
  <si>
    <t>08.001.12.122.0001.2.008.3.3.90.48.01.200.0000</t>
  </si>
  <si>
    <t>08.001.12.122.0001.2.011.3.3.50.39.08.110.0000</t>
  </si>
  <si>
    <t>Emenda Impositiva - Josias da Juco - E.E José Ribeiro de Souza</t>
  </si>
  <si>
    <t>08.001.12.122.0001.2.011.3.3.90.30.01.110.0000</t>
  </si>
  <si>
    <t>08.001.12.122.0001.2.011.3.3.90.30.01.200.0000</t>
  </si>
  <si>
    <t>08.001.12.122.0001.2.011.3.3.90.39.01.110.0000</t>
  </si>
  <si>
    <t>Contas de Consumo</t>
  </si>
  <si>
    <t>08.001.12.122.0001.2.011.3.3.90.39.01.200.0000</t>
  </si>
  <si>
    <t>Locação e Manutenção de Purificador de Água</t>
  </si>
  <si>
    <t>Manutenção de Elevadores</t>
  </si>
  <si>
    <t>08.001.12.122.0001.2.011.4.4.90.52.01.200.0000</t>
  </si>
  <si>
    <t>Eletroeletrônicos</t>
  </si>
  <si>
    <t>Instrumentos Musicais</t>
  </si>
  <si>
    <t>Mobiliários</t>
  </si>
  <si>
    <t>Purificadores de Água</t>
  </si>
  <si>
    <t>Sistema de Climatização - Aquisição</t>
  </si>
  <si>
    <t>08.001.12.122.0002.2.003.3.3.90.36.01.200.0000</t>
  </si>
  <si>
    <t>08.001.12.122.0002.2.003.3.3.90.39.01.200.0000</t>
  </si>
  <si>
    <t>08.001.12.122.0002.2.005.3.3.90.31.01.200.0000</t>
  </si>
  <si>
    <t xml:space="preserve">Concurso Professor Inovador </t>
  </si>
  <si>
    <t>08.001.12.122.0016.2.019.3.3.50.39.08.110.0000</t>
  </si>
  <si>
    <t xml:space="preserve">Emenda Impositiva - Ralfi Silva  - Epom Cultural </t>
  </si>
  <si>
    <t>08.001.12.122.0016.2.019.3.3.90.39.01.200.0000</t>
  </si>
  <si>
    <t>Escola na Minha Casa</t>
  </si>
  <si>
    <t>08.001.12.122.0016.2.023.3.3.50.39.01.110.0000</t>
  </si>
  <si>
    <t xml:space="preserve">CEU José Saramago </t>
  </si>
  <si>
    <t>CEU Zilda Arns</t>
  </si>
  <si>
    <t>08.001.12.122.0016.2.023.4.4.50.39.01.110.0000</t>
  </si>
  <si>
    <t>08.001.12.306.0016.2.011.3.3.90.30.01.110.0000</t>
  </si>
  <si>
    <t>Gás GLP</t>
  </si>
  <si>
    <t>08.001.12.306.0016.2.011.3.3.90.39.01.110.0000</t>
  </si>
  <si>
    <t>08.001.12.306.0016.2.011.3.3.90.39.01.200.0000</t>
  </si>
  <si>
    <t>08.001.12.306.0016.2.011.4.4.90.52.01.110.0000</t>
  </si>
  <si>
    <t>Eletrodomésticos</t>
  </si>
  <si>
    <t>08.001.12.306.0016.2.017.3.3.90.30.01.110.0000</t>
  </si>
  <si>
    <t xml:space="preserve">Alimentação Escolar - Estocáveis </t>
  </si>
  <si>
    <t>Alimentação Escolar - Hortifrutigranjeiro</t>
  </si>
  <si>
    <t>Alimentação Escolar - Pão e Bolo</t>
  </si>
  <si>
    <t xml:space="preserve">Alimentação Escolar - Perecíveis </t>
  </si>
  <si>
    <t xml:space="preserve">Alimentação Escolar - Agricultura Familiar </t>
  </si>
  <si>
    <t>08.001.12.306.0016.2.017.3.3.90.30.05.200.0002</t>
  </si>
  <si>
    <t>08.001.12.306.0016.2.017.3.3.90.30.05.200.0003</t>
  </si>
  <si>
    <t>08.001.12.361.0001.2.001.3.1.90.11.01.110.0000</t>
  </si>
  <si>
    <t>08.001.12.361.0001.2.001.3.1.90.11.01.200.0000</t>
  </si>
  <si>
    <t>08.001.12.361.0001.2.001.3.1.90.11.02.261.0000</t>
  </si>
  <si>
    <t>08.001.12.361.0001.2.001.3.1.90.11.02.262.0000</t>
  </si>
  <si>
    <t>08.001.12.361.0001.2.001.3.1.90.13.01.200.0000</t>
  </si>
  <si>
    <t>08.001.12.361.0001.2.001.3.1.90.13.02.261.0000</t>
  </si>
  <si>
    <t>08.001.12.361.0001.2.001.3.1.90.13.02.262.0000</t>
  </si>
  <si>
    <t>08.001.12.361.0001.2.001.3.1.91.13.01.110.0000</t>
  </si>
  <si>
    <t>08.001.12.361.0001.2.001.3.1.91.13.01.200.0000</t>
  </si>
  <si>
    <t>08.001.12.361.0001.2.001.3.3.90.46.01.200.0000</t>
  </si>
  <si>
    <t>08.001.12.361.0001.2.001.3.3.90.46.02.262.0000</t>
  </si>
  <si>
    <t>08.001.12.361.0001.2.001.3.3.90.49.01.200.0000</t>
  </si>
  <si>
    <t>08.001.12.361.0002.2.005.3.3.90.39.01.200.0000</t>
  </si>
  <si>
    <t>08.001.12.361.0002.2.005.3.3.90.39.01.110.0000</t>
  </si>
  <si>
    <t>08.001.12.361.0002.2.007.3.3.90.40.01.200.0000</t>
  </si>
  <si>
    <t>Gerenciamento de Dados Educacionais</t>
  </si>
  <si>
    <t xml:space="preserve">Monitoramento e Vigilância na Educação </t>
  </si>
  <si>
    <t>08.001.12.361.0016.1.002.3.3.90.39.01.110.0000</t>
  </si>
  <si>
    <t>CEMEIEF Maria Tarcilla Fornasaro Melli</t>
  </si>
  <si>
    <t>EMEF Anézio Cabral</t>
  </si>
  <si>
    <t>EMEF Escultor Victor Brecheret</t>
  </si>
  <si>
    <t>EMEF João Campestrini</t>
  </si>
  <si>
    <t>EMEF Marechal Bittencourt</t>
  </si>
  <si>
    <t>EMEF Oscar Pennacino</t>
  </si>
  <si>
    <t>EMEF Quintino Bocaiuva</t>
  </si>
  <si>
    <t>EMEF Tobias Barreto de Menezes</t>
  </si>
  <si>
    <t>EMEIEF Benedito Alves Turíbio</t>
  </si>
  <si>
    <t>EMEIEF Élio Aparecido</t>
  </si>
  <si>
    <t>EMEIEF Irmã Tecla Merlo</t>
  </si>
  <si>
    <t>EMEIEF João Euclydes Pereira</t>
  </si>
  <si>
    <t>EMEIEF Osvaldo Quirino Simões</t>
  </si>
  <si>
    <t>EMEIEF Padre José Grossi Dias</t>
  </si>
  <si>
    <t>EMEIEF Renato Fiuza Teles</t>
  </si>
  <si>
    <t>EMEIEF Zuleika Gonçalves Mendes</t>
  </si>
  <si>
    <t>08.001.12.361.0016.1.002.3.3.90.39.01.200.0000</t>
  </si>
  <si>
    <t>08.001.12.361.0016.1.003.4.4.90.51.01.200.0000</t>
  </si>
  <si>
    <t>Escola do Futuro - Jd. D' Ávila</t>
  </si>
  <si>
    <t>08.001.12.361.0016.1.003.4.4.90.51.01.110.0000</t>
  </si>
  <si>
    <t xml:space="preserve">Escola do Futuro </t>
  </si>
  <si>
    <t>08.001.12.361.0016.1.003.4.4.90.51.07.203.0000</t>
  </si>
  <si>
    <t>08.001.12.361.0016.1.003.4.4.90.52.01.200.0000</t>
  </si>
  <si>
    <t>08.001.12.361.0016.2.011.3.3.50.43.01.200.0000</t>
  </si>
  <si>
    <t>APM</t>
  </si>
  <si>
    <t>08.001.12.361.0016.2.011.3.3.90.30.01.110.0000</t>
  </si>
  <si>
    <t>08.001.12.361.0016.2.011.3.3.90.30.01.200.0000</t>
  </si>
  <si>
    <t>08.001.12.361.0016.2.011.3.3.90.39.01.110.0000</t>
  </si>
  <si>
    <t>Limpeza de Reservatórios e Caixas d'águas</t>
  </si>
  <si>
    <t>08.001.12.361.0016.2.011.3.3.90.39.01.200.0000</t>
  </si>
  <si>
    <t>Controle de Pragas Urbanas</t>
  </si>
  <si>
    <t>Locação Lousas Digitais</t>
  </si>
  <si>
    <t xml:space="preserve">Piso Flexível Esportivo Portátil Externo </t>
  </si>
  <si>
    <t>08.001.12.361.0016.2.011.4.4.90.52.01.110.0000</t>
  </si>
  <si>
    <t>08.001.12.361.0016.2.017.3.3.90.32.01.110.0000</t>
  </si>
  <si>
    <t>Distribuição de Material Escolar</t>
  </si>
  <si>
    <t xml:space="preserve">Distribuição de Tênis Escolares </t>
  </si>
  <si>
    <t xml:space="preserve">Distribuição de Uniforme Escolar </t>
  </si>
  <si>
    <t>08.001.12.361.0016.2.017.3.3.90.32.01.200.0000</t>
  </si>
  <si>
    <t>08.001.12.361.0016.2.018.3.3.90.40.01.110.0000</t>
  </si>
  <si>
    <t>Acesso e Sustentação de Rede Wireless</t>
  </si>
  <si>
    <t>Inspeção e Segurança na Informação</t>
  </si>
  <si>
    <t>08.001.12.361.0016.2.018.3.3.90.40.01.200.0000</t>
  </si>
  <si>
    <t>Computadores Virtuais em Nuvem</t>
  </si>
  <si>
    <t>Kit de Conectividade</t>
  </si>
  <si>
    <t>Tecnologia Assistiva</t>
  </si>
  <si>
    <t>08.001.12.361.0016.2.018.4.4.90.52.01.200.0000</t>
  </si>
  <si>
    <t>08.001.12.361.0016.2.019.3.3.90.32.01.200.0000</t>
  </si>
  <si>
    <t>08.001.12.361.0016.2.019.3.3.90.39.01.200.0000</t>
  </si>
  <si>
    <t>Escola de Educadores</t>
  </si>
  <si>
    <t>Mais tempo na Escola e Férias</t>
  </si>
  <si>
    <t>08.001.12.361.0016.2.020.3.3.90.39.01.110.0000</t>
  </si>
  <si>
    <t>Transporte Extraclasse</t>
  </si>
  <si>
    <t>08.001.12.361.0016.2.020.3.3.90.39.01.200.0000</t>
  </si>
  <si>
    <t>Transporte Escolar Gratuito</t>
  </si>
  <si>
    <t>08.001.12.361.0016.2.023.3.3.50.39.01.110.0000</t>
  </si>
  <si>
    <t>08.001.12.361.0016.2.023.3.3.50.39.01.200.0000</t>
  </si>
  <si>
    <t>08.001.12.361.0016.2.023.4.4.50.39.01.110.0000</t>
  </si>
  <si>
    <t>08.001.12.361.0016.2.023.4.4.50.39.01.200.0000</t>
  </si>
  <si>
    <t>08.001.12.364.0001.2.011.3.3.90.30.01.110.0000</t>
  </si>
  <si>
    <t>Polo Chiquinha Gonzaga - UAB Univesidade Aberta do Brasil</t>
  </si>
  <si>
    <t>08.001.12.365.0001.2.001.3.1.90.11.01.110.0000</t>
  </si>
  <si>
    <t>08.001.12.365.0001.2.001.3.1.90.11.01.200.0000</t>
  </si>
  <si>
    <t>08.001.12.365.0001.2.001.3.1.90.11.02.261.0000</t>
  </si>
  <si>
    <t>08.001.12.365.0001.2.001.3.1.90.11.02.262.0000</t>
  </si>
  <si>
    <t>08.001.12.365.0001.2.001.3.1.90.11.02.264.2023</t>
  </si>
  <si>
    <t>08.001.12.365.0001.2.001.3.1.90.11.02.264.2024</t>
  </si>
  <si>
    <t>08.001.12.365.0001.2.001.3.1.90.11.02.264.2025</t>
  </si>
  <si>
    <t>08.001.12.365.0001.2.001.3.1.90.13.01.110.0000</t>
  </si>
  <si>
    <t>08.001.12.365.0001.2.001.3.1.90.13.01.200.0000</t>
  </si>
  <si>
    <t>08.001.12.365.0001.2.001.3.1.90.13.02.261.0000</t>
  </si>
  <si>
    <t>08.001.12.365.0001.2.001.3.1.90.13.02.262.0000</t>
  </si>
  <si>
    <t>08.001.12.365.0001.2.001.3.1.91.13.01.110.0000</t>
  </si>
  <si>
    <t>08.001.12.365.0001.2.001.3.1.91.13.01.200.0000</t>
  </si>
  <si>
    <t>08.001.12.365.0001.2.001.3.1.91.13.02.261.0000</t>
  </si>
  <si>
    <t>08.001.12.365.0001.2.001.3.1.91.13.02.262.0000</t>
  </si>
  <si>
    <t>08.001.12.365.0001.2.001.3.3.90.46.01.200.0000</t>
  </si>
  <si>
    <t>08.001.12.365.0001.2.001.3.3.90.46.02.262.0000</t>
  </si>
  <si>
    <t>08.001.12.365.0001.2.001.3.3.90.49.01.200.0000</t>
  </si>
  <si>
    <t>08.001.12.365.0002.2.005.3.3.90.39.01.200.0000</t>
  </si>
  <si>
    <t>08.001.12.365.0002.2.005.3.3.90.39.01.110.0000</t>
  </si>
  <si>
    <t>08.001.12.365.0002.2.007.3.3.90.40.01.200.0000</t>
  </si>
  <si>
    <t>Gerenciamento de dados educacionais</t>
  </si>
  <si>
    <t>08.001.12.365.0016.1.002.3.3.90.39.01.200.0000</t>
  </si>
  <si>
    <t>CEMEI Alipio Pereira dos Santos</t>
  </si>
  <si>
    <t>CEMEI Fernando Buonaduce</t>
  </si>
  <si>
    <t>CEMEI José Flávio de Freitas</t>
  </si>
  <si>
    <t>CEMEI Maria Aparecida Damy Rodrigues</t>
  </si>
  <si>
    <t xml:space="preserve">CEMEI Maria da Conceição da Silva Paixão </t>
  </si>
  <si>
    <t>CEMEI Mário Quintana</t>
  </si>
  <si>
    <t>CEMEI Nelly Grizzi Oliva</t>
  </si>
  <si>
    <t>CEMEI Zaira Collino Odália</t>
  </si>
  <si>
    <t>Creche Alhas Elias Abibe</t>
  </si>
  <si>
    <t>Creche Ézio Melli</t>
  </si>
  <si>
    <t>Creche Olímpia Maria de Jesus Carvalho</t>
  </si>
  <si>
    <t>Creche Recanto Alegre</t>
  </si>
  <si>
    <t>Creche Rosa Broseghini</t>
  </si>
  <si>
    <t>Creche Sadamitu Omosako</t>
  </si>
  <si>
    <t>Creche Silvia Ferreira Farah</t>
  </si>
  <si>
    <t>EMEI Ignês Collino</t>
  </si>
  <si>
    <t>08.001.12.365.0016.1.003.4.4.90.51.01.200.0000</t>
  </si>
  <si>
    <t>CEMEI Portal do Oeste</t>
  </si>
  <si>
    <t>Creche Jd. Mutinga</t>
  </si>
  <si>
    <t>08.001.12.365.0016.1.003.4.4.90.51.07.202.0000</t>
  </si>
  <si>
    <t>08.001.12.365.0016.1.003.4.4.90.52.01.200.0000</t>
  </si>
  <si>
    <t>08.001.12.365.0016.2.011.3.3.50.43.01.110.0000</t>
  </si>
  <si>
    <t>08.001.12.365.0016.2.011.3.3.90.30.01.110.0000</t>
  </si>
  <si>
    <t>Cama, Mesa e Banho</t>
  </si>
  <si>
    <t>08.001.12.365.0016.2.011.3.3.90.30.01.200.0000</t>
  </si>
  <si>
    <t>Colchões</t>
  </si>
  <si>
    <t>08.001.12.365.0016.2.011.3.3.90.39.01.110.0000</t>
  </si>
  <si>
    <t>08.001.12.365.0016.2.011.3.3.90.39.01.200.0000</t>
  </si>
  <si>
    <t>08.001.12.365.0016.2.011.4.4.90.52.01.200.0000</t>
  </si>
  <si>
    <t>08.001.12.365.0016.2.017.3.3.90.32.01.110.0000</t>
  </si>
  <si>
    <t>08.001.12.365.0016.2.017.3.3.90.32.01.200.0000</t>
  </si>
  <si>
    <t>08.001.12.365.0016.2.018.3.3.90.40.01.110.0000</t>
  </si>
  <si>
    <t>08.001.12.365.0016.2.018.3.3.90.40.01.200.0000</t>
  </si>
  <si>
    <t>Computadores virtuais em Nuvem</t>
  </si>
  <si>
    <t>08.001.12.365.0016.2.019.3.3.90.32.01.200.0000</t>
  </si>
  <si>
    <t>08.001.12.365.0016.2.019.3.3.90.39.01.200.0000</t>
  </si>
  <si>
    <t>Informática na Escola</t>
  </si>
  <si>
    <t>08.001.12.365.0016.2.020.3.3.90.39.01.110.0000</t>
  </si>
  <si>
    <t>08.001.12.365.0016.2.020.3.3.90.39.01.200.0000</t>
  </si>
  <si>
    <t>08.001.12.365.0016.2.022.3.3.50.39.01.200.0000</t>
  </si>
  <si>
    <t>PARCERIA COM  OSC - AMDC</t>
  </si>
  <si>
    <t xml:space="preserve">PARCERIA COM OSC - Aguas </t>
  </si>
  <si>
    <t>Parceria com OSC - Associação das Mães do Jardim Veloso</t>
  </si>
  <si>
    <t>Parceria com OSC - Associação das Mães Unidas do Jd. Novo Osasco - AMUNO</t>
  </si>
  <si>
    <t xml:space="preserve">Parceria com OSC - Associação Quintal Mágico </t>
  </si>
  <si>
    <t>Parceria com OSC - Associação Solidária Crescendo Cidadã</t>
  </si>
  <si>
    <t xml:space="preserve">PARCERIA COM OSC - CPP Veloso </t>
  </si>
  <si>
    <t>PARCERIA COM OSC - Inovação Social</t>
  </si>
  <si>
    <t xml:space="preserve">PARCERIA COM OSC - Maria do Carmo </t>
  </si>
  <si>
    <t>PARCERIA COM OSC - Solução Social</t>
  </si>
  <si>
    <t>PARCERIA COM OSC - Solução Social (Sementes)</t>
  </si>
  <si>
    <t>08.001.12.365.0016.2.022.4.4.50.39.01.200.0000</t>
  </si>
  <si>
    <t>PARCERIA COM OSC - Crescendo Cidadã</t>
  </si>
  <si>
    <t>08.001.12.365.0016.2.023.3.3.50.39.01.110.0000</t>
  </si>
  <si>
    <t>08.001.12.365.0016.2.023.3.3.50.39.01.200.0000</t>
  </si>
  <si>
    <t>08.001.12.365.0016.2.023.4.4.50.39.01.110.0000</t>
  </si>
  <si>
    <t>08.001.12.365.0016.2.023.4.4.50.39.01.200.0000</t>
  </si>
  <si>
    <t>08.001.12.366.0001.2.001.3.1.90.11.01.200.0000</t>
  </si>
  <si>
    <t>08.001.12.366.0001.2.001.3.1.90.11.02.261.0000</t>
  </si>
  <si>
    <t>08.001.12.366.0001.2.001.3.1.90.13.01.200.0000</t>
  </si>
  <si>
    <t>08.001.12.366.0001.2.001.3.1.91.13.01.200.0000</t>
  </si>
  <si>
    <t>08.001.12.366.0001.2.001.3.1.91.13.02.262.0000</t>
  </si>
  <si>
    <t>08.001.12.366.0001.2.001.3.3.90.46.01.200.0000</t>
  </si>
  <si>
    <t>08.001.12.366.0001.2.001.3.3.90.49.01.200.0000</t>
  </si>
  <si>
    <t>08.001.12.366.0016.2.019.3.3.50.39.01.200.0000</t>
  </si>
  <si>
    <t>MOVA</t>
  </si>
  <si>
    <t>08.001.12.366.0016.2.019.3.3.90.48.01.200.0000</t>
  </si>
  <si>
    <t>08.001.12.366.0016.2.019.4.4.50.39.01.200.0000</t>
  </si>
  <si>
    <t>08.001.12.367.0016.2.019.3.3.90.30.08.110.0000</t>
  </si>
  <si>
    <t xml:space="preserve">Emenda Impositiva - Stephane Rossi - Salas Multifuncionais </t>
  </si>
  <si>
    <t>08.001.12.367.0016.2.019.3.3.90.39.01.200.0000</t>
  </si>
  <si>
    <t>Equoterapia</t>
  </si>
  <si>
    <t>Hidroterapia</t>
  </si>
  <si>
    <t>08.001.12.367.0016.2.019.4.4.90.52.08.110.0000</t>
  </si>
  <si>
    <t>09.001.04.122.0001.2.001.3.1.90.94.01.310.0000</t>
  </si>
  <si>
    <t>Indenizações e Restituições</t>
  </si>
  <si>
    <t>09.001.04.126.0002.2.007.3.3.90.39.02.310.0000</t>
  </si>
  <si>
    <t>Prontuário Eletrônico</t>
  </si>
  <si>
    <t>09.001.04.126.0002.2.007.3.3.90.39.01.310.0000</t>
  </si>
  <si>
    <t>09.001.04.131.0002.2.005.3.3.90.30.01.110.0000</t>
  </si>
  <si>
    <t>09.001.04.131.0002.2.005.3.3.90.30.01.310.0000</t>
  </si>
  <si>
    <t>09.001.04.131.0002.2.005.3.3.90.39.01.110.0000</t>
  </si>
  <si>
    <t>09.001.04.131.0002.2.005.3.3.90.39.01.310.0000</t>
  </si>
  <si>
    <t>09.001.10.122.0001.2.001.3.1.90.11.01.110.0000</t>
  </si>
  <si>
    <t>09.001.10.122.0001.2.001.3.1.90.11.05.313.0000</t>
  </si>
  <si>
    <t>09.001.10.122.0001.2.001.3.1.90.11.01.310.0000</t>
  </si>
  <si>
    <t>09.001.10.122.0001.2.001.3.1.90.11.05.370.0000</t>
  </si>
  <si>
    <t>09.001.10.122.0001.2.001.3.1.90.13.01.110.0000</t>
  </si>
  <si>
    <t>09.001.10.122.0001.2.001.3.1.90.13.01.310.0000</t>
  </si>
  <si>
    <t>09.001.10.122.0001.2.001.3.1.91.13.01.110.0000</t>
  </si>
  <si>
    <t>09.001.10.122.0001.2.001.3.1.91.13.01.310.0000</t>
  </si>
  <si>
    <t>09.001.10.122.0001.2.001.3.3.90.46.01.110.0000</t>
  </si>
  <si>
    <t>09.001.10.122.0001.2.001.3.3.90.46.01.310.0000</t>
  </si>
  <si>
    <t>09.001.10.122.0001.2.001.3.3.90.49.01.110.0000</t>
  </si>
  <si>
    <t>09.001.10.122.0001.2.006.3.3.90.33.01.110.0000</t>
  </si>
  <si>
    <t>09.001.10.122.0001.2.006.3.3.90.39.01.110.0000</t>
  </si>
  <si>
    <t>09.001.10.302.0015.2.026.3.3.90.39.01.110.0000</t>
  </si>
  <si>
    <t>Associação Beneficente Cisne</t>
  </si>
  <si>
    <t>Centro de Apoio ao Autista de Osasco</t>
  </si>
  <si>
    <t>Centro Terapêutico Batista</t>
  </si>
  <si>
    <t>Clínica Elo de Intervenção Comportamental</t>
  </si>
  <si>
    <t>Clínica Primavera</t>
  </si>
  <si>
    <t>Instituto de Desenv. e Pesquisa da Saúde Mental e Psicossocial</t>
  </si>
  <si>
    <t>Internação de Longa Permanência - Yoshida Residencial para Terceira Idade</t>
  </si>
  <si>
    <t>Internação de Longa Permanência para Idosos - RM Rebello Condomínio Residencial para Idosos</t>
  </si>
  <si>
    <t>Projeto Pró Autista</t>
  </si>
  <si>
    <t>ILPI - Instituto Passo a Passo</t>
  </si>
  <si>
    <t>Fundação Mercedes de Andrade Martins</t>
  </si>
  <si>
    <t>09.001.10.304.0001.2.001.3.1.90.11.05.303.0000</t>
  </si>
  <si>
    <t>09.001.10.304.0001.2.001.3.1.90.11.05.313.0000</t>
  </si>
  <si>
    <t>09.001.10.304.0001.2.001.3.1.90.13.01.310.0000</t>
  </si>
  <si>
    <t>09.001.10.304.0001.2.001.3.1.90.13.05.303.0000</t>
  </si>
  <si>
    <t>09.001.10.304.0001.2.001.3.1.91.13.01.310.0000</t>
  </si>
  <si>
    <t>09.001.10.304.0001.2.001.3.1.91.13.05.303.0000</t>
  </si>
  <si>
    <t>09.001.10.304.0001.2.001.3.3.90.49.01.310.0000</t>
  </si>
  <si>
    <t>09.001.10.304.0001.2.001.3.3.90.49.05.303.0000</t>
  </si>
  <si>
    <t>09.001.10.305.0001.2.001.3.1.90.11.01.310.0000</t>
  </si>
  <si>
    <t>09.001.10.305.0001.2.001.3.1.90.11.05.313.0000</t>
  </si>
  <si>
    <t>09.001.10.305.0001.2.001.3.1.90.13.01.110.0000</t>
  </si>
  <si>
    <t>09.001.10.305.0001.2.001.3.1.90.13.01.310.0000</t>
  </si>
  <si>
    <t>09.001.10.305.0001.2.001.3.1.90.13.05.313.0000</t>
  </si>
  <si>
    <t>09.001.10.305.0001.2.001.3.1.91.13.01.310.0000</t>
  </si>
  <si>
    <t>09.001.10.305.0001.2.001.3.1.91.13.05.313.0000</t>
  </si>
  <si>
    <t>09.001.10.305.0001.2.001.3.3.90.46.01.310.0000</t>
  </si>
  <si>
    <t>09.001.10.305.0001.2.001.3.3.90.49.01.110.0000</t>
  </si>
  <si>
    <t>09.001.10.305.0001.2.001.3.3.90.49.01.300.0000</t>
  </si>
  <si>
    <t>09.001.10.305.0001.2.001.3.3.90.49.01.310.0000</t>
  </si>
  <si>
    <t>09.001.10.305.0001.2.001.3.3.90.49.05.313.0000</t>
  </si>
  <si>
    <t>09.006.10.302.0015.1.002.3.3.90.30.01.110.0000</t>
  </si>
  <si>
    <t xml:space="preserve">Hospital e Maternidade Amador Aguiar </t>
  </si>
  <si>
    <t>09.006.10.302.0015.1.002.3.3.90.30.01.310.0000</t>
  </si>
  <si>
    <t>09.006.10.302.0015.1.002.3.3.90.39.01.110.0000</t>
  </si>
  <si>
    <t>09.006.10.302.0015.1.002.3.3.90.39.01.310.0000</t>
  </si>
  <si>
    <t>09.006.10.302.0015.1.002.4.4.90.51.01.110.0000</t>
  </si>
  <si>
    <t>09.006.10.302.0015.1.002.4.4.90.51.01.310.0000</t>
  </si>
  <si>
    <t>09.006.10.302.0015.1.002.4.4.90.52.01.110.0000</t>
  </si>
  <si>
    <t>09.006.10.302.0015.1.002.4.4.90.52.01.310.0000</t>
  </si>
  <si>
    <t>09.006.10.302.0015.2.014.3.3.90.30.01.110.0000</t>
  </si>
  <si>
    <t>Nutrição e Alimentação Hospitalar</t>
  </si>
  <si>
    <t>Nutrição Enteral</t>
  </si>
  <si>
    <t>09.006.10.302.0015.2.014.3.3.90.30.01.310.0000</t>
  </si>
  <si>
    <t>09.006.10.302.0015.2.014.3.3.90.30.05.301.0000</t>
  </si>
  <si>
    <t>09.006.10.302.0015.2.014.3.3.90.39.01.110.0000</t>
  </si>
  <si>
    <t>Diagnósticos por Imagem</t>
  </si>
  <si>
    <t>Dietas Parenterais</t>
  </si>
  <si>
    <t>Exames Clínicos e Laboratoriais</t>
  </si>
  <si>
    <t>Hemocomponentes</t>
  </si>
  <si>
    <t>Hemoterapia Clínica</t>
  </si>
  <si>
    <t>Lavanderia Hospitalar</t>
  </si>
  <si>
    <t>Serviço de Hemodiálise Ambulatorial</t>
  </si>
  <si>
    <t>Serviços de Limpeza Hospitalar</t>
  </si>
  <si>
    <t>09.006.10.302.0015.2.014.3.3.90.39.01.310.0000</t>
  </si>
  <si>
    <t>Serviços Médicos Especializados</t>
  </si>
  <si>
    <t>09.006.10.302.0015.2.014.3.3.90.39.05.301.0000</t>
  </si>
  <si>
    <t>Gás Medicinal</t>
  </si>
  <si>
    <t>09.006.10.302.0015.2.014.3.3.90.93.01.310.0000</t>
  </si>
  <si>
    <t>09.008.10.301.0015.1.002.3.3.90.30.01.110.0000</t>
  </si>
  <si>
    <t>UBS</t>
  </si>
  <si>
    <t>09.008.10.301.0015.1.002.3.3.90.30.01.310.0000</t>
  </si>
  <si>
    <t>09.008.10.301.0015.1.002.3.3.90.39.01.110.0000</t>
  </si>
  <si>
    <t>09.008.10.301.0015.1.002.3.3.90.39.01.310.0000</t>
  </si>
  <si>
    <t>09.008.10.301.0015.1.002.3.3.90.39.08.310.0000</t>
  </si>
  <si>
    <t>Emenda Impositiva  - Josias da JUCO - Ampliação de sala UBS Jaguaribe</t>
  </si>
  <si>
    <t>09.008.10.301.0015.1.002.4.4.90.51.01.110.0000</t>
  </si>
  <si>
    <t>09.008.10.301.0015.1.002.4.4.90.51.01.310.0000</t>
  </si>
  <si>
    <t>09.008.10.301.0015.1.002.4.4.90.52.01.110.0000</t>
  </si>
  <si>
    <t>09.008.10.301.0015.1.002.4.4.90.52.01.310.0000</t>
  </si>
  <si>
    <t>09.008.10.301.0015.1.002.4.4.90.52.08.310.0000</t>
  </si>
  <si>
    <t>09.008.10.301.0015.1.003.4.4.90.51.01.110.0000</t>
  </si>
  <si>
    <t>UBS Rochdale</t>
  </si>
  <si>
    <t>09.008.10.301.0015.1.003.4.4.90.51.01.310.0000</t>
  </si>
  <si>
    <t>09.008.10.301.0015.2.012.3.3.50.39.08.310.0000</t>
  </si>
  <si>
    <t xml:space="preserve">Emenda Impositiva  - Emerson Osasco -  Amigos do Bonança </t>
  </si>
  <si>
    <t>Emenda Impositiva  - Guilherme Prado  -  CAEEBEM</t>
  </si>
  <si>
    <t>09.008.10.301.0015.2.012.3.3.90.30.01.110.0000</t>
  </si>
  <si>
    <t>09.008.10.301.0015.2.012.3.3.90.30.01.310.0000</t>
  </si>
  <si>
    <t>09.008.10.301.0015.2.012.3.3.90.30.08.310.0000</t>
  </si>
  <si>
    <t xml:space="preserve">Emenda Impositiva - Carmônio Bastos - Insumos Odontológicos </t>
  </si>
  <si>
    <t>09.008.10.301.0015.2.012.3.3.90.32.01.110.0000</t>
  </si>
  <si>
    <t>09.008.10.301.0015.2.012.3.3.90.32.01.310.0000</t>
  </si>
  <si>
    <t>09.008.10.301.0015.2.012.3.3.90.39.01.110.0000</t>
  </si>
  <si>
    <t>Manutenção dos Equipamentos Odontológicos</t>
  </si>
  <si>
    <t xml:space="preserve">Próteses Dentárias </t>
  </si>
  <si>
    <t>09.008.10.301.0015.2.012.3.3.90.39.01.310.0000</t>
  </si>
  <si>
    <t>09.008.10.301.0015.2.012.3.3.90.39.02.310.0000</t>
  </si>
  <si>
    <t>09.008.10.301.0015.2.012.3.3.90.39.05.301.0000</t>
  </si>
  <si>
    <t>09.008.10.301.0015.2.012.4.4.50.52.08.310.0000</t>
  </si>
  <si>
    <t>09.009.10.302.0015.1.002.3.3.90.30.01.110.0000</t>
  </si>
  <si>
    <t>Policlínica  - Zona Norte</t>
  </si>
  <si>
    <t>09.009.10.302.0015.1.002.3.3.90.30.01.310.0000</t>
  </si>
  <si>
    <t>09.009.10.302.0015.1.002.3.3.90.39.01.110.0000</t>
  </si>
  <si>
    <t>09.009.10.302.0015.1.002.3.3.90.39.01.310.0000</t>
  </si>
  <si>
    <t>09.009.10.302.0015.1.002.4.4.90.51.01.110.0000</t>
  </si>
  <si>
    <t>09.009.10.302.0015.1.002.4.4.90.51.01.310.0000</t>
  </si>
  <si>
    <t>09.009.10.302.0015.1.002.4.4.90.52.01.110.0000</t>
  </si>
  <si>
    <t>09.009.10.302.0015.1.002.4.4.90.52.01.310.0000</t>
  </si>
  <si>
    <t>09.009.10.302.0015.1.003.4.4.90.51.01.110.0000</t>
  </si>
  <si>
    <t>CAPS  - Álcool e Drogas</t>
  </si>
  <si>
    <t>09.009.10.302.0015.1.003.4.4.90.51.01.310.0000</t>
  </si>
  <si>
    <t>09.009.10.302.0015.1.003.4.4.90.51.05.302.0000</t>
  </si>
  <si>
    <t>Construção do CAPS III AD Infanto Juvenil - PAC</t>
  </si>
  <si>
    <t>09.009.10.302.0015.2.013.3.3.50.39.01.110.0000</t>
  </si>
  <si>
    <t>Convênio AACD</t>
  </si>
  <si>
    <t>09.009.10.302.0015.2.013.3.3.50.39.05.302.0000</t>
  </si>
  <si>
    <t>Casa de Apoio - GOAS</t>
  </si>
  <si>
    <t>Convênio AMME</t>
  </si>
  <si>
    <t>09.009.10.302.0015.2.013.3.3.50.39.08.310.0000</t>
  </si>
  <si>
    <t>Emenda Impositiva - Bancada de Vereadores - ABRAAC</t>
  </si>
  <si>
    <t>Emenda Impositiva - Bancada de Vereadores - AMME</t>
  </si>
  <si>
    <t>Emenda Impositiva - Carmônio Bastos - Angelika</t>
  </si>
  <si>
    <t>Emenda Impositiva - Guilherme Prado -  Instituto Sophia Vercelli</t>
  </si>
  <si>
    <t>Emenda Impositiva - Guilherme Prado - AMME</t>
  </si>
  <si>
    <t xml:space="preserve">Emenda Impositiva - Guilherme Prado - FIA </t>
  </si>
  <si>
    <t>Emenda Impositiva - Josias da JUCO - ABRAAC</t>
  </si>
  <si>
    <t>Emenda Impositiva - Pedrinho -  Instituto Sophia Vercelli</t>
  </si>
  <si>
    <t xml:space="preserve">Emenda Impositiva - Rodrigo Gansinho - FIA </t>
  </si>
  <si>
    <t>Emenda Impositiva - Rodrigo Gansinho - FIVO</t>
  </si>
  <si>
    <t>09.009.10.302.0015.2.013.3.3.90.30.01.110.0000</t>
  </si>
  <si>
    <t>Higiene e limpeza</t>
  </si>
  <si>
    <t>09.009.10.302.0015.2.013.3.3.90.30.01.310.0000</t>
  </si>
  <si>
    <t>09.009.10.302.0015.2.013.3.3.90.30.02.310.0000</t>
  </si>
  <si>
    <t>09.009.10.302.0015.2.013.3.3.90.30.05.302.0000</t>
  </si>
  <si>
    <t>09.009.10.302.0015.2.013.3.3.90.30.08.310.0000</t>
  </si>
  <si>
    <t xml:space="preserve">Emenda Impositiva - Gabriel da Saúde - Sala Sensorial </t>
  </si>
  <si>
    <t xml:space="preserve">Emenda Impositiva - Heber Juntoz - Ambulatório da População Trans </t>
  </si>
  <si>
    <t>09.009.10.302.0015.2.013.3.3.90.39.01.110.0000</t>
  </si>
  <si>
    <t>09.009.10.302.0015.2.013.3.3.90.39.05.303.0000</t>
  </si>
  <si>
    <t>Locação de Equipamentos Hospitalares</t>
  </si>
  <si>
    <t>09.009.10.302.0015.2.013.3.3.90.39.01.310.0000</t>
  </si>
  <si>
    <t>09.009.10.302.0015.2.013.3.3.90.39.02.310.0000</t>
  </si>
  <si>
    <t>09.009.10.302.0015.2.013.3.3.90.39.08.310.0000</t>
  </si>
  <si>
    <t xml:space="preserve">Emenda Impositiva - Heber Juntoz  - Sala Sensorial </t>
  </si>
  <si>
    <t>Emenda Impositiva - Heber Juntoz - IST/AIDS</t>
  </si>
  <si>
    <t>09.009.10.302.0015.2.013.3.3.90.40.08.310.0000</t>
  </si>
  <si>
    <t>09.009.10.302.0015.2.013.3.3.90.93.01.310.0000</t>
  </si>
  <si>
    <t>09.009.10.302.0015.2.013.4.4.50.51.08.310.0000</t>
  </si>
  <si>
    <t>09.009.10.302.0015.2.013.4.4.50.52.01.110.0000</t>
  </si>
  <si>
    <t>09.009.10.302.0015.2.013.4.4.50.52.01.310.0000</t>
  </si>
  <si>
    <t>09.009.10.302.0015.2.013.4.4.50.52.08.310.0000</t>
  </si>
  <si>
    <t>Emenda Impositiva - Elania - AACD</t>
  </si>
  <si>
    <t>Emenda Impositiva - Guilherme Prado - AACD</t>
  </si>
  <si>
    <t>Emenda Impositiva - Heber Juntoz - Aparelho para CAF</t>
  </si>
  <si>
    <t>Emenda Impositiva - Heber Juntoz - Bera</t>
  </si>
  <si>
    <t>Emenda Impositiva - Heber Juntoz - Histeroscópio</t>
  </si>
  <si>
    <t>Emenda Impositiva - Lúcia da Saúde - AACD</t>
  </si>
  <si>
    <t>Emenda Impositiva - Stephane Rossi - AACD</t>
  </si>
  <si>
    <t>09.009.10.302.0015.2.013.4.4.90.52.08.310.0000</t>
  </si>
  <si>
    <t xml:space="preserve">Emenda Impositiva - Heber Juntoz - Sala Sensorial </t>
  </si>
  <si>
    <t>09.009.10.302.0015.2.023.3.3.50.85.01.110.0000</t>
  </si>
  <si>
    <t>CER Edmundo Burjato</t>
  </si>
  <si>
    <t>Residências Terapêuticas</t>
  </si>
  <si>
    <t>09.009.10.302.0015.2.023.3.3.50.85.01.310.0000</t>
  </si>
  <si>
    <t>09.009.10.302.0015.2.023.3.3.50.85.02.310.0000</t>
  </si>
  <si>
    <t>09.010.10.302.0015.1.002.3.3.90.30.01.110.0000</t>
  </si>
  <si>
    <t>Pronto Socorro</t>
  </si>
  <si>
    <t>09.010.10.302.0015.1.002.3.3.90.30.01.310.0000</t>
  </si>
  <si>
    <t>09.010.10.302.0015.1.002.3.3.90.39.01.110.0000</t>
  </si>
  <si>
    <t>09.010.10.302.0015.1.002.3.3.90.39.01.310.0000</t>
  </si>
  <si>
    <t>09.010.10.302.0015.1.002.4.4.90.51.01.110.0000</t>
  </si>
  <si>
    <t>09.010.10.302.0015.1.002.4.4.90.51.01.310.0000</t>
  </si>
  <si>
    <t>09.010.10.302.0015.1.002.4.4.90.52.01.110.0000</t>
  </si>
  <si>
    <t>09.010.10.302.0015.1.002.4.4.90.52.01.310.0000</t>
  </si>
  <si>
    <t>09.010.10.302.0015.2.014.3.3.90.30.01.110.0000</t>
  </si>
  <si>
    <t>09.010.10.302.0015.2.014.3.3.90.30.01.310.0000</t>
  </si>
  <si>
    <t>09.010.10.302.0015.2.014.3.3.90.30.05.301.0000</t>
  </si>
  <si>
    <t>09.010.10.302.0015.2.014.3.3.90.30.05.302.0000</t>
  </si>
  <si>
    <t>09.010.10.302.0015.2.014.3.3.90.39.01.110.0000</t>
  </si>
  <si>
    <t>Locação de Geradores</t>
  </si>
  <si>
    <t>Locação de Vans Adaptadas</t>
  </si>
  <si>
    <t>Locação de Vans e Ambulâncias</t>
  </si>
  <si>
    <t>Manutenção de Equipamentos Hospitalares</t>
  </si>
  <si>
    <t>Sistema de Monitoramento</t>
  </si>
  <si>
    <t>09.010.10.302.0015.2.014.3.3.90.39.01.310.0000</t>
  </si>
  <si>
    <t>09.010.10.302.0015.2.014.3.3.90.39.02.310.0000</t>
  </si>
  <si>
    <t>09.010.10.302.0015.2.014.3.3.90.39.05.301.0000</t>
  </si>
  <si>
    <t>09.010.10.302.0015.2.014.3.3.90.39.05.302.0000</t>
  </si>
  <si>
    <t>09.010.10.302.0015.2.014.3.3.90.39.08.310.0000</t>
  </si>
  <si>
    <t>Emenda Impositiva - Bancada de Vereadores - Serviços Médicos Especializados</t>
  </si>
  <si>
    <t>09.010.10.302.0015.2.023.3.3.50.85.01.110.0000</t>
  </si>
  <si>
    <t>Hospital da Criança</t>
  </si>
  <si>
    <t>Hospital Municipal Antônio Gíglio</t>
  </si>
  <si>
    <t>PS Cesarino Nuvolini</t>
  </si>
  <si>
    <t>PS Osmar Mesquita</t>
  </si>
  <si>
    <t>UPA Centro</t>
  </si>
  <si>
    <t>UPA Conceição</t>
  </si>
  <si>
    <t>UPA Menck</t>
  </si>
  <si>
    <t>09.010.10.302.0015.2.023.3.3.50.85.01.310.0000</t>
  </si>
  <si>
    <t>09.010.10.302.0015.2.023.3.3.50.85.05.302.0000</t>
  </si>
  <si>
    <t>09.010.10.302.0015.2.023.3.3.50.85.08.310.0000</t>
  </si>
  <si>
    <t>Emenda Impositiva - Paulo Junior - Ampliação dos Leitos de Emergência do Hospital Antônio Giglio</t>
  </si>
  <si>
    <t>09.012.10.303.0014.2.011.3.3.90.30.01.110.0000</t>
  </si>
  <si>
    <t xml:space="preserve">Aquisição de Medicamentos  - Ordem Judicial </t>
  </si>
  <si>
    <t>09.012.10.303.0014.2.011.3.3.90.30.01.310.0000</t>
  </si>
  <si>
    <t>09.012.10.303.0014.2.011.3.3.90.30.02.300.0000</t>
  </si>
  <si>
    <t>Administração de Medicamentos</t>
  </si>
  <si>
    <t>09.012.10.303.0014.2.011.3.3.90.30.02.310.0000</t>
  </si>
  <si>
    <t>09.012.10.303.0014.2.011.3.3.90.30.05.304.0000</t>
  </si>
  <si>
    <t>09.012.10.303.0014.2.011.3.3.90.30.08.310.0000</t>
  </si>
  <si>
    <t xml:space="preserve">Emenda Impositiva - Bancada de Vereadores - Ambulatório de Estomaterapia </t>
  </si>
  <si>
    <t xml:space="preserve">Emenda Impositiva - Bancada de Vereadores - Aquisição de Insumos e Materiais Hospitalares </t>
  </si>
  <si>
    <t>09.012.10.303.0014.2.011.3.3.90.32.01.110.0000</t>
  </si>
  <si>
    <t>09.012.10.303.0014.2.011.3.3.90.32.01.310.0000</t>
  </si>
  <si>
    <t>09.012.10.303.0014.2.011.3.3.90.32.08.310.0000</t>
  </si>
  <si>
    <t>09.012.10.303.0014.2.011.3.3.90.32.05.304.0000</t>
  </si>
  <si>
    <t>09.012.10.303.0014.2.011.3.3.90.39.01.110.0000</t>
  </si>
  <si>
    <t>09.012.10.303.0014.2.011.3.3.90.39.01.310.0000</t>
  </si>
  <si>
    <t>09.012.10.303.0014.2.011.4.4.90.52.01.110.0000</t>
  </si>
  <si>
    <t>09.012.10.303.0015.2.011.3.3.90.30.01.110.0000</t>
  </si>
  <si>
    <t>Aquisição de Medicamento Manipulado</t>
  </si>
  <si>
    <t>09.012.10.303.0015.2.011.3.3.90.30.01.310.0000</t>
  </si>
  <si>
    <t>09.015.04.121.0004.1.001.3.3.90.35.01.110.0000</t>
  </si>
  <si>
    <t>09.015.04.128.0002.2.003.3.3.90.36.01.110.0000</t>
  </si>
  <si>
    <t>09.015.04.128.0002.2.003.3.3.90.36.01.310.0000</t>
  </si>
  <si>
    <t>09.015.04.128.0002.2.003.3.3.90.39.01.110.0000</t>
  </si>
  <si>
    <t>09.015.04.128.0002.2.003.3.3.90.39.01.310.0000</t>
  </si>
  <si>
    <t>09.015.10.122.0014.1.002.3.3.90.30.01.110.0000</t>
  </si>
  <si>
    <t>Zoonoses</t>
  </si>
  <si>
    <t>09.015.10.122.0014.1.002.3.3.90.30.01.310.0000</t>
  </si>
  <si>
    <t>09.015.10.122.0014.1.002.3.3.90.39.01.110.0000</t>
  </si>
  <si>
    <t>09.015.10.122.0014.1.002.3.3.90.39.01.310.0000</t>
  </si>
  <si>
    <t>09.015.10.122.0014.1.002.4.4.90.51.01.110.0000</t>
  </si>
  <si>
    <t>09.015.10.122.0014.1.002.4.4.90.51.01.310.0000</t>
  </si>
  <si>
    <t>09.015.10.122.0014.1.002.4.4.90.52.01.110.0000</t>
  </si>
  <si>
    <t>09.015.10.122.0014.1.002.4.4.90.52.01.310.0000</t>
  </si>
  <si>
    <t>09.015.10.122.0014.2.011.3.3.90.30.01.110.0000</t>
  </si>
  <si>
    <t>Aquisição de insumos</t>
  </si>
  <si>
    <t>09.015.10.122.0014.2.011.3.3.90.30.01.310.0000</t>
  </si>
  <si>
    <t>09.015.10.122.0014.2.011.3.3.90.30.02.310.0000</t>
  </si>
  <si>
    <t>Manutenção de Câmaras Frias</t>
  </si>
  <si>
    <t>09.015.10.122.0014.2.011.3.3.90.30.05.301.0000</t>
  </si>
  <si>
    <t>09.015.10.122.0014.2.011.3.3.90.32.05.301.0000</t>
  </si>
  <si>
    <t>09.015.10.122.0014.2.011.3.3.90.39.01.110.0000</t>
  </si>
  <si>
    <t>Seguro das Ambulâncias</t>
  </si>
  <si>
    <t>09.015.10.122.0014.2.011.3.3.90.39.05.310.0000</t>
  </si>
  <si>
    <t>09.015.10.122.0014.2.011.3.3.90.39.01.310.0000</t>
  </si>
  <si>
    <t>Seguro das Motolâncias</t>
  </si>
  <si>
    <t>09.015.10.122.0014.2.011.3.3.90.39.05.301.0000</t>
  </si>
  <si>
    <t>09.015.10.122.0014.2.011.3.3.90.93.01.110.0000</t>
  </si>
  <si>
    <t>09.015.10.122.0014.2.011.3.3.90.93.01.310.0000</t>
  </si>
  <si>
    <t>09.015.10.128.0014.2.008.3.3.90.48.01.110.0000</t>
  </si>
  <si>
    <t>Mais Médicos</t>
  </si>
  <si>
    <t>11.001.04.121.0004.1.001.3.3.90.39.01.110.0000</t>
  </si>
  <si>
    <t>Projetos Executivos</t>
  </si>
  <si>
    <t>Sondagem e Topografia</t>
  </si>
  <si>
    <t>11.001.04.121.0004.1.001.3.3.90.40.01.110.0000</t>
  </si>
  <si>
    <t>Licenças de Software</t>
  </si>
  <si>
    <t>11.001.04.122.0001.2.001.3.1.90.11.01.110.0000</t>
  </si>
  <si>
    <t>11.001.04.122.0001.2.001.3.1.90.13.01.110.0000</t>
  </si>
  <si>
    <t>11.001.04.122.0001.2.001.3.1.91.13.01.110.0000</t>
  </si>
  <si>
    <t>11.001.04.122.0001.2.001.3.3.90.46.01.110.0000</t>
  </si>
  <si>
    <t>11.001.04.122.0001.2.001.3.3.90.49.01.110.0000</t>
  </si>
  <si>
    <t>11.001.04.122.0011.1.002.3.3.90.39.01.110.0000</t>
  </si>
  <si>
    <t>Central de Manutenção</t>
  </si>
  <si>
    <t>Manutenção de Praças, Parques e Roçagem</t>
  </si>
  <si>
    <t>11.001.04.122.0011.1.002.3.3.90.39.08.110.0000</t>
  </si>
  <si>
    <t>Emenda Impositiva  - Rodrigo Gansinho - Mercado Municipal</t>
  </si>
  <si>
    <t xml:space="preserve">Emenda Impostiva  - Carmônio Bastos  - Reforma de Praças </t>
  </si>
  <si>
    <t>11.001.04.122.0011.1.003.4.4.90.51.01.110.0000</t>
  </si>
  <si>
    <t>Verticalização Cemitérios</t>
  </si>
  <si>
    <t>11.014.04.122.0011.1.003.4.4.90.51.03.100.1102</t>
  </si>
  <si>
    <t>11.001.04.122.0011.2.011.3.3.90.30.01.110.0000</t>
  </si>
  <si>
    <t>11.001.04.122.0011.2.011.3.3.90.39.01.110.0000</t>
  </si>
  <si>
    <t>Locação de Veículos Operacionais</t>
  </si>
  <si>
    <t xml:space="preserve">Logradouros </t>
  </si>
  <si>
    <t>Adequação/Requalificação Passeios Públicos</t>
  </si>
  <si>
    <t>11.001.04.122.0011.2.011.3.3.90.39.05.100.0000</t>
  </si>
  <si>
    <t>11.001.04.122.0011.2.011.3.3.90.39.05.802.0000</t>
  </si>
  <si>
    <t>11.001.04.122.0011.2.011.4.4.90.52.01.110.0000</t>
  </si>
  <si>
    <t>Mobiliário Urbano</t>
  </si>
  <si>
    <t>11.001.04.122.0011.2.011.4.4.90.52.03.120.0000</t>
  </si>
  <si>
    <t>11.001.04.131.0002.2.005.3.3.90.30.01.110.0000</t>
  </si>
  <si>
    <t>11.001.04.131.0002.2.005.3.3.90.39.01.110.0000</t>
  </si>
  <si>
    <t>11.001.15.451.0011.1.005.3.3.90.39.01.110.0000</t>
  </si>
  <si>
    <t>Reforma da Praça do Samba</t>
  </si>
  <si>
    <t>11.001.15.451.0013.1.005.4.4.90.51.01.110.0000</t>
  </si>
  <si>
    <t xml:space="preserve">Terceira Ponte </t>
  </si>
  <si>
    <t>11.001.15.451.0013.1.005.4.4.90.51.07.100.0000</t>
  </si>
  <si>
    <t>11.001.15.451.0013.1.006.4.4.90.51.01.110.0000</t>
  </si>
  <si>
    <t xml:space="preserve">Malha Viária </t>
  </si>
  <si>
    <t>Pavimentação Asfáltica</t>
  </si>
  <si>
    <t>Pavimentação Estrada de Portugal/Santa Fé/Ind. Anhanguera</t>
  </si>
  <si>
    <t>11.001.15.451.0013.1.006.4.4.90.51.03.100.1101</t>
  </si>
  <si>
    <t>11.001.15.451.0013.1.006.4.4.90.51.02.803.0000</t>
  </si>
  <si>
    <t>11.001.15.451.0013.1.006.4.4.90.51.05.100.0000</t>
  </si>
  <si>
    <t>11.001.15.451.0013.1.006.4.4.90.51.07.100.0000</t>
  </si>
  <si>
    <t>11.001.15.452.0011.2.038.3.3.90.30.01.100.0002</t>
  </si>
  <si>
    <t>11.001.15.452.0011.2.038.3.3.90.39.01.100.0002</t>
  </si>
  <si>
    <t>Iluminação Pública</t>
  </si>
  <si>
    <t>Manutenção do Viaduto Metálico</t>
  </si>
  <si>
    <t>11.001.15.452.0011.2.038.3.3.90.39.01.110.0000</t>
  </si>
  <si>
    <t>11.001.15.452.0013.2.034.3.3.90.39.01.110.0000</t>
  </si>
  <si>
    <t xml:space="preserve">Manutenção Viária - Tapa Buraco </t>
  </si>
  <si>
    <t>Massa Asfáltica</t>
  </si>
  <si>
    <t>11.001.15.452.0013.2.034.3.3.90.39.05.100.0032</t>
  </si>
  <si>
    <t>Recapeamento Asfáltico</t>
  </si>
  <si>
    <t>Recapeamento Av. Domingos Odália Filho</t>
  </si>
  <si>
    <t>11.001.15.452.0013.2.034.3.3.90.39.05.100.0000</t>
  </si>
  <si>
    <t>Concreto Usinado</t>
  </si>
  <si>
    <t>11.001.15.452.0013.2.034.3.3.90.39.01.130.0000</t>
  </si>
  <si>
    <t>11.001.15.452.0013.2.034.3.3.90.39.08.110.0000</t>
  </si>
  <si>
    <t>Emenda Impositiva - Fábio Chirinhan - Rua Zuma de Sá</t>
  </si>
  <si>
    <t>11.001.15.452.0013.2.034.4.4.90.52.08.110.0000</t>
  </si>
  <si>
    <t>11.001.17.452.0007.2.039.3.3.90.30.08.110.0000</t>
  </si>
  <si>
    <t>Emenda Impositiva  - Josias da Juco - DIGRES</t>
  </si>
  <si>
    <t>Emenda Impositiva  - Sergio Fontellas - DIGRES</t>
  </si>
  <si>
    <t>11.001.17.452.0007.2.039.3.3.90.39.01.110.0000</t>
  </si>
  <si>
    <t>PPP - Limpeza Urbana</t>
  </si>
  <si>
    <t>11.001.17.452.0007.2.039.3.3.90.39.08.110.0000</t>
  </si>
  <si>
    <t>11.001.17.452.0007.2.039.4.4.90.52.08.110.0000</t>
  </si>
  <si>
    <t>11.001.18.452.0007.1.003.3.3.90.39.01.110.0000</t>
  </si>
  <si>
    <t>Ecoponto - Presidente Altino</t>
  </si>
  <si>
    <t>11.001.18.543.0007.2.037.3.3.50.39.08.110.0000</t>
  </si>
  <si>
    <t xml:space="preserve">Emenda Impositiva - Heber Juntoz - Casa Viva </t>
  </si>
  <si>
    <t>11.001.18.543.0007.2.037.3.3.90.39.01.110.0000</t>
  </si>
  <si>
    <t>11.001.18.544.0005.1.007.4.4.90.51.01.110.0000</t>
  </si>
  <si>
    <t>Canalização do Córrego Montezuma</t>
  </si>
  <si>
    <t>11.001.18.544.0005.1.007.4.4.90.51.05.100.0000</t>
  </si>
  <si>
    <t xml:space="preserve">Córrego Rico </t>
  </si>
  <si>
    <t>11.001.18.544.0005.1.007.4.4.90.51.07.100.0000</t>
  </si>
  <si>
    <t>11.001.18.544.0005.1.008.4.4.90.51.01.110.0000</t>
  </si>
  <si>
    <t xml:space="preserve">Ampliação de Galerias </t>
  </si>
  <si>
    <t>Pedro Rissatto - Remédios</t>
  </si>
  <si>
    <t>11.001.18.544.0005.1.008.4.4.90.51.02.803.0000</t>
  </si>
  <si>
    <t>Santo Antoninho</t>
  </si>
  <si>
    <t>11.001.18.544.0005.2.035.3.3.90.39.01.110.0000</t>
  </si>
  <si>
    <t>Dessassoreamto de Córregos</t>
  </si>
  <si>
    <t>Manutenção de Galerias e Dispositivos de Drenagem</t>
  </si>
  <si>
    <t>11.001.18.544.0005.2.035.3.3.90.39.01.140.0000</t>
  </si>
  <si>
    <t>11.008.17.452.0007.2.039.3.3.90.39.01.110.0000</t>
  </si>
  <si>
    <t>11.008.17.452.0007.2.039.3.3.90.39.03.100.0401</t>
  </si>
  <si>
    <t>11.001.17.452.0007.2.039.4.4.90.51.01.110.0000</t>
  </si>
  <si>
    <t>11.008.17.452.0007.2.039.4.4.90.51.07.100.0000</t>
  </si>
  <si>
    <t>11.014.04.122.0011.2.011.3.3.90.30.03.100.1103</t>
  </si>
  <si>
    <t>Manutenção Técnica e Administrativa dos Cemitérios</t>
  </si>
  <si>
    <t>11.014.04.122.0011.2.011.3.3.90.39.03.100.1102</t>
  </si>
  <si>
    <t>11.014.04.122.0011.2.011.3.3.90.39.03.100.1103</t>
  </si>
  <si>
    <t xml:space="preserve">Locação de Veículos Adaptados </t>
  </si>
  <si>
    <t>11.014.04.122.0011.2.011.4.4.90.52.03.100.1103</t>
  </si>
  <si>
    <t xml:space="preserve">Paramentos dos Velórios </t>
  </si>
  <si>
    <t>11.014.04.122.0011.2.011.4.5.90.62.01.110.0000</t>
  </si>
  <si>
    <t xml:space="preserve">Material para Revenda </t>
  </si>
  <si>
    <t>11.014.04.122.0011.2.011.4.5.90.62.03.100.1103</t>
  </si>
  <si>
    <t>Artigos Funerários para Revenda</t>
  </si>
  <si>
    <t>11.014.18.543.0007.2.037.3.3.90.39.03.100.1111</t>
  </si>
  <si>
    <t>12.001.04.121.0004.1.001.3.3.90.35.01.110.0000</t>
  </si>
  <si>
    <t>12.001.04.122.0001.2.001.3.1.90.11.01.110.0000</t>
  </si>
  <si>
    <t>12.001.04.122.0001.2.001.3.1.90.13.01.110.0000</t>
  </si>
  <si>
    <t>12.001.04.122.0001.2.001.3.1.91.13.01.110.0000</t>
  </si>
  <si>
    <t>12.001.04.122.0001.2.001.3.3.90.46.01.110.0000</t>
  </si>
  <si>
    <t>12.001.04.122.0001.2.001.3.3.90.49.01.110.0000</t>
  </si>
  <si>
    <t>12.001.04.122.0001.2.006.3.3.90.33.01.110.0000</t>
  </si>
  <si>
    <t>12.001.04.122.0001.2.006.3.3.90.39.01.110.0000</t>
  </si>
  <si>
    <t>12.001.04.128.0002.2.003.3.3.90.30.01.110.0000</t>
  </si>
  <si>
    <t>12.001.04.128.0002.2.003.3.3.90.36.01.110.0000</t>
  </si>
  <si>
    <t>12.001.04.128.0002.2.003.3.3.90.39.01.110.0000</t>
  </si>
  <si>
    <t>12.001.04.131.0002.2.005.3.3.90.30.01.110.0000</t>
  </si>
  <si>
    <t>12.001.04.131.0002.2.005.3.3.90.39.01.110.0000</t>
  </si>
  <si>
    <t>12.001.04.131.0002.2.005.3.3.90.39.03.100.1201</t>
  </si>
  <si>
    <t>12.001.27.811.0010.2.030.3.3.50.39.08.110.0000</t>
  </si>
  <si>
    <t xml:space="preserve">Emenda Impositiva  - Bancada de Vereadores - ABC do Esporte </t>
  </si>
  <si>
    <t>Emenda Impositiva  - Bancada de Vereadores - Divertere</t>
  </si>
  <si>
    <t>Emenda Impositiva  - Rodrigo Gansinho - Divertere</t>
  </si>
  <si>
    <t xml:space="preserve">Emenda Impositiva - Batista da Comunidade - Missão Urbana </t>
  </si>
  <si>
    <t>12.001.27.811.0010.2.030.3.3.90.30.01.110.0000</t>
  </si>
  <si>
    <t>12.001.27.811.0010.2.030.3.3.90.30.03.100.1201</t>
  </si>
  <si>
    <t>12.001.27.811.0010.2.030.3.3.90.30.08.110.0000</t>
  </si>
  <si>
    <t>Emenda Impositiva - Alexandre Capriotti - Apoio ao Esporte</t>
  </si>
  <si>
    <t>Emenda Impositiva - Laércio Mendonça- Apoio ao Esporte</t>
  </si>
  <si>
    <t>Emenda Impositiva - Ralfi Silva -  Apoio ao Esporte</t>
  </si>
  <si>
    <t>Emenda Impositiva - Sergio Fontellas -  Apoio ao Esporte</t>
  </si>
  <si>
    <t>12.001.27.811.0010.2.030.3.3.90.39.01.110.0000</t>
  </si>
  <si>
    <t xml:space="preserve">Hospedagem Para Atletas de Alto Rendimento </t>
  </si>
  <si>
    <t>Locação de Transportes de Atletas de Alto Rendimento</t>
  </si>
  <si>
    <t>Taxas a Federações e Confederações Esportivas</t>
  </si>
  <si>
    <t>12.001.27.811.0010.2.030.3.3.90.39.08.110.0000</t>
  </si>
  <si>
    <t>12.001.27.811.0010.2.030.3.3.90.48.01.110.0000</t>
  </si>
  <si>
    <t>Bolsa Atleta</t>
  </si>
  <si>
    <t>Bolsa Técnico</t>
  </si>
  <si>
    <t>12.001.27.811.0010.2.030.4.4.50.52.08.110.0000</t>
  </si>
  <si>
    <t>12.001.27.811.0010.2.030.4.4.90.51.01.110.0000</t>
  </si>
  <si>
    <t>Centro Comunitário</t>
  </si>
  <si>
    <t>12.001.27.812.0010.1.002.3.3.90.39.01.110.0000</t>
  </si>
  <si>
    <t>Ginásio Yves Tafarello</t>
  </si>
  <si>
    <t>Serviços de Arbitragem</t>
  </si>
  <si>
    <t>Reforma da Academia de Artes Marciais</t>
  </si>
  <si>
    <t>12.001.27.812.0010.1.002.3.3.90.39.05.100.0000</t>
  </si>
  <si>
    <t>12.001.27.812.0010.1.002.3.3.90.39.08.110.0000</t>
  </si>
  <si>
    <t>Emenda Impositiva - Bancada de Vereadores - Audax</t>
  </si>
  <si>
    <t>12.001.27.812.0010.1.002.4.4.90.51.01.110.0000</t>
  </si>
  <si>
    <t>12.001.27.812.0010.1.002.4.4.90.51.07.100.0000</t>
  </si>
  <si>
    <t>12.001.27.812.0010.1.003.3.3.90.39.01.110.0000</t>
  </si>
  <si>
    <t>12.001.27.812.0010.1.003.4.4.90.51.01.110.0000</t>
  </si>
  <si>
    <t>12.001.27.812.0010.1.003.4.4.90.51.05.100.0000</t>
  </si>
  <si>
    <t>Espaço Esportivo Comunitário</t>
  </si>
  <si>
    <t>12.001.27.812.0010.2.011.3.3.90.30.01.110.0000</t>
  </si>
  <si>
    <t>12.001.27.812.0010.2.011.3.3.90.39.01.110.0000</t>
  </si>
  <si>
    <t>Terceirizadas para Serviços Gerais</t>
  </si>
  <si>
    <t>12.001.27.812.0010.2.028.3.3.90.30.08.110.0000</t>
  </si>
  <si>
    <t>Emenda Impositiva - Bancada de Vereadores - Ações da Secretaria</t>
  </si>
  <si>
    <t>12.001.27.812.0010.2.028.3.3.90.36.01.110.0000</t>
  </si>
  <si>
    <t xml:space="preserve">Atividades Físicas para a População </t>
  </si>
  <si>
    <t>12.001.27.812.0010.2.028.3.3.90.36.01.700.0000</t>
  </si>
  <si>
    <t>12.001.27.812.0010.2.028.3.3.90.39.01.110.0000</t>
  </si>
  <si>
    <t>12.001.27.812.0010.2.028.3.3.90.39.01.700.0000</t>
  </si>
  <si>
    <t>12.001.27.812.0010.2.028.3.3.90.39.08.110.0000</t>
  </si>
  <si>
    <t>12.001.27.812.0010.2.028.4.4.90.52.08.110.0000</t>
  </si>
  <si>
    <t>12.001.27.812.0010.2.030.4.4.90.51.01.110.0000</t>
  </si>
  <si>
    <t>12.001.27.812.0010.2.031.3.3.50.39.08.110.0000</t>
  </si>
  <si>
    <t xml:space="preserve">Emenda Impositiba - Batista da Comunidade - Missão Urbana </t>
  </si>
  <si>
    <t xml:space="preserve">Emenda Impositiba - Rodrigo Gansinho - Instituto Sementinha do Bem </t>
  </si>
  <si>
    <t xml:space="preserve">Emenda Impositiva - Alexandre Capriotti - Basquete Santo Expedito  </t>
  </si>
  <si>
    <t>Emenda Impositiva - Bancada de Vereadores - Associação de Desportos Aquáticos de Osasco</t>
  </si>
  <si>
    <t>Emenda Impositiva - Bancada de Vereadores - Associação Desportiva Social</t>
  </si>
  <si>
    <t>Emenda Impositiva - Bancada de Vereadores - Associação Esportiva Novo Osasco</t>
  </si>
  <si>
    <t xml:space="preserve">Emenda Impositiva - Bancada de Vereadores - Caminhos Contra a Injustiça </t>
  </si>
  <si>
    <t>Emenda Impositiva - Bancada de Vereadores - Escolinha de Futebol Vila Izabel</t>
  </si>
  <si>
    <t xml:space="preserve">Emenda Impositiva - Bancada de Vereadores - Ilha da Madeira </t>
  </si>
  <si>
    <t>Emenda Impositiva - Bancada de Vereadores - Liga de Futebol Amador de Osasco</t>
  </si>
  <si>
    <t>Emenda Impositiva - Bancada de Vereadores - Liga de Futebol de Salão</t>
  </si>
  <si>
    <t>Emenda Impositiva - Bancada de Vereadores - Produto da Vila</t>
  </si>
  <si>
    <t>Emenda Impositiva - Delbio Teruel  - Euro Sport</t>
  </si>
  <si>
    <t>Emenda Impositiva - Delbio Teruel  - Rubro Brasil</t>
  </si>
  <si>
    <t xml:space="preserve">Emenda Impositiva - Elsa Oliveira - CT Garagem </t>
  </si>
  <si>
    <t>Emenda Impositiva - Guilherme Prado  - Sundin</t>
  </si>
  <si>
    <t xml:space="preserve">Emenda Impositiva - Pedrinho Cantagessi - Marcelinho Carioca </t>
  </si>
  <si>
    <t>Emenda Impositiva - Sergio Fontellas - Liga de Karatê</t>
  </si>
  <si>
    <t>12.001.27.812.0010.2.031.3.3.90.30.01.110.0000</t>
  </si>
  <si>
    <t>12.001.27.812.0010.2.031.3.3.90.30.08.110.0000</t>
  </si>
  <si>
    <t>Emenda Impositiva - Carmônio Bastos  - Judô</t>
  </si>
  <si>
    <t>12.001.27.812.0010.2.031.3.3.90.31.08.110.0000</t>
  </si>
  <si>
    <t xml:space="preserve">Emenda Impositiva - Josias da Juco - Premiações </t>
  </si>
  <si>
    <t>12.001.27.812.0010.2.031.3.3.90.39.01.110.0000</t>
  </si>
  <si>
    <t xml:space="preserve">Locação de Transporte para Atletas das Escolinhas </t>
  </si>
  <si>
    <t>12.001.27.812.0010.2.031.3.3.90.39.08.110.0000</t>
  </si>
  <si>
    <t>12.001.27.812.0010.2.031.4.4.50.52.08.110.0000</t>
  </si>
  <si>
    <t>12.001.27.812.0010.2.031.4.4.90.52.08.110.0000</t>
  </si>
  <si>
    <t>12.001.27.812.0010.2.032.3.3.90.30.01.110.0000</t>
  </si>
  <si>
    <t>12.001.27.812.0010.2.032.3.3.90.39.01.110.0000</t>
  </si>
  <si>
    <t>Passe Atleta</t>
  </si>
  <si>
    <t>12.001.27.812.0010.2028.3.3.50.39.01.110.0000</t>
  </si>
  <si>
    <t>13.001.04.121.0004.1.001.3.3.90.35.01.110.0000</t>
  </si>
  <si>
    <t>Plano de Habitação Social</t>
  </si>
  <si>
    <t>13.001.04.122.0001.1.002.3.3.90.39.01.110.0000</t>
  </si>
  <si>
    <t>Reforma da Sede SEHAB</t>
  </si>
  <si>
    <t>13.001.04.122.0001.2.001.3.1.90.11.01.110.0000</t>
  </si>
  <si>
    <t>13.001.04.122.0001.2.001.3.1.90.13.01.110.0000</t>
  </si>
  <si>
    <t>13.001.04.122.0001.2.001.3.1.91.13.01.110.0000</t>
  </si>
  <si>
    <t>13.001.04.122.0001.2.001.3.3.90.46.01.110.0000</t>
  </si>
  <si>
    <t>13.001.04.122.0001.2.001.3.3.90.49.01.110.0000</t>
  </si>
  <si>
    <t>13.001.04.122.0001.2.006.3.3.90.33.01.110.0000</t>
  </si>
  <si>
    <t>13.001.04.122.0001.2.006.3.3.90.39.01.110.0000</t>
  </si>
  <si>
    <t>13.001.04.122.0001.2.011.3.3.90.30.01.110.0000</t>
  </si>
  <si>
    <t>13.001.04.122.0001.2.011.3.3.90.39.01.110.0000</t>
  </si>
  <si>
    <t xml:space="preserve">Manutenção de Impressora Plotter </t>
  </si>
  <si>
    <t>13.001.04.122.0001.2.011.4.4.90.52.01.110.0000</t>
  </si>
  <si>
    <t>13.001.04.128.0002.2.003.3.3.90.36.01.110.0000</t>
  </si>
  <si>
    <t>13.001.04.128.0002.2.003.3.3.90.39.01.110.0000</t>
  </si>
  <si>
    <t>13.001.04.131.0002.2.005.3.3.90.30.01.110.0000</t>
  </si>
  <si>
    <t>13.001.04.131.0002.2.005.3.3.90.39.01.110.0000</t>
  </si>
  <si>
    <t>13.001.16.244.0012.2.040.3.3.90.48.01.110.0000</t>
  </si>
  <si>
    <t xml:space="preserve">Bolsa Aluguel </t>
  </si>
  <si>
    <t>13.001.16.244.0012.2.040.3.3.90.48.03.100.0000</t>
  </si>
  <si>
    <t>13.001.16.482.0012.1.009.4.4.90.51.01.110.0000</t>
  </si>
  <si>
    <t>Urbanização do Morro do Sabão</t>
  </si>
  <si>
    <t>13.001.16.482.0012.1.009.4.4.90.51.05.110.0000</t>
  </si>
  <si>
    <t xml:space="preserve">Urbanização do Rochdale </t>
  </si>
  <si>
    <t>Urbanização Santa Maria 2 - Fase 1</t>
  </si>
  <si>
    <t>13.001.16.482.0012.1.009.4.4.90.51.05.100.0000</t>
  </si>
  <si>
    <t>Pró-Moradia</t>
  </si>
  <si>
    <t>13.001.16.482.0012.1.009.4.4.90.51.07.100.0000</t>
  </si>
  <si>
    <t>13.001.16.482.0012.1.009.4.4.90.52.08.110.0000</t>
  </si>
  <si>
    <t xml:space="preserve">Emenda Impositiva - Pedrinho Cantagessi  - Equipamento de Lazer do Parque do Nordestino </t>
  </si>
  <si>
    <t>13.001.16.482.0012.1.010.4.4.90.51.01.110.0000</t>
  </si>
  <si>
    <t xml:space="preserve">Urbanização de Pequeno Porte </t>
  </si>
  <si>
    <t>13.001.16.482.0012.1.010.4.4.90.51.03.100.0000</t>
  </si>
  <si>
    <t>13.001.16.482.0012.1.010.4.4.90.51.03.100.1301</t>
  </si>
  <si>
    <t>13.001.16.482.0012.1.010.4.4.90.51.05.100.0000</t>
  </si>
  <si>
    <t>13.001.16.482.0012.1.011.3.3.90.39.01.110.0000</t>
  </si>
  <si>
    <t>Chapéu de Couro/CN  (Bonança) - P1/P2/P3 (Rochdale)</t>
  </si>
  <si>
    <t>Vicentina (Jd. Roberto)</t>
  </si>
  <si>
    <t>13.001.16.482.0012.1.011.3.3.90.39.05.100.0000</t>
  </si>
  <si>
    <t>13.001.16.482.0012.1.012.4.4.90.51.01.110.0000</t>
  </si>
  <si>
    <t xml:space="preserve">Obras Não Incidentes </t>
  </si>
  <si>
    <t>Produção de Habitação de Interesse Social Municipal</t>
  </si>
  <si>
    <t>13.001.16.482.0012.1.013.4.4.90.51.01.110.0000</t>
  </si>
  <si>
    <t>Melhoria Unidades Habitacionais</t>
  </si>
  <si>
    <t>13.001.16.482.0012.1.014.4.4.90.51.01.110.0000</t>
  </si>
  <si>
    <t>BK (Veloso)</t>
  </si>
  <si>
    <t>13.001.15.451.0005.1.009.4.4.90.51.01.110.0000</t>
  </si>
  <si>
    <t>Obras de Contenção de Encostas</t>
  </si>
  <si>
    <t>13.001.15.451.0005.1.009.4.4.90.51.05.100.0000</t>
  </si>
  <si>
    <t>13.008.15.451.0005.1.009.4.4.90.51.03.100.1301</t>
  </si>
  <si>
    <t>Contenção de Encostas Arco-Íris</t>
  </si>
  <si>
    <t>13.008.16.482.0012.1.013.4.4.90.51.03.100.1301</t>
  </si>
  <si>
    <t>14.001.04.121.0004.1.001.3.3.90.35.01.110.0000</t>
  </si>
  <si>
    <t xml:space="preserve">Censo de População de Rua </t>
  </si>
  <si>
    <t>14.001.04.122.0001.2.001.3.1.90.11.01.110.0000</t>
  </si>
  <si>
    <t>14.001.04.122.0001.2.001.3.1.90.13.01.110.0000</t>
  </si>
  <si>
    <t>14.001.04.122.0001.2.001.3.1.91.13.01.110.0000</t>
  </si>
  <si>
    <t>14.001.04.122.0001.2.001.3.3.90.46.01.110.0000</t>
  </si>
  <si>
    <t>14.001.04.122.0001.2.001.3.3.90.49.01.110.0000</t>
  </si>
  <si>
    <t>14.001.04.122.0001.2.005.3.3.90.39.01.110.0000</t>
  </si>
  <si>
    <t>14.001.04.122.0001.2.006.3.3.90.33.01.110.0000</t>
  </si>
  <si>
    <t>14.001.04.122.0001.2.006.3.3.90.39.01.110.0000</t>
  </si>
  <si>
    <t>14.001.04.122.0001.2.011.3.3.90.30.01.110.0000</t>
  </si>
  <si>
    <t xml:space="preserve">Materiais para Oficina </t>
  </si>
  <si>
    <t>14.001.04.122.0001.2.011.3.3.90.30.02.500.1402</t>
  </si>
  <si>
    <t>14.001.04.122.0001.2.011.3.3.90.39.01.110.0000</t>
  </si>
  <si>
    <t>14.001.04.122.0001.2.011.3.3.90.93.01.110.0000</t>
  </si>
  <si>
    <t>14.001.04.122.0001.2.011.4.4.90.52.01.110.0000</t>
  </si>
  <si>
    <t>Informática</t>
  </si>
  <si>
    <t>14.001.04.126.0002.2.007.3.3.90.40.01.110.0000</t>
  </si>
  <si>
    <t>Prontuário Eletrônico SUAS Municipal</t>
  </si>
  <si>
    <t>14.001.04.126.0002.2.007.3.3.90.40.03.500.1402</t>
  </si>
  <si>
    <t>14.001.04.126.0002.2.007.3.3.90.40.02.500.1402</t>
  </si>
  <si>
    <t>14.001.04.128.0002.2.003.3.3.90.39.01.110.0000</t>
  </si>
  <si>
    <t>14.001.04.131.0001.2.005.3.3.90.30.01.110.0000</t>
  </si>
  <si>
    <t>14.001.04.131.0002.2.005.3.3.90.30.01.500.0000</t>
  </si>
  <si>
    <t>14.001.04.131.0002.2.005.3.3.90.39.01.110.0000</t>
  </si>
  <si>
    <t>14.001.04.131.0002.2.005.3.3.90.39.01.500.0000</t>
  </si>
  <si>
    <t>14.001.08.241.0018.2.041.3.3.50.39.01.110.0000</t>
  </si>
  <si>
    <t>Serviços, Açoes e Políticas para a Pessoa Idosa (FMI/CMI)</t>
  </si>
  <si>
    <t>14.001.08.241.0018.2.041.3.3.50.39.01.500.0000</t>
  </si>
  <si>
    <t>14.001.08.241.0018.2.041.3.3.50.39.03.500.1401</t>
  </si>
  <si>
    <t>14.001.08.241.0018.2.041.3.3.50.39.08.110.0000</t>
  </si>
  <si>
    <t>Emenda Impositiva - Delbio Teruel - Acimo</t>
  </si>
  <si>
    <t>14.001.08.241.0018.2.041.3.3.90.30.01.110.0000</t>
  </si>
  <si>
    <t>14.001.08.241.0018.2.041.3.3.90.30.03.500.1401</t>
  </si>
  <si>
    <t>14.001.08.241.0018.2.041.3.3.90.36.01.110.0000</t>
  </si>
  <si>
    <t>14.001.08.241.0018.2.041.3.3.90.36.03.500.1401</t>
  </si>
  <si>
    <t>14.001.08.241.0018.2.041.3.3.90.39.01.110.0000</t>
  </si>
  <si>
    <t>14.001.08.241.0018.2.041.3.3.90.39.03.500.1401</t>
  </si>
  <si>
    <t>14.001.08.241.0018.2.041.4.4.50.52.08.110.0000</t>
  </si>
  <si>
    <t>14.001.08.241.0018.2.041.4.4.90.52.01.110.0000</t>
  </si>
  <si>
    <t>14.001.08.241.0018.2.041.4.4.90.52.03.500.1401</t>
  </si>
  <si>
    <t>14.001.08.245.0001.1.002.3.3.90.39.01.110.0000</t>
  </si>
  <si>
    <t>Reforma da Sede SAS</t>
  </si>
  <si>
    <t>14.001.08.245.0018.2.026.3.3.90.39.01.110.0000</t>
  </si>
  <si>
    <t>Internação por Decisão Judicial</t>
  </si>
  <si>
    <t>14.001.08.245.0018.2.026.3.3.90.39.02.500.1402</t>
  </si>
  <si>
    <t>14.001.08.245.0018.2.026.3.3.90.39.05.500.0000</t>
  </si>
  <si>
    <t>14.001.08.245.0018.2.041.3.3.50.39.08.110.0000</t>
  </si>
  <si>
    <t>Emenda Impositiva  - Carmônio Bastos  - Pro-Carentes</t>
  </si>
  <si>
    <t>Emenda Impositiva  - Rodrigo Gansinho - Comunidade Kolping</t>
  </si>
  <si>
    <t xml:space="preserve">Emenda Impositiva  - Stephane Rossi - Instituto Carisma </t>
  </si>
  <si>
    <t>Emenda Impositiva  - Stephane Rossi - Lar de Amor</t>
  </si>
  <si>
    <t xml:space="preserve">Emenda Impositiva - Bancada de Vereadores  - Comunidade Terapêutica </t>
  </si>
  <si>
    <t>Emenda Impositiva - Batista da Comunidade - Da Ponte Pra cá</t>
  </si>
  <si>
    <t xml:space="preserve">Emenda Impositiva - Delbio Teruel - Mensageiros da Esperança </t>
  </si>
  <si>
    <t>Emenda Impositiva - Elsa Oliveira - IAFA</t>
  </si>
  <si>
    <t xml:space="preserve">Emenda Impositiva - Fábio Chirinhan - Projeto Vida </t>
  </si>
  <si>
    <t xml:space="preserve">Emenda Impositiva - Guilherme Prado  - Aliançados Pela Vida </t>
  </si>
  <si>
    <t xml:space="preserve">Emenda Impositiva - Guilherme Prado  - Atitude Positiva </t>
  </si>
  <si>
    <t xml:space="preserve">Emenda impositiva - Laércio Mendonça - Associação Doar </t>
  </si>
  <si>
    <t>Emenda impositiva - Laércio Mendonça - Comunidade Impacto</t>
  </si>
  <si>
    <t xml:space="preserve">Emenda Impositiva - Rodrigo Gansinho - Associação Vila Yara </t>
  </si>
  <si>
    <t xml:space="preserve">Emenda Impositiva - Sergio Fontellas -  Caminhos Contra a Injustiça </t>
  </si>
  <si>
    <t xml:space="preserve">Emenda Impositiva - Stephane Rossi - Missão Urbana </t>
  </si>
  <si>
    <t>14.001.08.245.0018.2.041.3.3.90.30.01.110.0000</t>
  </si>
  <si>
    <t>Curso de Libras</t>
  </si>
  <si>
    <t>14.001.08.245.0018.2.041.3.3.90.36.01.110.0000</t>
  </si>
  <si>
    <t>14.001.08.245.0018.2.041.3.3.90.39.01.110.0000</t>
  </si>
  <si>
    <t>14.001.08.245.0018.2.041.4.4.50.51.08.110.0000</t>
  </si>
  <si>
    <t xml:space="preserve">Emenda Impositiva - Elania Silva - Arena Esportiva Caminhos Contra a Injustiça </t>
  </si>
  <si>
    <t>14.001.08.245.0018.2.041.4.4.50.52.08.110.0000</t>
  </si>
  <si>
    <t>Emenda Impositiva  - Stephane Rossi - Comunidade Kolping</t>
  </si>
  <si>
    <t xml:space="preserve">Emenda Impositiva - Emerson Osasco - Amigos do Bonança </t>
  </si>
  <si>
    <t>Emenda Impositiva - Laércio Mendonça - Amigos da Esperança</t>
  </si>
  <si>
    <t>14.001.08.245.0018.2.041.4.4.90.52.01.110.0000</t>
  </si>
  <si>
    <t>Equipamento para o Setor de Libras</t>
  </si>
  <si>
    <t>14.001.08.246.0018.2.027.3.3.90.39.01.110.0000</t>
  </si>
  <si>
    <t>14.001.08.246.0019.2.024.3.3.90.48.01.110.0000</t>
  </si>
  <si>
    <t xml:space="preserve">Nosso Futuro </t>
  </si>
  <si>
    <t>14.005.04.128.0002.2.003.3.3.90.39.02.500.1402</t>
  </si>
  <si>
    <t>14.005.04.128.0002.2.003.3.3.90.39.05.500.0000</t>
  </si>
  <si>
    <t>14.005.04.131.0002.2.005.3.3.90.30.02.500.1402</t>
  </si>
  <si>
    <t>14.005.04.131.0002.2.005.3.3.90.30.05.500.0000</t>
  </si>
  <si>
    <t>14.005.04.131.0002.2.005.3.3.90.39.02.500.1402</t>
  </si>
  <si>
    <t>14.005.04.131.0002.2.005.3.3.90.39.05.500.0000</t>
  </si>
  <si>
    <t>14.005.08.122.0018.2.011.3.3.90.30.05.510.0000</t>
  </si>
  <si>
    <t>CMAS -Conselho Municipal de Assistência Social</t>
  </si>
  <si>
    <t>14.005.08.122.0018.2.011.3.3.90.39.05.510.0000</t>
  </si>
  <si>
    <t>14.005.08.122.0018.2.011.4.4.90.52.05.510.0000</t>
  </si>
  <si>
    <t>14.005.08.241.0018.2.015.4.4.90.52.08.110.0000</t>
  </si>
  <si>
    <t>Emenda Impositiva - Pedrinho Cantagessi  - Serviço Intergeracional</t>
  </si>
  <si>
    <t>14.005.08.245.0018.2.005.3.3.90.30.01.500.0000</t>
  </si>
  <si>
    <t>14.005.08.245.0018.2.005.3.3.90.30.02.500.1402</t>
  </si>
  <si>
    <t>14.005.08.245.0018.2.005.3.3.90.30.05.500.0000</t>
  </si>
  <si>
    <t>14.005.08.245.0018.2.005.3.3.90.39.01.500.0000</t>
  </si>
  <si>
    <t>14.005.08.245.0018.2.005.3.3.90.39.02.500.1402</t>
  </si>
  <si>
    <t>14.005.08.245.0018.2.005.3.3.90.39.05.500.0000</t>
  </si>
  <si>
    <t>14.005.08.245.0018.2.015.3.3.50.39.01.500.0000</t>
  </si>
  <si>
    <t>SCFV - Criança Adolescente</t>
  </si>
  <si>
    <t>14.005.08.245.0018.2.015.3.3.50.39.05.500.1402</t>
  </si>
  <si>
    <t>14.005.08.245.0018.2.015.3.3.90.30.01.500.0000</t>
  </si>
  <si>
    <t>14.005.08.245.0018.2.015.3.3.90.30.02.500.1402</t>
  </si>
  <si>
    <t>14.005.08.245.0018.2.015.3.3.90.30.05.500.0000</t>
  </si>
  <si>
    <t>14.005.08.245.0018.2.015.3.3.90.39.01.500.0000</t>
  </si>
  <si>
    <t>CATI - Zona Norte</t>
  </si>
  <si>
    <t>14.005.08.245.0018.2.015.3.3.90.39.02.500.1402</t>
  </si>
  <si>
    <t xml:space="preserve">Passeio Externo </t>
  </si>
  <si>
    <t>14.005.08.245.0018.2.015.3.3.90.39.05.500.0000</t>
  </si>
  <si>
    <t>Locação de Ônibus, Microônibus e Vans</t>
  </si>
  <si>
    <t>14.001.08.245.0018.2.015.3.3.90.39.01.110.0000</t>
  </si>
  <si>
    <t>Outros Serviços</t>
  </si>
  <si>
    <t>14.005.08.245.0018.2.015.3.3.90.93.01.500.0000</t>
  </si>
  <si>
    <t>14.005.08.245.0018.2.015.3.3.90.93.02.500.1402</t>
  </si>
  <si>
    <t>Devolução de Recursos Recebidos</t>
  </si>
  <si>
    <t>14.005.08.245.0018.2.015.3.3.90.93.01.110.0000</t>
  </si>
  <si>
    <t>14.005.08.245.0018.2.015.3.3.90.93.03.500.1402</t>
  </si>
  <si>
    <t>14.005.08.245.0018.2.015.3.3.90.93.05.500.0000</t>
  </si>
  <si>
    <t>14.005.08.245.0018.2.015.4.4.50.52.01.500.0000</t>
  </si>
  <si>
    <t>14.005.08.245.0018.2.015.4.4.90.52.01.500.0000</t>
  </si>
  <si>
    <t>14.005.08.245.0018.2.016.3.3.50.39.01.500.0000</t>
  </si>
  <si>
    <t>Centro de Acolhida Feminino</t>
  </si>
  <si>
    <t>Centro Dia da Pessoa Idosa - Norte</t>
  </si>
  <si>
    <t>Centro Dia da Pessoa Idosa - Sul</t>
  </si>
  <si>
    <t>Centro Dia PCD - Norte</t>
  </si>
  <si>
    <t>Centro Dia PCD - Sul</t>
  </si>
  <si>
    <t>ILPI - Instituição de Longa Permanência para Idosos</t>
  </si>
  <si>
    <t>Parceria com OSC</t>
  </si>
  <si>
    <t>Projeto Centro de Acolhida Adultos</t>
  </si>
  <si>
    <t>Residência Inclusiva Para Jovens Com Deficiência</t>
  </si>
  <si>
    <t>SAICA - ATUS SOCIAL</t>
  </si>
  <si>
    <t>SAICA AMAMOS</t>
  </si>
  <si>
    <t>SAICA CECILIA MEIRELES</t>
  </si>
  <si>
    <t>SAICA DALVA RANGEL</t>
  </si>
  <si>
    <t>Serviço Para Pessoa Com Deficiencia e Seus Familiares</t>
  </si>
  <si>
    <t>14.005.08.245.0018.2.016.3.3.71.70.02.500.1402</t>
  </si>
  <si>
    <t>14.005.08.245.0018.2.016.3.3.90.30.01.500.0000</t>
  </si>
  <si>
    <t>Kit de Higiene</t>
  </si>
  <si>
    <t>14.005.08.245.0018.2.016.3.3.90.30.02.500.1402</t>
  </si>
  <si>
    <t>14.005.08.245.0018.2.016.3.3.90.30.05.500.0000</t>
  </si>
  <si>
    <t>14.005.08.245.0018.2.016.3.3.90.39.01.500.0000</t>
  </si>
  <si>
    <t>Kit Festa</t>
  </si>
  <si>
    <t>Serviços de Lavanderia</t>
  </si>
  <si>
    <t>14.005.08.245.0018.2.016.3.3.90.39.02.500.1402</t>
  </si>
  <si>
    <t>14.005.08.245.0018.2.016.3.3.90.39.05.500.0000</t>
  </si>
  <si>
    <t>14.005.08.245.0018.2.016.3.3.90.48.01.110.0000</t>
  </si>
  <si>
    <t>Bolsa-Auxílio Família Acolhedora - "CANGURÚ"</t>
  </si>
  <si>
    <t>14.005.08.245.0018.2.016.3.3.90.48.02.500.1402</t>
  </si>
  <si>
    <t>14.005.08.245.0018.2.016.3.3.90.48.05.500.0000</t>
  </si>
  <si>
    <t>14.005.08.245.0018.2.016.3.3.90.93.01.500.0000</t>
  </si>
  <si>
    <t>14.005.08.245.0018.2.016.3.3.90.93.02.500.1402</t>
  </si>
  <si>
    <t>14.005.08.245.0018.2.016.3.3.90.93.05.500.0000</t>
  </si>
  <si>
    <t>14.005.08.245.0018.2.016.3.3.90.93.05.500.1402</t>
  </si>
  <si>
    <t>14.005.08.245.0018.2.016.4.4.50.52.01.500.0000</t>
  </si>
  <si>
    <t>14.005.08.245.0018.2.016.4.4.71.70.05.500.0000</t>
  </si>
  <si>
    <t>14.005.08.245.0018.2.016.4.4.90.52.01.500.0000</t>
  </si>
  <si>
    <t>14.005.08.245.0018.2.016.4.4.90.52.05.500.0000</t>
  </si>
  <si>
    <t>14.005.08.246.0018.2.024.3.3.90.30.05.500.0000</t>
  </si>
  <si>
    <t>14.005.08.246.0018.2.024.3.3.90.39.05.500.0000</t>
  </si>
  <si>
    <t xml:space="preserve">PROCAD SUAS </t>
  </si>
  <si>
    <t>Serviços de Atualização de Cadastro Único nas Residências - IGD</t>
  </si>
  <si>
    <t>14.005.08.246.0018.2.024.3.3.90.93.05.500.0000</t>
  </si>
  <si>
    <t>14.005.08.246.0018.2.024.4.4.90.52.05.500.0000</t>
  </si>
  <si>
    <t>14.005.08.246.0018.2.024.4.4.90.52.01.110.0000</t>
  </si>
  <si>
    <t>14.007.08.245.0018.1.003.3.3.90.39.01.110.0000</t>
  </si>
  <si>
    <t>CRAS - Zona Norte</t>
  </si>
  <si>
    <t>CRAS - Zona Sul</t>
  </si>
  <si>
    <t>14.007.08.245.0018.2.005.3.3.90.30.01.110.0000</t>
  </si>
  <si>
    <t>14.007.08.245.0018.2.005.3.3.90.39.01.110.0000</t>
  </si>
  <si>
    <t>14.007.08.245.0018.2.015.3.3.90.30.01.110.0000</t>
  </si>
  <si>
    <t>14.007.08.245.0018.2.015.3.3.90.30.02.500.1402</t>
  </si>
  <si>
    <t>14.007.08.245.0018.2.015.3.3.90.39.02.500.1402</t>
  </si>
  <si>
    <t>14.007.08.245.0018.2.015.3.3.90.93.01.110.0000</t>
  </si>
  <si>
    <t>14.007.08.245.0018.2.015.4.4.90.52.01.110.0000</t>
  </si>
  <si>
    <t>14.007.08.245.0018.2.015.4.4.90.52.03.500.1402</t>
  </si>
  <si>
    <t>14.008.08.245.0018.1.002.3.3.90.30.01.110.0000</t>
  </si>
  <si>
    <t>Centro POP - Centro</t>
  </si>
  <si>
    <t>14.008.08.245.0018.2.005.3.3.90.39.01.110.0000</t>
  </si>
  <si>
    <t>14.008.08.245.0018.2.016.3.3.90.30.01.110.0000</t>
  </si>
  <si>
    <t>14.008.08.245.0018.2.016.3.3.90.30.02.500.1402</t>
  </si>
  <si>
    <t>14.008.08.245.0018.2.016.3.3.90.48.01.110.0000</t>
  </si>
  <si>
    <t>Bolsa-Auxílio -TRANSITAR</t>
  </si>
  <si>
    <t>14.008.08.245.0018.2.016.3.3.90.48.03.500.1402</t>
  </si>
  <si>
    <t>14.008.08.245.0018.2.016.3.3.90.93.01.110.0000</t>
  </si>
  <si>
    <t>Indenizações e restituições</t>
  </si>
  <si>
    <t>14.008.08.245.0018.2.016.4.4.90.52.01.110.0000</t>
  </si>
  <si>
    <t>14.008.08.245.0018.2.016.4.4.90.52.02.500.1402</t>
  </si>
  <si>
    <t>15.001.04.121.0004.1.001.3.3.90.35.01.110.0000</t>
  </si>
  <si>
    <t>15.001.04.122.0001.2.001.3.1.90.11.01.110.0000</t>
  </si>
  <si>
    <t>15.001.04.122.0001.2.001.3.1.90.13.01.110.0000</t>
  </si>
  <si>
    <t>15.001.04.122.0001.2.001.3.1.91.13.01.110.0000</t>
  </si>
  <si>
    <t>15.001.04.122.0001.2.001.3.3.90.46.01.110.0000</t>
  </si>
  <si>
    <t>15.001.04.122.0001.2.001.3.3.90.49.01.110.0000</t>
  </si>
  <si>
    <t>15.001.04.122.0001.2.006.3.3.90.33.01.110.0000</t>
  </si>
  <si>
    <t>15.001.04.122.0001.2.006.3.3.90.39.01.110.0000</t>
  </si>
  <si>
    <t>15.001.04.128.0002.2.003.3.3.90.36.01.110.0000</t>
  </si>
  <si>
    <t>15.001.04.128.0002.2.003.3.3.90.39.01.110.0000</t>
  </si>
  <si>
    <t>15.001.04.131.0002.2.005.3.3.50.39.08.110.0000</t>
  </si>
  <si>
    <t>Emenda Impositiva - Laércio Mendonça - Instituto Kuàilè</t>
  </si>
  <si>
    <t>15.001.04.131.0002.2.005.3.3.90.30.01.110.0000</t>
  </si>
  <si>
    <t>15.001.04.131.0002.2.005.3.3.90.39.01.110.0000</t>
  </si>
  <si>
    <t>15.001.04.131.0002.2.005.3.3.90.39.08.110.0000</t>
  </si>
  <si>
    <t xml:space="preserve">Emenda Impositiva - Batista da Comunidade - Eventos Culturais </t>
  </si>
  <si>
    <t xml:space="preserve">Emenda Impositiva - Heber Juntoz - Identidade Visual da Biblioteca </t>
  </si>
  <si>
    <t>Emenda Impositiva - Heber Juntoz - Parada LGBTQIAPN+</t>
  </si>
  <si>
    <t>15.001.13.334.0009.2.033.3.3.90.30.01.110.0000</t>
  </si>
  <si>
    <t>15.001.13.391.0009.2.029.3.3.50.43.01.110.0000</t>
  </si>
  <si>
    <t>Ordem dos Emancipadores</t>
  </si>
  <si>
    <t>15.001.13.391.0009.2.029.3.3.90.39.01.110.0000</t>
  </si>
  <si>
    <t xml:space="preserve">Inventário do Patrimônio Histórico </t>
  </si>
  <si>
    <t>Restauração de Monumentos e Obras Artísticas</t>
  </si>
  <si>
    <t>15.002.13.391.0009.2.029.3.3.90.39.05.100.1501</t>
  </si>
  <si>
    <t>15.001.13.392.0009.1.002.3.3.90.39.01.110.0000</t>
  </si>
  <si>
    <t>Biblioteca Central - Monteiro Lobato</t>
  </si>
  <si>
    <t>15.001.13.392.0009.1.002.3.3.90.39.01.700.0000</t>
  </si>
  <si>
    <t>15.001.13.392.0009.1.002.3.3.90.39.08.110.0000</t>
  </si>
  <si>
    <t xml:space="preserve">Emenda Impositiva  -  Gabriel da Saúde - Elevador da Biblioteca </t>
  </si>
  <si>
    <t xml:space="preserve">Emenda Impositiva - Stephane Rossi - Escola de Arte </t>
  </si>
  <si>
    <t>15.001.13.392.0009.1.002.4.4.50.51.01.110.0000</t>
  </si>
  <si>
    <t>Museu Dimitri Sensaud de Lavaud</t>
  </si>
  <si>
    <t>15.001.13.392.0009.1.002.4.4.90.52.08.110.0000</t>
  </si>
  <si>
    <t>15.001.13.392.0009.2.011.3.3.90.30.01.110.0000</t>
  </si>
  <si>
    <t xml:space="preserve">Livros para Espaços Culturais </t>
  </si>
  <si>
    <t>15.002.13.392.0009.2.011.3.3.90.30.05.100.1501</t>
  </si>
  <si>
    <t>15.001.13.392.0009.2.011.3.3.90.39.01.110.0000</t>
  </si>
  <si>
    <t>15.001.13.392.0009.2.023.3.3.50.39.01.110.0000</t>
  </si>
  <si>
    <t>CEU das Artes Camila da Silva Rossafa</t>
  </si>
  <si>
    <t>CEU das Artes Yolanda A. A. Ribeiro</t>
  </si>
  <si>
    <t>15.001.13.392.0009.2.023.3.3.50.39.08.110.0000</t>
  </si>
  <si>
    <t>Emenda Impositiva - Elania Silva - Reforma do CEU</t>
  </si>
  <si>
    <t>15.001.13.392.0009.2.023.4.4.50.51.01.110.0000</t>
  </si>
  <si>
    <t>15.001.13.392.0009.2.023.4.4.50.52.01.110.0000</t>
  </si>
  <si>
    <t>15.001.13.392.0009.2.028.3.3.50.39.08.110.0000</t>
  </si>
  <si>
    <t xml:space="preserve">Emenda Impositiva - Emerson Osasco - Festival Cultural </t>
  </si>
  <si>
    <t xml:space="preserve">Emenda Impositiva - Emerson Osasco - Formação Antirracista </t>
  </si>
  <si>
    <t>15.001.13.392.0009.2.028.3.3.90.36.01.110.0000</t>
  </si>
  <si>
    <t>Contratação de Artistas</t>
  </si>
  <si>
    <t>15.001.13.392.0009.2.028.3.3.90.39.01.110.0000</t>
  </si>
  <si>
    <t>15.001.13.392.0009.2.028.3.3.90.39.08.110.0000</t>
  </si>
  <si>
    <t xml:space="preserve">Emenda Impositiva - Bancada de Vereadores - Ações da Cultura </t>
  </si>
  <si>
    <t>Emenda Impositiva - Pedrinho Cantagessi  - Grafite em OZ</t>
  </si>
  <si>
    <t>15.002.13.392.0009.2.028.3.3.90.36.03.100.1501</t>
  </si>
  <si>
    <t>15.002.13.392.0009.2.028.3.3.90.39.03.100.1501</t>
  </si>
  <si>
    <t>16.001.04.121.0004.1.001.3.3.90.35.01.110.0000</t>
  </si>
  <si>
    <t>Plano de Desenvolvimento Econômico e Tecnológico</t>
  </si>
  <si>
    <t>16.001.04.122.0001.1.002.3.3.90.39.01.110.0000</t>
  </si>
  <si>
    <t>16.001.04.122.0001.2.001.3.1.90.11.01.110.0000</t>
  </si>
  <si>
    <t>16.001.04.122.0001.2.001.3.1.90.13.01.110.0000</t>
  </si>
  <si>
    <t>16.001.04.122.0001.2.001.3.1.91.13.01.110.0000</t>
  </si>
  <si>
    <t>16.001.04.122.0001.2.001.3.3.90.46.01.110.0000</t>
  </si>
  <si>
    <t>16.001.04.122.0001.2.001.3.3.90.49.01.110.0000</t>
  </si>
  <si>
    <t>16.001.04.122.0001.2.006.3.3.90.36.01.110.0000</t>
  </si>
  <si>
    <t>16.001.04.122.0001.2.006.3.3.90.39.01.110.0000</t>
  </si>
  <si>
    <t>16.001.04.128.0002.2.003.3.3.90.36.01.110.0000</t>
  </si>
  <si>
    <t>16.001.04.128.0002.2.003.3.3.90.39.01.110.0000</t>
  </si>
  <si>
    <t>16.001.04.131.0002.2.005.3.3.90.30.01.110.0000</t>
  </si>
  <si>
    <t>16.001.04.131.0002.2.005.3.3.90.39.01.110.0000</t>
  </si>
  <si>
    <t>16.001.23.334.0008.2.011.3.3.90.30.01.110.0000</t>
  </si>
  <si>
    <t>16.001.23.334.0008.2.011.3.3.90.31.01.110.0000</t>
  </si>
  <si>
    <t>Premiações</t>
  </si>
  <si>
    <t>16.001.23.334.0008.2.011.3.3.90.39.01.110.0000</t>
  </si>
  <si>
    <t>16.001.23.692.0008.1.002.3.3.90.39.01.110.0000</t>
  </si>
  <si>
    <t>16.001.23.692.0008.1.003.4.4.90.52.01.110.0000</t>
  </si>
  <si>
    <t xml:space="preserve">Casa do Empreendedor Móvel </t>
  </si>
  <si>
    <t>17.001.04.122.0001.2.001.3.1.90.11.01.110.0000</t>
  </si>
  <si>
    <t>17.001.04.122.0001.2.001.3.1.90.13.01.110.0000</t>
  </si>
  <si>
    <t>17.001.04.122.0001.2.001.3.1.91.13.01.110.0000</t>
  </si>
  <si>
    <t>17.001.04.122.0001.2.001.3.3.90.46.01.110.0000</t>
  </si>
  <si>
    <t>17.001.04.122.0001.2.001.3.3.90.49.01.110.0000</t>
  </si>
  <si>
    <t>17.001.04.122.0001.2.006.3.3.90.33.01.110.0000</t>
  </si>
  <si>
    <t>17.001.04.122.0001.2.006.3.3.90.39.01.110.0000</t>
  </si>
  <si>
    <t>17.001.04.128.0002.2.003.3.3.90.36.01.110.0000</t>
  </si>
  <si>
    <t>17.001.04.128.0002.2.003.3.3.90.39.01.110.0000</t>
  </si>
  <si>
    <t>17.001.04.131.0002.2.005.3.3.90.30.01.110.0000</t>
  </si>
  <si>
    <t>17.001.04.131.0002.2.005.3.3.90.39.01.110.0000</t>
  </si>
  <si>
    <t>17.001.18.422.0007.2.021.3.3.90.30.01.110.0000</t>
  </si>
  <si>
    <t>17.001.18.422.0007.2.021.3.3.90.30.03.100.1702</t>
  </si>
  <si>
    <t>17.001.18.422.0007.2.021.3.3.90.39.01.110.0000</t>
  </si>
  <si>
    <t>17.001.18.422.0007.2.021.3.3.90.39.03.100.1702</t>
  </si>
  <si>
    <t>17.001.18.541.0007.1.002.3.3.90.39.01.110.0000</t>
  </si>
  <si>
    <t>Depto. de Áreas Verdes</t>
  </si>
  <si>
    <t>Parque Chico Mendes</t>
  </si>
  <si>
    <t>17.001.18.541.0007.1.002.3.3.90.39.05.802.0000</t>
  </si>
  <si>
    <t>17.001.18.541.0007.1.002.3.3.90.39.08.110.0000</t>
  </si>
  <si>
    <t xml:space="preserve">Emenda Impositiva - Guilherme Prado - Borboletário </t>
  </si>
  <si>
    <t>17.001.18.541.0007.2.011.3.3.50.39.08.110.0000</t>
  </si>
  <si>
    <t>Emenda Impositiva  - Elsa Oliveira - CEDECA OSASCO</t>
  </si>
  <si>
    <t>Emenda Impositiva - Alexandre Capriotti - Anclivepa</t>
  </si>
  <si>
    <t xml:space="preserve">Emenda Impositiva - Elania Silva - APATA </t>
  </si>
  <si>
    <t xml:space="preserve">Emenda Impositiva - Ralfi Silva - APATA </t>
  </si>
  <si>
    <t>17.001.18.541.0007.2.011.3.3.50.85.01.110.0000</t>
  </si>
  <si>
    <t>Hospital Veterinário - Zona Norte - Unidade Mazzei</t>
  </si>
  <si>
    <t>Hospital Veterinário - Zona Sul - Unidade Manchinha</t>
  </si>
  <si>
    <t>17.001.18.541.0007.2.011.3.3.90.30.01.110.0000</t>
  </si>
  <si>
    <t>17.001.18.541.0007.2.011.3.3.90.30.03.100.1702</t>
  </si>
  <si>
    <t>17.001.18.541.0007.2.011.3.3.90.39.01.110.0000</t>
  </si>
  <si>
    <t xml:space="preserve">Canil Municipal </t>
  </si>
  <si>
    <t>Castramóvel - Serviços Médicos Veterinários</t>
  </si>
  <si>
    <t>17.001.18.541.0007.2.011.3.3.90.39.02.803.0000</t>
  </si>
  <si>
    <t>17.001.18.541.0007.2.011.3.3.90.39.03.100.1701</t>
  </si>
  <si>
    <t>17.001.18.541.0007.2.011.3.3.90.93.01.110.0000</t>
  </si>
  <si>
    <t>17.001.18.541.0007.2.011.4.4.90.52.01.110.0000</t>
  </si>
  <si>
    <t>17.001.18.541.0007.2.011.4.4.90.52.08.110.0000</t>
  </si>
  <si>
    <t>17.003.04.121.0004.1.001.3.3.90.35.01.110.0000</t>
  </si>
  <si>
    <t xml:space="preserve">Plano de Arborização </t>
  </si>
  <si>
    <t>17.003.04.121.0004.1.001.3.3.90.35.03.100.1702</t>
  </si>
  <si>
    <t>17.003.18.422.0007.2.021.3.3.90.35.03.100.1701</t>
  </si>
  <si>
    <t>18.001.04.122.0001.2.011.3.3.90.39.01.110.0000</t>
  </si>
  <si>
    <t>Correios e Telégrafos</t>
  </si>
  <si>
    <t>18.001.04.122.0001.2.011.3.3.90.39.01.700.0000</t>
  </si>
  <si>
    <t>18.001.04.122.0001.2.011.3.3.90.93.01.110.0000</t>
  </si>
  <si>
    <t>18.001.04.123.0021.0.001.3.2.90.21.01.110.0000</t>
  </si>
  <si>
    <t>Juros e Encargos da Dívida</t>
  </si>
  <si>
    <t>18.001.04.123.0021.0.001.3.2.90.22.01.110.0000</t>
  </si>
  <si>
    <t>18.001.04.123.0021.0.001.3.2.91.21.01.110.0000</t>
  </si>
  <si>
    <t>18.001.04.123.0021.0.001.4.6.90.71.01.110.0000</t>
  </si>
  <si>
    <t>Principal da Dívida</t>
  </si>
  <si>
    <t>18.001.04.123.0021.0.001.4.6.91.71.01.110.0000</t>
  </si>
  <si>
    <t>Outros - Amortização da Dívida</t>
  </si>
  <si>
    <t>18.001.04.123.0021.0.002.3.3.90.47.01.110.0000</t>
  </si>
  <si>
    <t>Retenção do PASEP</t>
  </si>
  <si>
    <t>18.001.04.123.0021.0.002.3.3.90.47.01.130.0000</t>
  </si>
  <si>
    <t>18.001.04.123.0021.0.002.3.3.90.47.01.140.0000</t>
  </si>
  <si>
    <t>18.001.04.123.0021.0.002.3.3.91.97.01.110.0000</t>
  </si>
  <si>
    <t>Aporte Para Cobertura Do Déficit Atuarial Do Rpps</t>
  </si>
  <si>
    <t>18.001.04.123.0021.0.003.3.1.90.91.01.110.0000</t>
  </si>
  <si>
    <t>RPV Trabalhista</t>
  </si>
  <si>
    <t>18.001.04.123.0021.0.003.3.3.90.91.01.110.0000</t>
  </si>
  <si>
    <t>RPV - PJ</t>
  </si>
  <si>
    <t>18.001.04.123.0021.0.003.4.4.90.91.01.110.0000</t>
  </si>
  <si>
    <t>Precatórios e Sentenças Judiciais</t>
  </si>
  <si>
    <t>18.001.04.123.0021.0.003.4.6.90.91.01.110.0000</t>
  </si>
  <si>
    <t>Tribunal de Justiça de SP - TJSP</t>
  </si>
  <si>
    <t>18.001.04.453.0013.2.010.3.3.90.93.01.110.0000</t>
  </si>
  <si>
    <t>Reequilíbrio Econômico do Transporte Coletivo</t>
  </si>
  <si>
    <t>18.001.28.846.0021.0.003.3.1.90.13.01.110.0000</t>
  </si>
  <si>
    <t>18.001.28.846.0021.0.003.3.1.91.13.01.110.0000</t>
  </si>
  <si>
    <t>18.001.28.846.0021.0.003.3.3.90.93.01.110.0000</t>
  </si>
  <si>
    <t>18.002.04.122.0001.1.001.3.3.90.35.01.110.0000</t>
  </si>
  <si>
    <t>Energia Elétrica</t>
  </si>
  <si>
    <t>18.002.04.122.0001.1.002.3.3.90.39.01.110.0000</t>
  </si>
  <si>
    <t>Paço Municipal</t>
  </si>
  <si>
    <t>18.002.04.122.0001.2.001.3.1.90.11.01.110.0000</t>
  </si>
  <si>
    <t>18.002.04.122.0001.2.001.3.1.90.13.01.110.0000</t>
  </si>
  <si>
    <t>18.002.04.122.0001.2.001.3.1.90.94.01.110.0000</t>
  </si>
  <si>
    <t>18.002.04.122.0001.2.001.3.1.91.13.01.110.0000</t>
  </si>
  <si>
    <t>18.002.04.122.0001.2.001.3.3.90.46.01.110.0000</t>
  </si>
  <si>
    <t>18.002.04.122.0001.2.001.3.3.90.49.01.110.0000</t>
  </si>
  <si>
    <t>18.002.04.122.0001.2.001.3.3.91.39.01.110.0000</t>
  </si>
  <si>
    <t>18.002.04.122.0001.2.009.3.3.90.36.01.110.0000</t>
  </si>
  <si>
    <t>Locação de Imóvel - 10º Distrito Policial</t>
  </si>
  <si>
    <t>Locação de Imóvel - 1º Cia do 42º BPM</t>
  </si>
  <si>
    <t>Locação de Imóvel - 2º Distrito Policial</t>
  </si>
  <si>
    <t>Locação de Imóvel - 3º Distrito Policial</t>
  </si>
  <si>
    <t>Locação de Imóvel - 4º Distrito Policial</t>
  </si>
  <si>
    <t>Locação de Imóvel - 7º Distrito Policial</t>
  </si>
  <si>
    <t>Locação de Imóvel - 8º Distrito Policial</t>
  </si>
  <si>
    <t>Locação de Imóvel - Cartório 277ª Zona Eleitoral</t>
  </si>
  <si>
    <t>Locação de Imóvel - Cartório 331ª Zona Eleitoral</t>
  </si>
  <si>
    <t>Locação de Imóvel - Casa de Pass. a Mulheres Vitimas de violência</t>
  </si>
  <si>
    <t>Locação de Imóvel - Central de Penas Alternativas</t>
  </si>
  <si>
    <t>Locação de Imóvel - Centro de Atenção ao Idoso CAI GALLAFRIO</t>
  </si>
  <si>
    <t xml:space="preserve">Locação de Imóvel - Centro de Ref. da Diversidade de Gênero </t>
  </si>
  <si>
    <t>Locação de Imóvel - Centro de Referência da Mulher Vítima de Violência-CRMVV</t>
  </si>
  <si>
    <t>Locação de Imóvel - Centro de Referência de Assistência social - CRAS Rochdale - Norte</t>
  </si>
  <si>
    <t>Locação de Imóvel - Centro de Referência de Assistência social - CRAS VELOSO</t>
  </si>
  <si>
    <t>Locação de Imóvel - Centro de Referencia Especializado de Assistência social - CREAS Norte</t>
  </si>
  <si>
    <t>Locação de Imóvel - Centro Público de Economia Popular e Solidária</t>
  </si>
  <si>
    <t>Locação de Imóvel - CEO - Centro de Especialidades Odontológicas</t>
  </si>
  <si>
    <t>Locação de Imóvel - CGM - 6º Andar</t>
  </si>
  <si>
    <t>Locação de Imóvel - CGM - 7º Andar</t>
  </si>
  <si>
    <t>Locação de Imóvel - COMPOD - SA</t>
  </si>
  <si>
    <t>Locação de Imóvel - Conselho Tutelar - Centro</t>
  </si>
  <si>
    <t>Locação de Imóvel - Conselho Tutelar - Norte</t>
  </si>
  <si>
    <t>Locação de Imóvel - Conselho Tutelar - Sul</t>
  </si>
  <si>
    <t>Locação de Imóvel - CRAS - Jd de Abril</t>
  </si>
  <si>
    <t>Locação de Imóvel - Delegacia de Defesa da Mulher</t>
  </si>
  <si>
    <t>Locação de Imóvel - Departamento de Alimentação Escolar</t>
  </si>
  <si>
    <t>Locação de Imóvel - Departamento de Práticas Esportivas</t>
  </si>
  <si>
    <t>Locação de Imóvel - Departamento de Transferência de Renda</t>
  </si>
  <si>
    <t>Locação de Imóvel - DISE Delegacia de Investigação</t>
  </si>
  <si>
    <t>Locação de Imóvel - Escola de Formação e Ensino da Guarda Civil Metropolitana GCM</t>
  </si>
  <si>
    <t>Locação de Imóvel - I.I.R.G.D Posto de Identificação -Delegacia Seccional</t>
  </si>
  <si>
    <t>Locação de Imóvel - Inspetoria da Guarda Civil Municipal - Zona Norte</t>
  </si>
  <si>
    <t>Locação de Imóvel - Junta de Alistamento Militar</t>
  </si>
  <si>
    <t>Locação de Imóvel - Ouvidoria da SS/Depto de Serviço Social/Depto de Agendamento e Regularização</t>
  </si>
  <si>
    <t>Locação de Imóvel - Portal do Trabalhador - Zona Norte</t>
  </si>
  <si>
    <t>Locação de Imóvel - Portal do Trabalhador - Zona Sul</t>
  </si>
  <si>
    <t>Locação de Imóvel - PROCED</t>
  </si>
  <si>
    <t>Locação de Imóvel - Reserva de Reajustes</t>
  </si>
  <si>
    <t>Locação de Imóvel - Secretarias Executivas</t>
  </si>
  <si>
    <t>Locação de Imóvel - Sede da Secretaria de Emprego, Trabalho e Renda</t>
  </si>
  <si>
    <t>Locação de Imóvel - Sede da SEPPIR</t>
  </si>
  <si>
    <t>Locação de Imóvel - Serviço de Acolhimento Institucional para Adultos</t>
  </si>
  <si>
    <t>Locação de Imóvel - Serviço de Acolhimento Institucional para Crianças e Adolescentes - Casa da Juventude</t>
  </si>
  <si>
    <t>Locação de Imóvel - Serviço de Acolhimento Institucional para Crianças e Adolescentes - Casa Doce Lar</t>
  </si>
  <si>
    <t>Locação de Imóvel - Serviço de Acolhimento Institucional para Crianças e Adolescentes - Casa Vida Nova</t>
  </si>
  <si>
    <t>Locação de Imóvel - UBS Helena Marrey</t>
  </si>
  <si>
    <t>Locação de Imóvel - Vigilância Sanitária</t>
  </si>
  <si>
    <t>Locação de Imóvel CRMVV - Centro de Referência da Mulher Vítima de Violência - Zona Norte</t>
  </si>
  <si>
    <t>18.002.04.122.0001.2.009.3.3.90.39.01.110.0000</t>
  </si>
  <si>
    <t>Locação de Imóvel - 5º Distrito Policial</t>
  </si>
  <si>
    <t>Locação de Imóvel - 6º Distrito Policial</t>
  </si>
  <si>
    <t>Locação de Imóvel - 9º Distrito Policial</t>
  </si>
  <si>
    <t>Locação de Imóvel - Albergue Central II</t>
  </si>
  <si>
    <t>Locação de Imóvel - Arquivo da SETR</t>
  </si>
  <si>
    <t>Locação de Imóvel - Arquivo Municipal</t>
  </si>
  <si>
    <t>Locação de Imóvel - Cartório 213ª Zona Eleitoral</t>
  </si>
  <si>
    <t>Locação de Imóvel - Cartório 276ª Zona Eleitoral</t>
  </si>
  <si>
    <t>Locação de Imóvel - Cartório 315ª Zona Eleitoral</t>
  </si>
  <si>
    <t>Locação de Imóvel - Cartório 332ª Zona Eleitoral</t>
  </si>
  <si>
    <t>Locação de Imóvel - CEJUSC Centro Judiciário de Solução de Conflitos e Cidadania de Osasco</t>
  </si>
  <si>
    <t>Locação de Imóvel - CMDCA Conselho Municipal dos Direitos da Criança e do Adolescente</t>
  </si>
  <si>
    <t>Locação de Imóvel - Controladoria Interna</t>
  </si>
  <si>
    <t>Locação de Imóvel - DAP Departamento de Administração de Pessoal</t>
  </si>
  <si>
    <t>Locação de Imóvel - Delegacia de Proteção ao Idoso</t>
  </si>
  <si>
    <t>Locação de Imóvel - Departamento de Adm. E Recursos Humanos Escola de Desenvolvimento do Servidor</t>
  </si>
  <si>
    <t>Locação de Imóvel - Departamento de Controle Urbano</t>
  </si>
  <si>
    <t>Locação de Imóvel - Dpto. de Exec. Fiscal e das Varas da Fazenda Pública</t>
  </si>
  <si>
    <t>Locação de Imóvel - Farmácia de Psicotrópicos, Alto Custo, Atenção Básica</t>
  </si>
  <si>
    <t>Locação de Imóvel - Modalidade Esportiva Centro de Ginástica Rítmica</t>
  </si>
  <si>
    <t>Locação de Imóvel – Pátio de Inservíveis DGP/SA</t>
  </si>
  <si>
    <t>Locação de Imóvel - Refeitório do Servidor</t>
  </si>
  <si>
    <t>Locação de Imóvel - SAD - CAP - DAUE</t>
  </si>
  <si>
    <t>Locação de Imóvel - SAD e Arquivo Saúde</t>
  </si>
  <si>
    <t>Locação de Imóvel - Sec. Exec. de Licen., Cad. Imobiliário e Controle de Uso do Solo</t>
  </si>
  <si>
    <t>Locação de Imóvel - Secretaria Executiva de Fiscalização, Licenciamento e Empreendedorismo</t>
  </si>
  <si>
    <t>Locação de Imóvel - SED - Almoxarifado</t>
  </si>
  <si>
    <t>Locação de Imóvel - Sede da Secretaria da Saúde</t>
  </si>
  <si>
    <t>Locação de Imóvel - Sede da Secretária de Emprego, Trabalho e Renda</t>
  </si>
  <si>
    <t>Locação de Imóvel - Sede da Secretaria de Transportes</t>
  </si>
  <si>
    <t>Locação de Imóvel - SEPCD</t>
  </si>
  <si>
    <t>Locação de Imóvel - SETIDE</t>
  </si>
  <si>
    <t>Locação de Imóvel - UBS Udovaldo Maglio</t>
  </si>
  <si>
    <t>Locação de Imóvel - Vara da Família e das Sucessões do Fórum de Osasco</t>
  </si>
  <si>
    <t>18.002.04.122.0001.2.009.3.3.90.93.01.110.0000</t>
  </si>
  <si>
    <t>18.002.04.122.0001.2.011.3.3.90.39.01.110.0000</t>
  </si>
  <si>
    <t>18.002.04.122.0001.2.011.3.3.90.39.01.100.0002</t>
  </si>
  <si>
    <t>PABX</t>
  </si>
  <si>
    <t>18.002.04.122.0001.2.011.3.3.90.40.01.110.0000</t>
  </si>
  <si>
    <t>Telefonia</t>
  </si>
  <si>
    <t>Telefonia Móvel</t>
  </si>
  <si>
    <t>18.002.04.122.0001.2.011.3.3.91.39.01.110.0000</t>
  </si>
  <si>
    <t>Perícias Médicas</t>
  </si>
  <si>
    <t>18.002.04.126.0002.2.007.3.3.90.40.01.110.0000</t>
  </si>
  <si>
    <t>Sistema de Controle Biométrico</t>
  </si>
  <si>
    <t xml:space="preserve">Sistema de Gestão de Folha de Pagamento </t>
  </si>
  <si>
    <t>Sistema de Gestão de Patrimônio</t>
  </si>
  <si>
    <t>18.002.04.128.0001.2.008.3.3.90.39.01.110.0000</t>
  </si>
  <si>
    <t>Estagiários - Ensino Médio - JUCO</t>
  </si>
  <si>
    <t>Taxa de Administração do Agente de Integração de Estágio de Nível Superior (CIEE)</t>
  </si>
  <si>
    <t>18.002.04.128.0001.2.008.3.3.90.48.01.110.0000</t>
  </si>
  <si>
    <t>Estagiários - Ensino Fundamental  - ANJOS</t>
  </si>
  <si>
    <t xml:space="preserve">Estagiários E. Superior - Controladoria Geral do Município </t>
  </si>
  <si>
    <t xml:space="preserve">Estagiários E. Superior - Coordenadoria da Defesa Civil </t>
  </si>
  <si>
    <t xml:space="preserve">Estagiários E. Superior - Gabinete do Prefeito </t>
  </si>
  <si>
    <t xml:space="preserve">Estagiários E. Superior - Procuradoria Geral do Município </t>
  </si>
  <si>
    <t xml:space="preserve">Estagiários E. Superior - Secretara de Habitação </t>
  </si>
  <si>
    <t xml:space="preserve">Estagiários E. Superior - Secretara Executiva de Política para Mulheres e Promoção da Diversidade </t>
  </si>
  <si>
    <t>Estagiários E. Superior - Secretaria da Família, Cidadania e Segurança Alimentar</t>
  </si>
  <si>
    <t xml:space="preserve">Estagiários E. Superior - Secretaria de Administração </t>
  </si>
  <si>
    <t xml:space="preserve">Estagiários E. Superior - Secretaria de Assistência Social </t>
  </si>
  <si>
    <t xml:space="preserve">Estagiários E. Superior - Secretaria de Comunicação </t>
  </si>
  <si>
    <t xml:space="preserve">Estagiários E. Superior - Secretaria de Cultura </t>
  </si>
  <si>
    <t xml:space="preserve">Estagiários E. Superior - Secretaria de Desenvolvimento Econômico e Inovação </t>
  </si>
  <si>
    <t>Estagiários E. Superior - Secretaria de Emprego, Trabalho e Renda</t>
  </si>
  <si>
    <t>Estagiários E. Superior - Secretaria de Esporte, Recreação e Lazer</t>
  </si>
  <si>
    <t>Estagiários E. Superior - Secretaria de Finanças</t>
  </si>
  <si>
    <t xml:space="preserve">Estagiários E. Superior - Secretaria de Governo </t>
  </si>
  <si>
    <t xml:space="preserve">Estagiários E. Superior - Secretaria de Meio Ambiente e Recursos Hídricos </t>
  </si>
  <si>
    <t xml:space="preserve">Estagiários E. Superior - Secretaria de Planejamento e Gestão </t>
  </si>
  <si>
    <t xml:space="preserve">Estagiários E. Superior - Secretaria de Segurança e Controle Urbano </t>
  </si>
  <si>
    <t>Estagiários E. Superior - Secretaria de Serviços e Obras</t>
  </si>
  <si>
    <t>Estagiários E. Superior - Secretaria de Transporte e da Mobilidade Urbana</t>
  </si>
  <si>
    <t>Estagiários E. Superior - Secretaria Executiva da Infância e Juventude</t>
  </si>
  <si>
    <t>Estagiários E. Superior - Secretaria Executiva da Pessoa com Deficiência</t>
  </si>
  <si>
    <t>Estagiários E. Superior - Secretaria Executiva de Compras e Licitações</t>
  </si>
  <si>
    <t xml:space="preserve">Estagiários E. Superior - Secretaria Executiva de Políticas de Promoção de Igualde Racial </t>
  </si>
  <si>
    <t>18.003.04.126.0002.1004.4.4.90.52.01.110.0000</t>
  </si>
  <si>
    <t>Aquisição de Discos para Armazenamento de Dados</t>
  </si>
  <si>
    <t>Expansão Data Center</t>
  </si>
  <si>
    <t>18.003.04.126.0002.2.007.3.3.90.30.01.110.0000</t>
  </si>
  <si>
    <t>Infraestrutura de Rede</t>
  </si>
  <si>
    <t>18.003.04.126.0002.2.007.3.3.90.39.01.110.0000</t>
  </si>
  <si>
    <t>18.003.04.126.0002.2.007.3.3.90.40.01.110.0000</t>
  </si>
  <si>
    <t>Antivírus</t>
  </si>
  <si>
    <t>Cadastro Multifinalitário</t>
  </si>
  <si>
    <t>Central de Atendimento ao Cidadão - 156</t>
  </si>
  <si>
    <t xml:space="preserve">Centro de Gerenciamento de Segurança da Informação </t>
  </si>
  <si>
    <t>Contratação de switches</t>
  </si>
  <si>
    <t>Digitalização de Processos</t>
  </si>
  <si>
    <t>Georreferenciamento e Integração de Dados</t>
  </si>
  <si>
    <t>Infovia Link de comunicação - Fase 1</t>
  </si>
  <si>
    <t>Integração - SERPRO</t>
  </si>
  <si>
    <t>Internet Indoor</t>
  </si>
  <si>
    <t>Licenciamento Adobe</t>
  </si>
  <si>
    <t>Licenciamento Autodesk</t>
  </si>
  <si>
    <t>Licenciamento Microsoft</t>
  </si>
  <si>
    <t>Locação de Computadores</t>
  </si>
  <si>
    <t>Locação de copiadoras e Impressoras</t>
  </si>
  <si>
    <t>Manutenção de DATACENTER TIER3</t>
  </si>
  <si>
    <t>Manutenção de switches</t>
  </si>
  <si>
    <t>Observatório da Cidade de Oz</t>
  </si>
  <si>
    <t>Plataforma de Identidades Privilegiadas</t>
  </si>
  <si>
    <t>Plataforma Rede Segura</t>
  </si>
  <si>
    <t>Redundância de Link de Comunicação</t>
  </si>
  <si>
    <t>Sistema de Telefonia - Modernização</t>
  </si>
  <si>
    <t>Web Segura</t>
  </si>
  <si>
    <t>Manutenção de Data Center Modular Outdoor</t>
  </si>
  <si>
    <t>18.003.04.126.0002.2.007.4.4.90.40.01.110.0000</t>
  </si>
  <si>
    <t>18.003.04.126.0002.2.007.4.4.90.52.01.100.0002</t>
  </si>
  <si>
    <t xml:space="preserve">Mobiliário Urbano e Inteligente </t>
  </si>
  <si>
    <t>18.003.04.126.0002.2.007.4.4.90.52.01.110.0000</t>
  </si>
  <si>
    <t>Aquisição DATACENTER Modular Outdoor</t>
  </si>
  <si>
    <t>18.003.04.126.0002.2.007.4.4.90.52.07.100.0000</t>
  </si>
  <si>
    <t>18.003.04.126.0002.2.007.4.4.90.52.08.110.0000</t>
  </si>
  <si>
    <t>Emenda Impositiva  - Bancada de Vereadores  - Totens</t>
  </si>
  <si>
    <t>Emenda Impositiva  - Heber Juntoz  - Totens</t>
  </si>
  <si>
    <t>19.001.04.121.0004.1.001.3.3.90.35.01.110.0000</t>
  </si>
  <si>
    <t>Plano de Mobilidade Urbana</t>
  </si>
  <si>
    <t>19.001.04.122.0001.2.001.3.1.90.11.01.110.0000</t>
  </si>
  <si>
    <t>19.001.04.122.0001.2.001.3.1.90.13.01.110.0000</t>
  </si>
  <si>
    <t>19.001.04.122.0001.2.001.3.1.91.13.01.110.0000</t>
  </si>
  <si>
    <t>19.001.04.122.0001.2.001.3.3.90.46.01.110.0000</t>
  </si>
  <si>
    <t>19.001.04.122.0001.2.001.3.3.90.49.01.110.0000</t>
  </si>
  <si>
    <t>19.001.04.122.0001.2.002.3.3.90.39.01.110.0000</t>
  </si>
  <si>
    <t xml:space="preserve">Abastecimento da Frota </t>
  </si>
  <si>
    <t>19.001.04.122.0001.2.006.3.3.90.33.01.110.0000</t>
  </si>
  <si>
    <t>19.001.04.122.0001.2.006.3.3.90.39.01.110.0000</t>
  </si>
  <si>
    <t>19.001.04.128.0002.2.003.3.3.90.39.01.110.0000</t>
  </si>
  <si>
    <t>19.001.04.131.0002.2.005.3.3.90.30.01.110.0000</t>
  </si>
  <si>
    <t>19.001.04.131.0002.2.005.3.3.90.39.01.110.0000</t>
  </si>
  <si>
    <t>19.001.15.126.0013.2.007.3.3.90.39.01.110.0000</t>
  </si>
  <si>
    <t>Processamento de Multas</t>
  </si>
  <si>
    <t>Radar de Trânsito</t>
  </si>
  <si>
    <t>Sistema de Multas de Trânsito</t>
  </si>
  <si>
    <t>Sistema de Notificação Eletrônica -SNE</t>
  </si>
  <si>
    <t>19.001.15.422.0013.2.021.3.3.90.30.01.110.0000</t>
  </si>
  <si>
    <t>19.001.15.422.0013.2.021.3.3.90.39.01.110.0000</t>
  </si>
  <si>
    <t>Monitoria e Recreação</t>
  </si>
  <si>
    <t>19.001.15.451.0013.1.002.3.3.90.39.01.110.0000</t>
  </si>
  <si>
    <t>Mini-Cidade de Trânsito</t>
  </si>
  <si>
    <t>19.001.15.451.0013.1.006.4.4.90.52.01.110.0000</t>
  </si>
  <si>
    <t>Manutenção do Sistema Municipal de Trânsito</t>
  </si>
  <si>
    <t>19.001.15.451.0013.2.011.3.3.90.30.01.110.0000</t>
  </si>
  <si>
    <t>19.001.15.451.0013.2.011.3.3.90.36.01.110.0000</t>
  </si>
  <si>
    <t>Membros da JARI</t>
  </si>
  <si>
    <t>19.001.15.451.0013.2.011.3.3.90.39.01.110.0000</t>
  </si>
  <si>
    <t xml:space="preserve">Locação de Motos Adaptadas </t>
  </si>
  <si>
    <t>Locação de Viaturas</t>
  </si>
  <si>
    <t>19.001.15.451.0013.2.011.4.4.90.52.01.110.0000</t>
  </si>
  <si>
    <t>19.001.15.451.0013.2.034.3.3.90.39.01.110.0000</t>
  </si>
  <si>
    <t xml:space="preserve">Sinalização Viária </t>
  </si>
  <si>
    <t>19.001.15.451.0013.2.034.3.3.90.39.03.400.1901</t>
  </si>
  <si>
    <t>19.001.15.451.0013.2.036.3.3.90.39.01.110.0000</t>
  </si>
  <si>
    <t>Ciclofaixa de Lazer</t>
  </si>
  <si>
    <t>19.001.15.453.0013.2.010.3.3.90.39.01.110.0000</t>
  </si>
  <si>
    <t>Cartão BEM - Integração Tarifária</t>
  </si>
  <si>
    <t>19.005.04.122.0001.2.002.3.3.90.39.01.110.0000</t>
  </si>
  <si>
    <t>19.005.15.126.0013.2.007.3.3.90.39.03.400.1901</t>
  </si>
  <si>
    <t>19.005.15.451.0013.2.011.3.3.90.39.01.110.0000</t>
  </si>
  <si>
    <t>19.005.15.451.0013.2.034.3.3.90.39.03.400.1901</t>
  </si>
  <si>
    <t>20.001.04.122.0001.2.001.3.1.90.11.01.110.0000</t>
  </si>
  <si>
    <t>20.001.04.122.0001.2.001.3.1.90.13.01.110.0000</t>
  </si>
  <si>
    <t>20.001.04.122.0001.2.001.3.1.91.13.01.110.0000</t>
  </si>
  <si>
    <t>20.001.04.122.0001.2.001.3.3.90.46.01.110.0000</t>
  </si>
  <si>
    <t>20.001.04.122.0001.2.001.3.3.90.49.01.110.0000</t>
  </si>
  <si>
    <t>20.001.04.122.0001.2.006.3.3.90.33.01.110.0000</t>
  </si>
  <si>
    <t>20.001.04.122.0001.2.006.3.3.90.39.01.110.0000</t>
  </si>
  <si>
    <t>20.001.04.128.0002.2.003.3.3.90.39.01.110.0000</t>
  </si>
  <si>
    <t>Curso de Ações Táticas</t>
  </si>
  <si>
    <t>20.001.04.128.0002.2.003.3.3.90.39.08.110.0000</t>
  </si>
  <si>
    <t xml:space="preserve">Emenda Impositiva - Delbio Teruel - Curso de Atendimento Pré - Hospitalar Tático </t>
  </si>
  <si>
    <t>20.001.04.131.0002.2.005.3.3.90.30.01.110.0000</t>
  </si>
  <si>
    <t>20.001.04.131.0002.2.005.3.3.90.39.01.110.0000</t>
  </si>
  <si>
    <t>20.001.06.126.0006.2.007.3.3.90.39.01.100.0002</t>
  </si>
  <si>
    <t>Manutenção do Centro de Operações Integradas</t>
  </si>
  <si>
    <t>20.001.06.126.0006.2.007.3.3.90.39.01.110.0000</t>
  </si>
  <si>
    <t>20.001.06.181.0006.1.002.3.3.90.39.01.110.0000</t>
  </si>
  <si>
    <t xml:space="preserve">Escola de Formação </t>
  </si>
  <si>
    <t>20.001.06.181.0006.1.002.4.4.90.51.01.110.0000</t>
  </si>
  <si>
    <t>20.001.06.181.0006.1.003.4.4.90.51.01.110.0000</t>
  </si>
  <si>
    <t>Cidade da Polícia</t>
  </si>
  <si>
    <t>20.001.06.181.0006.2.011.3.3.90.30.01.110.0000</t>
  </si>
  <si>
    <t>Aquisição de Coletes</t>
  </si>
  <si>
    <t>Aquisição de Materiais Bélicos</t>
  </si>
  <si>
    <t>Aquisição de Munições</t>
  </si>
  <si>
    <t>Aquisição de Tecnologias Não Letais</t>
  </si>
  <si>
    <t>Manutenção de Viaturas</t>
  </si>
  <si>
    <t>20.001.06.181.0006.2.011.3.3.90.39.01.110.0000</t>
  </si>
  <si>
    <t xml:space="preserve">Avaliação Psicológica para Porte de Arma </t>
  </si>
  <si>
    <t xml:space="preserve">Locação de Banheiros Químicos </t>
  </si>
  <si>
    <t>20.001.06.181.0006.2.011.4.4.90.52.01.110.0000</t>
  </si>
  <si>
    <t>Aquisição de Viaturas</t>
  </si>
  <si>
    <t>Aquisição de Armas de Fogo</t>
  </si>
  <si>
    <t>20.001.06.181.0006.2.011.4.4.90.52.02.803.0000</t>
  </si>
  <si>
    <t>20.001.06.181.0006.2.011.4.4.90.52.08.110.0000</t>
  </si>
  <si>
    <t>Emenda Impositiva - Stephane Rossi - Placa de Proteção Balística</t>
  </si>
  <si>
    <t>21.001.09.272.0001.1.002.3.3.90.39.04.690.0000</t>
  </si>
  <si>
    <t>IPMO</t>
  </si>
  <si>
    <t>21.001.09.272.0001.1.002.4.4.90.51.04.690.0000</t>
  </si>
  <si>
    <t>21.001.09.272.0001.1.002.4.4.90.52.04.690.0000</t>
  </si>
  <si>
    <t>21.001.09.272.0001.1.002.4.4.90.61.04.690.0000</t>
  </si>
  <si>
    <t>21.001.09.272.0001.2.001.3.1.90.11.04.690.0000</t>
  </si>
  <si>
    <t>21.001.09.272.0001.2.001.3.1.90.13.04.690.0000</t>
  </si>
  <si>
    <t>21.001.09.272.0001.2.001.3.1.90.16.04.690.0000</t>
  </si>
  <si>
    <t>21.001.09.272.0001.2.001.3.1.90.92.04.690.0000</t>
  </si>
  <si>
    <t>Despesas de Exercícios Anteriores - Remuneração</t>
  </si>
  <si>
    <t>21.001.09.272.0001.2.001.3.1.90.94.04.690.0000</t>
  </si>
  <si>
    <t>21.001.09.272.0001.2.001.3.1.91.13.04.690.0000</t>
  </si>
  <si>
    <t>21.001.09.272.0001.2.001.3.3.90.39.04.690.0000</t>
  </si>
  <si>
    <t>21.001.09.272.0001.2.001.3.3.90.46.04.690.0000</t>
  </si>
  <si>
    <t>21.001.09.272.0001.2.001.3.3.90.49.04.690.0000</t>
  </si>
  <si>
    <t>21.001.09.272.0001.2.011.3.3.90.14.04.690.0000</t>
  </si>
  <si>
    <t>21.001.09.272.0001.2.011.3.3.90.30.04.690.0000</t>
  </si>
  <si>
    <t>21.001.09.272.0001.2.011.3.3.90.33.04.690.0000</t>
  </si>
  <si>
    <t>21.001.09.272.0001.2.011.3.3.90.35.04.690.0000</t>
  </si>
  <si>
    <t>Serviços de Consultoria</t>
  </si>
  <si>
    <t>21.001.09.272.0001.2.011.3.3.90.36.04.690.0000</t>
  </si>
  <si>
    <t>21.001.09.272.0001.2.011.3.3.90.39.04.690.0000</t>
  </si>
  <si>
    <t>21.001.09.272.0001.2.011.3.3.90.40.04.690.0000</t>
  </si>
  <si>
    <t>21.001.09.272.0001.2.011.3.3.90.92.04.690.0000</t>
  </si>
  <si>
    <t>21.001.09.272.0001.2.011.4.4.90.52.04.690.0000</t>
  </si>
  <si>
    <t>21.001.09.272.0002.2.003.3.3.90.14.04.690.0000</t>
  </si>
  <si>
    <t>21.001.09.272.0002.2.003.3.3.90.39.04.690.0000</t>
  </si>
  <si>
    <t>21.001.09.272.0002.2.003.3.3.90.93.04.690.0000</t>
  </si>
  <si>
    <t>21.001.09.272.0004.1.001.3.3.90.35.04.690.0000</t>
  </si>
  <si>
    <t>21.001.09.272.0004.1.001.3.3.90.39.04.690.0000</t>
  </si>
  <si>
    <t>21.001.09.272.0021.0.002.3.3.90.47.04.690.0000</t>
  </si>
  <si>
    <t>21.001.09.272.0021.0.003.3.1.90.91.04.690.0000</t>
  </si>
  <si>
    <t>21.001.09.272.0021.0.003.3.3.90.91.04.690.0000</t>
  </si>
  <si>
    <t>Sentenças Judiciais</t>
  </si>
  <si>
    <t>21.003.09.272.0020.2.043.3.1.90.01.04.601.0000</t>
  </si>
  <si>
    <t>Aposentadoria e Pensões</t>
  </si>
  <si>
    <t>21.003.09.272.0020.2.043.3.1.90.03.04.601.0000</t>
  </si>
  <si>
    <t>21.003.09.272.0020.2.043.3.1.90.91.04.601.0000</t>
  </si>
  <si>
    <t>21.003.09.272.0020.2.043.3.3.90.93.04.601.0000</t>
  </si>
  <si>
    <t>21.005.09.272.0020.2.043.3.1.90.01.04.602.0000</t>
  </si>
  <si>
    <t>21.005.09.272.0020.2.043.3.1.90.03.04.602.0000</t>
  </si>
  <si>
    <t>21.005.09.272.0020.2.043.3.1.90.91.04.602.0000</t>
  </si>
  <si>
    <t>21.005.09.272.0020.2.043.3.3.90.93.04.602.0000</t>
  </si>
  <si>
    <t>21.006.04.241.0018.2.044.3.3.90.48.01.110.0000</t>
  </si>
  <si>
    <t>Auxilio Melhor Idade</t>
  </si>
  <si>
    <t>22.001.04.122.0001.1.002.4.4.90.51.04.110.0000</t>
  </si>
  <si>
    <t>FITO</t>
  </si>
  <si>
    <t>22.001.04.122.0001.1.002.4.4.90.92.04.110.0000</t>
  </si>
  <si>
    <t>22.001.04.122.0001.2.001.3.1.90.13.04.110.0000</t>
  </si>
  <si>
    <t>22.001.04.122.0001.2.001.3.1.90.94.04.110.0000</t>
  </si>
  <si>
    <t>22.001.04.122.0001.2.001.3.1.91.13.04.110.0000</t>
  </si>
  <si>
    <t>22.001.04.122.0001.2.001.3.3.90.46.04.110.0000</t>
  </si>
  <si>
    <t>22.001.04.122.0001.2.011.3.3.90.37.04.110.0000</t>
  </si>
  <si>
    <t>22.001.04.122.0001.2.011.4.4.90.93.04.110.0000</t>
  </si>
  <si>
    <t>22.001.04.122.0021.0.001.3.2.90.21.04.110.0000</t>
  </si>
  <si>
    <t>22.001.04.122.0021.0.001.4.6.90.71.04.110.0000</t>
  </si>
  <si>
    <t>22.001.04.122.0021.0.003.3.1.90.91.04.110.0000</t>
  </si>
  <si>
    <t>22.001.04.126.0002.2.007.3.3.90.40.04.110.0000</t>
  </si>
  <si>
    <t>22.001.04.128.0001.2.008.3.3.90.36.04.110.0000</t>
  </si>
  <si>
    <t>22.001.04.128.0002.2.003.3.3.90.39.04.110.0000</t>
  </si>
  <si>
    <t>22.001.04.331.0001.2.001.3.3.90.49.04.110.0000</t>
  </si>
  <si>
    <t>22.002.04.361.0002.2.003.3.3.90.39.04.220.0000</t>
  </si>
  <si>
    <t>22.002.12.122.0001.2.011.3.3.90.30.04.220.0000</t>
  </si>
  <si>
    <t>22.002.12.122.0021.0.003.3.1.90.91.04.220.0000</t>
  </si>
  <si>
    <t>22.002.12.126.0002.2.007.3.3.90.40.04.220.0000</t>
  </si>
  <si>
    <t>22.001.04.122.0001.2.001.3.1.90.11.04.110.0000</t>
  </si>
  <si>
    <t>22.002.12.361.0001.2.001.3.1.90.11.04.220.0000</t>
  </si>
  <si>
    <t>22.002.12.361.0001.2.001.3.1.90.13.04.220.0000</t>
  </si>
  <si>
    <t>22.002.12.361.0001.2.001.3.1.90.16.04.220.0000</t>
  </si>
  <si>
    <t>22.002.12.361.0001.2.001.3.1.90.94.04.220.0000</t>
  </si>
  <si>
    <t>22.002.12.361.0001.2.001.3.1.91.13.04.220.0000</t>
  </si>
  <si>
    <t>22.002.12.361.0001.2.001.3.3.90.46.04.220.0000</t>
  </si>
  <si>
    <t>22.002.12.361.0001.2.008.3.3.90.36.04.220.0000</t>
  </si>
  <si>
    <t>22.002.12.361.0016.2.011.3.3.90.47.04.220.0000</t>
  </si>
  <si>
    <t>Retenção do INSS</t>
  </si>
  <si>
    <t>22.002.12.361.0016.2.020.4.4.90.52.04.220.0000</t>
  </si>
  <si>
    <t>22.003.12.122.0021.0.003.3.1.90.91.04.220.0000</t>
  </si>
  <si>
    <t>22.004.04.362.0002.2.003.3.3.90.39.04.230.0000</t>
  </si>
  <si>
    <t>22.004.12.122.0001.2.011.3.3.90.30.04.230.0000</t>
  </si>
  <si>
    <t>22.004.12.122.0021.0.003.3.1.90.91.04.230.0000</t>
  </si>
  <si>
    <t>22.004.12.126.0002.2.007.3.3.90.40.04.230.0000</t>
  </si>
  <si>
    <t>22.004.12.362.0001.2.001.3.1.90.11.04.230.0000</t>
  </si>
  <si>
    <t>22.004.12.362.0001.2.001.3.1.90.13.04.230.0000</t>
  </si>
  <si>
    <t>22.004.12.362.0001.2.001.3.1.90.16.04.230.0000</t>
  </si>
  <si>
    <t>22.004.12.362.0001.2.001.3.1.90.94.04.230.0000</t>
  </si>
  <si>
    <t>22.004.12.362.0001.2.001.3.1.91.13.04.230.0000</t>
  </si>
  <si>
    <t>22.004.12.362.0001.2.001.3.3.90.46.04.230.0000</t>
  </si>
  <si>
    <t>22.004.12.362.0001.2.008.3.3.90.36.04.230.0000</t>
  </si>
  <si>
    <t>22.004.12.362.0001.2.011.3.3.90.30.04.230.0000</t>
  </si>
  <si>
    <t>22.004.12.362.0016.2.020.4.4.90.52.04.230.0000</t>
  </si>
  <si>
    <t>22.005.12.122.0021.0.003.3.1.90.91.04.230.0000</t>
  </si>
  <si>
    <t>22.006.12.122.0021.0.003.3.1.90.91.04.110.0000</t>
  </si>
  <si>
    <t>22.006.12.364.0001.2.001.3.1.90.16.04.110.0000</t>
  </si>
  <si>
    <t>22.006.12.364.0001.2.011.3.3.90.39.04.110.0000</t>
  </si>
  <si>
    <t>22.007.04.128.0002.2.003.3.3.90.39.04.110.0000</t>
  </si>
  <si>
    <t>22.007.13.122.0021.0.003.3.1.90.91.04.110.0000</t>
  </si>
  <si>
    <t>22.007.13.126.0002.2.007.3.3.90.40.04.110.0000</t>
  </si>
  <si>
    <t>22.007.13.128.0001.2.008.3.3.90.36.04.110.0000</t>
  </si>
  <si>
    <t>22.007.13.392.0001.2.001.3.1.90.11.04.110.0000</t>
  </si>
  <si>
    <t>22.007.13.392.0001.2.001.3.1.90.13.04.110.0000</t>
  </si>
  <si>
    <t>22.007.13.392.0001.2.001.3.3.90.46.04.110.0000</t>
  </si>
  <si>
    <t>22.007.13.392.0001.2.001.3.3.90.49.04.110.0000</t>
  </si>
  <si>
    <t>22.007.13.392.0009.2.011.3.3.90.92.04.110.0000</t>
  </si>
  <si>
    <t>22.008.12.365.0001.2.001.3.1.90.11.01.210.0000</t>
  </si>
  <si>
    <t>22.008.12.365.0001.2.001.3.1.90.13.01.210.0000</t>
  </si>
  <si>
    <t>22.008.12.365.0001.2.001.3.1.90.16.01.210.0000</t>
  </si>
  <si>
    <t>22.008.12.365.0001.2.001.3.1.90.94.01.210.0000</t>
  </si>
  <si>
    <t>22.008.12.365.0001.2.001.3.1.91.13.01.210.0000</t>
  </si>
  <si>
    <t>22.008.12.365.0001.2.001.3.3.90.46.01.210.0000</t>
  </si>
  <si>
    <t>22.008.12.365.0001.2.001.3.3.90.49.01.210.0000</t>
  </si>
  <si>
    <t>22.008.12.365.0001.2.008.3.3.90.36.01.210.0000</t>
  </si>
  <si>
    <t>22.009.12.365.0001.2.001.3.1.90.94.01.210.0000</t>
  </si>
  <si>
    <t>22.010.12.365.0001.2.001.3.1.90.94.01.210.0000</t>
  </si>
  <si>
    <t>22.011.12.365.0001.2.001.3.1.90.94.01.210.0000</t>
  </si>
  <si>
    <t>22.012.12.365.0001.2.001.3.1.90.94.01.210.0000</t>
  </si>
  <si>
    <t>22.013.12.365.0001.2.001.3.1.90.94.01.210.0000</t>
  </si>
  <si>
    <t>22.014.12.365.0001.2.001.3.1.90.94.01.210.0000</t>
  </si>
  <si>
    <t>22.015.12.365.0001.2.001.3.1.90.94.01.210.0000</t>
  </si>
  <si>
    <t>22.016.12.122.0021.0.003.3.1.90.91.04.210.0000</t>
  </si>
  <si>
    <t>22.016.12.126.0002.2.007.3.3.90.40.04.210.0000</t>
  </si>
  <si>
    <t>22.016.12.365.0001.2.001.3.1.90.11.04.210.0000</t>
  </si>
  <si>
    <t>22.016.12.365.0001.2.001.3.1.90.16.04.210.0000</t>
  </si>
  <si>
    <t>22.016.12.365.0001.2.001.3.1.91.13.04.210.0000</t>
  </si>
  <si>
    <t>22.016.12.365.0001.2.008.3.3.90.36.04.210.0000</t>
  </si>
  <si>
    <t>22.016.12.365.0002.2.003.3.3.90.39.04.210.0000</t>
  </si>
  <si>
    <t>22.016.12.365.0016.1.002.3.3.90.39.04.210.0000</t>
  </si>
  <si>
    <t>22.016.12.365.0016.2.011.3.3.90.33.04.210.0000</t>
  </si>
  <si>
    <t>22.016.12.365.0016.2.011.3.3.90.37.04.210.0000</t>
  </si>
  <si>
    <t>22.016.12.365.0016.2.017.3.3.90.30.04.210.0000</t>
  </si>
  <si>
    <t xml:space="preserve">Alimentação Escolar </t>
  </si>
  <si>
    <t>22.016.12.365.0016.2.020.4.4.90.52.04.210.0000</t>
  </si>
  <si>
    <t>23.001.04.122.0001.2.001.3.1.90.11.01.110.0000</t>
  </si>
  <si>
    <t>23.001.04.122.0001.2.001.3.1.90.13.01.110.0000</t>
  </si>
  <si>
    <t>23.001.04.122.0001.2.001.3.1.91.13.01.110.0000</t>
  </si>
  <si>
    <t>23.001.04.122.0001.2.001.3.3.90.46.01.110.0000</t>
  </si>
  <si>
    <t>23.001.04.122.0001.2.001.3.3.90.49.01.110.0000</t>
  </si>
  <si>
    <t>23.001.04.122.0001.2.005.3.3.90.30.01.110.0000</t>
  </si>
  <si>
    <t>Bandeiras, Flâmulas e Insígnias</t>
  </si>
  <si>
    <t>23.001.04.122.0001.2.005.3.3.90.39.01.110.0000</t>
  </si>
  <si>
    <t xml:space="preserve">Agência de Publicidade </t>
  </si>
  <si>
    <t xml:space="preserve">Assessoria de Imprensa </t>
  </si>
  <si>
    <t>23.001.04.122.0001.2.006.3.3.90.33.01.110.0000</t>
  </si>
  <si>
    <t>23.001.04.122.0001.2.006.3.3.90.39.01.110.0000</t>
  </si>
  <si>
    <t>23.001.04.122.0001.2.011.3.3.90.30.01.110.0000</t>
  </si>
  <si>
    <t>HIgiene e LImpeza</t>
  </si>
  <si>
    <t>23.001.04.122.0001.2.011.3.3.90.39.01.110.0000</t>
  </si>
  <si>
    <t xml:space="preserve">Locação de Carro de Som para Eventos </t>
  </si>
  <si>
    <t>23.001.04.128.0002.2.003.3.3.90.39.01.110.0000</t>
  </si>
  <si>
    <t>Cursos e capacitação</t>
  </si>
  <si>
    <t>23.001.04.131.0002.2.005.3.3.90.30.01.110.0000</t>
  </si>
  <si>
    <t>Água Mineral</t>
  </si>
  <si>
    <t>23.001.04.131.0002.2.005.3.3.90.39.01.110.0000</t>
  </si>
  <si>
    <t xml:space="preserve">Comunicação via WhatsApp </t>
  </si>
  <si>
    <t>Outdoor de LED</t>
  </si>
  <si>
    <t xml:space="preserve">Serviços de Apoio a Eventos </t>
  </si>
  <si>
    <t>23.001.04.131.0002.2.005.3.3.90.39.08.110.0000</t>
  </si>
  <si>
    <t>Emenda Impositiva  - Alexandre Capriotti - Comunicação Visual do Bem-Estar Animal</t>
  </si>
  <si>
    <t>24.001.04.121.0004.1.001.3.3.90.35.01.110.0000</t>
  </si>
  <si>
    <t>24.001.04.121.0004.1.001.3.3.90.36.01.110.0000</t>
  </si>
  <si>
    <t>24.001.04.121.0004.1.001.3.3.90.39.01.110.0000</t>
  </si>
  <si>
    <t>24.001.04.121.0004.1.001.3.3.90.48.01.110.0000</t>
  </si>
  <si>
    <t>24.001.04.122.0001.1.002.3.3.90.39.01.110.0000</t>
  </si>
  <si>
    <t>Reforma SEPLAG</t>
  </si>
  <si>
    <t>24.001.04.122.0001.2.001.3.1.90.11.01.110.0000</t>
  </si>
  <si>
    <t>24.001.04.122.0001.2.001.3.1.90.13.01.110.0000</t>
  </si>
  <si>
    <t>24.001.04.122.0001.2.001.3.1.91.13.01.110.0000</t>
  </si>
  <si>
    <t>24.001.04.122.0001.2.001.3.3.90.46.01.110.0000</t>
  </si>
  <si>
    <t>24.001.04.122.0001.2.001.3.3.90.49.01.110.0000</t>
  </si>
  <si>
    <t>24.001.04.122.0001.2.006.3.3.90.33.01.110.0000</t>
  </si>
  <si>
    <t>24.001.04.122.0001.2.006.3.3.90.39.01.110.0000</t>
  </si>
  <si>
    <t>24.001.04.122.0001.2.011.3.3.90.30.01.110.0000</t>
  </si>
  <si>
    <t>24.001.04.122.0001.2.011.3.3.90.39.01.110.0000</t>
  </si>
  <si>
    <t>24.001.04.122.0001.2.011.4.4.90.51.01.110.0000</t>
  </si>
  <si>
    <t>24.001.04.122.0001.2.011.4.4.90.52.01.110.0000</t>
  </si>
  <si>
    <t>24.001.04.126.0002.2.007.3.3.90.40.01.110.0000</t>
  </si>
  <si>
    <t>SPSS - Software</t>
  </si>
  <si>
    <t>24.001.04.128.0002.2.003.3.3.90.30.01.110.0000</t>
  </si>
  <si>
    <t>24.001.04.128.0002.2.003.3.3.90.36.01.110.0000</t>
  </si>
  <si>
    <t>Contratação de Palestrantes e/ou Oficineiros</t>
  </si>
  <si>
    <t>24.001.04.128.0002.2.003.3.3.90.39.01.110.0000</t>
  </si>
  <si>
    <t>24.001.04.131.0002.2.005.3.3.90.30.01.110.0000</t>
  </si>
  <si>
    <t>24.001.04.131.0002.2.005.3.3.90.31.01.110.0000</t>
  </si>
  <si>
    <t xml:space="preserve">Premiação - Inova Servidor </t>
  </si>
  <si>
    <t>24.001.04.131.0002.2.005.3.3.90.39.01.110.0000</t>
  </si>
  <si>
    <t>27.001.04.121.0004.1.001.3.3.90.35.01.110.0000</t>
  </si>
  <si>
    <t>27.001.04.121.0004.1.001.3.3.90.39.01.110.0000</t>
  </si>
  <si>
    <t xml:space="preserve">Serviços de Terceiros </t>
  </si>
  <si>
    <t>27.001.04.122.0001.1.002.3.3.90.39.01.110.0000</t>
  </si>
  <si>
    <t>Reforma CGM</t>
  </si>
  <si>
    <t>27.001.04.122.0001.2.001.3.1.90.11.01.110.0000</t>
  </si>
  <si>
    <t>27.001.04.122.0001.2.001.3.1.90.13.01.110.0000</t>
  </si>
  <si>
    <t>27.001.04.122.0001.2.001.3.1.91.13.01.110.0000</t>
  </si>
  <si>
    <t>27.001.04.122.0001.2.001.3.3.90.46.01.110.0000</t>
  </si>
  <si>
    <t>27.001.04.122.0001.2.001.3.3.90.49.01.110.0000</t>
  </si>
  <si>
    <t>27.001.04.122.0001.2.006.3.3.90.33.01.110.0000</t>
  </si>
  <si>
    <t>27.001.04.122.0001.2.006.3.3.90.39.01.110.0000</t>
  </si>
  <si>
    <t>27.001.04.122.0001.2.011.3.3.90.30.01.110.0000</t>
  </si>
  <si>
    <t>27.001.04.122.0001.2.011.3.3.90.39.01.110.0000</t>
  </si>
  <si>
    <t>27.001.04.122.0001.2.011.4.4.90.52.01.110.0000</t>
  </si>
  <si>
    <t>27.001.04.126.0002.2.007.3.3.90.39.01.110.0000</t>
  </si>
  <si>
    <t>Software de Criação de Vídeos</t>
  </si>
  <si>
    <t>27.001.04.126.0002.2.007.3.3.90.40.01.110.0000</t>
  </si>
  <si>
    <t>Sistema de Controle Interno</t>
  </si>
  <si>
    <t>Sistema do Terceiro Setor</t>
  </si>
  <si>
    <t>27.001.04.128.0002.2.003.3.3.90.39.01.110.0000</t>
  </si>
  <si>
    <t>27.001.04.131.0002.2.005.3.3.90.39.01.110.0000</t>
  </si>
  <si>
    <t>28.001.04.121.0004.1.001.3.3.90.35.01.110.0000</t>
  </si>
  <si>
    <t>28.001.04.122.0001.1.002.3.3.90.39.01.110.0000</t>
  </si>
  <si>
    <t xml:space="preserve">Reforma da SEGOV </t>
  </si>
  <si>
    <t>28.001.04.122.0001.1.002.3.3.90.39.02.100.0000</t>
  </si>
  <si>
    <t>28.001.04.122.0001.2.001.3.1.90.11.01.110.0000</t>
  </si>
  <si>
    <t>28.001.04.122.0001.2.001.3.1.90.13.01.110.0000</t>
  </si>
  <si>
    <t>28.001.04.122.0001.2.001.3.1.91.13.01.110.0000</t>
  </si>
  <si>
    <t>28.001.04.122.0001.2.001.3.3.90.49.01.110.0000</t>
  </si>
  <si>
    <t>28.001.04.122.0001.2.006.3.3.90.33.01.110.0000</t>
  </si>
  <si>
    <t>28.001.04.122.0001.2.006.3.3.90.39.01.110.0000</t>
  </si>
  <si>
    <t>28.001.04.122.0001.2.011.3.3.90.30.01.110.0000</t>
  </si>
  <si>
    <t>Manutenção do Procon</t>
  </si>
  <si>
    <t>28.001.04.122.0001.2.011.3.3.90.30.02.100.0000</t>
  </si>
  <si>
    <t>28.001.04.122.0001.2.011.3.3.90.39.01.110.0000</t>
  </si>
  <si>
    <t>28.001.04.122.0001.2.011.3.3.90.39.02.100.0000</t>
  </si>
  <si>
    <t>28.001.04.126.0002.2.007.3.3.90.39.01.110.0000</t>
  </si>
  <si>
    <t>Sistema para Licenciamento e Alvará</t>
  </si>
  <si>
    <t>28.001.04.126.0002.2.007.3.3.90.40.01.110.0000</t>
  </si>
  <si>
    <t>28.001.04.128.0002.2.003.3.3.90.36.01.110.0000</t>
  </si>
  <si>
    <t>28.001.04.128.0002.2.003.3.3.90.39.01.110.0000</t>
  </si>
  <si>
    <t>28.001.04.131.0002.2.005.3.3.90.30.01.110.0000</t>
  </si>
  <si>
    <t>28.001.04.131.0002.2.005.3.3.90.39.01.110.0000</t>
  </si>
  <si>
    <t>28.007.04.131.0002.2.005.3.3.90.30.01.110.0000</t>
  </si>
  <si>
    <t>28.007.04.131.0002.2.005.3.3.90.39.01.110.0000</t>
  </si>
  <si>
    <t>29.001.04.122.0001.2.001.3.1.90.11.01.110.0000</t>
  </si>
  <si>
    <t>29.001.04.122.0001.2.001.3.1.90.13.01.110.0000</t>
  </si>
  <si>
    <t>29.001.04.122.0001.2.001.3.1.91.13.01.110.0000</t>
  </si>
  <si>
    <t>29.001.04.122.0001.2.001.3.3.90.46.01.110.0000</t>
  </si>
  <si>
    <t>29.001.04.122.0001.2.001.3.3.90.49.01.110.0000</t>
  </si>
  <si>
    <t>29.001.04.122.0001.2.006.3.3.90.33.01.110.0000</t>
  </si>
  <si>
    <t>29.001.04.122.0001.2.006.3.3.90.39.01.110.0000</t>
  </si>
  <si>
    <t>29.001.04.128.0002.2.003.3.3.90.36.01.110.0000</t>
  </si>
  <si>
    <t>29.001.04.128.0002.2.003.3.3.90.39.01.110.0000</t>
  </si>
  <si>
    <t>29.001.04.131.0002.2.005.3.3.90.30.01.110.0000</t>
  </si>
  <si>
    <t>29.001.04.131.0002.2.005.3.3.90.39.01.110.0000</t>
  </si>
  <si>
    <t>29.001.14.243.0001.1.002.3.3.90.39.01.110.0000</t>
  </si>
  <si>
    <t>Reforma da Secretaria  - SEIJ</t>
  </si>
  <si>
    <t>29.001.14.243.0018.1.003.4.4.90.52.01.110.0000</t>
  </si>
  <si>
    <t>29.001.14.243.0018.2.011.3.3.90.30.01.110.0000</t>
  </si>
  <si>
    <t>29.001.14.243.0018.2.011.3.3.90.39.01.110.0000</t>
  </si>
  <si>
    <t>29.001.14.243.0018.2.011.4.4.90.52.01.110.0000</t>
  </si>
  <si>
    <t>29.001.14.243.0018.2.041.3.3.50.39.08.110.0000</t>
  </si>
  <si>
    <t xml:space="preserve">Emenda Impositiva - Heber Juntoz - Cursinho Pré - Vestibular </t>
  </si>
  <si>
    <t>29.002.14.243.0018.2.041.3.3.50.39.01.110.0000</t>
  </si>
  <si>
    <t>Parcerias - OSC para Projetos com Crianças e Adolescentes</t>
  </si>
  <si>
    <t>29.002.14.243.0018.2.041.3.3.50.39.03.100.2901</t>
  </si>
  <si>
    <t>29.002.14.243.0018.2.041.4.4.50.39.03.100.2901</t>
  </si>
  <si>
    <t>29.002.14.243.0018.2.041.4.4.50.52.03.100.2901</t>
  </si>
  <si>
    <t>30.001.04.121.0004.1.001.3.3.90.35.01.110.0000</t>
  </si>
  <si>
    <t xml:space="preserve">Censo do PCD </t>
  </si>
  <si>
    <t>30.001.04.122.0001.2.001.3.1.90.11.01.110.0000</t>
  </si>
  <si>
    <t>30.001.04.122.0001.2.001.3.1.90.13.01.110.0000</t>
  </si>
  <si>
    <t>30.001.04.122.0001.2.001.3.1.91.13.01.110.0000</t>
  </si>
  <si>
    <t>30.001.04.122.0001.2.001.3.3.90.46.01.110.0000</t>
  </si>
  <si>
    <t>30.001.04.122.0001.2.001.3.3.90.49.01.110.0000</t>
  </si>
  <si>
    <t>30.001.04.122.0001.2.006.3.3.90.33.01.110.0000</t>
  </si>
  <si>
    <t>30.001.04.122.0001.2.006.3.3.90.39.01.110.0000</t>
  </si>
  <si>
    <t>30.001.04.122.0001.2.011.3.3.90.30.01.110.0000</t>
  </si>
  <si>
    <t>30.001.04.122.0001.2.011.3.3.90.39.01.110.0000</t>
  </si>
  <si>
    <t>30.001.04.122.0001.2.011.4.4.90.52.01.110.0000</t>
  </si>
  <si>
    <t>30.001.04.122.0001.2.011.4.4.90.52.08.110.0000</t>
  </si>
  <si>
    <t xml:space="preserve">Emenda Impositiva  - Stephane Rossi - Aquisição de Veículos </t>
  </si>
  <si>
    <t>30.001.04.128.0002.2.003.3.3.90.36.01.110.0000</t>
  </si>
  <si>
    <t xml:space="preserve">Capacitação do Terceiro Setor </t>
  </si>
  <si>
    <t>30.001.04.128.0002.2.003.3.3.90.39.01.110.0000</t>
  </si>
  <si>
    <t>30.001.04.131.0002.2.005.3.3.90.30.01.110.0000</t>
  </si>
  <si>
    <t>30.001.04.131.0002.2.005.3.3.90.36.01.110.0000</t>
  </si>
  <si>
    <t>30.001.04.131.0002.2.005.3.3.90.39.01.110.0000</t>
  </si>
  <si>
    <t>30.001.14.242.0001.1.002.3.3.90.30.01.110.0000</t>
  </si>
  <si>
    <t>Piso Tátil</t>
  </si>
  <si>
    <t>Placas de Braile</t>
  </si>
  <si>
    <t>30.001.14.242.0001.1.002.3.3.90.39.01.110.0000</t>
  </si>
  <si>
    <t>Adequação de Banheiros para PCD</t>
  </si>
  <si>
    <t>Reforma de Novo Prédio SEPCD</t>
  </si>
  <si>
    <t>30.001.14.242.0010.2.041.3.3.50.39.01.110.0000</t>
  </si>
  <si>
    <t xml:space="preserve">Futebol pra Cegos </t>
  </si>
  <si>
    <t>Natação para PCD</t>
  </si>
  <si>
    <t>30.001.14.242.0016.2.041.3.3.90.39.01.110.0000</t>
  </si>
  <si>
    <t>Escola Acolhedora  e Educação Inclusiva</t>
  </si>
  <si>
    <t>30.001.14.242.0018.1.003.3.3.90.30.01.110.0000</t>
  </si>
  <si>
    <t>Aquisição de equipamentos adaptados</t>
  </si>
  <si>
    <t>30.001.14.242.0018.1.003.3.3.90.39.01.110.0000</t>
  </si>
  <si>
    <t>30.001.14.242.0018.1.003.4.4.90.51.01.110.0000</t>
  </si>
  <si>
    <t>Centro PCD/TEA</t>
  </si>
  <si>
    <t>30.001.14.242.0018.1.003.4.4.90.52.01.110.0000</t>
  </si>
  <si>
    <t>30.001.14.242.0018.2.041.3.3.50.39.01.110.0000</t>
  </si>
  <si>
    <t xml:space="preserve">Bem-Estar e Convivência Inclusiva </t>
  </si>
  <si>
    <t xml:space="preserve">Cultura e Lazer </t>
  </si>
  <si>
    <t xml:space="preserve">Foco Territorial </t>
  </si>
  <si>
    <t>Projeto Cuidar de Quem Cuida</t>
  </si>
  <si>
    <t xml:space="preserve">Termo de Colaboração </t>
  </si>
  <si>
    <t>30.001.14.242.0018.2.041.3.3.50.39.08.110.0000</t>
  </si>
  <si>
    <t xml:space="preserve">Emenda Impositiva  - Delbio Teruel - Comunidade Impacto </t>
  </si>
  <si>
    <t xml:space="preserve">Emenda Impositiva  - Guilherme Prado - Caminhos contra Injustiça </t>
  </si>
  <si>
    <t>Emenda Impositiva - Bancada - ABRAAC</t>
  </si>
  <si>
    <t>Emenda Impositiva - Batista da Comunidade - Núcleo 21</t>
  </si>
  <si>
    <t>Emenda Impositiva - Ralfi Silva  - Núcleo 21</t>
  </si>
  <si>
    <t>Emenda Impositiva - Ralfi Silva  - Tesla</t>
  </si>
  <si>
    <t>Emenda Impositiva - Ralfi Silva  - Tesla - Laudos</t>
  </si>
  <si>
    <t>30.001.14.242.0018.2.041.3.3.90.36.01.110.0000</t>
  </si>
  <si>
    <t>30.001.14.242.0018.2.041.3.3.90.39.01.110.0000</t>
  </si>
  <si>
    <t xml:space="preserve">Interprete de Libras </t>
  </si>
  <si>
    <t>30.001.14.242.0018.2.041.3.3.90.40.01.110.0000</t>
  </si>
  <si>
    <t xml:space="preserve">Sistema ICON </t>
  </si>
  <si>
    <t>30.001.14.242.0018.2.041.4.4.50.52.08.110.0000</t>
  </si>
  <si>
    <t>Emenda Impositiva - Ralfi Silva  - Pestalozzi</t>
  </si>
  <si>
    <t>30.002.14.242.0018.2.041.3.3.90.30.01.110.0000</t>
  </si>
  <si>
    <t xml:space="preserve">Dispositivos adaptados </t>
  </si>
  <si>
    <t>30.002.14.242.0018.2.041.3.3.90.39.01.110.0000</t>
  </si>
  <si>
    <t>30.002.14.242.0018.2.041.4.4.90.51.01.110.0000</t>
  </si>
  <si>
    <t>30.002.14.242.0018.2.041.4.4.90.52.01.110.0000</t>
  </si>
  <si>
    <t>31.001.04.122.0001.2.001.3.1.90.11.01.110.0000</t>
  </si>
  <si>
    <t>31.001.04.122.0001.2.001.3.1.90.13.01.110.0000</t>
  </si>
  <si>
    <t>31.001.04.122.0001.2.001.3.1.91.13.01.110.0000</t>
  </si>
  <si>
    <t>31.001.04.122.0001.2.001.3.3.90.46.01.110.0000</t>
  </si>
  <si>
    <t>31.001.04.122.0001.2.001.3.3.90.49.01.110.0000</t>
  </si>
  <si>
    <t>31.001.04.122.0001.2.006.3.3.90.33.01.110.0000</t>
  </si>
  <si>
    <t>31.001.04.122.0001.2.006.3.3.90.39.01.110.0000</t>
  </si>
  <si>
    <t>31.001.04.128.0002.2.003.3.3.90.39.01.110.0000</t>
  </si>
  <si>
    <t>31.001.04.131.0002.2.005.3.3.90.30.01.110.0000</t>
  </si>
  <si>
    <t>31.001.04.131.0002.2.005.3.3.90.39.01.110.0000</t>
  </si>
  <si>
    <t>31.001.14.391.0009.2.029.3.3.90.40.01.110.0000</t>
  </si>
  <si>
    <t>Guia Turístico Afro-Brasileiro e Indígena (acervo digital)</t>
  </si>
  <si>
    <t>Mapeamento e Georrefereciamento de Espaços Religiosos de Matriz Africana</t>
  </si>
  <si>
    <t>31.001.14.422.0018.1.002.3.3.90.39.01.110.0000</t>
  </si>
  <si>
    <t>Reforma e Adequações</t>
  </si>
  <si>
    <t>31.001.14.422.0018.2.011.3.3.90.30.01.110.0000</t>
  </si>
  <si>
    <t>31.001.14.422.0018.2.011.3.3.90.39.01.110.0000</t>
  </si>
  <si>
    <t>31.001.14.422.0018.2.011.4.4.90.52.01.110.0000</t>
  </si>
  <si>
    <t>32.001.04.121.0004.1.001.3.3.90.35.01.110.0000</t>
  </si>
  <si>
    <t>Plano Municipal de Politicas para LGBTQIA+</t>
  </si>
  <si>
    <t xml:space="preserve">Plano Municipal de Politicas para Mulheres </t>
  </si>
  <si>
    <t>32.001.04.122.0001.2.001.3.1.90.11.01.110.0000</t>
  </si>
  <si>
    <t>32.001.04.122.0001.2.001.3.1.90.13.01.110.0000</t>
  </si>
  <si>
    <t>32.001.04.122.0001.2.001.3.1.91.13.01.110.0000</t>
  </si>
  <si>
    <t>32.001.04.122.0001.2.001.3.3.90.46.01.110.0000</t>
  </si>
  <si>
    <t>32.001.04.122.0001.2.001.3.3.90.49.01.110.0000</t>
  </si>
  <si>
    <t>32.001.04.122.0001.2.006.3.3.90.33.01.110.0000</t>
  </si>
  <si>
    <t>32.001.04.122.0001.2.006.3.3.90.39.01.110.0000</t>
  </si>
  <si>
    <t>32.001.04.128.0002.2.003.3.3.90.36.01.110.0000</t>
  </si>
  <si>
    <t>32.001.04.131.0002.2.005.3.3.90.30.01.110.0000</t>
  </si>
  <si>
    <t>32.001.04.131.0002.2.005.3.3.90.39.01.110.0000</t>
  </si>
  <si>
    <t>32.001.04.131.0002.2.005.3.3.90.39.08.110.0000</t>
  </si>
  <si>
    <t>Emenda Impositiva  - Laércio Mendonça - Curso de Defesa Pessoal</t>
  </si>
  <si>
    <t>32.001.14.334.0017.2.004.3.3.90.39.01.110.0000</t>
  </si>
  <si>
    <t xml:space="preserve"> Qualificação Culinária - Bolos e Tortas</t>
  </si>
  <si>
    <t>Capacitação para Aperfeiçoar Atendimento ao Cliente</t>
  </si>
  <si>
    <t>Capacitação para Atitude Empreendedora</t>
  </si>
  <si>
    <t>Capacitação para Serviços Administrativos</t>
  </si>
  <si>
    <t>Curso de Capacitação para Empreendedores</t>
  </si>
  <si>
    <t>Qualificação Culinária - Doces Brasileiros</t>
  </si>
  <si>
    <t>Qualificação Culinária - Doces Finos</t>
  </si>
  <si>
    <t>32.001.14.334.0017.2.004.3.3.90.39.05.100.0000</t>
  </si>
  <si>
    <t>32.001.14.422.0001.1.002.3.3.90.30.01.110.0000</t>
  </si>
  <si>
    <t>Reforma do CRMVV - Zona Norte</t>
  </si>
  <si>
    <t>32.001.14.422.0001.1.002.3.3.90.39.01.110.0000</t>
  </si>
  <si>
    <t>Reforma da SEMUD</t>
  </si>
  <si>
    <t>32.001.14.422.0018.2.011.3.3.50.39.01.110.0000</t>
  </si>
  <si>
    <t>Casa de Passagem</t>
  </si>
  <si>
    <t>32.001.14.422.0018.2.011.3.3.71.70.01.110.0000</t>
  </si>
  <si>
    <t>Casa Abrigo</t>
  </si>
  <si>
    <t>32.001.14.422.0018.2.011.3.3.90.30.01.110.0000</t>
  </si>
  <si>
    <t>32.001.14.422.0018.2.011.3.3.90.39.01.110.0000</t>
  </si>
  <si>
    <t>Aquisição de passagens (recambio)</t>
  </si>
  <si>
    <t>32.001.14.422.0018.2.011.4.4.71.70.01.110.0000</t>
  </si>
  <si>
    <t>32.001.14.422.0018.2.011.4.4.90.52.08.110.0000</t>
  </si>
  <si>
    <t xml:space="preserve">Emenda Impositiva  - Stephane Rossi - Mobiliários e Equipamentos </t>
  </si>
  <si>
    <t>32.002.14.422.0018.2.011.3.3.90.30.01.110.0000</t>
  </si>
  <si>
    <t>32.002.14.422.0018.2.011.3.3.90.39.01.110.0000</t>
  </si>
  <si>
    <t>32.002.14.422.0018.2.011.4.4.90.52.01.110.0000</t>
  </si>
  <si>
    <t>33.001.04.122.0001.1.002.3.3.90.39.01.110.0000</t>
  </si>
  <si>
    <t>REFORMA SECOL</t>
  </si>
  <si>
    <t>33.001.04.122.0001.2.001.3.1.90.11.01.110.0000</t>
  </si>
  <si>
    <t>33.001.04.122.0001.2.001.3.1.90.13.01.110.0000</t>
  </si>
  <si>
    <t>33.001.04.122.0001.2.001.3.1.91.13.01.110.0000</t>
  </si>
  <si>
    <t>33.001.04.122.0001.2.001.3.3.90.46.01.110.0000</t>
  </si>
  <si>
    <t>33.001.04.122.0001.2.001.3.3.90.49.01.110.0000</t>
  </si>
  <si>
    <t>33.001.04.122.0001.2.006.3.3.90.33.01.110.0000</t>
  </si>
  <si>
    <t>33.001.04.122.0001.2.006.3.3.90.39.01.110.0000</t>
  </si>
  <si>
    <t>Adiantamento para Despesas Específicas</t>
  </si>
  <si>
    <t>33.001.04.122.0001.2.011.3.3.90.30.01.110.0000</t>
  </si>
  <si>
    <t>33.001.04.122.0001.2.011.3.3.90.39.01.110.0000</t>
  </si>
  <si>
    <t>33.001.04.122.0001.2.011.4.4.90.52.01.110.0000</t>
  </si>
  <si>
    <t>33.001.04.126.0002.2.007.3.3.90.39.01.110.0000</t>
  </si>
  <si>
    <t xml:space="preserve">Banco de Preços </t>
  </si>
  <si>
    <t>33.001.04.126.0002.2.007.3.3.90.40.01.110.0000</t>
  </si>
  <si>
    <t>33.001.04.128.0002.2.003.3.3.90.39.01.110.0000</t>
  </si>
  <si>
    <t>33.001.04.131.0002.2.005.3.3.90.39.01.110.0000</t>
  </si>
  <si>
    <t>Publicação de Editais em Jornais de Grande Circulação</t>
  </si>
  <si>
    <t>Publicações DOU - Imprensa Nacional</t>
  </si>
  <si>
    <t>33.001.04.131.0002.2.005.3.3.90.39.01.700.0000</t>
  </si>
  <si>
    <t>34.001.04.121.0004.1.001.3.3.90.35.01.110.0000</t>
  </si>
  <si>
    <t>Mapeamento de Riscos</t>
  </si>
  <si>
    <t>34.001.04.122.0001.2.001.3.1.90.11.01.110.0000</t>
  </si>
  <si>
    <t>34.001.04.122.0001.2.001.3.1.90.13.01.110.0000</t>
  </si>
  <si>
    <t>34.001.04.122.0001.2.001.3.1.91.13.01.110.0000</t>
  </si>
  <si>
    <t>34.001.04.122.0001.2.001.3.3.90.49.01.110.0000</t>
  </si>
  <si>
    <t>34.001.04.122.0001.2.006.3.3.90.33.01.110.0000</t>
  </si>
  <si>
    <t>34.001.04.122.0001.2.006.3.3.90.39.01.110.0000</t>
  </si>
  <si>
    <t>34.001.04.126.0002.2.007.3.3.90.30.08.110.0000</t>
  </si>
  <si>
    <t xml:space="preserve">Emenda Impositiva - Delbio Teruel - Gestão de Risco </t>
  </si>
  <si>
    <t>34.001.04.126.0002.2.007.3.3.90.39.08.110.0000</t>
  </si>
  <si>
    <t>34.001.04.126.0002.2.007.4.4.90.52.08.110.0000</t>
  </si>
  <si>
    <t>Emenda Impositiva - Bancada de Vereadores - Drones</t>
  </si>
  <si>
    <t>Emenda Impositiva - Heber Juntoz - Drones</t>
  </si>
  <si>
    <t>34.001.04.128.0002.2.003.3.3.90.36.01.110.0000</t>
  </si>
  <si>
    <t>34.001.04.131.0002.2.005.3.3.90.30.01.110.0000</t>
  </si>
  <si>
    <t>34.001.04.131.0002.2.005.3.3.90.39.01.110.0000</t>
  </si>
  <si>
    <t>34.001.15.182.0005.1.002.3.3.90.39.01.110.0000</t>
  </si>
  <si>
    <t>Reforma Base Sul</t>
  </si>
  <si>
    <t>34.001.15.182.0005.2.011.3.3.90.30.01.110.0000</t>
  </si>
  <si>
    <t>34.001.15.182.0005.2.011.3.3.90.30.08.110.0000</t>
  </si>
  <si>
    <t xml:space="preserve">Emenda Impositiva - Pedrinho Cantagessi - Ações da Defea Civil </t>
  </si>
  <si>
    <t>34.001.15.182.0005.2.011.3.3.90.39.01.110.0000</t>
  </si>
  <si>
    <t>34.001.15.182.0005.2.011.3.3.90.39.08.110.0000</t>
  </si>
  <si>
    <t>34.001.15.182.0005.2.011.4.4.90.52.08.110.0000</t>
  </si>
  <si>
    <t>35.001.04.122.0001.1.002.3.3.90.30.01.110.0000</t>
  </si>
  <si>
    <t>Reforma do Gabinete/Copa Casa Civil</t>
  </si>
  <si>
    <t>35.001.04.122.0001.1.002.3.3.90.39.01.110.0000</t>
  </si>
  <si>
    <t>35.001.04.122.0001.1.002.4.4.90.52.01.110.0000</t>
  </si>
  <si>
    <t>35.001.04.122.0001.2.001.3.1.90.11.01.110.0000</t>
  </si>
  <si>
    <t>35.001.04.122.0001.2.001.3.1.90.13.01.110.0000</t>
  </si>
  <si>
    <t>35.001.04.122.0001.2.001.3.1.91.13.01.110.0000</t>
  </si>
  <si>
    <t>35.001.04.122.0001.2.001.3.3.90.46.01.110.0000</t>
  </si>
  <si>
    <t>35.001.04.122.0001.2.001.3.3.90.49.01.110.0000</t>
  </si>
  <si>
    <t>35.001.04.122.0001.2.006.3.3.90.33.01.110.0000</t>
  </si>
  <si>
    <t>35.001.04.122.0001.2.006.3.3.90.39.01.110.0000</t>
  </si>
  <si>
    <t>35.001.04.122.0001.2.011.3.3.90.30.01.110.0000</t>
  </si>
  <si>
    <t>35.001.04.122.0001.2.011.3.3.90.39.01.110.0000</t>
  </si>
  <si>
    <t>35.001.04.122.0001.2.011.4.4.90.52.01.110.0000</t>
  </si>
  <si>
    <t>35.001.04.128.0002.2.003.3.3.90.39.01.110.0000</t>
  </si>
  <si>
    <t>35.001.04.131.0002.2.005.3.3.90.39.01.110.0000</t>
  </si>
  <si>
    <t>36.001.04.122.0001.1.002.3.3.90.39.01.110.0000</t>
  </si>
  <si>
    <t>Reforma do Banco de Alimentos</t>
  </si>
  <si>
    <t>36.001.04.122.0001.1.002.3.3.90.39.05.100.0000</t>
  </si>
  <si>
    <t>36.001.04.122.0001.2.001.3.1.90.11.01.110.0000</t>
  </si>
  <si>
    <t>36.001.04.122.0001.2.001.3.1.90.13.01.110.0000</t>
  </si>
  <si>
    <t>36.001.04.122.0001.2.001.3.1.91.13.01.110.0000</t>
  </si>
  <si>
    <t>36.001.04.122.0001.2.001.3.3.90.46.01.110.0000</t>
  </si>
  <si>
    <t>36.001.04.122.0001.2.001.3.3.90.49.01.110.0000</t>
  </si>
  <si>
    <t>36.001.04.122.0001.2.006.3.3.90.33.01.110.0000</t>
  </si>
  <si>
    <t>36.001.04.122.0001.2.006.3.3.90.39.01.110.0000</t>
  </si>
  <si>
    <t>36.001.04.128.0002.2.003.3.3.90.39.01.110.0000</t>
  </si>
  <si>
    <t>36.001.04.131.0002.2.005.3.3.90.30.01.110.0000</t>
  </si>
  <si>
    <t>36.001.04.131.0002.2.005.3.3.90.39.01.110.0000</t>
  </si>
  <si>
    <t>Capacitação dos Conselheiros</t>
  </si>
  <si>
    <t>36.001.08.244.0019.2.011.3.3.90.30.01.110.0000</t>
  </si>
  <si>
    <t>36.001.08.244.0019.2.011.3.3.90.39.01.110.0000</t>
  </si>
  <si>
    <t>36.001.08.244.0019.2.011.3.3.90.93.01.110.0000</t>
  </si>
  <si>
    <t>36.001.08.244.0019.2.011.4.4.90.52.01.110.0000</t>
  </si>
  <si>
    <t>36.001.08.244.0019.2.024.3.3.90.30.01.110.0000</t>
  </si>
  <si>
    <t>36.001.08.244.0019.2.024.3.3.90.32.01.110.0000</t>
  </si>
  <si>
    <t>Brinquedos Didáticos</t>
  </si>
  <si>
    <t>36.001.14.244.0018.2.041.3.3.50.39.01.110.0000</t>
  </si>
  <si>
    <t>Parceria com OSC - Famílias Fortes</t>
  </si>
  <si>
    <t>36.001.14.244.0018.2.041.3.3.50.39.08.110.0000</t>
  </si>
  <si>
    <t xml:space="preserve">Emenda Impositiva - Stephane Rossi - Familias Fortes </t>
  </si>
  <si>
    <t>36.001.14.244.0018.2.041.3.3.90.30.08.110.0000</t>
  </si>
  <si>
    <t xml:space="preserve">Emenda Impositiva - Bancada - Ações da SEFAM </t>
  </si>
  <si>
    <t>36.001.14.244.0018.2.041.3.3.90.39.08.110.0000</t>
  </si>
  <si>
    <t>36.001.14.244.0018.2.041.4.4.50.39.01.110.0000</t>
  </si>
  <si>
    <t>36.001.14.244.0018.2.041.4.4.90.52.08.110.0000</t>
  </si>
  <si>
    <t>77.777.99.999.9999.9.999.9.9.99.99.04.600.0000</t>
  </si>
  <si>
    <t xml:space="preserve">Reserva de Contingência </t>
  </si>
  <si>
    <t>99.999.99.999.9999.9.999.9.9.99.99.01.110.0000</t>
  </si>
  <si>
    <t>99.999.99.999.9999.9.999.9.9.99.99.08.804.0000</t>
  </si>
  <si>
    <t>Emenda Impositiva - Demais</t>
  </si>
  <si>
    <t>Emenda Impositiva - Saúde</t>
  </si>
  <si>
    <t>Sem previsão na LDO</t>
  </si>
  <si>
    <t>secretaria2</t>
  </si>
  <si>
    <t>(Tudo)</t>
  </si>
  <si>
    <t>Soma de valor</t>
  </si>
  <si>
    <t>Total Geral</t>
  </si>
  <si>
    <t>Não tem o Cód. na LDO</t>
  </si>
  <si>
    <t>LDO - LOA</t>
  </si>
  <si>
    <t>FOLHA DE PAGAMENTO</t>
  </si>
  <si>
    <t>304</t>
  </si>
  <si>
    <t>305</t>
  </si>
  <si>
    <t>35</t>
  </si>
  <si>
    <t>35 - CASA CIVIL</t>
  </si>
  <si>
    <t>08.001.12.122.0001.2.001.3.1.90.94.00</t>
  </si>
  <si>
    <t>09.001.10.122.0001.2.001.3.1.90.94.00</t>
  </si>
  <si>
    <t>18.001.04.122.0001.2.001.3.1.90.94.00</t>
  </si>
  <si>
    <t>PMO - RC</t>
  </si>
  <si>
    <t>IPMO - RC</t>
  </si>
  <si>
    <t>777</t>
  </si>
  <si>
    <t>999</t>
  </si>
  <si>
    <t>(Vários itens)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</si>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</sst>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12501A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8" fillId="0" borderId="0" xfId="0" applyFont="1" applyProtection="1">
      <protection locked="0"/>
    </xf>
    <xf numFmtId="0" fontId="19" fillId="33" borderId="10" xfId="0" applyFont="1" applyFill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vertical="center"/>
      <protection locked="0"/>
    </xf>
    <xf numFmtId="0" fontId="18" fillId="0" borderId="12" xfId="0" applyFont="1" applyBorder="1" applyAlignment="1" applyProtection="1">
      <alignment vertical="center"/>
      <protection locked="0"/>
    </xf>
    <xf numFmtId="0" fontId="20" fillId="0" borderId="0" xfId="0" applyFont="1" applyProtection="1">
      <protection locked="0"/>
    </xf>
    <xf numFmtId="0" fontId="21" fillId="34" borderId="13" xfId="0" applyFont="1" applyFill="1" applyBorder="1" applyAlignment="1" applyProtection="1">
      <alignment horizontal="center" vertical="center" wrapText="1"/>
      <protection locked="0"/>
    </xf>
    <xf numFmtId="43" fontId="0" fillId="0" borderId="0" xfId="1" applyFont="1"/>
    <xf numFmtId="0" fontId="19" fillId="35" borderId="10" xfId="0" applyFont="1" applyFill="1" applyBorder="1" applyAlignment="1" applyProtection="1">
      <alignment horizontal="center" vertical="center" wrapText="1"/>
      <protection locked="0"/>
    </xf>
    <xf numFmtId="0" fontId="20" fillId="0" borderId="17" xfId="0" applyFont="1" applyBorder="1" applyProtection="1">
      <protection locked="0"/>
    </xf>
    <xf numFmtId="0" fontId="18" fillId="0" borderId="12" xfId="0" applyFont="1" applyBorder="1" applyProtection="1">
      <protection locked="0"/>
    </xf>
    <xf numFmtId="0" fontId="20" fillId="0" borderId="18" xfId="0" applyFont="1" applyBorder="1" applyProtection="1">
      <protection locked="0"/>
    </xf>
    <xf numFmtId="0" fontId="18" fillId="0" borderId="12" xfId="0" applyFont="1" applyBorder="1" applyAlignment="1" applyProtection="1">
      <alignment horizontal="left" vertical="center"/>
      <protection locked="0"/>
    </xf>
    <xf numFmtId="0" fontId="20" fillId="0" borderId="12" xfId="0" applyFont="1" applyBorder="1" applyProtection="1">
      <protection locked="0"/>
    </xf>
    <xf numFmtId="0" fontId="18" fillId="0" borderId="18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20" fillId="0" borderId="19" xfId="0" applyFont="1" applyBorder="1" applyProtection="1">
      <protection locked="0"/>
    </xf>
    <xf numFmtId="0" fontId="22" fillId="0" borderId="18" xfId="0" applyFont="1" applyBorder="1" applyProtection="1">
      <protection locked="0"/>
    </xf>
    <xf numFmtId="0" fontId="18" fillId="0" borderId="20" xfId="0" applyFont="1" applyBorder="1" applyAlignment="1" applyProtection="1">
      <alignment vertical="center"/>
      <protection locked="0"/>
    </xf>
    <xf numFmtId="0" fontId="23" fillId="0" borderId="12" xfId="0" applyFont="1" applyBorder="1" applyAlignment="1" applyProtection="1">
      <alignment vertical="center"/>
      <protection locked="0"/>
    </xf>
    <xf numFmtId="0" fontId="22" fillId="0" borderId="12" xfId="0" applyFont="1" applyBorder="1" applyProtection="1">
      <protection locked="0"/>
    </xf>
    <xf numFmtId="0" fontId="24" fillId="0" borderId="12" xfId="0" applyFont="1" applyBorder="1" applyAlignment="1" applyProtection="1">
      <alignment vertical="center"/>
      <protection locked="0"/>
    </xf>
    <xf numFmtId="0" fontId="0" fillId="0" borderId="0" xfId="0" pivotButton="1"/>
    <xf numFmtId="4" fontId="0" fillId="0" borderId="0" xfId="0" applyNumberFormat="1"/>
    <xf numFmtId="0" fontId="16" fillId="0" borderId="21" xfId="0" applyFont="1" applyBorder="1"/>
    <xf numFmtId="164" fontId="20" fillId="0" borderId="14" xfId="0" applyNumberFormat="1" applyFont="1" applyBorder="1" applyProtection="1">
      <protection locked="0"/>
    </xf>
    <xf numFmtId="164" fontId="20" fillId="0" borderId="15" xfId="0" applyNumberFormat="1" applyFont="1" applyBorder="1" applyProtection="1">
      <protection locked="0"/>
    </xf>
    <xf numFmtId="164" fontId="20" fillId="0" borderId="16" xfId="0" applyNumberFormat="1" applyFont="1" applyBorder="1" applyProtection="1">
      <protection locked="0"/>
    </xf>
    <xf numFmtId="0" fontId="25" fillId="36" borderId="0" xfId="0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43"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4E634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sandro Cruz da Silva" refreshedDate="46234.454072569446" createdVersion="8" refreshedVersion="8" minRefreshableVersion="3" recordCount="2454" xr:uid="{F8D9DE78-47E1-4BF6-AC6C-A371938F4C12}">
  <cacheSource type="worksheet">
    <worksheetSource ref="A1:S2455" sheet="ConsolidadoLoa27_ATIVIDADES"/>
  </cacheSource>
  <cacheFields count="19">
    <cacheField name="secretaria" numFmtId="0">
      <sharedItems/>
    </cacheField>
    <cacheField name="unidade" numFmtId="0">
      <sharedItems/>
    </cacheField>
    <cacheField name="funcao" numFmtId="0">
      <sharedItems/>
    </cacheField>
    <cacheField name="subfuncao" numFmtId="0">
      <sharedItems/>
    </cacheField>
    <cacheField name="programa" numFmtId="0">
      <sharedItems/>
    </cacheField>
    <cacheField name="acao" numFmtId="0">
      <sharedItems count="64">
        <s v="2.011"/>
        <s v="2.007"/>
        <s v="2.003"/>
        <s v="2.006"/>
        <s v="2.005"/>
        <s v="1.002"/>
        <s v="2.027"/>
        <s v="2.004"/>
        <s v="2.033"/>
        <s v="2.025"/>
        <s v="1.003"/>
        <s v="2.001"/>
        <s v="2.008"/>
        <s v="2.017"/>
        <s v="2.018"/>
        <s v="2.019"/>
        <s v="2.020"/>
        <s v="2.022"/>
        <s v="2.023"/>
        <s v="2.013"/>
        <s v="2.014"/>
        <s v="2.012"/>
        <s v="2.026"/>
        <s v="1.001"/>
        <s v="2.034"/>
        <s v="1.006"/>
        <s v="2.038"/>
        <s v="2.039"/>
        <s v="2.035"/>
        <s v="2.037"/>
        <s v="2.032"/>
        <s v="2.030"/>
        <s v="2.028"/>
        <s v="2.031"/>
        <s v="1.009"/>
        <s v="1.010"/>
        <s v="1.014"/>
        <s v="1.011"/>
        <s v="2.024"/>
        <s v="2.015"/>
        <s v="2.016"/>
        <s v="2.041"/>
        <s v="2.021"/>
        <s v="2.009"/>
        <s v="0.003"/>
        <s v="2.010"/>
        <s v="2.002"/>
        <s v="2.036"/>
        <s v="2.029"/>
        <s v="2.042"/>
        <s v="2028."/>
        <s v="2.040"/>
        <s v="2.043"/>
        <s v="2.044"/>
        <s v="9.999"/>
        <s v="1001."/>
        <s v="1.005"/>
        <s v="1.007"/>
        <s v="1.008"/>
        <s v="1.012"/>
        <s v="1.013"/>
        <s v="0.001"/>
        <s v="0.002"/>
        <s v="1004."/>
      </sharedItems>
    </cacheField>
    <cacheField name="natureza" numFmtId="0">
      <sharedItems count="61">
        <s v="3.3.90.30.00"/>
        <s v="3.3.90.39.00"/>
        <s v="3.1.71.70.00"/>
        <s v="3.3.71.70.00"/>
        <s v="4.4.50.52.00"/>
        <s v="3.3.90.40.00"/>
        <s v="3.3.90.93.00"/>
        <s v="3.3.90.33.00"/>
        <s v="4.4.90.52.00"/>
        <s v="3.3.90.92.00"/>
        <s v="3.3.90.36.00"/>
        <s v="3.3.50.39.00"/>
        <s v="4.4.90.51.00"/>
        <s v="3.3.90.96.00"/>
        <s v="3.3.90.31.00"/>
        <s v="3.3.90.48.00"/>
        <s v="3.3.90.32.00"/>
        <s v="4.4.50.39.00"/>
        <s v="3.3.50.85.00"/>
        <s v=""/>
        <s v="4.5.90.62.00"/>
        <s v="4.4.71.70.00"/>
        <s v="4.4.50.51.00"/>
        <s v="3.3.90.91.00"/>
        <s v="3.3.90.35.00"/>
        <s v="3.3.90.14.00"/>
        <s v="3.3.90.37.00"/>
        <s v="3.3.90.47.00"/>
        <s v="4.4.90.92.00"/>
        <s v="3.3.50.43.00"/>
        <s v=".3.50.39..00"/>
        <s v="3.3.91.39.00"/>
        <s v="4.4.90.40.00"/>
        <s v="3.1.90.01.00"/>
        <s v="3.1.90.03.00"/>
        <s v="3.1.90.91.00"/>
        <s v="4.4.90.93.00"/>
        <s v="9.9.99.99.00"/>
        <s v="3.1.90.11.00"/>
        <s v="3.1.90.13.00"/>
        <s v="3.1.90.16.00"/>
        <s v="3.1.90.92.00"/>
        <s v="3.1.90.94.00"/>
        <s v="3.1.90.96.00"/>
        <s v="3.1.91.13.00"/>
        <s v="3.1.91.92.00"/>
        <s v="3.3.90.08.00"/>
        <s v="3.3.90.46.00"/>
        <s v="3.3.90.49.00"/>
        <s v="3.3.80.35.00"/>
        <s v=".3.90.35..00"/>
        <s v="3.2.90.21.00"/>
        <s v="3.2.90.22.00"/>
        <s v="3.2.91.21.00"/>
        <s v="4.6.90.71.00"/>
        <s v="4.6.91.71.00"/>
        <s v="3.3.91.97.00"/>
        <s v="4.4.90.91.00"/>
        <s v="4.6.90.91.00"/>
        <s v=".4.90.52..00"/>
        <s v="4.4.90.61.00"/>
      </sharedItems>
    </cacheField>
    <cacheField name="Programática_LOA" numFmtId="0">
      <sharedItems count="1148">
        <s v="02.001.04.122.0001.2.011.3.3.90.30.00"/>
        <s v="02.001.04.122.0001.2.011.3.3.90.39.00"/>
        <s v="02.001.04.122.0001.2.011.3.1.71.70.00"/>
        <s v="02.001.04.122.0001.2.011.3.3.71.70.00"/>
        <s v="02.001.04.122.0001.2.011.4.4.50.52.00"/>
        <s v="02.012.04.122.0001.2.011.3.3.90.30.00"/>
        <s v="02.012.04.122.0001.2.011.3.3.90.39.00"/>
        <s v="02.012.04.122.0001.2.011.4.4.50.52.00"/>
        <s v="04.001.04.126.0002.2.007.3.3.90.40.00"/>
        <s v="04.001.04.126.0002.2.007.3.3.90.39.00"/>
        <s v="04.001.04.122.0001.2.011.3.3.90.39.00"/>
        <s v="04.001.04.122.0001.2.011.3.3.90.93.00"/>
        <s v="04.001.04.122.0002.2.011.3.3.90.33.00"/>
        <s v="04.001.04.122.0001.2.011.4.4.90.52.00"/>
        <s v="04.001.04.122.0001.2.011.3.3.90.30.00"/>
        <s v="05.001.04.122.0001.2.011.3.3.90.30.00"/>
        <s v="05.001.04.122.0001.2.011.3.3.90.39.00"/>
        <s v="05.001.04.126.0002.2.007.3.3.90.40.00"/>
        <s v="05.001.04.122.0001.2.011.4.4.90.52.00"/>
        <s v="06.001.04.122.0001.2.011.3.3.90.30.00"/>
        <s v="06.001.04.122.0001.2.011.4.4.90.52.00"/>
        <s v="06.001.04.122.0001.2.011.3.3.90.39.00"/>
        <s v="06.001.04.122.0001.2.011.3.3.90.92.00"/>
        <s v="06.001.04.122.0001.2.011.3.3.90.93.00"/>
        <s v="06.011.04.128.0002.2.003.3.3.90.30.00"/>
        <s v="06.011.04.128.0002.2.003.3.3.90.39.00"/>
        <s v="06.011.04.128.0002.2.003.3.3.90.40.00"/>
        <s v="06.011.04.128.0002.2.003.4.4.90.52.00"/>
        <s v="07.001.04.122.0001.2.006.3.3.90.33.00"/>
        <s v="07.001.04.122.0001.2.006.3.3.90.39.00"/>
        <s v="07.001.04.122.0002.2.003.3.3.90.36.00"/>
        <s v="07.001.04.122.0002.2.003.3.3.90.39.00"/>
        <s v="07.001.04.122.0002.2.005.3.3.90.30.00"/>
        <s v="07.001.04.122.0002.2.005.3.3.90.39.00"/>
        <s v="07.001.11.334.0017.1.002.3.3.90.39.00"/>
        <s v="07.001.11.334.0017.2.011.3.3.90.30.00"/>
        <s v="07.001.11.334.0017.2.011.3.3.90.39.00"/>
        <s v="07.001.11.334.0017.2.011.4.4.90.52.00"/>
        <s v="07.001.11.333.0017.2.027.3.3.90.30.00"/>
        <s v="07.001.11.333.0017.2.027.3.3.90.39.00"/>
        <s v="07.001.11.333.0017.2.027.4.4.90.52.00"/>
        <s v="07.001.11.333.0017.2.004.3.3.50.39.00"/>
        <s v="07.001.11.333.0017.2.004.3.3.90.30.00"/>
        <s v="07.001.11.333.0017.2.004.3.3.90.39.00"/>
        <s v="07.001.11.334.0017.2.033.3.3.90.30.00"/>
        <s v="07.001.11.334.0017.2.033.3.3.90.39.00"/>
        <s v="07.001.11.334.0017.2.033.4.4.90.52.00"/>
        <s v="07.001.11.334.0017.2.027.3.3.90.30.00"/>
        <s v="07.001.11.334.0017.2.027.3.3.90.39.00"/>
        <s v="07.001.11.334.0017.2.027.4.4.90.52.00"/>
        <s v="07.001.11.334.0017.2.025.3.3.90.30.00"/>
        <s v="07.001.11.334.0017.2.025.3.3.90.39.00"/>
        <s v="08.001.12.122.0001.1.002.3.3.90.39.00"/>
        <s v="08.001.12.361.0016.1.002.3.3.90.39.00"/>
        <s v="08.001.12.365.0016.1.002.3.3.90.39.00"/>
        <s v="08.001.12.361.0016.1.003.4.4.90.51.00"/>
        <s v="08.001.12.122.0001.2.001.3.3.90.92.00"/>
        <s v="08.001.12.122.0001.2.001.3.3.90.96.00"/>
        <s v="08.001.12.122.0002.2.003.3.3.90.36.00"/>
        <s v="08.001.12.122.0002.2.003.3.3.90.39.00"/>
        <s v="08.001.12.122.0002.2.005.3.3.90.30.00"/>
        <s v="08.001.12.122.0002.2.005.3.3.90.39.00"/>
        <s v="08.001.12.122.0002.2.005.3.3.90.31.00"/>
        <s v="08.001.12.361.0002.2.005.3.3.90.39.00"/>
        <s v="08.001.12.365.0002.2.005.3.3.90.39.00"/>
        <s v="08.001.12.122.0001.2.006.3.3.90.33.00"/>
        <s v="08.001.12.122.0001.2.006.3.3.90.39.00"/>
        <s v="08.001.12.361.0002.2.007.3.3.90.40.00"/>
        <s v="08.001.12.365.0002.2.007.3.3.90.40.00"/>
        <s v="08.001.12.122.0001.2.008.3.3.90.39.00"/>
        <s v="08.001.12.122.0001.2.008.3.3.90.48.00"/>
        <s v="08.001.12.364.0001.2.011.3.3.90.30.00"/>
        <s v="08.001.12.122.0001.2.011.3.3.90.30.00"/>
        <s v="08.001.12.122.0001.2.011.3.3.90.39.00"/>
        <s v="08.001.12.122.0001.2.011.3.3.90.93.00"/>
        <s v="08.001.12.122.0001.2.011.4.4.90.52.00"/>
        <s v="08.001.12.361.0016.2.011.3.3.90.30.00"/>
        <s v="08.001.12.361.0016.2.011.3.3.90.39.00"/>
        <s v="08.001.12.361.0016.2.011.4.4.90.52.00"/>
        <s v="08.001.12.365.0016.2.011.3.3.90.30.00"/>
        <s v="08.001.12.365.0016.2.011.3.3.90.39.00"/>
        <s v="08.001.12.365.0016.2.011.4.4.90.52.00"/>
        <s v="08.001.12.306.0016.2.011.3.3.90.30.00"/>
        <s v="08.001.12.306.0016.2.011.4.4.90.52.00"/>
        <s v="08.001.12.306.0016.2.017.3.3.90.30.00"/>
        <s v="08.001.12.361.0016.2.017.3.3.90.32.00"/>
        <s v="08.001.12.365.0016.2.017.3.3.90.32.00"/>
        <s v="08.001.12.361.0016.2.018.3.3.90.40.00"/>
        <s v="08.001.12.361.0016.2.018.3.3.90.30.00"/>
        <s v="08.001.12.361.0016.2.018.4.4.90.52.00"/>
        <s v="08.001.12.365.0016.2.018.3.3.90.40.00"/>
        <s v="08.001.12.366.0016.2.019.3.3.50.39.00"/>
        <s v="08.001.12.361.0016.2.019.3.3.90.32.00"/>
        <s v="08.001.12.365.0016.2.019.3.3.90.32.00"/>
        <s v="08.001.12.367.0016.2.019.3.3.90.39.00"/>
        <s v="08.001.12.361.0016.2.019.3.3.90.39.00"/>
        <s v="08.001.12.366.0016.2.019.3.3.90.39.00"/>
        <s v="08.001.12.366.0016.2.019.3.3.90.48.00"/>
        <s v="08.001.12.361.0016.2.020.3.3.90.39.00"/>
        <s v="08.001.12.365.0016.2.020.3.3.90.39.00"/>
        <s v="08.001.12.365.0016.2.022.3.3.50.39.00"/>
        <s v="08.001.12.365.0016.2.022.4.4.50.39.00"/>
        <s v="08.001.12.122.0016.2.023.3.3.50.39.00"/>
        <s v="08.001.12.361.0016.2.023.3.3.50.39.00"/>
        <s v="08.001.12.365.0016.2.023.3.3.50.39.00"/>
        <s v="08.001.12.122.0016.2.023.4.4.50.39.00"/>
        <s v="08.001.12.361.0016.2.023.4.4.50.39.00"/>
        <s v="08.001.12.365.0016.2.023.4.4.50.39.00"/>
        <s v="09.001.04.126.0002.2.007.3.3.90.39.00"/>
        <s v="09.001.04.131.0002.2.005.3.3.90.39.00"/>
        <s v="09.001.04.131.0002.2.005.3.3.90.30.00"/>
        <s v="09.001.04.128.0002.2.003.3.3.90.36.00"/>
        <s v="09.010.10.302.0015.2.023.3.3.50.85.00"/>
        <s v="09.009.10.302.0015.2.023.3.3.50.85.00"/>
        <s v="09.009.10.302.0015.2.013.3.3.50.39.00"/>
        <s v="09.006.10.302.0015.2.014.3.3.90.39.00"/>
        <s v="09.009.10.302.0015.2.013.3.3.90.39.00"/>
        <s v="09.010.10.302.0015.2.014.3.3.90.39.00"/>
        <s v="09.008.10.301.0015.2.012.3.3.90.39.00"/>
        <s v="09.015.10.122.0014.2.011.3.3.90.39.00"/>
        <s v="09.006.10.302.0015.2.014.3.3.90.30.00"/>
        <s v="09.010.10.302.0015.2.014.3.3.90.30.00"/>
        <s v="09.009.10.302.0015.2.013.3.3.90.30.00"/>
        <s v="09.012.10.303.0014.2.011.3.3.90.39.00"/>
        <s v="09.008.10.301.0015.2.012.3.3.90.30.00"/>
        <s v="09.015.10.122.0014.2.011.3.3.90.30.00"/>
        <s v="09.015.10.122.0014.2.011.3.3.90.93.00"/>
        <s v="09.006.10.302.0015.2.014.3.3.90.93.00"/>
        <s v="09.009.10.302.0015.2.013.3.3.90.93.00"/>
        <s v="09.015.10.122.0014.2.011.3.3.90.32.00"/>
        <s v="09.010.10.302.0002.2.014.3.3.90.30.00"/>
        <s v="09.008.10.301.0015.2.012."/>
        <s v="09.001.10.302.0015.2.026.3.3.90.39.00"/>
        <s v="09.012.10.303.0014.2.011.3.3.90.30.00"/>
        <s v="09.012.10.303.0014.2.011.3.3.90.32.00"/>
        <s v="09.008.10.301.0014.2.012.3.3.90.39.00"/>
        <s v="09.012.10.303.0015.2.011.3.3.90.32.00"/>
        <s v="09.012.10.303.0015.2.011.3.3.90.30.00"/>
        <s v="09.015.10.122.0014.1.002.4.4.90.52.00"/>
        <s v="09.006.10.302.0015.1.002."/>
        <s v="09.001.10.122.0001.2.006.3.3.90.39.00"/>
        <s v="09.015.10.302.0015.2.014.3.3.90.30.00"/>
        <s v="09.008.10.301.0015.1.002."/>
        <s v="09.009.10.302.0015.1.002."/>
        <s v="09.010.10.302.0015.1.002."/>
        <s v="09.015.10.122.0014.1.002."/>
        <s v="09.015.10.122.0014.2.011.3.3.90.92.00"/>
        <s v="11.001.04.121.0004.1.001.3.3.90.39.00"/>
        <s v="11.001.04.122.0001.1.001.3.3.90.30.00"/>
        <s v="11.001.04.122.0001.1.002.3.3.90.30.00"/>
        <s v="11.001.04.122.0011.1.002.3.3.90.39.00"/>
        <s v="11.001.04.122.0011.1.003.4.4.90.51.00"/>
        <s v="11.001.04.122.0011.2.011.3.3.90.30.00"/>
        <s v="11.001.04.122.0011.2.011.3.3.90.39.00"/>
        <s v="11.001.04.122.0011.2.011.4.4.90.52.00"/>
        <s v="11.001.04.121.0011.2.011.4.4.90.52.00"/>
        <s v="11.001.04.131.0002.2.005.3.3.90.39.00"/>
        <s v="11.001.04.122.0011.1.003.3.3.90.39.00"/>
        <s v="11.001.04.452.0011.2.034.3.3.90.39.00"/>
        <s v="11.014.04.122.0011.2.011.3.3.90.30.00"/>
        <s v="11.014.04.122.0011.2.011.3.3.90.39.00"/>
        <s v="11.014.04.122.0011.2.011.4.4.90.52.00"/>
        <s v="11.014.04.122.0011.2.011.4.5.90.62.00"/>
        <s v="11.001.04.121.0011.2.011.3.3.90.93.00"/>
        <s v="11.001.15.451.0013.1.006.4.4.90.51.00"/>
        <s v="11.001.15.452.0011.2.038.3.3.90.30.00"/>
        <s v="11.001.15.452.0011.2.038.3.3.90.39.00"/>
        <s v="11.001.15.452.0013.2.034.3.3.90.39.00"/>
        <s v="11.001.15.451.0011.2.011.4.4.90.51.00"/>
        <s v="11.001.17.452.0007.2.039.3.3.90.39.00"/>
        <s v="11.001.18.544.0005.2.035.3.3.90.39.00"/>
        <s v="11.001.18.543.0007.2.037.3.3.90.39.00"/>
        <s v="11.001.18.452.0007.1.003.3.3.90.39.00"/>
        <s v="12.001.04.122.0002.2.032.3.3.50.39.00"/>
        <s v="12.001.04.122.0001.2.011.3.3.90.30.00"/>
        <s v="12.001.04.811.0010.2.030.3.3.90.33.00"/>
        <s v="12.001.04.131.0010.2.005.3.3.90.39.00"/>
        <s v="12.001.04.122.0004.2.011.3.3.90.39.00"/>
        <s v="12.001.04.121.0001.1.003.3.3.90.39.00"/>
        <s v="12.001.04.121.0001.2.011.3.3.90.39.00"/>
        <s v="12.001.04.122.0001.2.011.3.3.90.39.00"/>
        <s v="12.001.04.131.0001.2.006.3.3.90.39.00"/>
        <s v="12.001.04.121.0001.2.032.3.3.90.92.00"/>
        <s v="12.001.04.122.0001.2.001.3.3.90.93.00"/>
        <s v="12.001.04.122.0001.2.006.3.3.90.93.00"/>
        <s v="12.001.04.122.0002.1.002.4.4.90.51.00"/>
        <s v="12.001.04.121.0010.2.030.4.4.90.52.00"/>
        <s v="12.001.04.122.0002.2.028.3.3.90.39.00"/>
        <s v="12.001.27.811.0010.2.031.3.3.90.31.00"/>
        <s v="12.001.27.812.0010.2.032.3.3.90.36.00"/>
        <s v="12.001.27.812.0010.2.030.3.3.90.39.00"/>
        <s v="12.001.27.812.0010.2.006.3.3.90.39.00"/>
        <s v="12.001.27.811.0010.2.030.3.3.90.39.00"/>
        <s v="12.001.27.812.0001.2.032.3.3.90.39.00"/>
        <s v="13.001.04.122.0001.2.006.3.3.90.33.00"/>
        <s v="13.001.04.122.0001.2.006.3.3.90.39.00"/>
        <s v="13.001.04.122.0001.2.011.3.3.90.30.00"/>
        <s v="13.001.04.122.0001.2.011.3.3.90.39.00"/>
        <s v="13.001.04.122.0001.2.011.4.4.90.52.00"/>
        <s v="13.001.04.122.0001.2.003.3.3.90.36.00"/>
        <s v="13.001.04.122.0001.2.003.3.3.90.39.00"/>
        <s v="13.001.04.122.0001.2.005.3.3.90.93.00"/>
        <s v="13.008.04.122.0001.2.005.3.3.90.93.00"/>
        <s v="13.001.04.122.0001.2.005.3.3.90.39.00"/>
        <s v="13.001.15.451.0005.1.009.4.4.90.51.00"/>
        <s v="13.001.16.482.0012.1.010.3.3.90.39.00"/>
        <s v="13.001.16.482.0012.1.014.4.4.90.51.00"/>
        <s v="13.001.16.482.0012.1.009.4.4.90.51.00"/>
        <s v="13.001.16.482.0012.1.011.3.3.90.39.00"/>
        <s v="14.001.04.245.0001.1.001.3.3.90.39.00"/>
        <s v="14.001.04.131.0002.2.005.3.3.90.39.00"/>
        <s v="14.001.04.126.0002.2.007.3.3.90.40.00"/>
        <s v="14.005.04.128.0002.2.003.3.3.90.39.00"/>
        <s v="14.001.04.131.0002.2.005.3.3.90.30.00"/>
        <s v="14.001.04.122.0001.2.006.3.3.90.39.00"/>
        <s v="14.001.04.121.0004.1.001.3.3.90.40.00"/>
        <s v="14.001.04.122.0001.2.005.3.3.90.39.00"/>
        <s v="14.001.04.122.0001.2.011.3.3.90.30.00"/>
        <s v="14.001.04.122.0001.2.011.3.3.90.39.00"/>
        <s v="14.001.04.122.0001.2.011.3.3.90.93.00"/>
        <s v="14.001.04.122.0001.2.011.4.4.90.52.00"/>
        <s v="14.001.04.128.0002.2.003.3.3.90.39.00"/>
        <s v="14.001.08.246.0019.2.024.3.3.90.39.00"/>
        <s v="14.005.08.245.0018.2.015.3.3.50.39.00"/>
        <s v="14.005.08.245.0018.2.016.3.3.50.39.00"/>
        <s v="14.001.08.245.0018.2.026.3.3.90.39.00"/>
        <s v="14.005.08.245.0018.2.016.3.3.71.70.00"/>
        <s v="14.005.08.245.0018.2.016.4.4.71.70.00"/>
        <s v="14.005.08.245.0018.2.005.3.3.90.39.00"/>
        <s v="14.005.08.245.0018.2.005.3.3.90.30.00"/>
        <s v="14.001.08.246.0018.2.027.3.3.90.39.00"/>
        <s v="14.001.08.245.0001.1.002.3.3.90.39.00"/>
        <s v="14.005.08.245.0018.2.015.4.4.50.52.00"/>
        <s v="14.005.08.245.0018.2.016.4.4.50.52.00"/>
        <s v="14.007.08.245.0018.1.003.3.3.90.39.00"/>
        <s v="14.005.08.122.0018.2.011.3.3.90.30.00"/>
        <s v="14.005.08.122.0018.2.011.3.3.90.39.00"/>
        <s v="14.005.08.245.0018.2.015.3.3.90.30.00"/>
        <s v="14.005.08.245.0018.2.015.3.3.90.39.00"/>
        <s v="14.005.08.245.0018.2.015.3.3.90.93.00"/>
        <s v="14.005.08.245.0018.2.015.4.4.90.52.00"/>
        <s v="14.005.08.245.0018.2.016.4.4.90.52.00"/>
        <s v="14.005.08.245.0018.2.016.3.3.90.30.00"/>
        <s v="14.005.08.245.0018.2.016.3.3.90.39.00"/>
        <s v="14.005.08.245.0018.2.011.3.3.90.39.00"/>
        <s v="14.005.08.245.0018.2.016.3.3.90.36.00"/>
        <s v="14.005.08.245.0018.2.016.3.3.90.93.00"/>
        <s v="14.005.08.246.0018.2.024.3.3.90.30.00"/>
        <s v="14.005.08.246.0018.2.024.3.3.90.39.00"/>
        <s v="14.005.08.246.0018.2.024.4.4.90.52.00"/>
        <s v="14.007.08.245.0018.2.005.3.3.90.30.00"/>
        <s v="14.007.08.245.0018.2.005.3.3.90.39.00"/>
        <s v="14.007.08.245.0018.2.015.3.3.90.30.00"/>
        <s v="14.007.08.245.0018.2.015.3.3.90.39.00"/>
        <s v="14.007.08.245.0018.2.015.4.4.90.52.00"/>
        <s v="14.008.08.245.0018.1.002.3.3.90.39.00"/>
        <s v="14.008.08.245.0018.2.016.3.3.90.30.00"/>
        <s v="14.008.08.245.0018.2.016.3.3.90.39.00"/>
        <s v="14.008.08.245.0018.2.016.4.4.90.52.00"/>
        <s v="14.005.08.122.0018.2.011.4.4.90.52.00"/>
        <s v="14.001.08.241.0018.2.041.3.3.50.39.00"/>
        <s v="14.001.08.241.0018.2.041.3.3.90.30.00"/>
        <s v="14.001.08.241.0018.2.041.3.3.90.39.00"/>
        <s v="14.001.08.241.0018.2.041.4.4.90.52.00"/>
        <s v="14.001.08.245.0018.2.041.3.3.90.30.00"/>
        <s v="14.001.08.245.0018.2.041.3.3.90.39.00"/>
        <s v="14.001.08.245.0018.2.041.4.4.90.52.00"/>
        <s v="14.001.08.241.0018.2.041.3.3.90.36.00"/>
        <s v="15.001.13.131.0009.2.005.3.3.90.39.00"/>
        <s v="15.001.13.392.0009.2.028.3.3.90.39.00"/>
        <s v="15.001.13.392.0009.2.028.3.3.90.36.00"/>
        <s v="15.001.13.392.0009.1.002.4.4.90.52.00"/>
        <s v="15.001.13.392.0009.2.023.3.3.50.39.00"/>
        <s v="15.001.13.392.0009.2.023.4.4.50.52.00"/>
        <s v="15.001.13.392.0009.2.011.3.3.90.39.00"/>
        <s v="15.001.13.392.0009.1.002.3.3.90.39.00"/>
        <s v="15.001.13.392.0009.1.002.4.4.50.51.00"/>
        <s v="15.001.13.392.0001.2.011.3.3.90.30.00"/>
        <s v="16.001.23.334.0008.2.011.3.3.90.30.00"/>
        <s v="16.001.23.131.0002.2.005.3.3.90.39.00"/>
        <s v="16.001.23.334.0008.2.011.3.3.90.39.00"/>
        <s v="17.001.04.122.0007.2.011.3.3.90.30.00"/>
        <s v="17.001.04.541.0007.2.011.3.3.50.85.00"/>
        <s v="17.001.04.541.0007.2.011.3.3.90.39.00"/>
        <s v="17.001.04.131.0002.2.005.3.3.90.30.00"/>
        <s v="17.001.04.122.0007.2.001.3.3.90.30.00"/>
        <s v="17.001.04.122.0007.2.011.3.3.90.39.00"/>
        <s v="17.001.04.122.0001.2.006.3.3.90.33.00"/>
        <s v="17.001.04.122.0001.2.006.3.3.90.39.00"/>
        <s v="17.001.04.128.0002.2.003.3.3.90.36.00"/>
        <s v="17.001.04.128.0002.2.003.3.3.90.39.00"/>
        <s v="17.003.04.541.0007.1.001.3.3.90.39.00"/>
        <s v="17.001.04.131.0002.2.005.3.3.90.39.00"/>
        <s v="17.001.18.122.0001.2.011.3.3.90.93.00"/>
        <s v="17.001.18.422.0007.2.021.3.3.90.30.00"/>
        <s v="17.001.18.422.0007.2.021.3.3.90.39.00"/>
        <s v="17.001.18.541.0007.1.002.3.3.90.39.00"/>
        <s v="18.002.04.122.0001.2.011.3.3.90.39.00"/>
        <s v="18.002.04.122.0001.2.011.3.3.90.92.00"/>
        <s v="18.002.04.122.0001.2.011.3.3.90.40.00"/>
        <s v="18.002.04.122.0001.2.011.3.3.90.93.00"/>
        <s v="18.002.04.126.0002.2.007.3.3.90.40.00"/>
        <s v="18.002.04.128.0001.2.008.3.3.90.48.00"/>
        <s v="18.002.04.128.0001.2.008.3.3.90.39.00"/>
        <s v="18.002.04.122.0001.2.009.3.3.90.36.00"/>
        <s v="18.002.04.122.0001.2.009.3.3.90.39.00"/>
        <s v="18.002.04.122.0001.2.009.3.3.90.93.00"/>
        <s v="18.002.04.122.0001.2.009.3.3.90.92.00"/>
        <s v="18.001.04.122.0001.2.011.3.3.90.39.00"/>
        <s v="18.001.04.122.0001.2.011.3.3.90.93.00"/>
        <s v="18.001.04.122.0001.0.003.3.3.90.39.00"/>
        <s v="18.001.04.122.0001.2.011.3.3.90.91.00"/>
        <s v="18.001.04.453.0013.2.010.3.3.90.93.00"/>
        <s v="18.003.04.126.0002.2.007.3.3.90.39.00"/>
        <s v="18.003.04.126.0002.2.007.3.3.90.40.00"/>
        <s v="18.003.04.126.0002.2.007.4.4.90.52.00"/>
        <s v="18.003.04.126.0002.2.007.3.3.90.30.00"/>
        <s v="19.001.04.131.0002.2.005.3.3.90.39.00"/>
        <s v="19.001.04.131.0002.2.005.3.3.90.30.00"/>
        <s v="19.001.04.122.0001.2.006.3.3.90.33.00"/>
        <s v="19.001.04.122.0001.2.006.3.3.90.39.00"/>
        <s v="19.001.04.122.0001.2.001."/>
        <s v="19.001.04.128.0002.2.003.3.3.90.39.00"/>
        <s v="19.001.04.122.0001.2.002.3.3.90.39.00"/>
        <s v="19.005.04.122.0001.2.002.3.3.90.39.00"/>
        <s v="19.001.04.121.0004.1.001.3.3.90.39.00"/>
        <s v="19.001.04.451.0013.2.011.3.3.90.39.00"/>
        <s v="19.005.04.451.0013.2.011.3.3.90.39.00"/>
        <s v="19.001.04.122.0013.2.036.3.3.90.93.00"/>
        <s v="19.001.15.121.0013.1.002.3.3.90.39.00"/>
        <s v="19.001.15.451.0013.1.002.3.3.90.39.00"/>
        <s v="19.001.15.451.0013.2.036.3.3.90.39.00"/>
        <s v="19.001.15.453.0013.2.010.3.3.90.39.00"/>
        <s v="19.001.15.451.0013.1.006."/>
        <s v="19.005.15.451.0013.2.034.3.3.90.39.00"/>
        <s v="19.001.15.451.0013.2.034.3.3.90.39.00"/>
        <s v="19.001.15.126.0013.2.007.3.3.90.39.00"/>
        <s v="19.005.15.126.0013.2.007.3.3.90.39.00"/>
        <s v="19.001.15.451.0013.2.011.3.3.90.30.00"/>
        <s v="19.001.15.451.0013.2.011.3.3.90.39.00"/>
        <s v="19.001.15.451.0013.2.011.4.4.90.52.00"/>
        <s v="19.001.15.451.0013.2.011.3.3.90.36.00"/>
        <s v="19.001.15.422.0013.2.021.3.3.90.39.00"/>
        <s v="19.001.15.422.0013.2.021.3.3.90.30.00"/>
        <s v="20.001.06.126.0006.2.007.3.3.90.39.00"/>
        <s v="20.001.06.181.0006.2.011.3.3.90.39.00"/>
        <s v="23.001.04.122.0001.2.001."/>
        <s v="23.001.04.122.0001.2.005.4.4.90.52.00"/>
        <s v="23.001.04.122.0001.2.005.3.3.90.39.00"/>
        <s v="23.001.04.122.0001.2.006.3.3.90.39.00"/>
        <s v="23.001.04.122.0001.2.011.3.3.90.39.00"/>
        <s v="23.001.04.128.0002.2.003.4.4.90.52.00"/>
        <s v="23.001.04.131.0002.2.005.4.4.90.52.00"/>
        <s v="23.001.04.131.0002.2.005.3.3.90.39.00"/>
        <s v="24.001.04.122.0001.1.001.3.3.90.39.00"/>
        <s v="24.001.04.121.0001.2.011.3.3.90.39.00"/>
        <s v="24.001.04.121.0001.2.011.3.3.90.30.00"/>
        <s v="24.001.04.121.0001.2.011.4.4.90.52.00"/>
        <s v="24.001.04.121.0001.2.007.3.3.90.40.00"/>
        <s v="24.001.04.121.0001.2.005.3.3.90.31.00"/>
        <s v="24.001.04.121.0001.2.005.3.3.90.30.00"/>
        <s v="24.001.04.121.0001.2.005.3.3.90.39.00"/>
        <s v="24.001.04.121.0001.2.011.4.4.90.51.00"/>
        <s v="24.001.04.121.0001.1.002.4.4.90.52.00"/>
        <s v="27.001.04.122.0001.2.011.3.3.90.30.00"/>
        <s v="27.001.04.122.0001.2.011.3.3.90.39.00"/>
        <s v="27.001.04.122.0001.2.011.4.4.90.52.00"/>
        <s v="27.001.04.126.0001.2.007.3.3.90.39.00"/>
        <s v="27.001.04.126.0001.2.007.3.3.90.40.00"/>
        <s v="27.001.04.128.0002.2.003.3.3.90.39.00"/>
        <s v="27.001.04.131.0002.2.005.3.3.90.30.00"/>
        <s v="27.001.04.131.0002.2.005.3.3.90.39.00"/>
        <s v="27.001.04.131.0002.2.005.4.4.90.52.00"/>
        <s v="28.001.04.122.0004.1.001.3.3.90.39.00"/>
        <s v="28.001.04.122.0001.1.002.3.3.90.30.00"/>
        <s v="28.001.04.122.0001.1.002.3.3.90.39.00"/>
        <s v="28.001.04.122.0001.2.006.3.3.90.33.00"/>
        <s v="28.001.04.122.0001.2.006.3.3.90.39.00"/>
        <s v="28.001.04.122.0001.2.011.3.3.90.30.00"/>
        <s v="28.001.04.122.0001.2.011.3.3.90.39.00"/>
        <s v="28.001.04.126.0002.2.007.3.3.90.39.00"/>
        <s v="28.001.04.126.0002.2.007.3.3.90.40.00"/>
        <s v="28.001.04.128.0002.2.003.3.3.90.36.00"/>
        <s v="28.001.04.128.0002.2.003.3.3.90.39.00"/>
        <s v="28.001.04.131.0002.2.005.3.3.90.30.00"/>
        <s v="28.001.04.131.0002.2.005.3.3.90.39.00"/>
        <s v="28.001.04.122.0001.2.011.4.4.90.52.00"/>
        <s v="28.007.04.131.0001.2.005.3.3.90.39.00"/>
        <s v="28.007.04.122.0001.2.005.3.3.90.30.00"/>
        <s v="30.001.04.122.0001.2.006.3.3.90.33.00"/>
        <s v="30.001.04.122.0001.2.011.3.3.90.30.00"/>
        <s v="30.001.14.242.0018.2.041.3.3.50.39.00"/>
        <s v="30.001.14.242.0018.2.041.4.4.50.52.00"/>
        <s v="31.001.04.122.0001.2.011.3.3.90.30.00"/>
        <s v="31.001.04.422.0018.2.005.3.3.90.39.00"/>
        <s v="31.001.04.122.0001.2.011.4.4.90.52.00"/>
        <s v="31.001.04.122.0001.2.011.3.3.90.39.00"/>
        <s v="31.001.04.128.0001.2.003.3.3.90.39.00"/>
        <s v="31.001.04.422.0002.2.003.3.3.90.35.00"/>
        <s v="31.001.04.122.0001.2.006.3.3.90.33.00"/>
        <s v="31.001.14.391.0009.2.029.4.4.90.52.00"/>
        <s v="31.001.14.391.0009.1.002.3.3.90.39.00"/>
        <s v="31.001.14.131.0002.2.005.3.3.90.39.00"/>
        <s v="31.001.14.422.0009.2.029.3.3.90.31.00"/>
        <s v="31.001.14.422.0018.2.005.3.3.90.36.00"/>
        <s v="31.001.14.422.0018.2.005.3.3.90.39.00"/>
        <s v="31.001.14.422.0018.2.005.3.3.90.30.00"/>
        <s v="31.001.14.422.0002.2.011.3.3.90.33.00"/>
        <s v="31.001.14.422.0002.2.011.3.3.90.39.00"/>
        <s v="31.001.14.391.0009.2.029.3.3.90.40.00"/>
        <s v="32.001.04.122.0001.2.006.3.3.90.39.00"/>
        <s v="32.001.04.131.0001.2.005.3.3.90.39.00"/>
        <s v="32.001.04.131.0002.2.005.3.3.90.39.00"/>
        <s v="32.001.14.422.0018.2.011.3.3.71.70.00"/>
        <s v="32.001.14.422.0018.2.011.4.4.71.70.00"/>
        <s v="32.001.14.422.0018.2.011.3.3.90.30.00"/>
        <s v="32.001.14.334.0017.2.004.3.3.90.39.00"/>
        <s v="32.001.14.422.0018.2.011.3.3.90.39.00"/>
        <s v="32.001.14.422.0018.2.011.3.3.50.39.00"/>
        <s v="33.001.04.122.0001.2.006.3.3.90.93.00"/>
        <s v="33.001.04.122.0001.2.011.3.3.90.30.00"/>
        <s v="33.001.04.122.0001.2.011.3.3.90.39.00"/>
        <s v="33.001.04.122.0001.2.011.4.4.90.52.00"/>
        <s v="33.001.04.126.0002.2.007.3.3.90.39.00"/>
        <s v="33.001.04.126.0002.2.007.3.3.90.40.00"/>
        <s v="33.001.04.128.0002.2.003.3.3.90.39.00"/>
        <s v="33.001.04.131.0002.2.005.3.3.90.39.00"/>
        <s v="34.001.04.131.0002.2.005.3.3.90.39.00"/>
        <s v="34.001.04.131.0002.2.005.3.3.90.30.00"/>
        <s v="34.001.04.122.0001.2.006.3.3.90.33.00"/>
        <s v="34.001.04.122.0001.2.006.3.3.90.39.00"/>
        <s v="34.001.04.128.0002.2.003.3.3.90.36.00"/>
        <s v="34.001.15.182.0005.1.002.3.3.90.39.00"/>
        <s v="34.001.15.182.0005.2.011.3.3.90.30.00"/>
        <s v="34.001.15.182.0005.2.011.3.3.90.39.00"/>
        <s v="34.001.15.182.0005.2.011.4.4.90.52.00"/>
        <s v="36.001.04.122.0001.2.006.3.3.90.33.00"/>
        <s v="36.001.04.122.0001.2.006.3.3.90.39.00"/>
        <s v="36.001.04.128.0002.2.003.3.3.90.39.00"/>
        <s v="36.001.04.131.0002.2.005.3.3.90.30.00"/>
        <s v="36.001.04.131.0002.2.005.3.3.90.39.00"/>
        <s v="36.001.04.128.0019.2.001.3.3.90.39.00"/>
        <s v="36.001.08.244.0019.2.011.3.3.90.30.00"/>
        <s v="36.001.08.244.0019.2.011.3.3.90.39.00"/>
        <s v="36.001.08.244.0019.2.011.3.3.90.93.00"/>
        <s v="36.001.08.244.0019.2.011.4.4.90.52.00"/>
        <s v="36.001.08.244.0019.2.024.3.3.90.30.00"/>
        <s v="36.001.08.244.0019.2.024.3.3.90.32.00"/>
        <s v="36.001.08.244.0019.1.002.3.3.90.39.00"/>
        <s v="01.001.01.031.0003.2.042.3.3.90.14.00"/>
        <s v="01.001.01.031.0003.2.042.3.3.90.30.00"/>
        <s v="01.001.01.031.0003.2.042.3.3.90.32.00"/>
        <s v="01.001.01.031.0003.2.042.3.3.90.33.00"/>
        <s v="01.001.01.031.0003.2.042.3.3.90.35.00"/>
        <s v="01.001.01.031.0003.2.042.3.3.90.37.00"/>
        <s v="01.001.01.031.0003.2.042.3.3.90.39.00"/>
        <s v="01.001.01.031.0003.2.042.3.3.90.40.00"/>
        <s v="01.001.01.031.0003.2.042.3.3.90.47.00"/>
        <s v="01.001.01.031.0003.2.042.3.3.90.48.00"/>
        <s v="01.001.01.031.0003.2.042.3.3.90.92.00"/>
        <s v="01.001.01.031.0003.2.042.3.3.90.93.00"/>
        <s v="01.001.01.031.0003.2.042.4.4.50.52.00"/>
        <s v="01.001.01.031.0003.2.042.4.4.90.92.00"/>
        <s v="02.001.04.122.0001.2.006.3.3.90.33.00"/>
        <s v="02.001.04.122.0001.2.006.3.3.90.39.00"/>
        <s v="02.001.04.131.0002.2.005.3.3.90.30.00"/>
        <s v="02.001.04.131.0002.2.005.3.3.90.39.00"/>
        <s v="02.006.04.122.0018.2.011.3.3.90.30.00"/>
        <s v="02.006.04.122.0018.2.011.3.3.90.39.00"/>
        <s v="02.006.04.131.0002.2.005.3.3.90.30.00"/>
        <s v="02.006.04.131.0002.2.005.3.3.90.39.00"/>
        <s v="02.006.04.244.0019.2.024.3.3.90.32.00"/>
        <s v="02.006.08.244.0019.2.024.3.3.90.32.00"/>
        <s v="02.006.08.334.0017.2.004.3.3.90.30.00"/>
        <s v="02.006.08.334.0017.2.004.4.4.50.52.00"/>
        <s v="02.012.04.122.0001.2.011.4.4.90.52.00"/>
        <s v="04.001.04.122.0001.2.006.3.3.90.33.00"/>
        <s v="04.001.04.122.0001.2.006.3.3.90.39.00"/>
        <s v="04.001.04.122.0001.2.006.3.3.90.93.00"/>
        <s v="04.001.04.128.0002.2.003.3.3.90.39.00"/>
        <s v="04.001.04.131.0002.2.005.3.3.90.39.00"/>
        <s v="05.001.04.122.0001.2.005.3.3.90.30.00"/>
        <s v="05.001.04.122.0001.2.005.3.3.90.39.00"/>
        <s v="05.001.04.122.0001.2.006.3.3.90.33.00"/>
        <s v="05.001.04.122.0001.2.006.3.3.90.39.00"/>
        <s v="05.001.04.122.0001.2.011.3.3.90.36.00"/>
        <s v="05.001.04.128.0002.2.003.3.3.90.39.00"/>
        <s v="05.001.04.131.0002.2.005.3.3.90.39.00"/>
        <s v="06.001.04.122.0001.2.006.3.3.90.33.00"/>
        <s v="06.001.04.122.0001.2.006.3.3.90.39.00"/>
        <s v="06.001.04.122.0001.2.011.3.3.50.39.00"/>
        <s v="06.001.04.126.0002.2.007.3.3.90.39.00"/>
        <s v="06.001.04.128.0002.2.003.3.3.90.36.00"/>
        <s v="06.001.04.128.0002.2.003.3.3.90.39.00"/>
        <s v="06.001.04.131.0002.2.005.3.3.90.30.00"/>
        <s v="06.001.04.131.0002.2.005.3.3.90.39.00"/>
        <s v="07.001.04.128.0002.2.003.3.3.90.36.00"/>
        <s v="07.001.04.128.0002.2.003.3.3.90.39.00"/>
        <s v="07.001.04.131.0002.2.005.3.3.90.30.00"/>
        <s v="07.001.04.131.0002.2.005.3.3.90.39.00"/>
        <s v="07.001.11.122.0017.2.011.3.3.90.30.00"/>
        <s v="07.001.11.122.0017.2.011.3.3.90.39.00"/>
        <s v="07.001.11.334.0017.2.004.3.3.50.39.00"/>
        <s v="07.001.11.334.0017.2.004.3.3.90.30.00"/>
        <s v="07.001.11.334.0017.2.004.3.3.90.39.00"/>
        <s v="07.001.11.334.0017.2.025.3.3.90.48.00"/>
        <s v="07.005.11.333.0017.2.027.3.3.90.39.00"/>
        <s v="08.001.04.131.0002.2.005.3.3.90.30.00"/>
        <s v="08.001.04.131.0002.2.005.3.3.90.39.00"/>
        <s v="08.001.12.122.0001.2.011.3.3.50.39.00"/>
        <s v="08.001.12.122.0016.2.019.3.3.50.39.00"/>
        <s v="08.001.12.122.0016.2.019.3.3.90.39.00"/>
        <s v="08.001.12.306.0016.2.011.3.3.90.39.00"/>
        <s v="08.001.12.361.0016.2.011.3.3.50.43.00"/>
        <s v="08.001.12.365.0016.2.011.3.3.50.43.00"/>
        <s v="08.001.12.365.0016.2.019.3.3.90.39.00"/>
        <s v="08.001.12.366.0016.2.019.4.4.50.39.00"/>
        <s v="08.001.12.367.0016.2.019.3.3.90.30.00"/>
        <s v="08.001.12.367.0016.2.019.4.4.90.52.00"/>
        <s v="09.001.10.122.0001.2.006.3.3.90.33.00"/>
        <s v="09.008.10.301.0015.2.012.3.3.50.39.00"/>
        <s v="09.008.10.301.0015.2.012.3.3.90.32.00"/>
        <s v="09.008.10.301.0015.2.012.4.4.50.52.00"/>
        <s v="09.009.10.302.0015.2.013.3.3.90.40.00"/>
        <s v="09.009.10.302.0015.2.013.4.4.50.51.00"/>
        <s v="09.009.10.302.0015.2.013.4.4.50.52.00"/>
        <s v="09.009.10.302.0015.2.013.4.4.90.52.00"/>
        <s v="09.012.10.303.0014.2.011.4.4.90.52.00"/>
        <s v="09.015.04.128.0002.2.003.3.3.90.36.00"/>
        <s v="09.015.04.128.0002.2.003.3.3.90.39.00"/>
        <s v="09.015.10.128.0014.2.008.3.3.90.48.00"/>
        <s v="11.001.04.131.0002.2.005.3.3.90.30.00"/>
        <s v="11.001.15.452.0013.2.034.4.4.90.52.00"/>
        <s v="11.001.17.452.0007.2.039.3.3.90.30.00"/>
        <s v="11.001.17.452.0007.2.039.4.4.90.51.00"/>
        <s v="11.001.17.452.0007.2.039.4.4.90.52.00"/>
        <s v="11.001.18.543.0007.2.037.3.3.50.39.00"/>
        <s v="11.008.17.452.0007.2.039.3.3.90.39.00"/>
        <s v="11.008.17.452.0007.2.039.4.4.90.51.00"/>
        <s v="11.014.18.543.0007.2.037.3.3.90.39.00"/>
        <s v="12.001.04.122.0001.2.006.3.3.90.33.00"/>
        <s v="12.001.04.122.0001.2.006.3.3.90.39.00"/>
        <s v="12.001.04.128.0002.2.003.3.3.90.30.00"/>
        <s v="12.001.04.128.0002.2.003.3.3.90.36.00"/>
        <s v="12.001.04.128.0002.2.003.3.3.90.39.00"/>
        <s v="12.001.04.131.0002.2.005.3.3.90.30.00"/>
        <s v="12.001.04.131.0002.2.005.3.3.90.39.00"/>
        <s v="12.001.27.811.0010.2.030.3.3.50.39.00"/>
        <s v="12.001.27.811.0010.2.030.3.3.90.30.00"/>
        <s v="12.001.27.811.0010.2.030.3.3.90.48.00"/>
        <s v="12.001.27.811.0010.2.030.4.4.50.52.00"/>
        <s v="12.001.27.811.0010.2.030.4.4.90.51.00"/>
        <s v="12.001.27.812.0010.2.011.3.3.90.30.00"/>
        <s v="12.001.27.812.0010.2.011.3.3.90.39.00"/>
        <s v="12.001.27.812.0010.2.028.3.3.90.30.00"/>
        <s v="12.001.27.812.0010.2.028.3.3.90.36.00"/>
        <s v="12.001.27.812.0010.2.028.3.3.90.39.00"/>
        <s v="12.001.27.812.0010.2.028.4.4.90.52.00"/>
        <s v="12.001.27.812.0010.2.030.4.4.90.51.00"/>
        <s v="12.001.27.812.0010.2.031.3.3.50.39.00"/>
        <s v="12.001.27.812.0010.2.031.3.3.90.30.00"/>
        <s v="12.001.27.812.0010.2.031.3.3.90.31.00"/>
        <s v="12.001.27.812.0010.2.031.3.3.90.39.00"/>
        <s v="12.001.27.812.0010.2.031.4.4.50.52.00"/>
        <s v="12.001.27.812.0010.2.031.4.4.90.52.00"/>
        <s v="12.001.27.812.0010.2.032.3.3.90.30.00"/>
        <s v="12.001.27.812.0010.2.032.3.3.90.39.00"/>
        <s v="12.001.27.812.0010.2028.3.3.50.39..00"/>
        <s v="13.001.04.128.0002.2.003.3.3.90.36.00"/>
        <s v="13.001.04.128.0002.2.003.3.3.90.39.00"/>
        <s v="13.001.04.131.0002.2.005.3.3.90.30.00"/>
        <s v="13.001.04.131.0002.2.005.3.3.90.39.00"/>
        <s v="13.001.16.244.0012.2.040.3.3.90.48.00"/>
        <s v="14.001.04.122.0001.2.006.3.3.90.33.00"/>
        <s v="14.001.04.131.0001.2.005.3.3.90.30.00"/>
        <s v="14.001.08.241.0018.2.041.4.4.50.52.00"/>
        <s v="14.001.08.245.0018.2.015.3.3.90.39.00"/>
        <s v="14.001.08.245.0018.2.041.3.3.50.39.00"/>
        <s v="14.001.08.245.0018.2.041.3.3.90.36.00"/>
        <s v="14.001.08.245.0018.2.041.4.4.50.51.00"/>
        <s v="14.001.08.245.0018.2.041.4.4.50.52.00"/>
        <s v="14.001.08.246.0019.2.024.3.3.90.48.00"/>
        <s v="14.005.04.131.0002.2.005.3.3.90.30.00"/>
        <s v="14.005.04.131.0002.2.005.3.3.90.39.00"/>
        <s v="14.005.08.241.0018.2.015.4.4.90.52.00"/>
        <s v="14.005.08.245.0018.2.016.3.3.90.48.00"/>
        <s v="14.005.08.246.0018.2.024.3.3.90.93.00"/>
        <s v="14.007.08.245.0018.2.015.3.3.90.93.00"/>
        <s v="14.008.08.245.0018.2.005.3.3.90.39.00"/>
        <s v="14.008.08.245.0018.2.016.3.3.90.48.00"/>
        <s v="14.008.08.245.0018.2.016.3.3.90.93.00"/>
        <s v="15.001.04.122.0001.2.006.3.3.90.33.00"/>
        <s v="15.001.04.122.0001.2.006.3.3.90.39.00"/>
        <s v="15.001.04.128.0002.2.003.3.3.90.36.00"/>
        <s v="15.001.04.128.0002.2.003.3.3.90.39.00"/>
        <s v="15.001.04.131.0002.2.005.3.3.50.39.00"/>
        <s v="15.001.04.131.0002.2.005.3.3.90.30.00"/>
        <s v="15.001.04.131.0002.2.005.3.3.90.39.00"/>
        <s v="15.001.13.334.0009.2.033.3.3.90.30.00"/>
        <s v="15.001.13.391.0009.2.029.3.3.50.43.00"/>
        <s v="15.001.13.391.0009.2.029.3.3.90.39.00"/>
        <s v="15.001.13.392.0009.2.011.3.3.90.30.00"/>
        <s v="15.001.13.392.0009.2.023.4.4.50.51.00"/>
        <s v="15.001.13.392.0009.2.028.3.3.50.39.00"/>
        <s v="15.002.13.391.0009.2.029.3.3.90.39.00"/>
        <s v="15.002.13.392.0009.2.011.3.3.90.30.00"/>
        <s v="15.002.13.392.0009.2.028.3.3.90.36.00"/>
        <s v="15.002.13.392.0009.2.028.3.3.90.39.00"/>
        <s v="16.001.04.122.0001.2.006.3.3.90.36.00"/>
        <s v="16.001.04.122.0001.2.006.3.3.90.39.00"/>
        <s v="16.001.04.128.0002.2.003.3.3.90.36.00"/>
        <s v="16.001.04.128.0002.2.003.3.3.90.39.00"/>
        <s v="16.001.04.131.0002.2.005.3.3.90.30.00"/>
        <s v="16.001.04.131.0002.2.005.3.3.90.39.00"/>
        <s v="16.001.23.334.0008.2.011.3.3.90.31.00"/>
        <s v="17.001.18.541.0007.2.011.3.3.50.39.00"/>
        <s v="17.001.18.541.0007.2.011.3.3.50.85.00"/>
        <s v="17.001.18.541.0007.2.011.3.3.90.30.00"/>
        <s v="17.001.18.541.0007.2.011.3.3.90.39.00"/>
        <s v="17.001.18.541.0007.2.011.3.3.90.93.00"/>
        <s v="17.001.18.541.0007.2.011.4.4.90.52.00"/>
        <s v="17.003.18.422.0007.2.021.3.3.90.35.00"/>
        <s v="18.002.04.122.0001.2.011.3.3.91.39.00"/>
        <s v="18.003.04.126.0002.2.007.4.4.90.40.00"/>
        <s v="19.005.15.451.0013.2.011.3.3.90.39.00"/>
        <s v="20.001.04.122.0001.2.006.3.3.90.33.00"/>
        <s v="20.001.04.122.0001.2.006.3.3.90.39.00"/>
        <s v="20.001.04.128.0002.2.003.3.3.90.39.00"/>
        <s v="20.001.04.131.0002.2.005.3.3.90.30.00"/>
        <s v="20.001.04.131.0002.2.005.3.3.90.39.00"/>
        <s v="20.001.06.181.0006.2.011.3.3.90.30.00"/>
        <s v="20.001.06.181.0006.2.011.4.4.90.52.00"/>
        <s v="21.001.09.272.0001.2.011.3.3.90.14.00"/>
        <s v="21.001.09.272.0001.2.011.3.3.90.30.00"/>
        <s v="21.001.09.272.0001.2.011.3.3.90.33.00"/>
        <s v="21.001.09.272.0001.2.011.3.3.90.35.00"/>
        <s v="21.001.09.272.0001.2.011.3.3.90.36.00"/>
        <s v="21.001.09.272.0001.2.011.3.3.90.39.00"/>
        <s v="21.001.09.272.0001.2.011.3.3.90.40.00"/>
        <s v="21.001.09.272.0001.2.011.3.3.90.92.00"/>
        <s v="21.001.09.272.0001.2.011.4.4.90.52.00"/>
        <s v="21.001.09.272.0002.2.003.3.3.90.14.00"/>
        <s v="21.001.09.272.0002.2.003.3.3.90.39.00"/>
        <s v="21.001.09.272.0002.2.003.3.3.90.93.00"/>
        <s v="21.003.09.272.0020.2.043.3.1.90.01.00"/>
        <s v="21.003.09.272.0020.2.043.3.1.90.03.00"/>
        <s v="21.003.09.272.0020.2.043.3.1.90.91.00"/>
        <s v="21.003.09.272.0020.2.043.3.3.90.93.00"/>
        <s v="21.005.09.272.0020.2.043.3.1.90.01.00"/>
        <s v="21.005.09.272.0020.2.043.3.1.90.03.00"/>
        <s v="21.005.09.272.0020.2.043.3.1.90.91.00"/>
        <s v="21.005.09.272.0020.2.043.3.3.90.93.00"/>
        <s v="21.006.04.241.0018.2.044.3.3.90.48.00"/>
        <s v="22.001.04.122.0001.2.011.3.3.90.37.00"/>
        <s v="22.001.04.122.0001.2.011.4.4.90.93.00"/>
        <s v="22.001.04.126.0002.2.007.3.3.90.40.00"/>
        <s v="22.001.04.128.0001.2.008.3.3.90.36.00"/>
        <s v="22.001.04.128.0002.2.003.3.3.90.39.00"/>
        <s v="22.002.04.361.0002.2.003.3.3.90.39.00"/>
        <s v="22.002.12.122.0001.2.011.3.3.90.30.00"/>
        <s v="22.002.12.126.0002.2.007.3.3.90.40.00"/>
        <s v="22.002.12.361.0001.2.008.3.3.90.36.00"/>
        <s v="22.002.12.361.0016.2.011.3.3.90.47.00"/>
        <s v="22.002.12.361.0016.2.020.4.4.90.52.00"/>
        <s v="22.004.04.362.0002.2.003.3.3.90.39.00"/>
        <s v="22.004.12.122.0001.2.011.3.3.90.30.00"/>
        <s v="22.004.12.126.0002.2.007.3.3.90.40.00"/>
        <s v="22.004.12.362.0001.2.008.3.3.90.36.00"/>
        <s v="22.004.12.362.0001.2.011.3.3.90.30.00"/>
        <s v="22.004.12.362.0016.2.020.4.4.90.52.00"/>
        <s v="22.006.12.364.0001.2.011.3.3.90.39.00"/>
        <s v="22.007.04.128.0002.2.003.3.3.90.39.00"/>
        <s v="22.007.13.126.0002.2.007.3.3.90.40.00"/>
        <s v="22.007.13.128.0001.2.008.3.3.90.36.00"/>
        <s v="22.007.13.392.0009.2.011.3.3.90.92.00"/>
        <s v="22.008.12.365.0001.2.008.3.3.90.36.00"/>
        <s v="22.016.12.126.0002.2.007.3.3.90.40.00"/>
        <s v="22.016.12.365.0001.2.008.3.3.90.36.00"/>
        <s v="22.016.12.365.0002.2.003.3.3.90.39.00"/>
        <s v="22.016.12.365.0016.2.011.3.3.90.33.00"/>
        <s v="22.016.12.365.0016.2.011.3.3.90.37.00"/>
        <s v="22.016.12.365.0016.2.017.3.3.90.30.00"/>
        <s v="22.016.12.365.0016.2.020.4.4.90.52.00"/>
        <s v="23.001.04.122.0001.2.005.3.3.90.30.00"/>
        <s v="23.001.04.122.0001.2.006.3.3.90.33.00"/>
        <s v="23.001.04.122.0001.2.011.3.3.90.30.00"/>
        <s v="23.001.04.128.0002.2.003.3.3.90.39.00"/>
        <s v="23.001.04.131.0002.2.005.3.3.90.30.00"/>
        <s v="24.001.04.122.0001.2.006.3.3.90.33.00"/>
        <s v="24.001.04.122.0001.2.006.3.3.90.39.00"/>
        <s v="24.001.04.122.0001.2.011.3.3.90.30.00"/>
        <s v="24.001.04.122.0001.2.011.3.3.90.39.00"/>
        <s v="24.001.04.122.0001.2.011.4.4.90.51.00"/>
        <s v="24.001.04.122.0001.2.011.4.4.90.52.00"/>
        <s v="24.001.04.126.0002.2.007.3.3.90.40.00"/>
        <s v="24.001.04.128.0002.2.003.3.3.90.30.00"/>
        <s v="24.001.04.128.0002.2.003.3.3.90.36.00"/>
        <s v="24.001.04.128.0002.2.003.3.3.90.39.00"/>
        <s v="24.001.04.131.0002.2.005.3.3.90.30.00"/>
        <s v="24.001.04.131.0002.2.005.3.3.90.31.00"/>
        <s v="24.001.04.131.0002.2.005.3.3.90.39.00"/>
        <s v="27.001.04.122.0001.2.006.3.3.90.33.00"/>
        <s v="27.001.04.122.0001.2.006.3.3.90.39.00"/>
        <s v="27.001.04.126.0002.2.007.3.3.90.39.00"/>
        <s v="27.001.04.126.0002.2.007.3.3.90.40.00"/>
        <s v="28.007.04.131.0002.2.005.3.3.90.30.00"/>
        <s v="28.007.04.131.0002.2.005.3.3.90.39.00"/>
        <s v="29.001.04.122.0001.2.006.3.3.90.33.00"/>
        <s v="29.001.04.122.0001.2.006.3.3.90.39.00"/>
        <s v="29.001.04.128.0002.2.003.3.3.90.36.00"/>
        <s v="29.001.04.128.0002.2.003.3.3.90.39.00"/>
        <s v="29.001.04.131.0002.2.005.3.3.90.30.00"/>
        <s v="29.001.04.131.0002.2.005.3.3.90.39.00"/>
        <s v="29.001.14.243.0018.2.011.3.3.90.30.00"/>
        <s v="29.001.14.243.0018.2.011.3.3.90.39.00"/>
        <s v="29.001.14.243.0018.2.011.4.4.90.52.00"/>
        <s v="29.001.14.243.0018.2.041.3.3.50.39.00"/>
        <s v="29.002.14.243.0018.2.041.3.3.50.39.00"/>
        <s v="29.002.14.243.0018.2.041.4.4.50.39.00"/>
        <s v="29.002.14.243.0018.2.041.4.4.50.52.00"/>
        <s v="30.001.04.122.0001.2.006.3.3.90.39.00"/>
        <s v="30.001.04.122.0001.2.011.3.3.90.39.00"/>
        <s v="30.001.04.122.0001.2.011.4.4.90.52.00"/>
        <s v="30.001.04.128.0002.2.003.3.3.90.36.00"/>
        <s v="30.001.04.128.0002.2.003.3.3.90.39.00"/>
        <s v="30.001.04.131.0002.2.005.3.3.90.30.00"/>
        <s v="30.001.04.131.0002.2.005.3.3.90.36.00"/>
        <s v="30.001.04.131.0002.2.005.3.3.90.39.00"/>
        <s v="30.001.14.242.0010.2.041.3.3.50.39.00"/>
        <s v="30.001.14.242.0016.2.041.3.3.90.39.00"/>
        <s v="30.001.14.242.0018.2.041.3.3.90.36.00"/>
        <s v="30.001.14.242.0018.2.041.3.3.90.39.00"/>
        <s v="30.001.14.242.0018.2.041.3.3.90.40.00"/>
        <s v="30.002.14.242.0018.2.041.3.3.90.30.00"/>
        <s v="30.002.14.242.0018.2.041.3.3.90.39.00"/>
        <s v="30.002.14.242.0018.2.041.4.4.90.51.00"/>
        <s v="30.002.14.242.0018.2.041.4.4.90.52.00"/>
        <s v="31.001.04.122.0001.2.006.3.3.90.39.00"/>
        <s v="31.001.04.128.0002.2.003.3.3.90.39.00"/>
        <s v="31.001.04.131.0002.2.005.3.3.90.30.00"/>
        <s v="31.001.04.131.0002.2.005.3.3.90.39.00"/>
        <s v="31.001.14.422.0018.2.011.3.3.90.30.00"/>
        <s v="31.001.14.422.0018.2.011.3.3.90.39.00"/>
        <s v="31.001.14.422.0018.2.011.4.4.90.52.00"/>
        <s v="32.001.04.122.0001.2.006.3.3.90.33.00"/>
        <s v="32.001.04.128.0002.2.003.3.3.90.36.00"/>
        <s v="32.001.04.131.0002.2.005.3.3.90.30.00"/>
        <s v="32.001.14.422.0018.2.011.4.4.90.52.00"/>
        <s v="32.002.14.422.0018.2.011.3.3.90.30.00"/>
        <s v="32.002.14.422.0018.2.011.3.3.90.39.00"/>
        <s v="32.002.14.422.0018.2.011.4.4.90.52.00"/>
        <s v="33.001.04.122.0001.2.006.3.3.90.33.00"/>
        <s v="33.001.04.122.0001.2.006.3.3.90.39.00"/>
        <s v="34.001.04.126.0002.2.007.3.3.90.30.00"/>
        <s v="34.001.04.126.0002.2.007.3.3.90.39.00"/>
        <s v="34.001.04.126.0002.2.007.4.4.90.52.00"/>
        <s v="35.001.04.122.0001.2.006.3.3.90.33.00"/>
        <s v="35.001.04.122.0001.2.006.3.3.90.39.00"/>
        <s v="35.001.04.122.0001.2.011.3.3.90.30.00"/>
        <s v="35.001.04.122.0001.2.011.3.3.90.39.00"/>
        <s v="35.001.04.122.0001.2.011.4.4.90.52.00"/>
        <s v="35.001.04.128.0002.2.003.3.3.90.39.00"/>
        <s v="35.001.04.131.0002.2.005.3.3.90.39.00"/>
        <s v="36.001.14.244.0018.2.041.3.3.50.39.00"/>
        <s v="36.001.14.244.0018.2.041.3.3.90.30.00"/>
        <s v="36.001.14.244.0018.2.041.3.3.90.39.00"/>
        <s v="36.001.14.244.0018.2.041.4.4.50.39.00"/>
        <s v="36.001.14.244.0018.2.041.4.4.90.52.00"/>
        <s v="77.777.99.999.9999.9.999.9.9.99.99.00"/>
        <s v="99.999.99.999.9999.9.999.9.9.99.99.00"/>
        <s v="01.001.01.031.0003.1.003.3.3.90.39.00"/>
        <s v="01.001.01.031.0003.1.003.3.3.90.92.00"/>
        <s v="01.001.01.031.0003.1.003.3.3.90.93.00"/>
        <s v="01.001.01.031.0003.1.003.4.4.90.51.00"/>
        <s v="01.001.01.031.0003.1.003.4.4.90.52.00"/>
        <s v="01.001.01.031.0003.1.003.4.4.90.92.00"/>
        <s v="01.001.01.122.0003.2.001.3.1.90.11.00"/>
        <s v="01.001.01.122.0003.2.001.3.1.90.13.00"/>
        <s v="01.001.01.122.0003.2.001.3.1.90.16.00"/>
        <s v="01.001.01.122.0003.2.001.3.1.90.91.00"/>
        <s v="01.001.01.122.0003.2.001.3.1.90.92.00"/>
        <s v="01.001.01.122.0003.2.001.3.1.90.94.00"/>
        <s v="01.001.01.122.0003.2.001.3.1.90.96.00"/>
        <s v="01.001.01.122.0003.2.001.3.1.91.13.00"/>
        <s v="01.001.01.122.0003.2.001.3.1.91.92.00"/>
        <s v="01.001.01.122.0003.2.001.3.3.90.08.00"/>
        <s v="01.001.01.122.0003.2.001.3.3.90.39.00"/>
        <s v="01.001.01.122.0003.2.001.3.3.90.46.00"/>
        <s v="01.001.01.122.0003.2.001.3.3.90.47.00"/>
        <s v="01.001.01.122.0003.2.001.3.3.90.49.00"/>
        <s v="01.001.01.122.0003.2.001.3.3.90.92.00"/>
        <s v="02.001.04.121.0004.1.001.3.3.80.35.00"/>
        <s v="02.001.04.122.0001.1.002.3.3.90.39.00"/>
        <s v="02.001.04.122.0001.2.001.3.1.90.11.00"/>
        <s v="02.001.04.122.0001.2.001.3.1.90.13.00"/>
        <s v="02.001.04.122.0001.2.001.3.1.91.13.00"/>
        <s v="02.001.04.122.0001.2.001.3.3.90.46.00"/>
        <s v="02.001.04.122.0001.2.001.3.3.90.49.00"/>
        <s v="04.001.04.122.0001.1.002.3.3.90.39.00"/>
        <s v="04.001.04.122.0001.2.001.3.1.90.11.00"/>
        <s v="04.001.04.122.0001.2.001.3.1.90.13.00"/>
        <s v="04.001.04.122.0001.2.001.3.1.91.13.00"/>
        <s v="04.001.04.122.0001.2.001.3.3.90.46.00"/>
        <s v="04.001.04.122.0001.2.001.3.3.90.49.00"/>
        <s v="05.001.04.121.0004.1.001.3.3.90.35.00"/>
        <s v="05.001.04.122.0001.1.002.3.3.90.39.00"/>
        <s v="05.001.04.122.0001.2.001.3.1.90.11.00"/>
        <s v="05.001.04.122.0001.2.001.3.1.90.13.00"/>
        <s v="05.001.04.122.0001.2.001.3.1.91.13.00"/>
        <s v="05.001.04.122.0001.2.001.3.3.90.46.00"/>
        <s v="05.001.04.122.0001.2.001.3.3.90.49.00"/>
        <s v="06.001.04.122.0001.2.001.3.1.90.11.00"/>
        <s v="06.001.04.122.0001.2.001.3.1.90.13.00"/>
        <s v="06.001.04.122.0001.2.001.3.1.91.13.00"/>
        <s v="06.001.04.122.0001.2.001.3.3.90.46.00"/>
        <s v="06.001.04.122.0001.2.001.3.3.90.49.00"/>
        <s v="07.001.04.121.0004.1.001.3.3.90.35.00"/>
        <s v="07.001.04.122.0001.2.001.3.1.90.11.00"/>
        <s v="07.001.04.122.0001.2.001.3.1.90.13.00"/>
        <s v="07.001.04.122.0001.2.001.3.1.91.13.00"/>
        <s v="07.001.04.122.0001.2.001.3.3.90.46.00"/>
        <s v="07.001.04.122.0001.2.001.3.3.90.49.00"/>
        <s v="07.001.11.122.0017.1.002.3.3.90.39.00"/>
        <s v="07.001.18.542.0007.1.003.4.4.90.51.00"/>
        <s v="08.001.04.121.0004.1.001.3.3.90.35.00"/>
        <s v="08.001.04.121.0004.1001.3.3.90.35..00"/>
        <s v="08.001.12.122.0001.1.002.4.4.90.51.00"/>
        <s v="08.001.12.122.0001.2.001.3.1.90.11.00"/>
        <s v="08.001.12.122.0001.2.001.3.1.90.13.00"/>
        <s v="08.001.12.122.0001.2.001.3.1.91.13.00"/>
        <s v="08.001.12.122.0001.2.001.3.3.90.46.00"/>
        <s v="08.001.12.122.0001.2.001.3.3.90.49.00"/>
        <s v="08.001.12.361.0001.2.001.3.1.90.11.00"/>
        <s v="08.001.12.361.0001.2.001.3.1.90.13.00"/>
        <s v="08.001.12.361.0001.2.001.3.1.91.13.00"/>
        <s v="08.001.12.361.0001.2.001.3.3.90.46.00"/>
        <s v="08.001.12.361.0001.2.001.3.3.90.49.00"/>
        <s v="08.001.12.361.0016.1.003.4.4.90.52.00"/>
        <s v="08.001.12.365.0001.2.001.3.1.90.11.00"/>
        <s v="08.001.12.365.0001.2.001.3.1.90.13.00"/>
        <s v="08.001.12.365.0001.2.001.3.1.91.13.00"/>
        <s v="08.001.12.365.0001.2.001.3.3.90.46.00"/>
        <s v="08.001.12.365.0001.2.001.3.3.90.49.00"/>
        <s v="08.001.12.365.0016.1.003.4.4.90.51.00"/>
        <s v="08.001.12.365.0016.1.003.4.4.90.52.00"/>
        <s v="08.001.12.366.0001.2.001.3.1.90.11.00"/>
        <s v="08.001.12.366.0001.2.001.3.1.90.13.00"/>
        <s v="08.001.12.366.0001.2.001.3.1.91.13.00"/>
        <s v="08.001.12.366.0001.2.001.3.3.90.46.00"/>
        <s v="08.001.12.366.0001.2.001.3.3.90.49.00"/>
        <s v="09.001.04.122.0001.2.001.3.1.90.94.00"/>
        <s v="09.001.10.122.0001.2.001.3.1.90.11.00"/>
        <s v="09.001.10.122.0001.2.001.3.1.90.13.00"/>
        <s v="09.001.10.122.0001.2.001.3.1.91.13.00"/>
        <s v="09.001.10.122.0001.2.001.3.3.90.46.00"/>
        <s v="09.001.10.122.0001.2.001.3.3.90.49.00"/>
        <s v="09.001.10.304.0001.2.001.3.1.90.11.00"/>
        <s v="09.001.10.304.0001.2.001.3.1.90.13.00"/>
        <s v="09.001.10.304.0001.2.001.3.1.91.13.00"/>
        <s v="09.001.10.304.0001.2.001.3.3.90.49.00"/>
        <s v="09.001.10.305.0001.2.001.3.1.90.11.00"/>
        <s v="09.001.10.305.0001.2.001.3.1.90.13.00"/>
        <s v="09.001.10.305.0001.2.001.3.1.91.13.00"/>
        <s v="09.001.10.305.0001.2.001.3.3.90.46.00"/>
        <s v="09.001.10.305.0001.2.001.3.3.90.49.00"/>
        <s v="09.006.10.302.0015.1.002.3.3.90.30.00"/>
        <s v="09.006.10.302.0015.1.002.3.3.90.39.00"/>
        <s v="09.006.10.302.0015.1.002.4.4.90.51.00"/>
        <s v="09.006.10.302.0015.1.002.4.4.90.52.00"/>
        <s v="09.008.10.301.0015.1.002.3.3.90.30.00"/>
        <s v="09.008.10.301.0015.1.002.3.3.90.39.00"/>
        <s v="09.008.10.301.0015.1.002.4.4.90.51.00"/>
        <s v="09.008.10.301.0015.1.002.4.4.90.52.00"/>
        <s v="09.008.10.301.0015.1.003.4.4.90.51.00"/>
        <s v="09.009.10.302.0015.1.002.3.3.90.30.00"/>
        <s v="09.009.10.302.0015.1.002.3.3.90.39.00"/>
        <s v="09.009.10.302.0015.1.002.4.4.90.51.00"/>
        <s v="09.009.10.302.0015.1.002.4.4.90.52.00"/>
        <s v="09.009.10.302.0015.1.003.4.4.90.51.00"/>
        <s v="09.010.10.302.0015.1.002.3.3.90.30.00"/>
        <s v="09.010.10.302.0015.1.002.3.3.90.39.00"/>
        <s v="09.010.10.302.0015.1.002.4.4.90.51.00"/>
        <s v="09.010.10.302.0015.1.002.4.4.90.52.00"/>
        <s v="09.015.04.121.0004.1.001.3.3.90.35.00"/>
        <s v="09.015.10.122.0014.1.002.3.3.90.30.00"/>
        <s v="09.015.10.122.0014.1.002.3.3.90.39.00"/>
        <s v="09.015.10.122.0014.1.002.4.4.90.51.00"/>
        <s v="11.001.04.121.0004.1.001.3.3.90.40.00"/>
        <s v="11.001.04.122.0001.2.001.3.1.90.11.00"/>
        <s v="11.001.04.122.0001.2.001.3.1.90.13.00"/>
        <s v="11.001.04.122.0001.2.001.3.1.91.13.00"/>
        <s v="11.001.04.122.0001.2.001.3.3.90.46.00"/>
        <s v="11.001.04.122.0001.2.001.3.3.90.49.00"/>
        <s v="11.001.15.451.0011.1.005.3.3.90.39.00"/>
        <s v="11.001.15.451.0013.1.005.4.4.90.51.00"/>
        <s v="11.001.18.544.0005.1.007.4.4.90.51.00"/>
        <s v="11.001.18.544.0005.1.008.4.4.90.51.00"/>
        <s v="11.014.04.122.0011.1.003.4.4.90.51.00"/>
        <s v="12.001.04.121.0004.1.001.3.3.90.35.00"/>
        <s v="12.001.04.122.0001.2.001.3.1.90.11.00"/>
        <s v="12.001.04.122.0001.2.001.3.1.90.13.00"/>
        <s v="12.001.04.122.0001.2.001.3.1.91.13.00"/>
        <s v="12.001.04.122.0001.2.001.3.3.90.46.00"/>
        <s v="12.001.04.122.0001.2.001.3.3.90.49.00"/>
        <s v="12.001.27.812.0010.1.002.3.3.90.39.00"/>
        <s v="12.001.27.812.0010.1.002.4.4.90.51.00"/>
        <s v="12.001.27.812.0010.1.003.3.3.90.39.00"/>
        <s v="12.001.27.812.0010.1.003.4.4.90.51.00"/>
        <s v="13.001.04.121.0004.1.001.3.3.90.35.00"/>
        <s v="13.001.04.122.0001.1.002.3.3.90.39.00"/>
        <s v="13.001.04.122.0001.2.001.3.1.90.11.00"/>
        <s v="13.001.04.122.0001.2.001.3.1.90.13.00"/>
        <s v="13.001.04.122.0001.2.001.3.1.91.13.00"/>
        <s v="13.001.04.122.0001.2.001.3.3.90.46.00"/>
        <s v="13.001.04.122.0001.2.001.3.3.90.49.00"/>
        <s v="13.001.16.482.0012.1.009.4.4.90.52.00"/>
        <s v="13.001.16.482.0012.1.010.4.4.90.51.00"/>
        <s v="13.001.16.482.0012.1.012.4.4.90.51.00"/>
        <s v="13.001.16.482.0012.1.013.4.4.90.51.00"/>
        <s v="13.008.15.451.0005.1.009.4.4.90.51.00"/>
        <s v="13.008.16.482.0012.1.013.4.4.90.51.00"/>
        <s v="14.001.04.121.0004.1.001.3.3.90.35.00"/>
        <s v="14.001.04.122.0001.2.001.3.1.90.11.00"/>
        <s v="14.001.04.122.0001.2.001.3.1.90.13.00"/>
        <s v="14.001.04.122.0001.2.001.3.1.91.13.00"/>
        <s v="14.001.04.122.0001.2.001.3.3.90.46.00"/>
        <s v="14.001.04.122.0001.2.001.3.3.90.49.00"/>
        <s v="14.008.08.245.0018.1.002.3.3.90.30.00"/>
        <s v="15.001.04.121.0004.1.001.3.3.90.35.00"/>
        <s v="15.001.04.122.0001.2.001.3.1.90.11.00"/>
        <s v="15.001.04.122.0001.2.001.3.1.90.13.00"/>
        <s v="15.001.04.122.0001.2.001.3.1.91.13.00"/>
        <s v="15.001.04.122.0001.2.001.3.3.90.46.00"/>
        <s v="15.001.04.122.0001.2.001.3.3.90.49.00"/>
        <s v="16.001.04.121.0004.1.001.3.3.90.35.00"/>
        <s v="16.001.04.122.0001.1.002.3.3.90.39.00"/>
        <s v="16.001.04.122.0001.2.001.3.1.90.11.00"/>
        <s v="16.001.04.122.0001.2.001.3.1.90.13.00"/>
        <s v="16.001.04.122.0001.2.001.3.1.91.13.00"/>
        <s v="16.001.04.122.0001.2.001.3.3.90.46.00"/>
        <s v="16.001.04.122.0001.2.001.3.3.90.49.00"/>
        <s v="16.001.23.692.0008.1.002.3.3.90.39.00"/>
        <s v="16.001.23.692.0008.1.003.4.4.90.52.00"/>
        <s v="17.001.04.122.0001.2.001.3.1.90.11.00"/>
        <s v="17.001.04.122.0001.2.001.3.1.90.13.00"/>
        <s v="17.001.04.122.0001.2.001.3.1.91.13.00"/>
        <s v="17.001.04.122.0001.2.001.3.3.90.46.00"/>
        <s v="17.001.04.122.0001.2.001.3.3.90.49.00"/>
        <s v="17.003.04.121.0004.1.001.3.3.90.35.00"/>
        <s v="18.001.04.123.0021.0.001.3.2.90.21.00"/>
        <s v="18.001.04.123.0021.0.001.3.2.90.22.00"/>
        <s v="18.001.04.123.0021.0.001.3.2.91.21.00"/>
        <s v="18.001.04.123.0021.0.001.4.6.90.71.00"/>
        <s v="18.001.04.123.0021.0.001.4.6.91.71.00"/>
        <s v="18.001.04.123.0021.0.002.3.3.90.47.00"/>
        <s v="18.001.04.123.0021.0.002.3.3.91.97.00"/>
        <s v="18.001.04.123.0021.0.003.3.1.90.91.00"/>
        <s v="18.001.04.123.0021.0.003.3.3.90.91.00"/>
        <s v="18.001.04.123.0021.0.003.4.4.90.91.00"/>
        <s v="18.001.04.123.0021.0.003.4.6.90.91.00"/>
        <s v="18.001.28.846.0021.0.003.3.1.90.13.00"/>
        <s v="18.001.28.846.0021.0.003.3.1.91.13.00"/>
        <s v="18.001.28.846.0021.0.003.3.3.90.93.00"/>
        <s v="18.002.04.122.0001.1.001.3.3.90.35.00"/>
        <s v="18.002.04.122.0001.1.002.3.3.90.39.00"/>
        <s v="18.002.04.122.0001.2.001.3.1.90.11.00"/>
        <s v="18.002.04.122.0001.2.001.3.1.90.13.00"/>
        <s v="18.002.04.122.0001.2.001.3.1.90.94.00"/>
        <s v="18.002.04.122.0001.2.001.3.1.91.13.00"/>
        <s v="18.002.04.122.0001.2.001.3.3.90.46.00"/>
        <s v="18.002.04.122.0001.2.001.3.3.90.49.00"/>
        <s v="18.002.04.122.0001.2.001.3.3.91.39.00"/>
        <s v="18.003.04.126.0002.1004.4.4.90.52..00"/>
        <s v="19.001.04.121.0004.1.001.3.3.90.35.00"/>
        <s v="19.001.04.122.0001.2.001.3.1.90.11.00"/>
        <s v="19.001.04.122.0001.2.001.3.1.90.13.00"/>
        <s v="19.001.04.122.0001.2.001.3.1.91.13.00"/>
        <s v="19.001.04.122.0001.2.001.3.3.90.46.00"/>
        <s v="19.001.04.122.0001.2.001.3.3.90.49.00"/>
        <s v="19.001.15.451.0013.1.006.4.4.90.52.00"/>
        <s v="20.001.04.122.0001.2.001.3.1.90.11.00"/>
        <s v="20.001.04.122.0001.2.001.3.1.90.13.00"/>
        <s v="20.001.04.122.0001.2.001.3.1.91.13.00"/>
        <s v="20.001.04.122.0001.2.001.3.3.90.46.00"/>
        <s v="20.001.04.122.0001.2.001.3.3.90.49.00"/>
        <s v="20.001.06.181.0006.1.002.3.3.90.39.00"/>
        <s v="20.001.06.181.0006.1.002.4.4.90.51.00"/>
        <s v="20.001.06.181.0006.1.003.4.4.90.51.00"/>
        <s v="21.001.09.272.0001.1.002.3.3.90.39.00"/>
        <s v="21.001.09.272.0001.1.002.4.4.90.51.00"/>
        <s v="21.001.09.272.0001.1.002.4.4.90.52.00"/>
        <s v="21.001.09.272.0001.1.002.4.4.90.61.00"/>
        <s v="21.001.09.272.0001.2.001.3.1.90.11.00"/>
        <s v="21.001.09.272.0001.2.001.3.1.90.13.00"/>
        <s v="21.001.09.272.0001.2.001.3.1.90.16.00"/>
        <s v="21.001.09.272.0001.2.001.3.1.90.92.00"/>
        <s v="21.001.09.272.0001.2.001.3.1.90.94.00"/>
        <s v="21.001.09.272.0001.2.001.3.1.91.13.00"/>
        <s v="21.001.09.272.0001.2.001.3.3.90.39.00"/>
        <s v="21.001.09.272.0001.2.001.3.3.90.46.00"/>
        <s v="21.001.09.272.0001.2.001.3.3.90.49.00"/>
        <s v="21.001.09.272.0004.1.001.3.3.90.35.00"/>
        <s v="21.001.09.272.0004.1.001.3.3.90.39.00"/>
        <s v="21.001.09.272.0021.0.002.3.3.90.47.00"/>
        <s v="21.001.09.272.0021.0.003.3.1.90.91.00"/>
        <s v="21.001.09.272.0021.0.003.3.3.90.91.00"/>
        <s v="22.001.04.122.0001.1.002.4.4.90.51.00"/>
        <s v="22.001.04.122.0001.1.002.4.4.90.92.00"/>
        <s v="22.001.04.122.0001.2.001.3.1.90.11.00"/>
        <s v="22.001.04.122.0001.2.001.3.1.90.13.00"/>
        <s v="22.001.04.122.0001.2.001.3.1.90.94.00"/>
        <s v="22.001.04.122.0001.2.001.3.1.91.13.00"/>
        <s v="22.001.04.122.0001.2.001.3.3.90.46.00"/>
        <s v="22.001.04.122.0021.0.001.3.2.90.21.00"/>
        <s v="22.001.04.122.0021.0.001.4.6.90.71.00"/>
        <s v="22.001.04.122.0021.0.003.3.1.90.91.00"/>
        <s v="22.001.04.331.0001.2.001.3.3.90.49.00"/>
        <s v="22.002.12.122.0021.0.003.3.1.90.91.00"/>
        <s v="22.002.12.361.0001.2.001.3.1.90.11.00"/>
        <s v="22.002.12.361.0001.2.001.3.1.90.13.00"/>
        <s v="22.002.12.361.0001.2.001.3.1.90.16.00"/>
        <s v="22.002.12.361.0001.2.001.3.1.90.94.00"/>
        <s v="22.002.12.361.0001.2.001.3.1.91.13.00"/>
        <s v="22.002.12.361.0001.2.001.3.3.90.46.00"/>
        <s v="22.003.12.122.0021.0.003.3.1.90.91.00"/>
        <s v="22.004.12.122.0021.0.003.3.1.90.91.00"/>
        <s v="22.004.12.362.0001.2.001.3.1.90.11.00"/>
        <s v="22.004.12.362.0001.2.001.3.1.90.13.00"/>
        <s v="22.004.12.362.0001.2.001.3.1.90.16.00"/>
        <s v="22.004.12.362.0001.2.001.3.1.90.94.00"/>
        <s v="22.004.12.362.0001.2.001.3.1.91.13.00"/>
        <s v="22.004.12.362.0001.2.001.3.3.90.46.00"/>
        <s v="22.005.12.122.0021.0.003.3.1.90.91.00"/>
        <s v="22.006.12.122.0021.0.003.3.1.90.91.00"/>
        <s v="22.006.12.364.0001.2.001.3.1.90.16.00"/>
        <s v="22.007.13.122.0021.0.003.3.1.90.91.00"/>
        <s v="22.007.13.392.0001.2.001.3.1.90.11.00"/>
        <s v="22.007.13.392.0001.2.001.3.1.90.13.00"/>
        <s v="22.007.13.392.0001.2.001.3.3.90.46.00"/>
        <s v="22.007.13.392.0001.2.001.3.3.90.49.00"/>
        <s v="22.008.12.365.0001.2.001.3.1.90.11.00"/>
        <s v="22.008.12.365.0001.2.001.3.1.90.13.00"/>
        <s v="22.008.12.365.0001.2.001.3.1.90.16.00"/>
        <s v="22.008.12.365.0001.2.001.3.1.90.94.00"/>
        <s v="22.008.12.365.0001.2.001.3.1.91.13.00"/>
        <s v="22.008.12.365.0001.2.001.3.3.90.46.00"/>
        <s v="22.008.12.365.0001.2.001.3.3.90.49.00"/>
        <s v="22.009.12.365.0001.2.001.3.1.90.94.00"/>
        <s v="22.010.12.365.0001.2.001.3.1.90.94.00"/>
        <s v="22.011.12.365.0001.2.001.3.1.90.94.00"/>
        <s v="22.012.12.365.0001.2.001.3.1.90.94.00"/>
        <s v="22.013.12.365.0001.2.001.3.1.90.94.00"/>
        <s v="22.014.12.365.0001.2.001.3.1.90.94.00"/>
        <s v="22.015.12.365.0001.2.001.3.1.90.94.00"/>
        <s v="22.016.12.122.0021.0.003.3.1.90.91.00"/>
        <s v="22.016.12.365.0001.2.001.3.1.90.11.00"/>
        <s v="22.016.12.365.0001.2.001.3.1.90.16.00"/>
        <s v="22.016.12.365.0001.2.001.3.1.91.13.00"/>
        <s v="22.016.12.365.0016.1.002.3.3.90.39.00"/>
        <s v="23.001.04.122.0001.2.001.3.1.90.11.00"/>
        <s v="23.001.04.122.0001.2.001.3.1.90.13.00"/>
        <s v="23.001.04.122.0001.2.001.3.1.91.13.00"/>
        <s v="23.001.04.122.0001.2.001.3.3.90.46.00"/>
        <s v="23.001.04.122.0001.2.001.3.3.90.49.00"/>
        <s v="24.001.04.121.0004.1.001.3.3.90.35.00"/>
        <s v="24.001.04.121.0004.1.001.3.3.90.36.00"/>
        <s v="24.001.04.121.0004.1.001.3.3.90.39.00"/>
        <s v="24.001.04.121.0004.1.001.3.3.90.48.00"/>
        <s v="24.001.04.122.0001.1.002.3.3.90.39.00"/>
        <s v="24.001.04.122.0001.2.001.3.1.90.11.00"/>
        <s v="24.001.04.122.0001.2.001.3.1.90.13.00"/>
        <s v="24.001.04.122.0001.2.001.3.1.91.13.00"/>
        <s v="24.001.04.122.0001.2.001.3.3.90.46.00"/>
        <s v="24.001.04.122.0001.2.001.3.3.90.49.00"/>
        <s v="27.001.04.121.0004.1.001.3.3.90.35.00"/>
        <s v="27.001.04.121.0004.1.001.3.3.90.39.00"/>
        <s v="27.001.04.122.0001.1.002.3.3.90.39.00"/>
        <s v="27.001.04.122.0001.2.001.3.1.90.11.00"/>
        <s v="27.001.04.122.0001.2.001.3.1.90.13.00"/>
        <s v="27.001.04.122.0001.2.001.3.1.91.13.00"/>
        <s v="27.001.04.122.0001.2.001.3.3.90.46.00"/>
        <s v="27.001.04.122.0001.2.001.3.3.90.49.00"/>
        <s v="28.001.04.121.0004.1.001.3.3.90.35.00"/>
        <s v="28.001.04.122.0001.2.001.3.1.90.11.00"/>
        <s v="28.001.04.122.0001.2.001.3.1.90.13.00"/>
        <s v="28.001.04.122.0001.2.001.3.1.91.13.00"/>
        <s v="28.001.04.122.0001.2.001.3.3.90.49.00"/>
        <s v="29.001.04.122.0001.2.001.3.1.90.11.00"/>
        <s v="29.001.04.122.0001.2.001.3.1.90.13.00"/>
        <s v="29.001.04.122.0001.2.001.3.1.91.13.00"/>
        <s v="29.001.04.122.0001.2.001.3.3.90.46.00"/>
        <s v="29.001.04.122.0001.2.001.3.3.90.49.00"/>
        <s v="29.001.14.243.0001.1.002.3.3.90.39.00"/>
        <s v="29.001.14.243.0018.1.003.4.4.90.52.00"/>
        <s v="30.001.04.121.0004.1.001.3.3.90.35.00"/>
        <s v="30.001.04.122.0001.2.001.3.1.90.11.00"/>
        <s v="30.001.04.122.0001.2.001.3.1.90.13.00"/>
        <s v="30.001.04.122.0001.2.001.3.1.91.13.00"/>
        <s v="30.001.04.122.0001.2.001.3.3.90.46.00"/>
        <s v="30.001.04.122.0001.2.001.3.3.90.49.00"/>
        <s v="30.001.14.242.0001.1.002.3.3.90.30.00"/>
        <s v="30.001.14.242.0001.1.002.3.3.90.39.00"/>
        <s v="30.001.14.242.0018.1.003.3.3.90.30.00"/>
        <s v="30.001.14.242.0018.1.003.3.3.90.39.00"/>
        <s v="30.001.14.242.0018.1.003.4.4.90.51.00"/>
        <s v="30.001.14.242.0018.1.003.4.4.90.52.00"/>
        <s v="31.001.04.122.0001.2.001.3.1.90.11.00"/>
        <s v="31.001.04.122.0001.2.001.3.1.90.13.00"/>
        <s v="31.001.04.122.0001.2.001.3.1.91.13.00"/>
        <s v="31.001.04.122.0001.2.001.3.3.90.46.00"/>
        <s v="31.001.04.122.0001.2.001.3.3.90.49.00"/>
        <s v="31.001.14.422.0018.1.002.3.3.90.39.00"/>
        <s v="32.001.04.121.0004.1.001.3.3.90.35.00"/>
        <s v="32.001.04.122.0001.2.001.3.1.90.11.00"/>
        <s v="32.001.04.122.0001.2.001.3.1.90.13.00"/>
        <s v="32.001.04.122.0001.2.001.3.1.91.13.00"/>
        <s v="32.001.04.122.0001.2.001.3.3.90.46.00"/>
        <s v="32.001.04.122.0001.2.001.3.3.90.49.00"/>
        <s v="32.001.14.422.0001.1.002.3.3.90.30.00"/>
        <s v="32.001.14.422.0001.1.002.3.3.90.39.00"/>
        <s v="33.001.04.122.0001.1.002.3.3.90.39.00"/>
        <s v="33.001.04.122.0001.2.001.3.1.90.11.00"/>
        <s v="33.001.04.122.0001.2.001.3.1.90.13.00"/>
        <s v="33.001.04.122.0001.2.001.3.1.91.13.00"/>
        <s v="33.001.04.122.0001.2.001.3.3.90.46.00"/>
        <s v="33.001.04.122.0001.2.001.3.3.90.49.00"/>
        <s v="34.001.04.121.0004.1.001.3.3.90.35.00"/>
        <s v="34.001.04.122.0001.2.001.3.1.90.11.00"/>
        <s v="34.001.04.122.0001.2.001.3.1.90.13.00"/>
        <s v="34.001.04.122.0001.2.001.3.1.91.13.00"/>
        <s v="34.001.04.122.0001.2.001.3.3.90.49.00"/>
        <s v="35.001.04.122.0001.1.002.3.3.90.30.00"/>
        <s v="35.001.04.122.0001.1.002.3.3.90.39.00"/>
        <s v="35.001.04.122.0001.1.002.4.4.90.52.00"/>
        <s v="35.001.04.122.0001.2.001.3.1.90.11.00"/>
        <s v="35.001.04.122.0001.2.001.3.1.90.13.00"/>
        <s v="35.001.04.122.0001.2.001.3.1.91.13.00"/>
        <s v="35.001.04.122.0001.2.001.3.3.90.46.00"/>
        <s v="35.001.04.122.0001.2.001.3.3.90.49.00"/>
        <s v="36.001.04.122.0001.1.002.3.3.90.39.00"/>
        <s v="36.001.04.122.0001.2.001.3.1.90.11.00"/>
        <s v="36.001.04.122.0001.2.001.3.1.90.13.00"/>
        <s v="36.001.04.122.0001.2.001.3.1.91.13.00"/>
        <s v="36.001.04.122.0001.2.001.3.3.90.46.00"/>
        <s v="36.001.04.122.0001.2.001.3.3.90.49.00"/>
        <s v="08.001.12.122.0001.2.001.3.1.90.94.00"/>
        <s v="09.001.10.122.0001.2.001.3.1.90.94.00"/>
        <s v="18.001.04.122.0001.2.001.3.1.90.94.00"/>
      </sharedItems>
    </cacheField>
    <cacheField name="secretaria2" numFmtId="0">
      <sharedItems count="37">
        <s v="02 - GABINETE DO PREFEITO"/>
        <s v="04 - SECRETARIA DE FINANÇAS"/>
        <s v="05 - PROCURADORIA GERAL DO MUNICÍPIO"/>
        <s v="06 - SECRETARIA DE ADMINISTRAÇÃO"/>
        <s v="07 - SECRETARIA DE EMPREGO, TRABALHO E RENDA"/>
        <s v="08 - SECRETARIA DE EDUCAÇÃO"/>
        <s v="09 - SECRETARIA DA SAÚDE"/>
        <s v="11 - SECRETARIA DE SERVIÇOS E OBRAS"/>
        <s v="12 - SECRETARIA DE ESPORTE, RECREAÇÃO E LAZER"/>
        <s v="13 - SECRETARIA DE HABITAÇÃO"/>
        <s v="14 - SECRETARIA DE ASSISTÊNCIA SOCIAL"/>
        <s v="15 - SECRETARIA DA CULTURA"/>
        <s v="16 - SECRETARIA DE TECNOLOGIA, INOVAÇÃO E DESENVOLVIMENTO ECONÔMICO"/>
        <s v="17 - SECRETARIA DE MEIO AMBIENTE E RECURSOS HÍDRICOS"/>
        <s v="18 - ENCARGOS/ADMINISTRAÇÃO"/>
        <s v="18 - ENCARGOS/FINANÇAS"/>
        <s v="18 - ENCARGOS/TECNOLOGIA"/>
        <s v="19 - SECRETARIA DE TRANSPORTE E DA MOBILIDADE URBANA"/>
        <s v="20 - SECRETARIA DE SEGURANÇA E CONTROLE URBANO"/>
        <s v="23 - SECRETARIA DE COMUNICAÇÃO"/>
        <s v="24 - SECRETARIA DE PLANEJAMENTO E GESTÃO"/>
        <s v="27 - CONTROLADORIA GERAL DO MUNICÍPIO"/>
        <s v="28 - SECRETARIA DE GOVERNO"/>
        <s v="30 - SECRETARIA EXECUTIVA DA PESSOA COM DEFICIÊNCIA"/>
        <s v="31 - SECRETARIA EXECUTIVA DE POLITICAS DE PROMOÇÃO DA IGUALDADE RACIAL"/>
        <s v="32 - SECRETARIA EXECUTIVA DE POLÍTICAS PARA MULHERES E DIVERSIDADE"/>
        <s v="33 - SECRETARIA EXECUTIVA DE COMPRAS E LICITAÇÕES"/>
        <s v="34 - COORDENADORIA DA DEFESA CIVIL"/>
        <s v="36 - SECRETARIA DA FAMÍLIA, CIDADANIA E SEGURANÇA ALIMENTAR"/>
        <s v="01- CMO"/>
        <s v="21 - IPMO"/>
        <s v="22 - FITO"/>
        <s v="29 - SEIJ"/>
        <s v="35 - CASA CIVIL"/>
        <s v="IPMO - RC"/>
        <s v="PMO - RC"/>
        <e v="#N/A" u="1"/>
      </sharedItems>
    </cacheField>
    <cacheField name="unidade2" numFmtId="0">
      <sharedItems containsBlank="1"/>
    </cacheField>
    <cacheField name="funcao2" numFmtId="0">
      <sharedItems containsBlank="1"/>
    </cacheField>
    <cacheField name="subfuncao2" numFmtId="0">
      <sharedItems containsBlank="1"/>
    </cacheField>
    <cacheField name="programa2" numFmtId="0">
      <sharedItems containsBlank="1"/>
    </cacheField>
    <cacheField name="acao2" numFmtId="0">
      <sharedItems containsBlank="1" containsMixedTypes="1" containsNumber="1" containsInteger="1" minValue="0" maxValue="0"/>
    </cacheField>
    <cacheField name="natureza2" numFmtId="0">
      <sharedItems containsBlank="1" containsMixedTypes="1" containsNumber="1" containsInteger="1" minValue="0" maxValue="0"/>
    </cacheField>
    <cacheField name="desc_sub" numFmtId="0">
      <sharedItems containsBlank="1" count="101">
        <s v="GÁS ENGARRAFADO"/>
        <s v="MATERIAL DE COPA E COZINHA"/>
        <s v="MATERIAL DE LIMPEZA E PRODUTOS DE HIGIENIZAÇÃO"/>
        <s v="MATERIAL DE EXPEDIENTE"/>
        <s v="MANUTENÇÃO E CONSERVAÇÃO DE BENS IMÓVEIS"/>
        <s v="RATEIO PELA PARTICIPAÇÃO EM CONSÓRCIO PÚBLICO"/>
        <s v="MATERIAL PARA MANUTENÇÃO DE BENS IMÓVEIS"/>
        <s v="APARELHOS E UTENSÍLIOS DOMÉSTICOS"/>
        <s v="ASSINATURAS DE PERIÓDICOS E ANUIDADES"/>
        <s v="MANUTENÇÃO E CONSERVAÇÃO DE VEÍCULOS"/>
        <s v="LOCAÇÃO BENS MÓVEIS DE OUTRAS NATUREZAS E INTANGÍVEIS"/>
        <s v="OUTROS MATERIAIS DE CONSUMO"/>
        <s v="GÊNEROS DE ALIMENTAÇÃO"/>
        <s v="FORNECIMENTO DE ALIMENTAÇÃO"/>
        <s v="OUTROS SERVIÇOS DE TECNOLOGIA DA INFORMAÇÃO E COMUNICAÇÃO - PESSOA JURÍDICA"/>
        <s v="OUTROS SERVIÇOS DE TERCEIRO PESSOA JURÍDICA - PAGAMENTO ANTECIPADO"/>
        <s v="MANUTENÇÃO E CONSERVAÇÃO DE BENS MÓVEIS DE OUTRAS NATUREZAS"/>
        <s v="RESTITUIÇÕES"/>
        <m/>
        <s v="MÁQUINAS, UTENSÍLIOS E EQUIPAMENTOS DIVERSOS"/>
        <s v="MATERIAL ELÉTRICO E ELETRÔNICO"/>
        <s v="MATERIAL PARA MANUTENÇÃO DE VEÍCULOS"/>
        <s v="OUTROS SERVIÇOS DE TERCEIROS - PESSOA JURÍDICA"/>
        <s v="MANUTENÇÃO E CONSERVAÇÃO DE MÁQUINAS E EQUIPAMENTOS"/>
        <s v="MATERIAL PARA UTILIZAÇÃO EM GRÁFICA"/>
        <s v="OUTROS MATERIAIS PERMANENTES"/>
        <s v="LOCAÇÃO DE MÁQUINAS E EQUIPAMENTOS"/>
        <s v="SERVIÇOS GRÁFICOS E EDITORIAIS"/>
        <s v="VEÍCULOS DE TRAÇÃO MECÂNICA"/>
        <s v="SERVIÇOS DE PUBLICIDADE E PROPAGANDA"/>
        <s v="TERMO DE COLABORAÇÃO"/>
        <s v="FERRAMENTAS"/>
        <s v="FESTIVIDADES E HOMENAGENS"/>
        <s v="UNIFORMES, TECIDOS E AVIAMENTOS"/>
        <s v="RESSARCIMENTO DE DESPESAS COM PESSOAL REQUISITADO"/>
        <s v="OUTROS SERVIÇOS DE PESSOA FÍSICA"/>
        <s v="PREMIAÇÕES CULTURAIS, ARTÍSTICAS, CIENTÍFICAS, DESPORTIVAS E OUTRAS"/>
        <s v="MATERIAL PARA MANUTENÇÃO DE BENS MÓVEIS"/>
        <s v="SERVIÇOS DE ENERGIA ELÉTRICA"/>
        <s v="SERVIÇOS DE TELECOMUNICAÇÕES"/>
        <s v="SERVIÇO DE APOIO ADMINISTRATIVO, TÉCNICO E OPERACIONAL"/>
        <s v="INDENIZAÇÕES"/>
        <s v="MOBILIÁRIO EM GERAL"/>
        <s v="MATERIAL DE PROTEÇÃO E SEGURANÇA"/>
        <s v="MATERIAL EDUCATIVO E ESPORTIVO"/>
        <s v="MATERIAL DE CAMA, MESA E BANHO"/>
        <s v="OUTROS MATERIAIS DE DISTRIBUIÇÃO GRATUITA"/>
        <s v="EQUIPAMENTOS PARA ÁUDIO, VÍDEO E FOTO"/>
        <s v="MATERIAL EDUCACIONAL E CULTURAL"/>
        <s v="SERVIÇOS DE APOIO AO ENSINO"/>
        <s v="FRETES E TRANSPORTES DE ENCOMENDAS"/>
        <s v="CONTRATO DE GESTÃO"/>
        <s v="CONVÊNIO"/>
        <s v="SERVIÇOS DE SOCORRO E SALVAMENTO"/>
        <s v="SEGUROS EM GERAL"/>
        <s v="MATERIAL ODONTOLÓGICO"/>
        <s v="SERVIÇOS DECORRENTES DE DECISÃO JUDICIAL"/>
        <s v="MATERIAL FARMACOLÓGICO"/>
        <s v="MATERIAL HOSPITALAR"/>
        <s v="MEDICAMENTOS PARA USO DOMICILIAR"/>
        <s v="MEDICAMENTOS FORNECIDOS POR DECISÃO JUDICIAL"/>
        <s v="MATERIAL DESTINADO À ASSISTÊNCIA SOCIAL"/>
        <s v="SERVIÇOS DE GÁS"/>
        <s v="SERVIÇO MÉDICO-HOSPITALAR, ODONTOLÓGICO E LABORATORIAIS"/>
        <s v="OUTRAS DESPESAS DE EXERCÍCIOS ANTERIORES"/>
        <s v="OBRAS EM ANDAMENTO"/>
        <s v="LIMPEZA E CONSERVAÇÃO"/>
        <s v="SERVIÇOS BANCÁRIOS"/>
        <s v="MÁQUINAS, FERRAMENTAS E UTENSÍLIOS DE OFICINA"/>
        <s v="AQUISIÇÃO DE PRODUTOS PARA REVENDA"/>
        <s v="DIVERSAS INDENIZAÇÕES E RESTITUIÇÕES"/>
        <s v="TERMO DE FOMENTO"/>
        <s v="MATERIAL DE PROCESSAMENTO DE DADOS"/>
        <s v="MATERIAL QUÍMICO"/>
        <s v="OUTRAS DESPESAS COM LOCOMOÇÃO"/>
        <s v="PASSAGENS PARA O PAÍS"/>
        <s v="PASSAGENS PARA O EXTERIOR"/>
        <s v="RESSARCIMENTO DE PASSAGENS E DESPESAS COM LOCOMOÇÃO"/>
        <s v="SERVIÇOS TÉCNICOS PROFISSIONAIS"/>
        <s v="HOSPEDAGENS"/>
        <s v="MATERIAL DE SINALIZAÇÃO VISUAL E AFINS"/>
        <s v="CONFECÇÃO DE UNIFORMES, BANDEIRAS E FLÂMULAS"/>
        <s v="MULTAS INDEDUTÍVEIS - EMPRESAS"/>
        <s v="SERVIÇO DE SELEÇÃO E TREINAMENTO"/>
        <s v="MÁQUINAS, INSTALAÇÕES E UTENSÍLIOS DE ESCRITÓRIO"/>
        <s v="EQUIPAMENTOS DE PROCESSAMENTO DE DADOS"/>
        <s v="EXPOSIÇÕES, CONGRESSOS E CONFERÊNCIAS"/>
        <s v="CONFERÊNCIAS, EXPOSIÇÕES E ESPETÁCULOS"/>
        <s v="EQUIPAMENTOS E MATERIAL PERMANENTE"/>
        <s v="TELEFONIA FIXA E MÓVEL - PACOTE DE COMUNICAÇÃO DE DADOS "/>
        <s v="LOCAÇÃO DE IMÓVEIS"/>
        <s v="SERVIÇOS DE COMUNICAÇÃO EM GERAL"/>
        <s v="OUTRAS SENTENÇAS JUDICIAIS"/>
        <s v="Despesas de Passagens"/>
        <s v="Remuneração"/>
        <s v="PRÓ-LABORE A CONSULTORES EVENTUAIS"/>
        <s v="PEÇAS NÃO INCORPORÁVEIS A IMÓVEIS"/>
        <s v="LOCAÇÃO DE SOFTWARE                                     "/>
        <s v="TRANSPORTE DE SERVIDORES / EMPREGADOS"/>
        <s v="SERVIÇOS DE PUBLICIDADE LEGAL"/>
        <s v="FOLHA DE PAGAMENTO"/>
      </sharedItems>
    </cacheField>
    <cacheField name="processo" numFmtId="0">
      <sharedItems containsBlank="1" containsMixedTypes="1" containsNumber="1" containsInteger="1" minValue="0" maxValue="106" count="546">
        <m/>
        <s v="961/2024"/>
        <s v="24087/2021"/>
        <s v="9534/2022"/>
        <s v="não tem (certificado digital)"/>
        <s v="não tem (adiantamentos)"/>
        <s v="não tem (ressarcimentos)"/>
        <s v="Ata 77/2025 (viagens) "/>
        <s v="não tem (ar condicionado)"/>
        <s v="não tem (veículos)"/>
        <s v="não tem (bebedouros)"/>
        <s v="não tem (hidraúlica, elétrica...)"/>
        <s v="Ata 146/2026"/>
        <s v="Ata 66/2025"/>
        <s v="Ata 28 e 48/2026"/>
        <s v="Ata 93/2025"/>
        <s v="Ata 105 e 107/2025"/>
        <s v="Pagamento de Perito"/>
        <s v="Locação de Veículos"/>
        <s v="1221/2025"/>
        <s v="7925/2021"/>
        <s v="1227/2024"/>
        <s v="15401/2015"/>
        <s v="Taxas, Tarifas, Multas e Anuidade"/>
        <s v="Diligências Realizadas por Oficiais de Justiça"/>
        <s v="Despesas com Intimações/Citações de Processos Digitais"/>
        <s v="1272/2026"/>
        <s v="Sistema de Climatização - Materiais"/>
        <s v="Sistema de Climatização - Serviços"/>
        <s v="Manutenção de Veículos"/>
        <s v="1780/25"/>
        <s v="1097/25"/>
        <s v="185/25"/>
        <s v="1284/25"/>
        <n v="88"/>
        <n v="89"/>
        <n v="90"/>
        <n v="91"/>
        <n v="92"/>
        <n v="93"/>
        <n v="94"/>
        <n v="95"/>
        <n v="0"/>
        <s v="14533/2021 "/>
        <s v="2967/2025"/>
        <n v="102"/>
        <n v="103"/>
        <n v="106"/>
        <s v="Manutenção e Reformas de Próprios"/>
        <s v="PA 3851/2021 - Escola do Futuro"/>
        <s v="PA 1466/2023 e 5551/2023 - Ressarcimento com Pessoa Requisitado - Pref. SP/Estado de SP"/>
        <s v="Papelaria 7 de Setembro"/>
        <s v="Kit Lanche 7 de Setembro"/>
        <s v="Decoração 7 de Setembro"/>
        <s v="Prêmio Professor Inovador "/>
        <s v="Serviços Gráficos"/>
        <s v="Locação de Equipamentos para Eventos"/>
        <s v="Coffee Break"/>
        <s v="Aquisição de Passagens Aéreas"/>
        <s v="PA 1068/2024 - Gerenciamento de Dados SISTEPLAN"/>
        <s v="Taxa Administrativa CIEE"/>
        <s v="Pagamento de Bolsa CIEE"/>
        <s v="Aquisição de Insumos - Polo Chiquinha Gonzaga"/>
        <s v="Materiais de Limpeza e Higiene"/>
        <s v="Materiais de Escritório"/>
        <s v="Aquisição de Insumos "/>
        <s v="Aquisição de Café/Açúcar SED"/>
        <s v="PA 232/2025 - Pagamento de Contas de Energia Elétrica"/>
        <s v="PA 8389/2021 - Pagamento de Contas de Telefonia Fixa"/>
        <s v="Locação de Purificador de Água"/>
        <s v="Anuidade (UNDIME)"/>
        <s v="Indenização por dados"/>
        <s v="Equipamento de Proteção (EPIs e EPCs)"/>
        <s v="Aquisição de Material Esportivo"/>
        <s v="Aquisção de Brinquedos"/>
        <s v="PA 2991/2025 - Locação e Manutenção de Lousas Digitais"/>
        <s v="PA 223/2026 - Pragas Urbanas NPL "/>
        <s v="PA 2739/2025 - Limpeza de Caixa D'Água"/>
        <s v="Playground"/>
        <s v="Aquisição de Material Esportivo e Jogos de Mesa (Recreativo)"/>
        <s v="Aquisição de Itens de Cama, Mesa e Banho"/>
        <s v="Aquisição de Colchões"/>
        <s v="Fornecimento Gás Encanado Comgas"/>
        <s v="Pragas Urbanas NPL PA 223/2026"/>
        <s v="Limpeza de Caixa D'Água PA 2739/2025"/>
        <s v="Aquisição de Mobiliários"/>
        <s v="Aquisição de Playground"/>
        <s v="Kit Lanche"/>
        <s v="Gás engarrafado de Cozinha por meio de ARP"/>
        <s v="Itens para cozinhas das escolas"/>
        <s v="PA 6253/2020 - Hortifrut.- ITAUBA-01.110.0000"/>
        <s v="PA 950/2021 - Perecíveis - NS ALIM.-01.110.0000"/>
        <s v="PA 8601/2021 - Estocáveis - NUTRIV-01.110.0000"/>
        <s v="PA 8601/2021 - Estocáveis -GRANFOOD-01.110.0000"/>
        <s v="PA 126/2024 - Pão e Bolo - PAM-01.110.0000"/>
        <s v="PA 126/2024 - Pão e Bolo - DA AMORA-01.110.0000"/>
        <s v="PA 6253/2020 -Hortifrut.- ITAUBA-05.200.0003"/>
        <s v="PA 950/2021 - Perecíveis - NS ALIM.-05.200.0003"/>
        <s v="PA 9601/2021 - Estocáveis - NUTRIV-05.200.0003"/>
        <s v="PA 8601/2021 - Estocáveis -GRANFOOD-05.200.0003"/>
        <s v="PA 126/2024 - Pão e Bolo - PAM-05.200.0003"/>
        <s v="PA 126/2024 - Pão e Bolo - DA AMORA-05.200.0003"/>
        <s v="PA 25379/2025 - AGR.FAM.- 3 EMPR.-05.200.0002"/>
        <s v="PA 2540/2024 - ESTOJO - 01.110.0000"/>
        <s v="PA 2540/2024 - MATERIAL ESC. 01.200.0000"/>
        <s v="PA 22021/2021 - UNIFORME ESC. 01.110.0000"/>
        <s v="PA 22021/2021 - TENIS 01.110.0000"/>
        <s v="PA 9074/2021 - Computadores Virtuais - ARLEQUIM "/>
        <s v="PA 5008/2021 - Rede Wirelles - TELETEX"/>
        <s v="PA 17682/2021 - Kit Conectividade (serviços) - FAZ EDUCAÇÃO"/>
        <s v="PA 1427/2026 - Inspeção e Segurança - LGPD"/>
        <s v="PA 1340/2026 - Tecnologia Assistiva NPL"/>
        <s v="PA 17682/2021 - Kit Conectividade -MULTI LASER "/>
        <s v="PA 5008/2021- Rede Wirelles - TELETEX"/>
        <s v="EJAPRO"/>
        <s v="Distribuição de Livros"/>
        <s v="PA 1273/2026 - Equoterapia"/>
        <s v="PA 8404/2023 - Hidroterapia"/>
        <s v="PA 2965/2025 - Educação em Tempo Integral -Planeta Educ."/>
        <s v="PA 11604/2007 - Mova Entidades"/>
        <s v="PA 11604/2007 - Mova Educadores e Coordenadores"/>
        <s v="PA 499/2024 - TEG - Transporte Escolar Gratuito "/>
        <s v="Transporte Extraclasse por meio de ARP"/>
        <s v="PA 23694/2022 - Chamamento Vagas em Creche - OSC"/>
        <s v="PA 1418/2026 - Chamamento Ceus"/>
        <s v="3.356/2024"/>
        <s v="Despesas de Pronto Pagamento"/>
        <s v="Cursos e Capacitação"/>
        <s v="19.492/2020"/>
        <s v="160/2026"/>
        <s v="19.490/2020"/>
        <s v="6.180/2023"/>
        <s v="273/2024"/>
        <s v="16.321/2022"/>
        <s v="2.434/2022"/>
        <s v="103/2025"/>
        <s v="21.856/2021"/>
        <s v="1.229/2024"/>
        <s v="1.231/2024"/>
        <s v="65/2024"/>
        <s v="2.782/2025"/>
        <s v="10.553/2022"/>
        <s v="12.336/2023"/>
        <s v="968/2021"/>
        <s v="21.732/2022"/>
        <s v="793/2025"/>
        <s v="6.379/2021"/>
        <s v="6.989/2021"/>
        <s v="6.377/2021"/>
        <s v="8.418/2023"/>
        <s v="1.401/2025"/>
        <s v="9.207/2021"/>
        <s v="760/2024"/>
        <s v="1.208/2025"/>
        <s v="MATERIAL DE LIMPEZA"/>
        <s v="MATERIAL DE COPA COZINHA"/>
        <s v="MATERIAL EXPEDIENTE"/>
        <s v="TFD"/>
        <s v="HEMOCOMPONENTES"/>
        <s v="MANUT VEÍCULOS"/>
        <s v="VANS ADAPTADAS"/>
        <s v="Manutenção Predial - Materiais "/>
        <s v="Manutenção Predial - Serviços"/>
        <s v="Cesta Básica - Programa de Tuberculose"/>
        <s v="2.971/2025"/>
        <s v="PMM - 3.3.90.48"/>
        <s v="Insumos Odontológicos"/>
        <s v="INTERNAÇÕES"/>
        <s v="Tiras de Glicemia"/>
        <s v="Equipos para Bomba de Infusão"/>
        <s v="Fios Cirúrgicos"/>
        <s v="Medicamentos Psicotrópicos"/>
        <s v="Aquisição de Medicamentos para Distribuição Gratuita"/>
        <s v="Aquisição de Insumos e Materiais Hospitalares"/>
        <s v="Medicamentos Dose Certa"/>
        <s v="Ácido Peracético"/>
        <s v="Próteses Dentárias"/>
        <s v="Fórmula Láctea"/>
        <s v="Uniformes"/>
        <s v="Locação de Equipamentos Hospitalares - Ordem Judicial "/>
        <s v="Medicamentos Manipulados"/>
        <s v="Aquisição de Medicamentos - Ordem Judicial"/>
        <s v="Manutenção de Geradores"/>
        <s v="Mobiliários "/>
        <s v="Equipamentos"/>
        <s v="4.4.90.51"/>
        <s v="Despesas com Viagens"/>
        <s v="Acordo MP - Necessidades Eventuais"/>
        <s v="Oxigenoterapia Domiciliar"/>
        <s v="Sistema de Climatização "/>
        <s v="EPI e EPC"/>
        <s v="Insumos para Zoonoses"/>
        <s v="G.A  - LOTE 04 - DAE"/>
        <s v="G.A - LOTE 01 - DGAPS"/>
        <s v="G.A - LOTE 05 - SAÚDE MENTAL"/>
        <s v="NAJA -HMAA"/>
        <s v="NAJA - LOTE 03 - DGUE"/>
        <s v="2358/2025-ATA"/>
        <s v="581/2025-3541/2024"/>
        <s v="25961/2022"/>
        <s v="2234/2024"/>
        <s v="3541/2024"/>
        <s v="581/2025"/>
        <s v="850/2024"/>
        <s v="DE REFORMA DE PRAÇA -1999/24"/>
        <s v="013/2026-EXPANSÃO VERTICALIZAÇÃO"/>
        <s v="2681/2025"/>
        <s v="257/2024 -CONSTRUÇÃO"/>
        <s v="725/2025"/>
        <s v="7373/203-1142/2026 -ATA DE PROPRIOS"/>
        <s v="2487/2021-LOGRADOUROS"/>
        <s v="3654/2024"/>
        <s v="1301/2025"/>
        <s v="3001/2026- Operação da Verticalização"/>
        <s v="1085/2026-LOCAÇÃO DE MAQUINAS"/>
        <s v="1379/2025-258/2024-3370/2024 MATERIAIS CONTRUÇÃO-MADEIRAS-TINTA -MANUFATURADO DE CONCRETO DENTRE OUTROS"/>
        <s v="2233/2024-"/>
        <s v="8504/2021-MANUNTENÇÃO CEMITERIOS"/>
        <s v="111/2024"/>
        <s v="22682/2021"/>
        <s v="CIELO"/>
        <s v="1242/2026-PARAMENTOS GIRASSOIS"/>
        <s v="2118/2025-2119/2026-URNAS"/>
        <s v="2757/2025-REACPE"/>
        <s v="141/2025 -MATERIAIS ELETRICOS"/>
        <s v="5427/2020-ALQUES"/>
        <s v="232/2025-CONTAS DE CONSUMO"/>
        <s v="3017039/2026-CIP"/>
        <s v="899/2025-LOCAÇÃO DE VEICULOS"/>
        <s v="CONCRETO USINADO"/>
        <s v="1510/2026-TAPA BURACO"/>
        <s v="7603/2022- MAURO LINDENBERG"/>
        <s v="2269/2022-RECAPE TRECHO 3"/>
        <s v="13011/20213-SANTA RITA"/>
        <s v="28282/2006-LIXO"/>
        <s v="1808/2024- ATA MASSA ASFALTICA"/>
        <s v="1114/2024-AREAS VERDES"/>
        <s v="1915/2025-ECOPONTO ROCHIDALE"/>
        <s v="2486/2021-GALERIAS"/>
        <s v="1808/2024"/>
        <s v="CADASTRAR SEM NATUREZA DE DESPESAS - 3.3.90.33.01 -Passagens para o País. - SEM PA AUTUADO"/>
        <s v="SEM PA AUTUADO"/>
        <s v="387/2026"/>
        <s v="2104/2025"/>
        <s v="262/2026, 903/2026, e 412/2026"/>
        <s v="262/2026 e 412/2026"/>
        <s v="1095/2026"/>
        <s v="368/2026"/>
        <s v="1322/2026"/>
        <s v="366/2026"/>
        <s v="1378/2026 e 2569/2026"/>
        <s v="326/2025 e 393/2026 "/>
        <s v="147/2025"/>
        <s v="385/2026"/>
        <s v="-"/>
        <s v="125/2025"/>
        <s v="825/2025"/>
        <s v="1293/2026"/>
        <s v="1415/2026"/>
        <s v="1905/2025 - Arco Iris"/>
        <s v="2644/2025 - Castanha do Pará"/>
        <s v="427/2026 - Herbert de Souza"/>
        <s v="426/2026 - Rua da Mina"/>
        <s v="1205/2026 - Manutenção Continuada de Assentamentos Precários"/>
        <s v="1250/2026 - Recuperação  Estrutural de Unidades Habitacionais BK - Veloso"/>
        <s v="21544/2021 - Morro do Sabão"/>
        <s v="1268/2025 - Regularização Chápeu de Couro/CN, Bonança, P1, P2, e P3 - Rochdale."/>
        <s v="1094/2026 - Regularização -  BK e Vicentina"/>
        <s v="Falta Elemento 35"/>
        <s v="657/2024"/>
        <s v="9560/2021"/>
        <s v="1049/2026 -Vinculados"/>
        <s v="Atas Gráficos - Falta Sub Elemento"/>
        <s v="ATA Kit Lanche Gabinete - RP R$ 50.000,00 + DTR IGD - R$ 60.000,00"/>
        <s v="PASSAGENS/VIAGENS - Falta Elemento 33 e subelementos"/>
        <s v="Não tem PA aberto"/>
        <s v="ATA Serviços Gráficos -Falta Subelemento"/>
        <s v="ATADE GÁS"/>
        <s v="ATAS MATL LIMPEZA -HIGIENE E DESCARTAVESI"/>
        <s v="ATA Matl Escritório"/>
        <s v="ATAS Café, Chá Adoçante"/>
        <s v="Manutenção Ar Condicionado + Reforma Banheiros"/>
        <s v="SUbelementos incorretos Ressarcimento Servidores"/>
        <s v="Subelemento incorreto - MOBILIÁRIO"/>
        <s v="1049/2026 - Sede RP"/>
        <s v="COFFEE - FALTA SUB 41"/>
        <s v="25075/2021-Falta elemento 48"/>
        <s v="Diversos - Ver Relação- FALTA SUBELEMENTO"/>
        <s v="Diversos - Ver Relação - FALTA SUBELEMENTO"/>
        <s v="948/2026 - Credenciamento"/>
        <s v="20967/2023"/>
        <s v="Diversos - Ver Relação - Acolhimento por Decisão Judicial - Falta Subelemento"/>
        <s v="Atas COFFE BREAK- Falta Sub Elemento"/>
        <s v="Ata de Kit Lanche"/>
        <s v="14533/2021 - WORKS"/>
        <s v="ATAS - IGD-PBF"/>
        <s v="ATAS MATL LIMPEZA -HIGIENE E DESCARTAVESI - IGD-PBF"/>
        <s v="ATAS - ESCRITÓRIO - IGD-´PBF"/>
        <s v="NOVA CONTRATAÇÃO  IGD-PBF"/>
        <s v="ATAS MATERIAL ELETRICO / HIDÁULICO / DE CONSTRUÇÃO / PINTURA ...- IGD-PBF"/>
        <s v="Instal. e Manut. Ar Condicionado] - IGD-PBF"/>
        <s v="Diversos ATAS - Ver relação"/>
        <s v="ATAS MATL ESCRITÓRIO"/>
        <s v="ATAS CAMA MESA BANHO"/>
        <s v="ATAS VER RELAÇÃO"/>
        <s v="Passeio Idosos Semestral"/>
        <s v="ATA PA 1189/2024Loc. de ônibus - Events diversos"/>
        <s v="Devoluções diversas"/>
        <s v="ATAS MOBILIÁRIO"/>
        <s v="Adiantamentos"/>
        <s v="IGD-PBF - Adiantamentos"/>
        <s v="IGD-PBF"/>
        <s v="PA 105/2024"/>
        <s v="Reforma Depto"/>
        <s v="Adiantamentol"/>
        <s v="Mobiliario-eletroeletronico-eletrodomésticos-informatica e outros"/>
        <s v="ATAS MATERIAL ELETRICO / HIDÁULICO / DE CONSTRUÇÃO / PINTURA ..."/>
        <s v="NÃO CONSTA SUBELEMENTO - ESTIMATIVO . FMI = R$ 20.000,00, RP 01.110 = R$ 10.000,00"/>
        <s v="Estimativa FMI = R$ 10.000,00 - RP 01.110 = R$ 20.000,00"/>
        <s v="LIBRAS"/>
        <s v="NÃO CONSTA SUBELEMENTO - ESTIMATIVO . FMI"/>
        <s v="ATAS ELETROELETRÔNICOS"/>
        <s v="INFORMÁTICA"/>
        <s v="3715/2024"/>
        <s v="2744/2024"/>
        <s v="2562/2024"/>
        <s v="884/2026"/>
        <s v="797/2025"/>
        <s v="2063/2025"/>
        <s v="809/2026"/>
        <s v="808/2026"/>
        <s v="795/2026"/>
        <s v="1120/2026"/>
        <s v="1233/2026"/>
        <s v="2340/2026"/>
        <s v="1244/2026"/>
        <s v="1077/2026"/>
        <s v="1268/2026"/>
        <s v="2151/2025"/>
        <s v="1298/2026"/>
        <s v="1505/2026"/>
        <s v="1527/2026"/>
        <s v="2796/2025"/>
        <s v="1795/2025"/>
        <s v="667/2026"/>
        <s v="964/2026"/>
        <s v="962/2026"/>
        <s v="50/2026"/>
        <s v="18914/2023"/>
        <s v="760/2022"/>
        <s v="51/2026"/>
        <s v="52/2026"/>
        <s v="53/2026"/>
        <s v="54/2026"/>
        <s v="55/2026"/>
        <s v="56/2026"/>
        <s v="57/2026"/>
        <s v="58/2026"/>
        <s v="59/2026"/>
        <s v="60/2026"/>
        <s v="61/2026"/>
        <s v="62/2026"/>
        <s v="191/2026"/>
        <s v="192/2026"/>
        <s v="235/2026"/>
        <s v="382/2026"/>
        <s v="383/2026"/>
        <s v="1312/2026"/>
        <s v="1443/2026"/>
        <s v="1444/2026"/>
        <s v="1458/2026"/>
        <s v="1491/2026"/>
        <s v="1148/2025"/>
        <s v="2966/2025"/>
        <s v="2948/24"/>
        <s v="1327/26"/>
        <s v="8389/21"/>
        <s v="22144/2022"/>
        <s v="3744/24"/>
        <s v="21417/22, 1035/24 e 17440/23"/>
        <s v="diversos"/>
        <s v="19967/2021"/>
        <s v="21942/2021"/>
        <s v="20277/2020"/>
        <s v="18150/2022"/>
        <s v="18438/2022"/>
        <s v="17079/2022"/>
        <s v="23520/2021"/>
        <s v="25565/2021"/>
        <s v="9455/2023"/>
        <s v="não tem (restituições)"/>
        <s v="não tem (ART's e RRT's)"/>
        <s v="não tem (honorários e outros)"/>
        <s v="não tem (depósitos judiciais)"/>
        <s v="não tem (enem)"/>
        <s v="1274/2025"/>
        <s v="1277/2025"/>
        <s v="24086/2021"/>
        <s v="14862/2020"/>
        <s v="17357/2021"/>
        <s v="3731/2024"/>
        <s v="1873/2025"/>
        <s v="7622/2022"/>
        <s v="3389/2024"/>
        <s v="7594/2022"/>
        <s v="2341/2025"/>
        <s v="7657/2022"/>
        <s v="659/2023"/>
        <s v="15557/2022"/>
        <s v="21654/2021"/>
        <s v="7700/2022"/>
        <s v="7334/2023"/>
        <s v="1821/2024"/>
        <s v="3041/2025"/>
        <s v="1425/2026"/>
        <s v="1202/2025"/>
        <s v="1608/2026"/>
        <s v="3002/2025"/>
        <s v="998/2026"/>
        <s v="2677/2025"/>
        <s v="2642/2025"/>
        <s v="Indenização"/>
        <s v="Indenizatória"/>
        <s v="00181/2025"/>
        <s v="1396/2026"/>
        <s v="Sistema de Climatização / Peças"/>
        <s v="Sistema de Climatização / serviço"/>
        <s v="Sistema de Climatização / Aquisição"/>
        <s v="001318/2025"/>
        <s v="12412/2023 (COI)"/>
        <s v="225/2026 (Novo locacao)"/>
        <s v="16020/2021 (Nova opcao)"/>
        <s v="2196/2024 (Nogueira)"/>
        <s v="1379/26"/>
        <s v="Estudos e Pesquisa "/>
        <s v="AVCB_x000a_"/>
        <s v="Copa e Cozinha_x000a_"/>
        <s v="Manutenção de Veículos_x000a_"/>
        <s v="Higiene e Limpeza_x000a_"/>
        <s v="Materiais de Expediente_x000a_"/>
        <s v="Sistema de Climatização - Serviços_x000a_"/>
        <s v="Manutenção Predial - Serviços_x000a_"/>
        <s v="Locação de Veículos_x000a_"/>
        <s v="Eletrodomésticos_x000a_"/>
        <s v="SPSS - Software_x000a_"/>
        <s v="Premiação - Inova Servidor _x000a_"/>
        <s v="Kit Lanche_x000a_"/>
        <s v="Coffee Break_x000a_"/>
        <s v="Locação de Equipamentos_x000a_"/>
        <s v="Serviços Gráficos_x000a_"/>
        <s v="AVCB"/>
        <s v="Por demanda planejada para o ano"/>
        <s v="PA 859/2026 + demanda planejada para o ano"/>
        <s v="PA 3450/2024 + demanda planejada para o ano."/>
        <s v="PA 1038/2025 - CT 077/2025"/>
        <s v="PA 10017/2023 - CT  034/2024"/>
        <s v="1951/2025 -1950/2025-1946/2025-1949/2025-1948/2025"/>
        <s v="1946/2025"/>
        <s v="1283/2026"/>
        <s v="ATA"/>
        <s v="ATA Aquisição Sede e Casa de Angola pós reforma "/>
        <s v="ATA "/>
        <s v="Locação de onibus e micro onibus "/>
        <s v="ATA - Aquisição de eletrodoméstico Sede e Casa de Angola pós reforma "/>
        <s v="ATA - P.A"/>
        <s v="IOMO nº 2888 (Edital) - P.A Letramento para servidores "/>
        <s v="PA Plano Municipal de Promoção da Igualdade Racial "/>
        <s v="ATA (eventos)"/>
        <s v="ATA - PA (acervo casa de angola)"/>
        <s v="ATA-PA (Casa de Angola)"/>
        <s v="ATA-PA (Festividades Calendário)"/>
        <s v="ATA-PA (Divulgação serviços)"/>
        <s v="ATA-PA (Festividades Calendário("/>
        <s v="IOMO nº 2888 (Edital)"/>
        <s v="ATA (Mat Conscientização)"/>
        <s v="ATA (CRDH) "/>
        <s v=" IOMO nº 2888 (Edital) - P.A (CRDH/Imigrantes -intérprete)"/>
        <s v="ATA - P.A Mapeamento Digital dos Espaços Religiosos "/>
        <s v="607/2025"/>
        <s v="184/2024"/>
        <s v="180/2024"/>
        <s v="332/2026"/>
        <s v="1555/2026"/>
        <s v="421/2024"/>
        <s v="722/2026, 897/2026"/>
        <s v="2123/2025"/>
        <s v="828/2026, 1183/2026"/>
        <s v="197/2025, 2433/2025, 898/2026, 976/2026"/>
        <s v="1182/2026"/>
        <s v=" "/>
        <s v="1384/2026-ARP"/>
        <s v="947/2026"/>
        <s v="945/2026"/>
        <s v="1087/2026-ARP"/>
        <s v="21535/2022"/>
        <s v="403/2026"/>
        <s v="11/2026-ARP"/>
        <s v="476/2024"/>
        <s v="31/2022"/>
        <s v="568/2026"/>
        <s v="553/2026"/>
        <s v="977/2026"/>
        <s v="381/2026"/>
        <s v="476/2026"/>
        <s v="477/2026"/>
        <s v="478/2026"/>
        <s v="479/2026"/>
        <s v="480/2026"/>
        <s v="488/2026"/>
        <s v="661/2026"/>
        <s v="880/2026"/>
        <s v="554/2026"/>
        <s v="1102/2026"/>
        <s v="1371/2026"/>
        <s v="1372/2026"/>
        <s v="1373/2026"/>
        <s v="1374/2026"/>
        <s v="2437/2025"/>
        <s v="2528/2025"/>
        <s v="380/2026"/>
        <s v="1857/2025"/>
        <s v="1053/2026"/>
        <s v="492/2026"/>
        <s v="436/2026"/>
        <s v="1405/2025"/>
        <s v="491-580/2026"/>
        <s v="Contratação de estagiários para apoio às ações de Segurança Alimentar e Nutricional"/>
        <s v="2492/2025-503/2026"/>
        <s v="2128/2025"/>
        <s v="505/2026"/>
        <s v="861/2026"/>
        <s v="512/2026"/>
        <s v="504/2026"/>
        <s v="509/2026"/>
        <s v="1114/2025"/>
        <s v="1260/2025"/>
        <s v="606/2026"/>
        <s v="3000/2025"/>
        <s v="2046/2025"/>
        <s v="2035/2025"/>
        <s v="502/2026"/>
        <s v="511/26"/>
        <s v="2127/2025"/>
        <s v="Contrapartida do Edital 002/2026 de Sistema Alimentar Circular do MDS"/>
        <s v="Manutenção e adequação do piso do Banco de Alimentos"/>
        <s v="Contratação de serviços de desinsetização, desratização e controle de pragas"/>
      </sharedItems>
    </cacheField>
    <cacheField name="valor" numFmtId="0">
      <sharedItems containsString="0" containsBlank="1" containsNumber="1" minValue="0" maxValue="655132626.23000002"/>
    </cacheField>
    <cacheField name="Peça Orçamentária" numFmtId="0">
      <sharedItems count="2">
        <s v="LOA"/>
        <s v="L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4"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0"/>
    <x v="0"/>
    <n v="2500"/>
    <x v="0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"/>
    <x v="0"/>
    <n v="36000"/>
    <x v="0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2"/>
    <x v="0"/>
    <n v="12000"/>
    <x v="0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3"/>
    <x v="0"/>
    <n v="6500"/>
    <x v="0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4"/>
    <x v="0"/>
    <n v="15000"/>
    <x v="0"/>
  </r>
  <r>
    <s v="02"/>
    <s v="001"/>
    <s v="04"/>
    <s v="122"/>
    <s v="0001"/>
    <x v="0"/>
    <x v="2"/>
    <x v="2"/>
    <x v="0"/>
    <s v="001-CHEFIA DE GABINETE"/>
    <s v="4-ADMINISTRAÇÃO"/>
    <s v="122-ADMINISTRAÇÃO GERAL"/>
    <s v="0001-Administração e Coordenação Geral​"/>
    <s v="2.011-Manutenção de Equipamentos Públicos "/>
    <s v="3.1.71.70.00-RATEIO PELA PARTICIPAÇÃO EM CONSÓRCIO PÚBLICO"/>
    <x v="5"/>
    <x v="0"/>
    <n v="434527.81"/>
    <x v="0"/>
  </r>
  <r>
    <s v="02"/>
    <s v="001"/>
    <s v="04"/>
    <s v="122"/>
    <s v="0001"/>
    <x v="0"/>
    <x v="3"/>
    <x v="3"/>
    <x v="0"/>
    <s v="001-CHEFIA DE GABINETE"/>
    <s v="4-ADMINISTRAÇÃO"/>
    <s v="122-ADMINISTRAÇÃO GERAL"/>
    <s v="0001-Administração e Coordenação Geral​"/>
    <s v="2.011-Manutenção de Equipamentos Públicos "/>
    <s v="3.3.71.70.00-RATEIO PELA PARTICIPAÇÃO EM CONSÓRCIO PÚBLICO"/>
    <x v="5"/>
    <x v="0"/>
    <n v="2511423.4300000002"/>
    <x v="0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6"/>
    <x v="0"/>
    <n v="15000"/>
    <x v="0"/>
  </r>
  <r>
    <s v="02"/>
    <s v="001"/>
    <s v="04"/>
    <s v="122"/>
    <s v="0001"/>
    <x v="0"/>
    <x v="4"/>
    <x v="4"/>
    <x v="0"/>
    <s v="001-CHEFIA DE GABINETE"/>
    <s v="4-ADMINISTRAÇÃO"/>
    <s v="122-ADMINISTRAÇÃO GERAL"/>
    <s v="0001-Administração e Coordenação Geral​"/>
    <s v="2.011-Manutenção de Equipamentos Públicos "/>
    <s v="4.4.50.52.00-EQUIPAMENTOS E MATERIAL PERMANENTE"/>
    <x v="7"/>
    <x v="0"/>
    <n v="22500"/>
    <x v="0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8"/>
    <x v="0"/>
    <n v="318414"/>
    <x v="0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0"/>
    <n v="15000"/>
    <x v="0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0"/>
    <x v="0"/>
    <n v="45000"/>
    <x v="0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1"/>
    <x v="0"/>
    <n v="5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12"/>
    <x v="0"/>
    <n v="600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11"/>
    <x v="0"/>
    <n v="10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3"/>
    <x v="0"/>
    <n v="15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2"/>
    <x v="0"/>
    <n v="25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6"/>
    <x v="0"/>
    <n v="1000"/>
    <x v="0"/>
  </r>
  <r>
    <s v="02"/>
    <s v="012"/>
    <s v="04"/>
    <s v="122"/>
    <s v="0001"/>
    <x v="0"/>
    <x v="1"/>
    <x v="6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0"/>
    <n v="20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1"/>
    <x v="0"/>
    <n v="30000"/>
    <x v="0"/>
  </r>
  <r>
    <s v="02"/>
    <s v="012"/>
    <s v="04"/>
    <s v="122"/>
    <s v="0001"/>
    <x v="0"/>
    <x v="4"/>
    <x v="7"/>
    <x v="0"/>
    <s v="012-FUNDO ESPECIAL DE MANUTENÇÃO DOS BOMBEIROS"/>
    <s v="4-ADMINISTRAÇÃO"/>
    <s v="122-ADMINISTRAÇÃO GERAL"/>
    <s v="0001-Administração e Coordenação Geral​"/>
    <s v="2.011-Manutenção de Equipamentos Públicos "/>
    <s v="4.4.50.52.00-EQUIPAMENTOS E MATERIAL PERMANENTE"/>
    <x v="7"/>
    <x v="0"/>
    <n v="3000"/>
    <x v="0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0"/>
    <x v="0"/>
    <n v="4200"/>
    <x v="0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3"/>
    <x v="0"/>
    <n v="1"/>
    <x v="0"/>
  </r>
  <r>
    <s v="04"/>
    <s v="001"/>
    <s v="04"/>
    <s v="126"/>
    <s v="0002"/>
    <x v="1"/>
    <x v="5"/>
    <x v="8"/>
    <x v="1"/>
    <s v="001-GABINETE DA SECRETARIA DE FINANÇAS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1"/>
    <n v="7642566.5899999999"/>
    <x v="0"/>
  </r>
  <r>
    <s v="04"/>
    <s v="001"/>
    <s v="04"/>
    <s v="126"/>
    <s v="0002"/>
    <x v="1"/>
    <x v="5"/>
    <x v="8"/>
    <x v="1"/>
    <s v="001-GABINETE DA SECRETARIA DE FINANÇAS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6"/>
    <x v="2"/>
    <n v="32880000"/>
    <x v="0"/>
  </r>
  <r>
    <s v="04"/>
    <s v="001"/>
    <s v="04"/>
    <s v="126"/>
    <s v="0002"/>
    <x v="1"/>
    <x v="1"/>
    <x v="9"/>
    <x v="1"/>
    <s v="001-GABINETE DA SECRETARIA DE FINANÇAS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8"/>
    <x v="3"/>
    <n v="1000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5"/>
    <x v="4"/>
    <n v="165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5"/>
    <n v="20000"/>
    <x v="0"/>
  </r>
  <r>
    <s v="04"/>
    <s v="001"/>
    <s v="04"/>
    <s v="122"/>
    <s v="0001"/>
    <x v="0"/>
    <x v="6"/>
    <x v="11"/>
    <x v="1"/>
    <s v="001-GABINETE DA SECRETARIA DE FINANÇAS"/>
    <s v="4-ADMINISTRAÇÃO"/>
    <s v="122-ADMINISTRAÇÃO GERAL"/>
    <s v="0001-Administração e Coordenação Geral​"/>
    <s v="2.011-Manutenção de Equipamentos Públicos "/>
    <s v="3.3.90.93.00-INDENIZAÇÕES E RESTITUIÇÕES"/>
    <x v="17"/>
    <x v="6"/>
    <n v="10000"/>
    <x v="0"/>
  </r>
  <r>
    <s v="04"/>
    <s v="001"/>
    <s v="04"/>
    <s v="122"/>
    <s v="0002"/>
    <x v="0"/>
    <x v="7"/>
    <x v="12"/>
    <x v="1"/>
    <s v="001-GABINETE DA SECRETARIA DE FINANÇAS"/>
    <s v="4-ADMINISTRAÇÃO"/>
    <s v="122-ADMINISTRAÇÃO GERAL"/>
    <s v="0002-Governo Inteligente, Aberto e Inovador​"/>
    <s v="2.011-Manutenção de Equipamentos Públicos "/>
    <s v="3.3.90.33.00-PASSAGENS E DESPESAS COM LOCOMOÇÃO"/>
    <x v="18"/>
    <x v="7"/>
    <n v="400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8"/>
    <n v="250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9"/>
    <n v="100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10"/>
    <n v="2000"/>
    <x v="0"/>
  </r>
  <r>
    <s v="04"/>
    <s v="001"/>
    <s v="04"/>
    <s v="122"/>
    <s v="0001"/>
    <x v="0"/>
    <x v="1"/>
    <x v="10"/>
    <x v="1"/>
    <s v="001-GABINETE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11"/>
    <n v="5000"/>
    <x v="0"/>
  </r>
  <r>
    <s v="04"/>
    <s v="001"/>
    <s v="04"/>
    <s v="122"/>
    <s v="0001"/>
    <x v="0"/>
    <x v="8"/>
    <x v="13"/>
    <x v="1"/>
    <s v="001-GABINETE DA SECRETARIA DE FINANÇAS"/>
    <s v="4-ADMINISTRAÇÃO"/>
    <s v="122-ADMINISTRAÇÃO GERAL"/>
    <s v="0001-Administração e Coordenação Geral​"/>
    <s v="2.011-Manutenção de Equipamentos Públicos "/>
    <s v="4.4.90.52.00-EQUIPAMENTOS E MATERIAL PERMANENTE"/>
    <x v="19"/>
    <x v="8"/>
    <n v="40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1"/>
    <x v="12"/>
    <n v="16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1"/>
    <x v="13"/>
    <n v="2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2"/>
    <x v="14"/>
    <n v="10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2"/>
    <x v="15"/>
    <n v="28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20"/>
    <x v="16"/>
    <n v="5000"/>
    <x v="0"/>
  </r>
  <r>
    <s v="04"/>
    <s v="001"/>
    <s v="04"/>
    <s v="122"/>
    <s v="0001"/>
    <x v="0"/>
    <x v="0"/>
    <x v="14"/>
    <x v="1"/>
    <s v="001-GABINETE DA SECRETARIA DE FINANÇAS"/>
    <s v="4-ADMINISTRAÇÃO"/>
    <s v="122-ADMINISTRAÇÃO GERAL"/>
    <s v="0001-Administração e Coordenação Geral​"/>
    <s v="2.011-Manutenção de Equipamentos Públicos "/>
    <s v="3.3.90.30.00-MATERIAL DE CONSUMO"/>
    <x v="21"/>
    <x v="9"/>
    <n v="10000"/>
    <x v="0"/>
  </r>
  <r>
    <s v="05"/>
    <s v="001"/>
    <s v="04"/>
    <s v="122"/>
    <s v="0001"/>
    <x v="0"/>
    <x v="0"/>
    <x v="15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0.00-MATERIAL DE CONSUMO"/>
    <x v="1"/>
    <x v="0"/>
    <n v="25000"/>
    <x v="0"/>
  </r>
  <r>
    <s v="05"/>
    <s v="001"/>
    <s v="04"/>
    <s v="122"/>
    <s v="0001"/>
    <x v="0"/>
    <x v="0"/>
    <x v="15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0.00-MATERIAL DE CONSUMO"/>
    <x v="3"/>
    <x v="0"/>
    <n v="25000"/>
    <x v="0"/>
  </r>
  <r>
    <s v="05"/>
    <s v="001"/>
    <s v="04"/>
    <s v="122"/>
    <s v="0001"/>
    <x v="0"/>
    <x v="0"/>
    <x v="15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0.00-MATERIAL DE CONSUMO"/>
    <x v="2"/>
    <x v="0"/>
    <n v="35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17"/>
    <n v="100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18"/>
    <n v="44279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19"/>
    <n v="27784.02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0"/>
    <n v="15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1"/>
    <n v="49472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2"/>
    <n v="64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3"/>
    <n v="800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4"/>
    <n v="300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25"/>
    <n v="1320000"/>
    <x v="0"/>
  </r>
  <r>
    <s v="05"/>
    <s v="001"/>
    <s v="04"/>
    <s v="126"/>
    <s v="0002"/>
    <x v="1"/>
    <x v="5"/>
    <x v="17"/>
    <x v="2"/>
    <s v="001-GABINETE DA PROCURADORIA GERAL DO MUNICÍPI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26"/>
    <n v="1100000"/>
    <x v="0"/>
  </r>
  <r>
    <s v="05"/>
    <s v="001"/>
    <s v="04"/>
    <s v="122"/>
    <s v="0001"/>
    <x v="0"/>
    <x v="8"/>
    <x v="18"/>
    <x v="2"/>
    <s v="001-GABINETE DA PROCURADORIA GERAL DO MUNICÍPIO"/>
    <s v="4-ADMINISTRAÇÃO"/>
    <s v="122-ADMINISTRAÇÃO GERAL"/>
    <s v="0001-Administração e Coordenação Geral​"/>
    <s v="2.011-Manutenção de Equipamentos Públicos "/>
    <s v="4.4.90.52.00-EQUIPAMENTOS E MATERIAL PERMANENTE"/>
    <x v="19"/>
    <x v="27"/>
    <n v="10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3"/>
    <x v="28"/>
    <n v="8000"/>
    <x v="0"/>
  </r>
  <r>
    <s v="05"/>
    <s v="001"/>
    <s v="04"/>
    <s v="122"/>
    <s v="0001"/>
    <x v="0"/>
    <x v="1"/>
    <x v="16"/>
    <x v="2"/>
    <s v="001-GABINETE DA PROCUR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3"/>
    <x v="29"/>
    <n v="10000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2"/>
    <x v="0"/>
    <n v="150000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3"/>
    <x v="0"/>
    <n v="40468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1"/>
    <x v="0"/>
    <n v="30000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6"/>
    <x v="0"/>
    <n v="10000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21"/>
    <x v="0"/>
    <n v="30000"/>
    <x v="0"/>
  </r>
  <r>
    <s v="06"/>
    <s v="001"/>
    <s v="04"/>
    <s v="122"/>
    <s v="0001"/>
    <x v="0"/>
    <x v="0"/>
    <x v="19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0.00-MATERIAL DE CONSUMO"/>
    <x v="24"/>
    <x v="0"/>
    <n v="10000"/>
    <x v="0"/>
  </r>
  <r>
    <s v="06"/>
    <s v="001"/>
    <s v="04"/>
    <s v="122"/>
    <s v="0001"/>
    <x v="0"/>
    <x v="8"/>
    <x v="20"/>
    <x v="3"/>
    <s v="001-GABINETE DA SECRETARIA DE ADMINISTRAÇÃO"/>
    <s v="4-ADMINISTRAÇÃO"/>
    <s v="122-ADMINISTRAÇÃO GERAL"/>
    <s v="0001-Administração e Coordenação Geral​"/>
    <s v="2.011-Manutenção de Equipamentos Públicos "/>
    <s v="4.4.90.52.00-EQUIPAMENTOS E MATERIAL PERMANENTE"/>
    <x v="25"/>
    <x v="0"/>
    <n v="100000"/>
    <x v="0"/>
  </r>
  <r>
    <s v="06"/>
    <s v="001"/>
    <s v="04"/>
    <s v="122"/>
    <s v="0001"/>
    <x v="0"/>
    <x v="1"/>
    <x v="21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30"/>
    <n v="12898089.6"/>
    <x v="0"/>
  </r>
  <r>
    <s v="06"/>
    <s v="001"/>
    <s v="04"/>
    <s v="122"/>
    <s v="0001"/>
    <x v="0"/>
    <x v="1"/>
    <x v="21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6"/>
    <x v="31"/>
    <n v="72000"/>
    <x v="0"/>
  </r>
  <r>
    <s v="06"/>
    <s v="001"/>
    <s v="04"/>
    <s v="122"/>
    <s v="0001"/>
    <x v="0"/>
    <x v="1"/>
    <x v="21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32"/>
    <n v="82000"/>
    <x v="0"/>
  </r>
  <r>
    <s v="06"/>
    <s v="001"/>
    <s v="04"/>
    <s v="122"/>
    <s v="0001"/>
    <x v="0"/>
    <x v="1"/>
    <x v="21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33"/>
    <n v="1433376"/>
    <x v="0"/>
  </r>
  <r>
    <s v="06"/>
    <s v="001"/>
    <s v="04"/>
    <s v="122"/>
    <s v="0001"/>
    <x v="0"/>
    <x v="1"/>
    <x v="21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0"/>
    <n v="34432"/>
    <x v="0"/>
  </r>
  <r>
    <s v="06"/>
    <s v="001"/>
    <s v="04"/>
    <s v="122"/>
    <s v="0001"/>
    <x v="0"/>
    <x v="9"/>
    <x v="22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92.00-DESPESAS DE EXERCÍCIOS ANTERIORES"/>
    <x v="22"/>
    <x v="0"/>
    <n v="1"/>
    <x v="0"/>
  </r>
  <r>
    <s v="06"/>
    <s v="001"/>
    <s v="04"/>
    <s v="122"/>
    <s v="0001"/>
    <x v="0"/>
    <x v="6"/>
    <x v="23"/>
    <x v="3"/>
    <s v="001-GABINETE DA SECRETARIA DE ADMINISTRAÇÃO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1"/>
    <x v="0"/>
  </r>
  <r>
    <s v="06"/>
    <s v="011"/>
    <s v="04"/>
    <s v="128"/>
    <s v="0002"/>
    <x v="2"/>
    <x v="0"/>
    <x v="24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30.00-MATERIAL DE CONSUMO"/>
    <x v="3"/>
    <x v="0"/>
    <n v="100000"/>
    <x v="0"/>
  </r>
  <r>
    <s v="06"/>
    <s v="011"/>
    <s v="04"/>
    <s v="128"/>
    <s v="0002"/>
    <x v="2"/>
    <x v="1"/>
    <x v="25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22"/>
    <x v="0"/>
    <n v="100000"/>
    <x v="0"/>
  </r>
  <r>
    <s v="06"/>
    <s v="011"/>
    <s v="04"/>
    <s v="128"/>
    <s v="0002"/>
    <x v="2"/>
    <x v="5"/>
    <x v="26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40.00-SERVIÇOS DE TECNOLOGIA DA INFORMAÇÃO E COMUNICAÇÃO - PESSOA JURÍDICA"/>
    <x v="14"/>
    <x v="0"/>
    <n v="100000"/>
    <x v="0"/>
  </r>
  <r>
    <s v="06"/>
    <s v="011"/>
    <s v="04"/>
    <s v="128"/>
    <s v="0002"/>
    <x v="2"/>
    <x v="8"/>
    <x v="27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4.4.90.52.00-EQUIPAMENTOS E MATERIAL PERMANENTE"/>
    <x v="19"/>
    <x v="0"/>
    <n v="100000"/>
    <x v="0"/>
  </r>
  <r>
    <s v="07"/>
    <s v="001"/>
    <s v="04"/>
    <s v="122"/>
    <s v="0001"/>
    <x v="3"/>
    <x v="7"/>
    <x v="28"/>
    <x v="4"/>
    <s v="001-GABINETE DA SECRETARIA DE EMPREGO, TRABALHO E RENDA"/>
    <s v="4-ADMINISTRAÇÃO"/>
    <s v="122-ADMINISTRAÇÃO GERAL"/>
    <s v="0001-Administração e Coordenação Geral​"/>
    <s v="2.006-Representações Oficiais "/>
    <s v="3.3.90.33.00-PASSAGENS E DESPESAS COM LOCOMOÇÃO"/>
    <x v="18"/>
    <x v="34"/>
    <n v="15000"/>
    <x v="0"/>
  </r>
  <r>
    <s v="07"/>
    <s v="001"/>
    <s v="04"/>
    <s v="122"/>
    <s v="0001"/>
    <x v="3"/>
    <x v="1"/>
    <x v="29"/>
    <x v="4"/>
    <s v="001-GABINETE DA SECRETARIA DE EMPREGO, TRABALHO E RENDA"/>
    <s v="4-ADMINISTRAÇÃO"/>
    <s v="122-ADMINISTRAÇÃO GERAL"/>
    <s v="0001-Administração e Coordenação Geral​"/>
    <s v="2.006-Representações Oficiais "/>
    <s v="3.3.90.39.00-OUTROS SERVIÇOS DE TERCEIROS - PESSOA JURÍDICA"/>
    <x v="15"/>
    <x v="35"/>
    <n v="15000"/>
    <x v="0"/>
  </r>
  <r>
    <s v="07"/>
    <s v="001"/>
    <s v="04"/>
    <s v="122"/>
    <s v="0002"/>
    <x v="2"/>
    <x v="10"/>
    <x v="30"/>
    <x v="4"/>
    <s v="001-GABINETE DA SECRETARIA DE EMPREGO, TRABALHO E RENDA"/>
    <s v="4-ADMINISTRAÇÃO"/>
    <s v="122-ADMINISTRAÇÃO GERAL"/>
    <s v="0002-Governo Inteligente, Aberto e Inovador​"/>
    <s v="2.003-Qualificação de Servidores e Processos Institucionais"/>
    <s v="3.3.90.36.00-OUTROS SERVIÇOS DE TERCEIROS - PESSOA FÍSICA"/>
    <x v="18"/>
    <x v="36"/>
    <n v="1"/>
    <x v="0"/>
  </r>
  <r>
    <s v="07"/>
    <s v="001"/>
    <s v="04"/>
    <s v="122"/>
    <s v="0002"/>
    <x v="2"/>
    <x v="1"/>
    <x v="31"/>
    <x v="4"/>
    <s v="001-GABINETE DA SECRETARIA DE EMPREGO, TRABALHO E RENDA"/>
    <s v="4-ADMINISTRAÇÃO"/>
    <s v="122-ADMINISTRAÇÃO GERAL"/>
    <s v="0002-Governo Inteligente, Aberto e Inovador​"/>
    <s v="2.003-Qualificação de Servidores e Processos Institucionais"/>
    <s v="3.3.90.39.00-OUTROS SERVIÇOS DE TERCEIROS - PESSOA JURÍDICA"/>
    <x v="15"/>
    <x v="37"/>
    <n v="1"/>
    <x v="0"/>
  </r>
  <r>
    <s v="07"/>
    <s v="001"/>
    <s v="04"/>
    <s v="122"/>
    <s v="0002"/>
    <x v="4"/>
    <x v="0"/>
    <x v="32"/>
    <x v="4"/>
    <s v="001-GABINETE DA SECRETARIA DE EMPREGO, TRABALHO E RENDA"/>
    <s v="4-ADMINISTRAÇÃO"/>
    <s v="122-ADMINISTRAÇÃO GERAL"/>
    <s v="0002-Governo Inteligente, Aberto e Inovador​"/>
    <s v="2.005-Promoção de Eventos, Comunicação e Participação Social "/>
    <s v="3.3.90.30.00-MATERIAL DE CONSUMO"/>
    <x v="12"/>
    <x v="38"/>
    <m/>
    <x v="0"/>
  </r>
  <r>
    <s v="07"/>
    <s v="001"/>
    <s v="04"/>
    <s v="122"/>
    <s v="0002"/>
    <x v="4"/>
    <x v="1"/>
    <x v="33"/>
    <x v="4"/>
    <s v="001-GABINETE DA SECRETARIA DE EMPREGO, TRABALHO E RENDA"/>
    <s v="4-ADMINISTRAÇÃO"/>
    <s v="122-ADMINISTRAÇÃO GERAL"/>
    <s v="0002-Governo Inteligente, Aberto e Inovador​"/>
    <s v="2.005-Promoção de Eventos, Comunicação e Participação Social "/>
    <s v="3.3.90.39.00-OUTROS SERVIÇOS DE TERCEIROS - PESSOA JURÍDICA"/>
    <x v="27"/>
    <x v="39"/>
    <m/>
    <x v="0"/>
  </r>
  <r>
    <s v="07"/>
    <s v="001"/>
    <s v="11"/>
    <s v="334"/>
    <s v="0017"/>
    <x v="5"/>
    <x v="1"/>
    <x v="34"/>
    <x v="4"/>
    <s v="001-GABINETE DA SECRETARIA DE EMPREGO, TRABALHO E RENDA"/>
    <s v="11-TRABALHO"/>
    <s v="334-FOMENTO AO TRABALHO"/>
    <s v="0017-Trabalho, Emprego e Renda​"/>
    <s v="1.002-Reforma e Ampliação de Unidades"/>
    <s v="3.3.90.39.00-OUTROS SERVIÇOS DE TERCEIROS - PESSOA JURÍDICA"/>
    <x v="15"/>
    <x v="40"/>
    <m/>
    <x v="0"/>
  </r>
  <r>
    <s v="07"/>
    <s v="001"/>
    <s v="11"/>
    <s v="334"/>
    <s v="0017"/>
    <x v="0"/>
    <x v="0"/>
    <x v="35"/>
    <x v="4"/>
    <s v="001-GABINETE DA SECRETARIA DE EMPREGO, TRABALHO E RENDA"/>
    <s v="11-TRABALHO"/>
    <s v="334-FOMENTO AO TRABALHO"/>
    <s v="0017-Trabalho, Emprego e Renda​"/>
    <s v="2.011-Manutenção de Equipamentos Públicos "/>
    <s v="3.3.90.30.00-MATERIAL DE CONSUMO"/>
    <x v="12"/>
    <x v="41"/>
    <n v="15000"/>
    <x v="0"/>
  </r>
  <r>
    <s v="07"/>
    <s v="001"/>
    <s v="11"/>
    <s v="334"/>
    <s v="0017"/>
    <x v="0"/>
    <x v="0"/>
    <x v="35"/>
    <x v="4"/>
    <s v="001-GABINETE DA SECRETARIA DE EMPREGO, TRABALHO E RENDA"/>
    <s v="11-TRABALHO"/>
    <s v="334-FOMENTO AO TRABALHO"/>
    <s v="0017-Trabalho, Emprego e Renda​"/>
    <s v="2.011-Manutenção de Equipamentos Públicos "/>
    <s v="3.3.90.30.00-MATERIAL DE CONSUMO"/>
    <x v="2"/>
    <x v="41"/>
    <n v="60000"/>
    <x v="0"/>
  </r>
  <r>
    <s v="07"/>
    <s v="001"/>
    <s v="11"/>
    <s v="334"/>
    <s v="0017"/>
    <x v="0"/>
    <x v="0"/>
    <x v="35"/>
    <x v="4"/>
    <s v="001-GABINETE DA SECRETARIA DE EMPREGO, TRABALHO E RENDA"/>
    <s v="11-TRABALHO"/>
    <s v="334-FOMENTO AO TRABALHO"/>
    <s v="0017-Trabalho, Emprego e Renda​"/>
    <s v="2.011-Manutenção de Equipamentos Públicos "/>
    <s v="3.3.90.30.00-MATERIAL DE CONSUMO"/>
    <x v="3"/>
    <x v="41"/>
    <n v="50000"/>
    <x v="0"/>
  </r>
  <r>
    <s v="07"/>
    <s v="001"/>
    <s v="11"/>
    <s v="334"/>
    <s v="0017"/>
    <x v="0"/>
    <x v="0"/>
    <x v="35"/>
    <x v="4"/>
    <s v="001-GABINETE DA SECRETARIA DE EMPREGO, TRABALHO E RENDA"/>
    <s v="11-TRABALHO"/>
    <s v="334-FOMENTO AO TRABALHO"/>
    <s v="0017-Trabalho, Emprego e Renda​"/>
    <s v="2.011-Manutenção de Equipamentos Públicos "/>
    <s v="3.3.90.30.00-MATERIAL DE CONSUMO"/>
    <x v="1"/>
    <x v="41"/>
    <n v="40000"/>
    <x v="0"/>
  </r>
  <r>
    <s v="07"/>
    <s v="001"/>
    <s v="11"/>
    <s v="334"/>
    <s v="0017"/>
    <x v="0"/>
    <x v="0"/>
    <x v="35"/>
    <x v="4"/>
    <s v="001-GABINETE DA SECRETARIA DE EMPREGO, TRABALHO E RENDA"/>
    <s v="11-TRABALHO"/>
    <s v="334-FOMENTO AO TRABALHO"/>
    <s v="0017-Trabalho, Emprego e Renda​"/>
    <s v="2.011-Manutenção de Equipamentos Públicos "/>
    <s v="3.3.90.30.00-MATERIAL DE CONSUMO"/>
    <x v="20"/>
    <x v="41"/>
    <n v="15000"/>
    <x v="0"/>
  </r>
  <r>
    <s v="07"/>
    <s v="001"/>
    <s v="11"/>
    <s v="334"/>
    <s v="0017"/>
    <x v="0"/>
    <x v="1"/>
    <x v="36"/>
    <x v="4"/>
    <s v="001-GABINETE DA SECRETARIA DE EMPREGO, TRABALHO E RENDA"/>
    <s v="11-TRABALHO"/>
    <s v="334-FOMENTO AO TRABALHO"/>
    <s v="0017-Trabalho, Emprego e Renda​"/>
    <s v="2.011-Manutenção de Equipamentos Públicos "/>
    <s v="3.3.90.39.00-OUTROS SERVIÇOS DE TERCEIROS - PESSOA JURÍDICA"/>
    <x v="27"/>
    <x v="42"/>
    <n v="80000"/>
    <x v="0"/>
  </r>
  <r>
    <s v="07"/>
    <s v="001"/>
    <s v="11"/>
    <s v="334"/>
    <s v="0017"/>
    <x v="0"/>
    <x v="1"/>
    <x v="36"/>
    <x v="4"/>
    <s v="001-GABINETE DA SECRETARIA DE EMPREGO, TRABALHO E RENDA"/>
    <s v="11-TRABALHO"/>
    <s v="334-FOMENTO AO TRABALHO"/>
    <s v="0017-Trabalho, Emprego e Renda​"/>
    <s v="2.011-Manutenção de Equipamentos Públicos "/>
    <s v="3.3.90.39.00-OUTROS SERVIÇOS DE TERCEIROS - PESSOA JURÍDICA"/>
    <x v="15"/>
    <x v="42"/>
    <n v="120000"/>
    <x v="0"/>
  </r>
  <r>
    <s v="07"/>
    <s v="001"/>
    <s v="11"/>
    <s v="334"/>
    <s v="0017"/>
    <x v="0"/>
    <x v="8"/>
    <x v="37"/>
    <x v="4"/>
    <s v="001-GABINETE DA SECRETARIA DE EMPREGO, TRABALHO E RENDA"/>
    <s v="11-TRABALHO"/>
    <s v="334-FOMENTO AO TRABALHO"/>
    <s v="0017-Trabalho, Emprego e Renda​"/>
    <s v="2.011-Manutenção de Equipamentos Públicos "/>
    <s v="4.4.90.52.00-EQUIPAMENTOS E MATERIAL PERMANENTE"/>
    <x v="7"/>
    <x v="42"/>
    <n v="35000"/>
    <x v="0"/>
  </r>
  <r>
    <s v="07"/>
    <s v="001"/>
    <s v="11"/>
    <s v="334"/>
    <s v="0017"/>
    <x v="0"/>
    <x v="8"/>
    <x v="37"/>
    <x v="4"/>
    <s v="001-GABINETE DA SECRETARIA DE EMPREGO, TRABALHO E RENDA"/>
    <s v="11-TRABALHO"/>
    <s v="334-FOMENTO AO TRABALHO"/>
    <s v="0017-Trabalho, Emprego e Renda​"/>
    <s v="2.011-Manutenção de Equipamentos Públicos "/>
    <s v="4.4.90.52.00-EQUIPAMENTOS E MATERIAL PERMANENTE"/>
    <x v="28"/>
    <x v="42"/>
    <n v="150000"/>
    <x v="0"/>
  </r>
  <r>
    <s v="07"/>
    <s v="001"/>
    <s v="11"/>
    <s v="333"/>
    <s v="0017"/>
    <x v="6"/>
    <x v="0"/>
    <x v="38"/>
    <x v="4"/>
    <s v="001-GABINETE DA SECRETARIA DE EMPREGO, TRABALHO E RENDA"/>
    <s v="11-TRABALHO"/>
    <s v="333-EMPREGABILIDADE"/>
    <s v="0017-Trabalho, Emprego e Renda​"/>
    <s v="2.027-Intermediação Profissional "/>
    <s v="3.3.90.30.00-MATERIAL DE CONSUMO"/>
    <x v="12"/>
    <x v="42"/>
    <n v="10000"/>
    <x v="0"/>
  </r>
  <r>
    <s v="07"/>
    <s v="001"/>
    <s v="11"/>
    <s v="333"/>
    <s v="0017"/>
    <x v="6"/>
    <x v="1"/>
    <x v="39"/>
    <x v="4"/>
    <s v="001-GABINETE DA SECRETARIA DE EMPREGO, TRABALHO E RENDA"/>
    <s v="11-TRABALHO"/>
    <s v="333-EMPREGABILIDADE"/>
    <s v="0017-Trabalho, Emprego e Renda​"/>
    <s v="2.027-Intermediação Profissional "/>
    <s v="3.3.90.39.00-OUTROS SERVIÇOS DE TERCEIROS - PESSOA JURÍDICA"/>
    <x v="15"/>
    <x v="43"/>
    <n v="16069995.26"/>
    <x v="0"/>
  </r>
  <r>
    <s v="07"/>
    <s v="001"/>
    <s v="11"/>
    <s v="333"/>
    <s v="0017"/>
    <x v="6"/>
    <x v="1"/>
    <x v="39"/>
    <x v="4"/>
    <s v="001-GABINETE DA SECRETARIA DE EMPREGO, TRABALHO E RENDA"/>
    <s v="11-TRABALHO"/>
    <s v="333-EMPREGABILIDADE"/>
    <s v="0017-Trabalho, Emprego e Renda​"/>
    <s v="2.027-Intermediação Profissional "/>
    <s v="3.3.90.39.00-OUTROS SERVIÇOS DE TERCEIROS - PESSOA JURÍDICA"/>
    <x v="27"/>
    <x v="42"/>
    <n v="30000"/>
    <x v="0"/>
  </r>
  <r>
    <s v="07"/>
    <s v="001"/>
    <s v="11"/>
    <s v="333"/>
    <s v="0017"/>
    <x v="6"/>
    <x v="1"/>
    <x v="39"/>
    <x v="4"/>
    <s v="001-GABINETE DA SECRETARIA DE EMPREGO, TRABALHO E RENDA"/>
    <s v="11-TRABALHO"/>
    <s v="333-EMPREGABILIDADE"/>
    <s v="0017-Trabalho, Emprego e Renda​"/>
    <s v="2.027-Intermediação Profissional "/>
    <s v="3.3.90.39.00-OUTROS SERVIÇOS DE TERCEIROS - PESSOA JURÍDICA"/>
    <x v="13"/>
    <x v="42"/>
    <n v="15000"/>
    <x v="0"/>
  </r>
  <r>
    <s v="07"/>
    <s v="001"/>
    <s v="11"/>
    <s v="333"/>
    <s v="0017"/>
    <x v="6"/>
    <x v="1"/>
    <x v="39"/>
    <x v="4"/>
    <s v="001-GABINETE DA SECRETARIA DE EMPREGO, TRABALHO E RENDA"/>
    <s v="11-TRABALHO"/>
    <s v="333-EMPREGABILIDADE"/>
    <s v="0017-Trabalho, Emprego e Renda​"/>
    <s v="2.027-Intermediação Profissional "/>
    <s v="3.3.90.39.00-OUTROS SERVIÇOS DE TERCEIROS - PESSOA JURÍDICA"/>
    <x v="29"/>
    <x v="42"/>
    <n v="15000"/>
    <x v="0"/>
  </r>
  <r>
    <s v="07"/>
    <s v="001"/>
    <s v="11"/>
    <s v="333"/>
    <s v="0017"/>
    <x v="6"/>
    <x v="8"/>
    <x v="40"/>
    <x v="4"/>
    <s v="001-GABINETE DA SECRETARIA DE EMPREGO, TRABALHO E RENDA"/>
    <s v="11-TRABALHO"/>
    <s v="333-EMPREGABILIDADE"/>
    <s v="0017-Trabalho, Emprego e Renda​"/>
    <s v="2.027-Intermediação Profissional "/>
    <s v="4.4.90.52.00-EQUIPAMENTOS E MATERIAL PERMANENTE"/>
    <x v="28"/>
    <x v="42"/>
    <n v="150000"/>
    <x v="0"/>
  </r>
  <r>
    <s v="07"/>
    <s v="001"/>
    <s v="11"/>
    <s v="333"/>
    <s v="0017"/>
    <x v="7"/>
    <x v="11"/>
    <x v="41"/>
    <x v="4"/>
    <s v="001-GABINETE DA SECRETARIA DE EMPREGO, TRABALHO E RENDA"/>
    <s v="11-TRABALHO"/>
    <s v="333-EMPREGABILIDADE"/>
    <s v="0017-Trabalho, Emprego e Renda​"/>
    <s v="2.004-Qualificação Socioprofissional "/>
    <s v="3.3.50.39.00-OUTROS SERVIÇOS DE TERCEIROS - PESSOA JURÍDICA"/>
    <x v="30"/>
    <x v="44"/>
    <n v="2834440"/>
    <x v="0"/>
  </r>
  <r>
    <s v="07"/>
    <s v="001"/>
    <s v="11"/>
    <s v="333"/>
    <s v="0017"/>
    <x v="7"/>
    <x v="0"/>
    <x v="42"/>
    <x v="4"/>
    <s v="001-GABINETE DA SECRETARIA DE EMPREGO, TRABALHO E RENDA"/>
    <s v="11-TRABALHO"/>
    <s v="333-EMPREGABILIDADE"/>
    <s v="0017-Trabalho, Emprego e Renda​"/>
    <s v="2.004-Qualificação Socioprofissional "/>
    <s v="3.3.90.30.00-MATERIAL DE CONSUMO"/>
    <x v="3"/>
    <x v="42"/>
    <n v="45000"/>
    <x v="0"/>
  </r>
  <r>
    <s v="07"/>
    <s v="001"/>
    <s v="11"/>
    <s v="333"/>
    <s v="0017"/>
    <x v="7"/>
    <x v="1"/>
    <x v="43"/>
    <x v="4"/>
    <s v="001-GABINETE DA SECRETARIA DE EMPREGO, TRABALHO E RENDA"/>
    <s v="11-TRABALHO"/>
    <s v="333-EMPREGABILIDADE"/>
    <s v="0017-Trabalho, Emprego e Renda​"/>
    <s v="2.004-Qualificação Socioprofissional "/>
    <s v="3.3.90.39.00-OUTROS SERVIÇOS DE TERCEIROS - PESSOA JURÍDICA"/>
    <x v="27"/>
    <x v="42"/>
    <n v="30000"/>
    <x v="0"/>
  </r>
  <r>
    <s v="07"/>
    <s v="001"/>
    <s v="11"/>
    <s v="333"/>
    <s v="0017"/>
    <x v="7"/>
    <x v="1"/>
    <x v="43"/>
    <x v="4"/>
    <s v="001-GABINETE DA SECRETARIA DE EMPREGO, TRABALHO E RENDA"/>
    <s v="11-TRABALHO"/>
    <s v="333-EMPREGABILIDADE"/>
    <s v="0017-Trabalho, Emprego e Renda​"/>
    <s v="2.004-Qualificação Socioprofissional "/>
    <s v="3.3.90.39.00-OUTROS SERVIÇOS DE TERCEIROS - PESSOA JURÍDICA"/>
    <x v="13"/>
    <x v="42"/>
    <n v="30000"/>
    <x v="0"/>
  </r>
  <r>
    <s v="07"/>
    <s v="001"/>
    <s v="11"/>
    <s v="333"/>
    <s v="0017"/>
    <x v="7"/>
    <x v="1"/>
    <x v="43"/>
    <x v="4"/>
    <s v="001-GABINETE DA SECRETARIA DE EMPREGO, TRABALHO E RENDA"/>
    <s v="11-TRABALHO"/>
    <s v="333-EMPREGABILIDADE"/>
    <s v="0017-Trabalho, Emprego e Renda​"/>
    <s v="2.004-Qualificação Socioprofissional "/>
    <s v="3.3.90.39.00-OUTROS SERVIÇOS DE TERCEIROS - PESSOA JURÍDICA"/>
    <x v="15"/>
    <x v="42"/>
    <n v="30000"/>
    <x v="0"/>
  </r>
  <r>
    <s v="07"/>
    <s v="001"/>
    <s v="11"/>
    <s v="334"/>
    <s v="0017"/>
    <x v="8"/>
    <x v="0"/>
    <x v="44"/>
    <x v="4"/>
    <s v="001-GABINETE DA SECRETARIA DE EMPREGO, TRABALHO E RENDA"/>
    <s v="11-TRABALHO"/>
    <s v="334-FOMENTO AO TRABALHO"/>
    <s v="0017-Trabalho, Emprego e Renda​"/>
    <s v="2.033-Fortalecimento da Economia Criativa e Solidária "/>
    <s v="3.3.90.30.00-MATERIAL DE CONSUMO"/>
    <x v="6"/>
    <x v="45"/>
    <n v="63200"/>
    <x v="0"/>
  </r>
  <r>
    <s v="07"/>
    <s v="001"/>
    <s v="11"/>
    <s v="334"/>
    <s v="0017"/>
    <x v="8"/>
    <x v="0"/>
    <x v="44"/>
    <x v="4"/>
    <s v="001-GABINETE DA SECRETARIA DE EMPREGO, TRABALHO E RENDA"/>
    <s v="11-TRABALHO"/>
    <s v="334-FOMENTO AO TRABALHO"/>
    <s v="0017-Trabalho, Emprego e Renda​"/>
    <s v="2.033-Fortalecimento da Economia Criativa e Solidária "/>
    <s v="3.3.90.30.00-MATERIAL DE CONSUMO"/>
    <x v="31"/>
    <x v="45"/>
    <n v="30000"/>
    <x v="0"/>
  </r>
  <r>
    <s v="07"/>
    <s v="001"/>
    <s v="11"/>
    <s v="334"/>
    <s v="0017"/>
    <x v="8"/>
    <x v="1"/>
    <x v="45"/>
    <x v="4"/>
    <s v="001-GABINETE DA SECRETARIA DE EMPREGO, TRABALHO E RENDA"/>
    <s v="11-TRABALHO"/>
    <s v="334-FOMENTO AO TRABALHO"/>
    <s v="0017-Trabalho, Emprego e Renda​"/>
    <s v="2.033-Fortalecimento da Economia Criativa e Solidária "/>
    <s v="3.3.90.39.00-OUTROS SERVIÇOS DE TERCEIROS - PESSOA JURÍDICA"/>
    <x v="13"/>
    <x v="46"/>
    <n v="20000"/>
    <x v="0"/>
  </r>
  <r>
    <s v="07"/>
    <s v="001"/>
    <s v="11"/>
    <s v="334"/>
    <s v="0017"/>
    <x v="8"/>
    <x v="1"/>
    <x v="45"/>
    <x v="4"/>
    <s v="001-GABINETE DA SECRETARIA DE EMPREGO, TRABALHO E RENDA"/>
    <s v="11-TRABALHO"/>
    <s v="334-FOMENTO AO TRABALHO"/>
    <s v="0017-Trabalho, Emprego e Renda​"/>
    <s v="2.033-Fortalecimento da Economia Criativa e Solidária "/>
    <s v="3.3.90.39.00-OUTROS SERVIÇOS DE TERCEIROS - PESSOA JURÍDICA"/>
    <x v="32"/>
    <x v="46"/>
    <n v="15000"/>
    <x v="0"/>
  </r>
  <r>
    <s v="07"/>
    <s v="001"/>
    <s v="11"/>
    <s v="334"/>
    <s v="0017"/>
    <x v="8"/>
    <x v="1"/>
    <x v="45"/>
    <x v="4"/>
    <s v="001-GABINETE DA SECRETARIA DE EMPREGO, TRABALHO E RENDA"/>
    <s v="11-TRABALHO"/>
    <s v="334-FOMENTO AO TRABALHO"/>
    <s v="0017-Trabalho, Emprego e Renda​"/>
    <s v="2.033-Fortalecimento da Economia Criativa e Solidária "/>
    <s v="3.3.90.39.00-OUTROS SERVIÇOS DE TERCEIROS - PESSOA JURÍDICA"/>
    <x v="27"/>
    <x v="46"/>
    <n v="25000"/>
    <x v="0"/>
  </r>
  <r>
    <s v="07"/>
    <s v="001"/>
    <s v="11"/>
    <s v="334"/>
    <s v="0017"/>
    <x v="8"/>
    <x v="8"/>
    <x v="46"/>
    <x v="4"/>
    <s v="001-GABINETE DA SECRETARIA DE EMPREGO, TRABALHO E RENDA"/>
    <s v="11-TRABALHO"/>
    <s v="334-FOMENTO AO TRABALHO"/>
    <s v="0017-Trabalho, Emprego e Renda​"/>
    <s v="2.033-Fortalecimento da Economia Criativa e Solidária "/>
    <s v="4.4.90.52.00-EQUIPAMENTOS E MATERIAL PERMANENTE"/>
    <x v="19"/>
    <x v="42"/>
    <n v="40000"/>
    <x v="0"/>
  </r>
  <r>
    <s v="07"/>
    <s v="001"/>
    <s v="11"/>
    <s v="334"/>
    <s v="0017"/>
    <x v="6"/>
    <x v="0"/>
    <x v="47"/>
    <x v="4"/>
    <s v="001-FUNDO MUNICIPAL DO TRABALHO"/>
    <s v="11-TRABALHO"/>
    <s v="334-FOMENTO AO TRABALHO"/>
    <s v="0017-Trabalho, Emprego e Renda​"/>
    <s v="2.027-Intermediação Profissional "/>
    <s v="3.3.90.30.00-MATERIAL DE CONSUMO"/>
    <x v="6"/>
    <x v="42"/>
    <n v="1"/>
    <x v="0"/>
  </r>
  <r>
    <s v="07"/>
    <s v="001"/>
    <s v="11"/>
    <s v="334"/>
    <s v="0017"/>
    <x v="6"/>
    <x v="1"/>
    <x v="48"/>
    <x v="4"/>
    <s v="001-FUNDO MUNICIPAL DO TRABALHO"/>
    <s v="11-TRABALHO"/>
    <s v="334-FOMENTO AO TRABALHO"/>
    <s v="0017-Trabalho, Emprego e Renda​"/>
    <s v="2.027-Intermediação Profissional "/>
    <s v="3.3.90.39.00-OUTROS SERVIÇOS DE TERCEIROS - PESSOA JURÍDICA"/>
    <x v="15"/>
    <x v="47"/>
    <n v="1"/>
    <x v="0"/>
  </r>
  <r>
    <s v="07"/>
    <s v="001"/>
    <s v="11"/>
    <s v="334"/>
    <s v="0017"/>
    <x v="6"/>
    <x v="8"/>
    <x v="49"/>
    <x v="4"/>
    <s v="001-FUNDO MUNICIPAL DO TRABALHO"/>
    <s v="11-TRABALHO"/>
    <s v="334-FOMENTO AO TRABALHO"/>
    <s v="0017-Trabalho, Emprego e Renda​"/>
    <s v="2.027-Intermediação Profissional "/>
    <s v="4.4.90.52.00-EQUIPAMENTOS E MATERIAL PERMANENTE"/>
    <x v="28"/>
    <x v="42"/>
    <n v="1"/>
    <x v="0"/>
  </r>
  <r>
    <s v="07"/>
    <s v="001"/>
    <s v="11"/>
    <s v="334"/>
    <s v="0017"/>
    <x v="9"/>
    <x v="0"/>
    <x v="50"/>
    <x v="4"/>
    <s v="001-GABINETE DA SECRETARIA DE EMPREGO, TRABALHO E RENDA"/>
    <s v="11-TRABALHO"/>
    <s v="334-FOMENTO AO TRABALHO"/>
    <s v="0017-Trabalho, Emprego e Renda​"/>
    <s v="2.025-Auxílio para Inclusão no Mercado de Trabalho "/>
    <s v="3.3.90.30.00-MATERIAL DE CONSUMO"/>
    <x v="3"/>
    <x v="42"/>
    <n v="40000"/>
    <x v="0"/>
  </r>
  <r>
    <s v="07"/>
    <s v="001"/>
    <s v="11"/>
    <s v="334"/>
    <s v="0017"/>
    <x v="9"/>
    <x v="0"/>
    <x v="50"/>
    <x v="4"/>
    <s v="001-GABINETE DA SECRETARIA DE EMPREGO, TRABALHO E RENDA"/>
    <s v="11-TRABALHO"/>
    <s v="334-FOMENTO AO TRABALHO"/>
    <s v="0017-Trabalho, Emprego e Renda​"/>
    <s v="2.025-Auxílio para Inclusão no Mercado de Trabalho "/>
    <s v="3.3.90.30.00-MATERIAL DE CONSUMO"/>
    <x v="33"/>
    <x v="42"/>
    <n v="50000"/>
    <x v="0"/>
  </r>
  <r>
    <s v="07"/>
    <s v="001"/>
    <s v="11"/>
    <s v="334"/>
    <s v="0017"/>
    <x v="9"/>
    <x v="1"/>
    <x v="51"/>
    <x v="4"/>
    <s v="001-GABINETE DA SECRETARIA DE EMPREGO, TRABALHO E RENDA"/>
    <s v="11-TRABALHO"/>
    <s v="334-FOMENTO AO TRABALHO"/>
    <s v="0017-Trabalho, Emprego e Renda​"/>
    <s v="2.025-Auxílio para Inclusão no Mercado de Trabalho "/>
    <s v="3.3.90.39.00-OUTROS SERVIÇOS DE TERCEIROS - PESSOA JURÍDICA"/>
    <x v="27"/>
    <x v="42"/>
    <n v="150000"/>
    <x v="0"/>
  </r>
  <r>
    <s v="08"/>
    <s v="001"/>
    <s v="12"/>
    <s v="122"/>
    <s v="0001"/>
    <x v="5"/>
    <x v="1"/>
    <x v="52"/>
    <x v="5"/>
    <s v="001-GABINETE DA SECRETARIA DA EDUCAÇÃO"/>
    <s v="12-EDUCAÇÃO"/>
    <s v="122-ADMINISTRAÇÃO GERAL"/>
    <s v="0001-Administração e Coordenação Geral​"/>
    <s v="1.002-Reforma e Ampliação de Unidades"/>
    <s v="3.3.90.39.00-OUTROS SERVIÇOS DE TERCEIROS - PESSOA JURÍDICA"/>
    <x v="4"/>
    <x v="48"/>
    <n v="500000"/>
    <x v="0"/>
  </r>
  <r>
    <s v="08"/>
    <s v="001"/>
    <s v="12"/>
    <s v="361"/>
    <s v="0016"/>
    <x v="5"/>
    <x v="1"/>
    <x v="53"/>
    <x v="5"/>
    <s v="001-GABINETE DA SECRETARIA DA EDUCAÇÃO"/>
    <s v="12-EDUCAÇÃO"/>
    <s v="361-ENSINO FUNDAMENTAL"/>
    <s v="0016-Escola para Todos​"/>
    <s v="1.002-Reforma e Ampliação de Unidades"/>
    <s v="3.3.90.39.00-OUTROS SERVIÇOS DE TERCEIROS - PESSOA JURÍDICA"/>
    <x v="4"/>
    <x v="48"/>
    <n v="19500000"/>
    <x v="0"/>
  </r>
  <r>
    <s v="08"/>
    <s v="001"/>
    <s v="12"/>
    <s v="365"/>
    <s v="0016"/>
    <x v="5"/>
    <x v="1"/>
    <x v="54"/>
    <x v="5"/>
    <s v="001-GABINETE DA SECRETARIA DA EDUCAÇÃO"/>
    <s v="12-EDUCAÇÃO"/>
    <s v="365-EDUCAÇÃO INFANTIL"/>
    <s v="0016-Escola para Todos​"/>
    <s v="1.002-Reforma e Ampliação de Unidades"/>
    <s v="3.3.90.39.00-OUTROS SERVIÇOS DE TERCEIROS - PESSOA JURÍDICA"/>
    <x v="4"/>
    <x v="48"/>
    <n v="10000000"/>
    <x v="0"/>
  </r>
  <r>
    <s v="08"/>
    <s v="001"/>
    <s v="12"/>
    <s v="361"/>
    <s v="0016"/>
    <x v="10"/>
    <x v="12"/>
    <x v="55"/>
    <x v="5"/>
    <s v="001-GABINETE DA SECRETARIA DA EDUCAÇÃO"/>
    <s v="12-EDUCAÇÃO"/>
    <s v="361-ENSINO FUNDAMENTAL"/>
    <s v="0016-Escola para Todos​"/>
    <s v="1.003-Implantação de Novas Unidades"/>
    <s v="4.4.90.51.00-OBRAS E INSTALAÇÕES"/>
    <x v="18"/>
    <x v="49"/>
    <n v="0"/>
    <x v="0"/>
  </r>
  <r>
    <s v="08"/>
    <s v="001"/>
    <s v="12"/>
    <s v="122"/>
    <s v="0001"/>
    <x v="11"/>
    <x v="9"/>
    <x v="56"/>
    <x v="5"/>
    <s v="001-GABINETE DA SECRETARIA DA EDUCAÇÃO"/>
    <s v="12-EDUCAÇÃO"/>
    <s v="122-ADMINISTRAÇÃO GERAL"/>
    <s v="0001-Administração e Coordenação Geral​"/>
    <s v="2.001-Remuneração, Benefícios e Encargos"/>
    <s v="3.3.90.92.00-DESPESAS DE EXERCÍCIOS ANTERIORES"/>
    <x v="34"/>
    <x v="50"/>
    <n v="84000"/>
    <x v="0"/>
  </r>
  <r>
    <s v="08"/>
    <s v="001"/>
    <s v="12"/>
    <s v="122"/>
    <s v="0001"/>
    <x v="11"/>
    <x v="13"/>
    <x v="57"/>
    <x v="5"/>
    <s v="001-GABINETE DA SECRETARIA DA EDUCAÇÃO"/>
    <s v="12-EDUCAÇÃO"/>
    <s v="122-ADMINISTRAÇÃO GERAL"/>
    <s v="0001-Administração e Coordenação Geral​"/>
    <s v="2.001-Remuneração, Benefícios e Encargos"/>
    <s v="3.3.90.96.00-RESSARCIMENTO DE DESPESAS DE PESSOAL REQUISITADO"/>
    <x v="34"/>
    <x v="50"/>
    <n v="320000"/>
    <x v="0"/>
  </r>
  <r>
    <s v="08"/>
    <s v="001"/>
    <s v="12"/>
    <s v="122"/>
    <s v="0002"/>
    <x v="2"/>
    <x v="10"/>
    <x v="58"/>
    <x v="5"/>
    <s v="001-GABINETE DA SECRETARIA DA EDUCAÇÃO"/>
    <s v="12-EDUCAÇÃO"/>
    <s v="122-ADMINISTRAÇÃO GERAL"/>
    <s v="0002-Governo Inteligente, Aberto e Inovador​"/>
    <s v="2.003-Qualificação de Servidores e Processos Institucionais"/>
    <s v="3.3.90.36.00-OUTROS SERVIÇOS DE TERCEIROS - PESSOA FÍSICA"/>
    <x v="35"/>
    <x v="0"/>
    <n v="1"/>
    <x v="0"/>
  </r>
  <r>
    <s v="08"/>
    <s v="001"/>
    <s v="12"/>
    <s v="122"/>
    <s v="0002"/>
    <x v="2"/>
    <x v="1"/>
    <x v="59"/>
    <x v="5"/>
    <s v="001-GABINETE DA SECRETARIA DA EDUCAÇÃO"/>
    <s v="12-EDUCAÇÃO"/>
    <s v="122-ADMINISTRAÇÃO GERAL"/>
    <s v="0002-Governo Inteligente, Aberto e Inovador​"/>
    <s v="2.003-Qualificação de Servidores e Processos Institucionais"/>
    <s v="3.3.90.39.00-OUTROS SERVIÇOS DE TERCEIROS - PESSOA JURÍDICA"/>
    <x v="18"/>
    <x v="0"/>
    <n v="1"/>
    <x v="0"/>
  </r>
  <r>
    <s v="08"/>
    <s v="001"/>
    <s v="12"/>
    <s v="122"/>
    <s v="0002"/>
    <x v="4"/>
    <x v="0"/>
    <x v="60"/>
    <x v="5"/>
    <s v="001-GABINETE DA SECRETARIA DA EDUCAÇÃO"/>
    <s v="12-EDUCAÇÃO"/>
    <s v="122-ADMINISTRAÇÃO GERAL"/>
    <s v="0002-Governo Inteligente, Aberto e Inovador​"/>
    <s v="2.005-Promoção de Eventos, Comunicação e Participação Social "/>
    <s v="3.3.90.30.00-MATERIAL DE CONSUMO"/>
    <x v="3"/>
    <x v="51"/>
    <n v="420000"/>
    <x v="0"/>
  </r>
  <r>
    <s v="08"/>
    <s v="001"/>
    <s v="12"/>
    <s v="122"/>
    <s v="0002"/>
    <x v="4"/>
    <x v="0"/>
    <x v="60"/>
    <x v="5"/>
    <s v="001-GABINETE DA SECRETARIA DA EDUCAÇÃO"/>
    <s v="12-EDUCAÇÃO"/>
    <s v="122-ADMINISTRAÇÃO GERAL"/>
    <s v="0002-Governo Inteligente, Aberto e Inovador​"/>
    <s v="2.005-Promoção de Eventos, Comunicação e Participação Social "/>
    <s v="3.3.90.30.00-MATERIAL DE CONSUMO"/>
    <x v="12"/>
    <x v="52"/>
    <n v="1000000"/>
    <x v="0"/>
  </r>
  <r>
    <s v="08"/>
    <s v="001"/>
    <s v="12"/>
    <s v="122"/>
    <s v="0002"/>
    <x v="4"/>
    <x v="1"/>
    <x v="61"/>
    <x v="5"/>
    <s v="001-GABINETE DA SECRETARIA DA EDUCAÇÃO"/>
    <s v="12-EDUCAÇÃO"/>
    <s v="122-ADMINISTRAÇÃO GERAL"/>
    <s v="0002-Governo Inteligente, Aberto e Inovador​"/>
    <s v="2.005-Promoção de Eventos, Comunicação e Participação Social "/>
    <s v="3.3.90.39.00-OUTROS SERVIÇOS DE TERCEIROS - PESSOA JURÍDICA"/>
    <x v="32"/>
    <x v="53"/>
    <n v="1655000"/>
    <x v="0"/>
  </r>
  <r>
    <s v="08"/>
    <s v="001"/>
    <s v="12"/>
    <s v="122"/>
    <s v="0002"/>
    <x v="4"/>
    <x v="14"/>
    <x v="62"/>
    <x v="5"/>
    <s v="001-GABINETE DA SECRETARIA DA EDUCAÇÃO"/>
    <s v="12-EDUCAÇÃO"/>
    <s v="122-ADMINISTRAÇÃO GERAL"/>
    <s v="0002-Governo Inteligente, Aberto e Inovador​"/>
    <s v="2.005-Promoção de Eventos, Comunicação e Participação Social "/>
    <s v="3.3.90.31.00-PREMIAÇÕES CULTURAIS, ARTÍSTICAS, CIENTÍFICAS, DESPORTIVAS E OUTRAS"/>
    <x v="36"/>
    <x v="54"/>
    <n v="294000"/>
    <x v="0"/>
  </r>
  <r>
    <s v="08"/>
    <s v="001"/>
    <s v="12"/>
    <s v="361"/>
    <s v="0002"/>
    <x v="4"/>
    <x v="1"/>
    <x v="63"/>
    <x v="5"/>
    <s v="001-GABINETE DA SECRETARIA DA EDUCAÇÃO"/>
    <s v="12-EDUCAÇÃO"/>
    <s v="361-ENSINO FUNDAMENTAL"/>
    <s v="0002-Governo Inteligente, Aberto e Inovador​"/>
    <s v="2.005-Promoção de Eventos, Comunicação e Participação Social "/>
    <s v="3.3.90.39.00-OUTROS SERVIÇOS DE TERCEIROS - PESSOA JURÍDICA"/>
    <x v="27"/>
    <x v="55"/>
    <n v="4560901"/>
    <x v="0"/>
  </r>
  <r>
    <s v="08"/>
    <s v="001"/>
    <s v="12"/>
    <s v="361"/>
    <s v="0002"/>
    <x v="4"/>
    <x v="1"/>
    <x v="63"/>
    <x v="5"/>
    <s v="001-GABINETE DA SECRETARIA DA EDUCAÇÃO"/>
    <s v="12-EDUCAÇÃO"/>
    <s v="361-ENSINO FUNDAMENTAL"/>
    <s v="0002-Governo Inteligente, Aberto e Inovador​"/>
    <s v="2.005-Promoção de Eventos, Comunicação e Participação Social "/>
    <s v="3.3.90.39.00-OUTROS SERVIÇOS DE TERCEIROS - PESSOA JURÍDICA"/>
    <x v="26"/>
    <x v="56"/>
    <n v="2848522"/>
    <x v="0"/>
  </r>
  <r>
    <s v="08"/>
    <s v="001"/>
    <s v="12"/>
    <s v="361"/>
    <s v="0002"/>
    <x v="4"/>
    <x v="1"/>
    <x v="63"/>
    <x v="5"/>
    <s v="001-GABINETE DA SECRETARIA DA EDUCAÇÃO"/>
    <s v="12-EDUCAÇÃO"/>
    <s v="361-ENSINO FUNDAMENTAL"/>
    <s v="0002-Governo Inteligente, Aberto e Inovador​"/>
    <s v="2.005-Promoção de Eventos, Comunicação e Participação Social "/>
    <s v="3.3.90.39.00-OUTROS SERVIÇOS DE TERCEIROS - PESSOA JURÍDICA"/>
    <x v="22"/>
    <x v="57"/>
    <n v="153840"/>
    <x v="0"/>
  </r>
  <r>
    <s v="08"/>
    <s v="001"/>
    <s v="12"/>
    <s v="365"/>
    <s v="0002"/>
    <x v="4"/>
    <x v="1"/>
    <x v="64"/>
    <x v="5"/>
    <s v="001-GABINETE DA SECRETARIA DA EDUCAÇÃO"/>
    <s v="12-EDUCAÇÃO"/>
    <s v="365-EDUCAÇÃO INFANTIL"/>
    <s v="0002-Governo Inteligente, Aberto e Inovador​"/>
    <s v="2.005-Promoção de Eventos, Comunicação e Participação Social "/>
    <s v="3.3.90.39.00-OUTROS SERVIÇOS DE TERCEIROS - PESSOA JURÍDICA"/>
    <x v="27"/>
    <x v="55"/>
    <n v="4026072"/>
    <x v="0"/>
  </r>
  <r>
    <s v="08"/>
    <s v="001"/>
    <s v="12"/>
    <s v="365"/>
    <s v="0002"/>
    <x v="4"/>
    <x v="1"/>
    <x v="64"/>
    <x v="5"/>
    <s v="001-GABINETE DA SECRETARIA DA EDUCAÇÃO"/>
    <s v="12-EDUCAÇÃO"/>
    <s v="365-EDUCAÇÃO INFANTIL"/>
    <s v="0002-Governo Inteligente, Aberto e Inovador​"/>
    <s v="2.005-Promoção de Eventos, Comunicação e Participação Social "/>
    <s v="3.3.90.39.00-OUTROS SERVIÇOS DE TERCEIROS - PESSOA JURÍDICA"/>
    <x v="26"/>
    <x v="56"/>
    <n v="1122045"/>
    <x v="0"/>
  </r>
  <r>
    <s v="08"/>
    <s v="001"/>
    <s v="12"/>
    <s v="365"/>
    <s v="0002"/>
    <x v="4"/>
    <x v="1"/>
    <x v="64"/>
    <x v="5"/>
    <s v="001-GABINETE DA SECRETARIA DA EDUCAÇÃO"/>
    <s v="12-EDUCAÇÃO"/>
    <s v="365-EDUCAÇÃO INFANTIL"/>
    <s v="0002-Governo Inteligente, Aberto e Inovador​"/>
    <s v="2.005-Promoção de Eventos, Comunicação e Participação Social "/>
    <s v="3.3.90.39.00-OUTROS SERVIÇOS DE TERCEIROS - PESSOA JURÍDICA"/>
    <x v="22"/>
    <x v="57"/>
    <n v="103575"/>
    <x v="0"/>
  </r>
  <r>
    <s v="08"/>
    <s v="001"/>
    <s v="12"/>
    <s v="122"/>
    <s v="0001"/>
    <x v="3"/>
    <x v="7"/>
    <x v="65"/>
    <x v="5"/>
    <s v="001-GABINETE DA SECRETARIA DA EDUCAÇÃO"/>
    <s v="12-EDUCAÇÃO"/>
    <s v="122-ADMINISTRAÇÃO GERAL"/>
    <s v="0001-Administração e Coordenação Geral​"/>
    <s v="2.006-Representações Oficiais "/>
    <s v="3.3.90.33.00-PASSAGENS E DESPESAS COM LOCOMOÇÃO"/>
    <x v="18"/>
    <x v="58"/>
    <n v="1"/>
    <x v="0"/>
  </r>
  <r>
    <s v="08"/>
    <s v="001"/>
    <s v="12"/>
    <s v="122"/>
    <s v="0001"/>
    <x v="3"/>
    <x v="1"/>
    <x v="66"/>
    <x v="5"/>
    <s v="001-GABINETE DA SECRETARIA DA EDUCAÇÃO"/>
    <s v="12-EDUCAÇÃO"/>
    <s v="122-ADMINISTRAÇÃO GERAL"/>
    <s v="0001-Administração e Coordenação Geral​"/>
    <s v="2.006-Representações Oficiais "/>
    <s v="3.3.90.39.00-OUTROS SERVIÇOS DE TERCEIROS - PESSOA JURÍDICA"/>
    <x v="32"/>
    <x v="0"/>
    <n v="1"/>
    <x v="0"/>
  </r>
  <r>
    <s v="08"/>
    <s v="001"/>
    <s v="12"/>
    <s v="361"/>
    <s v="0002"/>
    <x v="1"/>
    <x v="5"/>
    <x v="67"/>
    <x v="5"/>
    <s v="001-GABINETE DA SECRETARIA DA EDUCAÇÃO"/>
    <s v="12-EDUCAÇÃO"/>
    <s v="361-ENSINO FUNDAMENTAL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59"/>
    <n v="17720015"/>
    <x v="0"/>
  </r>
  <r>
    <s v="08"/>
    <s v="001"/>
    <s v="12"/>
    <s v="365"/>
    <s v="0002"/>
    <x v="1"/>
    <x v="5"/>
    <x v="68"/>
    <x v="5"/>
    <s v="001-GABINETE DA SECRETARIA DA EDUCAÇÃO"/>
    <s v="12-EDUCAÇÃO"/>
    <s v="365-EDUCAÇÃO INFANTIL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59"/>
    <n v="10179986"/>
    <x v="0"/>
  </r>
  <r>
    <s v="08"/>
    <s v="001"/>
    <s v="12"/>
    <s v="122"/>
    <s v="0001"/>
    <x v="12"/>
    <x v="1"/>
    <x v="69"/>
    <x v="5"/>
    <s v="001-GABINETE DA SECRETARIA DA EDUCAÇÃO"/>
    <s v="12-EDUCAÇÃO"/>
    <s v="122-ADMINISTRAÇÃO GERAL"/>
    <s v="0001-Administração e Coordenação Geral​"/>
    <s v="2.008-Estágio e Aprendizagem"/>
    <s v="3.3.90.39.00-OUTROS SERVIÇOS DE TERCEIROS - PESSOA JURÍDICA"/>
    <x v="22"/>
    <x v="60"/>
    <n v="638280"/>
    <x v="0"/>
  </r>
  <r>
    <s v="08"/>
    <s v="001"/>
    <s v="12"/>
    <s v="122"/>
    <s v="0001"/>
    <x v="12"/>
    <x v="15"/>
    <x v="70"/>
    <x v="5"/>
    <s v="001-GABINETE DA SECRETARIA DA EDUCAÇÃO"/>
    <s v="12-EDUCAÇÃO"/>
    <s v="122-ADMINISTRAÇÃO GERAL"/>
    <s v="0001-Administração e Coordenação Geral​"/>
    <s v="2.008-Estágio e Aprendizagem"/>
    <s v="3.3.90.48.00 - OUTROS AUXILIOS FINANCEIROS A PESSOAS FISICAS"/>
    <x v="18"/>
    <x v="61"/>
    <n v="9500565"/>
    <x v="0"/>
  </r>
  <r>
    <s v="08"/>
    <s v="001"/>
    <s v="12"/>
    <s v="364"/>
    <s v="0001"/>
    <x v="0"/>
    <x v="0"/>
    <x v="71"/>
    <x v="5"/>
    <s v="001-GABINETE DA SECRETARIA DA EDUCAÇÃO"/>
    <s v="12-EDUCAÇÃO"/>
    <s v="364-ENSINO SUPERIOR"/>
    <s v="0001-Administração e Coordenação Geral​"/>
    <s v="2.011-Manutenção de Equipamentos Públicos "/>
    <s v="3.3.90.30.00-MATERIAL DE CONSUMO"/>
    <x v="11"/>
    <x v="62"/>
    <n v="50000"/>
    <x v="0"/>
  </r>
  <r>
    <s v="08"/>
    <s v="001"/>
    <s v="12"/>
    <s v="122"/>
    <s v="0001"/>
    <x v="0"/>
    <x v="0"/>
    <x v="72"/>
    <x v="5"/>
    <s v="001-GABINETE DA SECRETARIA DA EDUCAÇÃO"/>
    <s v="12-EDUCAÇÃO"/>
    <s v="122-ADMINISTRAÇÃO GERAL"/>
    <s v="0001-Administração e Coordenação Geral​"/>
    <s v="2.011-Manutenção de Equipamentos Públicos "/>
    <s v="3.3.90.30.00-MATERIAL DE CONSUMO"/>
    <x v="2"/>
    <x v="63"/>
    <n v="500000"/>
    <x v="0"/>
  </r>
  <r>
    <s v="08"/>
    <s v="001"/>
    <s v="12"/>
    <s v="122"/>
    <s v="0001"/>
    <x v="0"/>
    <x v="0"/>
    <x v="72"/>
    <x v="5"/>
    <s v="001-GABINETE DA SECRETARIA DA EDUCAÇÃO"/>
    <s v="12-EDUCAÇÃO"/>
    <s v="122-ADMINISTRAÇÃO GERAL"/>
    <s v="0001-Administração e Coordenação Geral​"/>
    <s v="2.011-Manutenção de Equipamentos Públicos "/>
    <s v="3.3.90.30.00-MATERIAL DE CONSUMO"/>
    <x v="3"/>
    <x v="64"/>
    <n v="200000"/>
    <x v="0"/>
  </r>
  <r>
    <s v="08"/>
    <s v="001"/>
    <s v="12"/>
    <s v="122"/>
    <s v="0001"/>
    <x v="0"/>
    <x v="0"/>
    <x v="72"/>
    <x v="5"/>
    <s v="001-GABINETE DA SECRETARIA DA EDUCAÇÃO"/>
    <s v="12-EDUCAÇÃO"/>
    <s v="122-ADMINISTRAÇÃO GERAL"/>
    <s v="0001-Administração e Coordenação Geral​"/>
    <s v="2.011-Manutenção de Equipamentos Públicos "/>
    <s v="3.3.90.30.00-MATERIAL DE CONSUMO"/>
    <x v="37"/>
    <x v="65"/>
    <n v="150000"/>
    <x v="0"/>
  </r>
  <r>
    <s v="08"/>
    <s v="001"/>
    <s v="12"/>
    <s v="122"/>
    <s v="0001"/>
    <x v="0"/>
    <x v="0"/>
    <x v="72"/>
    <x v="5"/>
    <s v="001-GABINETE DA SECRETARIA DA EDUCAÇÃO"/>
    <s v="12-EDUCAÇÃO"/>
    <s v="122-ADMINISTRAÇÃO GERAL"/>
    <s v="0001-Administração e Coordenação Geral​"/>
    <s v="2.011-Manutenção de Equipamentos Públicos "/>
    <s v="3.3.90.30.00-MATERIAL DE CONSUMO"/>
    <x v="1"/>
    <x v="66"/>
    <n v="100000"/>
    <x v="0"/>
  </r>
  <r>
    <s v="08"/>
    <s v="001"/>
    <s v="12"/>
    <s v="122"/>
    <s v="0001"/>
    <x v="0"/>
    <x v="1"/>
    <x v="73"/>
    <x v="5"/>
    <s v="001-GABINETE DA SECRETARIA DA EDUCAÇÃO"/>
    <s v="12-EDUCAÇÃO"/>
    <s v="122-ADMINISTRAÇÃO GERAL"/>
    <s v="0001-Administração e Coordenação Geral​"/>
    <s v="2.011-Manutenção de Equipamentos Públicos "/>
    <s v="3.3.90.39.00-OUTROS SERVIÇOS DE TERCEIROS - PESSOA JURÍDICA"/>
    <x v="38"/>
    <x v="67"/>
    <n v="336000"/>
    <x v="0"/>
  </r>
  <r>
    <s v="08"/>
    <s v="001"/>
    <s v="12"/>
    <s v="122"/>
    <s v="0001"/>
    <x v="0"/>
    <x v="1"/>
    <x v="73"/>
    <x v="5"/>
    <s v="001-GABINETE DA SECRETARIA DA EDUCAÇÃO"/>
    <s v="12-EDUCAÇÃO"/>
    <s v="122-ADMINISTRAÇÃO GERAL"/>
    <s v="0001-Administração e Coordenação Geral​"/>
    <s v="2.011-Manutenção de Equipamentos Públicos "/>
    <s v="3.3.90.39.00-OUTROS SERVIÇOS DE TERCEIROS - PESSOA JURÍDICA"/>
    <x v="39"/>
    <x v="68"/>
    <n v="252000"/>
    <x v="0"/>
  </r>
  <r>
    <s v="08"/>
    <s v="001"/>
    <s v="12"/>
    <s v="122"/>
    <s v="0001"/>
    <x v="0"/>
    <x v="1"/>
    <x v="73"/>
    <x v="5"/>
    <s v="001-GABINETE DA SECRETARIA DA EDUCAÇÃO"/>
    <s v="12-EDUCAÇÃO"/>
    <s v="122-ADMINISTRAÇÃO GERAL"/>
    <s v="0001-Administração e Coordenação Geral​"/>
    <s v="2.011-Manutenção de Equipamentos Públicos "/>
    <s v="3.3.90.39.00-OUTROS SERVIÇOS DE TERCEIROS - PESSOA JURÍDICA"/>
    <x v="26"/>
    <x v="69"/>
    <n v="103000"/>
    <x v="0"/>
  </r>
  <r>
    <s v="08"/>
    <s v="001"/>
    <s v="12"/>
    <s v="122"/>
    <s v="0001"/>
    <x v="0"/>
    <x v="1"/>
    <x v="73"/>
    <x v="5"/>
    <s v="001-GABINETE DA SECRETARIA DA EDUCAÇÃO"/>
    <s v="12-EDUCAÇÃO"/>
    <s v="122-ADMINISTRAÇÃO GERAL"/>
    <s v="0001-Administração e Coordenação Geral​"/>
    <s v="2.011-Manutenção de Equipamentos Públicos "/>
    <s v="3.3.90.39.00-OUTROS SERVIÇOS DE TERCEIROS - PESSOA JURÍDICA"/>
    <x v="40"/>
    <x v="0"/>
    <n v="100000"/>
    <x v="0"/>
  </r>
  <r>
    <s v="08"/>
    <s v="001"/>
    <s v="12"/>
    <s v="122"/>
    <s v="0001"/>
    <x v="0"/>
    <x v="1"/>
    <x v="73"/>
    <x v="5"/>
    <s v="001-GABINETE DA SECRETARIA DA EDUCAÇÃO"/>
    <s v="12-EDUCAÇÃO"/>
    <s v="122-ADMINISTRAÇÃO GERAL"/>
    <s v="0001-Administração e Coordenação Geral​"/>
    <s v="2.011-Manutenção de Equipamentos Públicos "/>
    <s v="3.3.90.39.00-OUTROS SERVIÇOS DE TERCEIROS - PESSOA JURÍDICA"/>
    <x v="8"/>
    <x v="70"/>
    <n v="15000"/>
    <x v="0"/>
  </r>
  <r>
    <s v="08"/>
    <s v="001"/>
    <s v="12"/>
    <s v="122"/>
    <s v="0001"/>
    <x v="0"/>
    <x v="6"/>
    <x v="74"/>
    <x v="5"/>
    <s v="001-GABINETE DA SECRETARIA DA EDUCAÇÃO"/>
    <s v="12-EDUCAÇÃO"/>
    <s v="122-ADMINISTRAÇÃO GERAL"/>
    <s v="0001-Administração e Coordenação Geral​"/>
    <s v="2.011-Manutenção de Equipamentos Públicos "/>
    <s v="3.3.90.93.00-INDENIZAÇÕES E RESTITUIÇÕES"/>
    <x v="41"/>
    <x v="71"/>
    <n v="5000"/>
    <x v="0"/>
  </r>
  <r>
    <s v="08"/>
    <s v="001"/>
    <s v="12"/>
    <s v="122"/>
    <s v="0001"/>
    <x v="0"/>
    <x v="8"/>
    <x v="75"/>
    <x v="5"/>
    <s v="001-GABINETE DA SECRETARIA DA EDUCAÇÃO"/>
    <s v="12-EDUCAÇÃO"/>
    <s v="122-ADMINISTRAÇÃO GERAL"/>
    <s v="0001-Administração e Coordenação Geral​"/>
    <s v="2.011-Manutenção de Equipamentos Públicos "/>
    <s v="4.4.90.52.00-EQUIPAMENTOS E MATERIAL PERMANENTE"/>
    <x v="42"/>
    <x v="0"/>
    <n v="100000"/>
    <x v="0"/>
  </r>
  <r>
    <s v="08"/>
    <s v="001"/>
    <s v="12"/>
    <s v="122"/>
    <s v="0001"/>
    <x v="0"/>
    <x v="8"/>
    <x v="75"/>
    <x v="5"/>
    <s v="001-GABINETE DA SECRETARIA DA EDUCAÇÃO"/>
    <s v="12-EDUCAÇÃO"/>
    <s v="122-ADMINISTRAÇÃO GERAL"/>
    <s v="0001-Administração e Coordenação Geral​"/>
    <s v="2.011-Manutenção de Equipamentos Públicos "/>
    <s v="4.4.90.52.00-EQUIPAMENTOS E MATERIAL PERMANENTE"/>
    <x v="19"/>
    <x v="0"/>
    <n v="1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2"/>
    <x v="63"/>
    <n v="60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3"/>
    <x v="64"/>
    <n v="10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37"/>
    <x v="65"/>
    <n v="20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43"/>
    <x v="72"/>
    <n v="4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11"/>
    <x v="65"/>
    <n v="37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44"/>
    <x v="73"/>
    <n v="300000"/>
    <x v="0"/>
  </r>
  <r>
    <s v="08"/>
    <s v="001"/>
    <s v="12"/>
    <s v="361"/>
    <s v="0016"/>
    <x v="0"/>
    <x v="0"/>
    <x v="76"/>
    <x v="5"/>
    <s v="001-GABINETE DA SECRETARIA DA EDUCAÇÃO"/>
    <s v="12-EDUCAÇÃO"/>
    <s v="361-ENSINO FUNDAMENTAL"/>
    <s v="0016-Escola para Todos​"/>
    <s v="2.011-Manutenção de Equipamentos Públicos "/>
    <s v="3.3.90.30.00-MATERIAL DE CONSUMO"/>
    <x v="11"/>
    <x v="74"/>
    <n v="200000"/>
    <x v="0"/>
  </r>
  <r>
    <s v="08"/>
    <s v="001"/>
    <s v="12"/>
    <s v="361"/>
    <s v="0016"/>
    <x v="0"/>
    <x v="1"/>
    <x v="77"/>
    <x v="5"/>
    <s v="001-GABINETE DA SECRETARIA DA EDUCAÇÃO"/>
    <s v="12-EDUCAÇÃO"/>
    <s v="361-ENSINO FUNDAMENTAL"/>
    <s v="0016-Escola para Todos​"/>
    <s v="2.011-Manutenção de Equipamentos Públicos "/>
    <s v="3.3.90.39.00-OUTROS SERVIÇOS DE TERCEIROS - PESSOA JURÍDICA"/>
    <x v="38"/>
    <x v="67"/>
    <n v="3125000"/>
    <x v="0"/>
  </r>
  <r>
    <s v="08"/>
    <s v="001"/>
    <s v="12"/>
    <s v="361"/>
    <s v="0016"/>
    <x v="0"/>
    <x v="1"/>
    <x v="77"/>
    <x v="5"/>
    <s v="001-GABINETE DA SECRETARIA DA EDUCAÇÃO"/>
    <s v="12-EDUCAÇÃO"/>
    <s v="361-ENSINO FUNDAMENTAL"/>
    <s v="0016-Escola para Todos​"/>
    <s v="2.011-Manutenção de Equipamentos Públicos "/>
    <s v="3.3.90.39.00-OUTROS SERVIÇOS DE TERCEIROS - PESSOA JURÍDICA"/>
    <x v="39"/>
    <x v="68"/>
    <n v="350000"/>
    <x v="0"/>
  </r>
  <r>
    <s v="08"/>
    <s v="001"/>
    <s v="12"/>
    <s v="361"/>
    <s v="0016"/>
    <x v="0"/>
    <x v="1"/>
    <x v="77"/>
    <x v="5"/>
    <s v="001-GABINETE DA SECRETARIA DA EDUCAÇÃO"/>
    <s v="12-EDUCAÇÃO"/>
    <s v="361-ENSINO FUNDAMENTAL"/>
    <s v="0016-Escola para Todos​"/>
    <s v="2.011-Manutenção de Equipamentos Públicos "/>
    <s v="3.3.90.39.00-OUTROS SERVIÇOS DE TERCEIROS - PESSOA JURÍDICA"/>
    <x v="26"/>
    <x v="75"/>
    <n v="1"/>
    <x v="0"/>
  </r>
  <r>
    <s v="08"/>
    <s v="001"/>
    <s v="12"/>
    <s v="361"/>
    <s v="0016"/>
    <x v="0"/>
    <x v="1"/>
    <x v="77"/>
    <x v="5"/>
    <s v="001-GABINETE DA SECRETARIA DA EDUCAÇÃO"/>
    <s v="12-EDUCAÇÃO"/>
    <s v="361-ENSINO FUNDAMENTAL"/>
    <s v="0016-Escola para Todos​"/>
    <s v="2.011-Manutenção de Equipamentos Públicos "/>
    <s v="3.3.90.39.00-OUTROS SERVIÇOS DE TERCEIROS - PESSOA JURÍDICA"/>
    <x v="4"/>
    <x v="76"/>
    <n v="1573582"/>
    <x v="0"/>
  </r>
  <r>
    <s v="08"/>
    <s v="001"/>
    <s v="12"/>
    <s v="361"/>
    <s v="0016"/>
    <x v="0"/>
    <x v="1"/>
    <x v="77"/>
    <x v="5"/>
    <s v="001-GABINETE DA SECRETARIA DA EDUCAÇÃO"/>
    <s v="12-EDUCAÇÃO"/>
    <s v="361-ENSINO FUNDAMENTAL"/>
    <s v="0016-Escola para Todos​"/>
    <s v="2.011-Manutenção de Equipamentos Públicos "/>
    <s v="3.3.90.39.00-OUTROS SERVIÇOS DE TERCEIROS - PESSOA JURÍDICA"/>
    <x v="4"/>
    <x v="77"/>
    <n v="2331241.98"/>
    <x v="0"/>
  </r>
  <r>
    <s v="08"/>
    <s v="001"/>
    <s v="12"/>
    <s v="361"/>
    <s v="0016"/>
    <x v="0"/>
    <x v="8"/>
    <x v="78"/>
    <x v="5"/>
    <s v="001-GABINETE DA SECRETARIA DA EDUCAÇÃO"/>
    <s v="12-EDUCAÇÃO"/>
    <s v="361-ENSINO FUNDAMENTAL"/>
    <s v="0016-Escola para Todos​"/>
    <s v="2.011-Manutenção de Equipamentos Públicos "/>
    <s v="4.4.90.52.00-EQUIPAMENTOS E MATERIAL PERMANENTE"/>
    <x v="42"/>
    <x v="0"/>
    <n v="100000"/>
    <x v="0"/>
  </r>
  <r>
    <s v="08"/>
    <s v="001"/>
    <s v="12"/>
    <s v="361"/>
    <s v="0016"/>
    <x v="0"/>
    <x v="8"/>
    <x v="78"/>
    <x v="5"/>
    <s v="001-GABINETE DA SECRETARIA DA EDUCAÇÃO"/>
    <s v="12-EDUCAÇÃO"/>
    <s v="361-ENSINO FUNDAMENTAL"/>
    <s v="0016-Escola para Todos​"/>
    <s v="2.011-Manutenção de Equipamentos Públicos "/>
    <s v="4.4.90.52.00-EQUIPAMENTOS E MATERIAL PERMANENTE"/>
    <x v="42"/>
    <x v="78"/>
    <n v="560000"/>
    <x v="0"/>
  </r>
  <r>
    <s v="08"/>
    <s v="001"/>
    <s v="12"/>
    <s v="361"/>
    <s v="0016"/>
    <x v="0"/>
    <x v="8"/>
    <x v="78"/>
    <x v="5"/>
    <s v="001-GABINETE DA SECRETARIA DA EDUCAÇÃO"/>
    <s v="12-EDUCAÇÃO"/>
    <s v="361-ENSINO FUNDAMENTAL"/>
    <s v="0016-Escola para Todos​"/>
    <s v="2.011-Manutenção de Equipamentos Públicos "/>
    <s v="4.4.90.52.00-EQUIPAMENTOS E MATERIAL PERMANENTE"/>
    <x v="44"/>
    <x v="79"/>
    <n v="1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2"/>
    <x v="63"/>
    <n v="60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3"/>
    <x v="64"/>
    <n v="12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37"/>
    <x v="65"/>
    <n v="50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43"/>
    <x v="72"/>
    <n v="4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45"/>
    <x v="80"/>
    <n v="3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11"/>
    <x v="65"/>
    <n v="36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11"/>
    <x v="81"/>
    <n v="700000"/>
    <x v="0"/>
  </r>
  <r>
    <s v="08"/>
    <s v="001"/>
    <s v="12"/>
    <s v="365"/>
    <s v="0016"/>
    <x v="0"/>
    <x v="0"/>
    <x v="79"/>
    <x v="5"/>
    <s v="001-GABINETE DA SECRETARIA DA EDUCAÇÃO"/>
    <s v="12-EDUCAÇÃO"/>
    <s v="365-EDUCAÇÃO INFANTIL"/>
    <s v="0016-Escola para Todos​"/>
    <s v="2.011-Manutenção de Equipamentos Públicos "/>
    <s v="3.3.90.30.00-MATERIAL DE CONSUMO"/>
    <x v="11"/>
    <x v="74"/>
    <n v="400000"/>
    <x v="0"/>
  </r>
  <r>
    <s v="08"/>
    <s v="001"/>
    <s v="12"/>
    <s v="365"/>
    <s v="0016"/>
    <x v="0"/>
    <x v="1"/>
    <x v="80"/>
    <x v="5"/>
    <s v="001-GABINETE DA SECRETARIA DA EDUCAÇÃO"/>
    <s v="12-EDUCAÇÃO"/>
    <s v="365-EDUCAÇÃO INFANTIL"/>
    <s v="0016-Escola para Todos​"/>
    <s v="2.011-Manutenção de Equipamentos Públicos "/>
    <s v="3.3.90.39.00-OUTROS SERVIÇOS DE TERCEIROS - PESSOA JURÍDICA"/>
    <x v="38"/>
    <x v="67"/>
    <n v="1860000"/>
    <x v="0"/>
  </r>
  <r>
    <s v="08"/>
    <s v="001"/>
    <s v="12"/>
    <s v="365"/>
    <s v="0016"/>
    <x v="0"/>
    <x v="1"/>
    <x v="80"/>
    <x v="5"/>
    <s v="001-GABINETE DA SECRETARIA DA EDUCAÇÃO"/>
    <s v="12-EDUCAÇÃO"/>
    <s v="365-EDUCAÇÃO INFANTIL"/>
    <s v="0016-Escola para Todos​"/>
    <s v="2.011-Manutenção de Equipamentos Públicos "/>
    <s v="3.3.90.39.00-OUTROS SERVIÇOS DE TERCEIROS - PESSOA JURÍDICA"/>
    <x v="39"/>
    <x v="68"/>
    <n v="288000"/>
    <x v="0"/>
  </r>
  <r>
    <s v="08"/>
    <s v="001"/>
    <s v="12"/>
    <s v="365"/>
    <s v="0016"/>
    <x v="0"/>
    <x v="1"/>
    <x v="80"/>
    <x v="5"/>
    <s v="001-GABINETE DA SECRETARIA DA EDUCAÇÃO"/>
    <s v="12-EDUCAÇÃO"/>
    <s v="365-EDUCAÇÃO INFANTIL"/>
    <s v="0016-Escola para Todos​"/>
    <s v="2.011-Manutenção de Equipamentos Públicos "/>
    <s v="3.3.90.39.00-OUTROS SERVIÇOS DE TERCEIROS - PESSOA JURÍDICA"/>
    <x v="22"/>
    <x v="82"/>
    <n v="500000"/>
    <x v="0"/>
  </r>
  <r>
    <s v="08"/>
    <s v="001"/>
    <s v="12"/>
    <s v="365"/>
    <s v="0016"/>
    <x v="0"/>
    <x v="1"/>
    <x v="80"/>
    <x v="5"/>
    <s v="001-GABINETE DA SECRETARIA DA EDUCAÇÃO"/>
    <s v="12-EDUCAÇÃO"/>
    <s v="365-EDUCAÇÃO INFANTIL"/>
    <s v="0016-Escola para Todos​"/>
    <s v="2.011-Manutenção de Equipamentos Públicos "/>
    <s v="3.3.90.39.00-OUTROS SERVIÇOS DE TERCEIROS - PESSOA JURÍDICA"/>
    <x v="4"/>
    <x v="83"/>
    <n v="1573582"/>
    <x v="0"/>
  </r>
  <r>
    <s v="08"/>
    <s v="001"/>
    <s v="12"/>
    <s v="365"/>
    <s v="0016"/>
    <x v="0"/>
    <x v="1"/>
    <x v="80"/>
    <x v="5"/>
    <s v="001-GABINETE DA SECRETARIA DA EDUCAÇÃO"/>
    <s v="12-EDUCAÇÃO"/>
    <s v="365-EDUCAÇÃO INFANTIL"/>
    <s v="0016-Escola para Todos​"/>
    <s v="2.011-Manutenção de Equipamentos Públicos "/>
    <s v="3.3.90.39.00-OUTROS SERVIÇOS DE TERCEIROS - PESSOA JURÍDICA"/>
    <x v="4"/>
    <x v="84"/>
    <n v="1554161.32"/>
    <x v="0"/>
  </r>
  <r>
    <s v="08"/>
    <s v="001"/>
    <s v="12"/>
    <s v="365"/>
    <s v="0016"/>
    <x v="0"/>
    <x v="8"/>
    <x v="81"/>
    <x v="5"/>
    <s v="001-GABINETE DA SECRETARIA DA EDUCAÇÃO"/>
    <s v="12-EDUCAÇÃO"/>
    <s v="365-EDUCAÇÃO INFANTIL"/>
    <s v="0016-Escola para Todos​"/>
    <s v="2.011-Manutenção de Equipamentos Públicos "/>
    <s v="4.4.90.52.00-EQUIPAMENTOS E MATERIAL PERMANENTE"/>
    <x v="42"/>
    <x v="85"/>
    <n v="500000"/>
    <x v="0"/>
  </r>
  <r>
    <s v="08"/>
    <s v="001"/>
    <s v="12"/>
    <s v="365"/>
    <s v="0016"/>
    <x v="0"/>
    <x v="8"/>
    <x v="81"/>
    <x v="5"/>
    <s v="001-GABINETE DA SECRETARIA DA EDUCAÇÃO"/>
    <s v="12-EDUCAÇÃO"/>
    <s v="365-EDUCAÇÃO INFANTIL"/>
    <s v="0016-Escola para Todos​"/>
    <s v="2.011-Manutenção de Equipamentos Públicos "/>
    <s v="4.4.90.52.00-EQUIPAMENTOS E MATERIAL PERMANENTE"/>
    <x v="42"/>
    <x v="86"/>
    <n v="2240000"/>
    <x v="0"/>
  </r>
  <r>
    <s v="08"/>
    <s v="001"/>
    <s v="12"/>
    <s v="306"/>
    <s v="0016"/>
    <x v="0"/>
    <x v="0"/>
    <x v="82"/>
    <x v="5"/>
    <s v="001-GABINETE DA SECRETARIA DA EDUCAÇÃO"/>
    <s v="12-EDUCAÇÃO"/>
    <s v="306-ALIMENTAÇÃO E NUTRIÇÃO"/>
    <s v="0016-Escola para Todos​"/>
    <s v="2.011-Manutenção de Equipamentos Públicos "/>
    <s v="3.3.90.30.00-MATERIAL DE CONSUMO"/>
    <x v="12"/>
    <x v="87"/>
    <n v="750000"/>
    <x v="0"/>
  </r>
  <r>
    <s v="08"/>
    <s v="001"/>
    <s v="12"/>
    <s v="306"/>
    <s v="0016"/>
    <x v="0"/>
    <x v="0"/>
    <x v="82"/>
    <x v="5"/>
    <s v="001-GABINETE DA SECRETARIA DA EDUCAÇÃO"/>
    <s v="12-EDUCAÇÃO"/>
    <s v="306-ALIMENTAÇÃO E NUTRIÇÃO"/>
    <s v="0016-Escola para Todos​"/>
    <s v="2.011-Manutenção de Equipamentos Públicos "/>
    <s v="3.3.90.30.00-MATERIAL DE CONSUMO"/>
    <x v="0"/>
    <x v="88"/>
    <n v="1200000"/>
    <x v="0"/>
  </r>
  <r>
    <s v="08"/>
    <s v="001"/>
    <s v="12"/>
    <s v="306"/>
    <s v="0016"/>
    <x v="0"/>
    <x v="8"/>
    <x v="83"/>
    <x v="5"/>
    <s v="001-GABINETE DA SECRETARIA DA EDUCAÇÃO"/>
    <s v="12-EDUCAÇÃO"/>
    <s v="306-ALIMENTAÇÃO E NUTRIÇÃO"/>
    <s v="0016-Escola para Todos​"/>
    <s v="2.011-Manutenção de Equipamentos Públicos "/>
    <s v="4.4.90.52.00-EQUIPAMENTOS E MATERIAL PERMANENTE"/>
    <x v="7"/>
    <x v="89"/>
    <n v="50000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0"/>
    <n v="32890542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1"/>
    <n v="35361465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2"/>
    <n v="84910803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3"/>
    <n v="5999457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4"/>
    <n v="1258350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5"/>
    <n v="4967518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6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7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8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99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100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101"/>
    <n v="0"/>
    <x v="0"/>
  </r>
  <r>
    <s v="08"/>
    <s v="001"/>
    <s v="12"/>
    <s v="306"/>
    <s v="0016"/>
    <x v="13"/>
    <x v="0"/>
    <x v="84"/>
    <x v="5"/>
    <s v="001-GABINETE DA SECRETARIA DA EDUCAÇÃO"/>
    <s v="12-EDUCAÇÃO"/>
    <s v="306-ALIMENTAÇÃO E NUTRIÇÃO"/>
    <s v="0016-Escola para Todos​"/>
    <s v="2.017-Suporte ao Aluno "/>
    <s v="3.3.90.30.00-MATERIAL DE CONSUMO"/>
    <x v="12"/>
    <x v="102"/>
    <n v="12000000"/>
    <x v="0"/>
  </r>
  <r>
    <s v="08"/>
    <s v="001"/>
    <s v="12"/>
    <s v="361"/>
    <s v="0016"/>
    <x v="13"/>
    <x v="16"/>
    <x v="85"/>
    <x v="5"/>
    <s v="001-GABINETE DA SECRETARIA DA EDUCAÇÃO"/>
    <s v="12-EDUCAÇÃO"/>
    <s v="361-ENSINO FUNDAMENTAL"/>
    <s v="0016-Escola para Todos​"/>
    <s v="2.017-Suporte ao Aluno "/>
    <s v="3.3.90.32.00-MATERIAL, BEM OU SERVIÇO PARA DISTRIBUIÇÃO GRATUITA"/>
    <x v="46"/>
    <x v="103"/>
    <n v="3757214"/>
    <x v="0"/>
  </r>
  <r>
    <s v="08"/>
    <s v="001"/>
    <s v="12"/>
    <s v="365"/>
    <s v="0016"/>
    <x v="13"/>
    <x v="16"/>
    <x v="86"/>
    <x v="5"/>
    <s v="001-GABINETE DA SECRETARIA DA EDUCAÇÃO"/>
    <s v="12-EDUCAÇÃO"/>
    <s v="365-EDUCAÇÃO INFANTIL"/>
    <s v="0016-Escola para Todos​"/>
    <s v="2.017-Suporte ao Aluno "/>
    <s v="3.3.90.32.00-MATERIAL, BEM OU SERVIÇO PARA DISTRIBUIÇÃO GRATUITA"/>
    <x v="46"/>
    <x v="103"/>
    <n v="1269017"/>
    <x v="0"/>
  </r>
  <r>
    <s v="08"/>
    <s v="001"/>
    <s v="12"/>
    <s v="361"/>
    <s v="0016"/>
    <x v="13"/>
    <x v="16"/>
    <x v="85"/>
    <x v="5"/>
    <s v="001-GABINETE DA SECRETARIA DA EDUCAÇÃO"/>
    <s v="12-EDUCAÇÃO"/>
    <s v="361-ENSINO FUNDAMENTAL"/>
    <s v="0016-Escola para Todos​"/>
    <s v="2.017-Suporte ao Aluno "/>
    <s v="3.3.90.32.00-MATERIAL, BEM OU SERVIÇO PARA DISTRIBUIÇÃO GRATUITA"/>
    <x v="46"/>
    <x v="104"/>
    <n v="20840984"/>
    <x v="0"/>
  </r>
  <r>
    <s v="08"/>
    <s v="001"/>
    <s v="12"/>
    <s v="365"/>
    <s v="0016"/>
    <x v="13"/>
    <x v="16"/>
    <x v="86"/>
    <x v="5"/>
    <s v="001-GABINETE DA SECRETARIA DA EDUCAÇÃO"/>
    <s v="12-EDUCAÇÃO"/>
    <s v="365-EDUCAÇÃO INFANTIL"/>
    <s v="0016-Escola para Todos​"/>
    <s v="2.017-Suporte ao Aluno "/>
    <s v="3.3.90.32.00-MATERIAL, BEM OU SERVIÇO PARA DISTRIBUIÇÃO GRATUITA"/>
    <x v="46"/>
    <x v="104"/>
    <n v="9098414"/>
    <x v="0"/>
  </r>
  <r>
    <s v="08"/>
    <s v="001"/>
    <s v="12"/>
    <s v="361"/>
    <s v="0016"/>
    <x v="13"/>
    <x v="16"/>
    <x v="85"/>
    <x v="5"/>
    <s v="001-GABINETE DA SECRETARIA DA EDUCAÇÃO"/>
    <s v="12-EDUCAÇÃO"/>
    <s v="361-ENSINO FUNDAMENTAL"/>
    <s v="0016-Escola para Todos​"/>
    <s v="2.017-Suporte ao Aluno "/>
    <s v="3.3.90.32.00-MATERIAL, BEM OU SERVIÇO PARA DISTRIBUIÇÃO GRATUITA"/>
    <x v="46"/>
    <x v="105"/>
    <n v="23586363"/>
    <x v="0"/>
  </r>
  <r>
    <s v="08"/>
    <s v="001"/>
    <s v="12"/>
    <s v="361"/>
    <s v="0016"/>
    <x v="13"/>
    <x v="16"/>
    <x v="85"/>
    <x v="5"/>
    <s v="001-GABINETE DA SECRETARIA DA EDUCAÇÃO"/>
    <s v="12-EDUCAÇÃO"/>
    <s v="361-ENSINO FUNDAMENTAL"/>
    <s v="0016-Escola para Todos​"/>
    <s v="2.017-Suporte ao Aluno "/>
    <s v="3.3.90.32.00-MATERIAL, BEM OU SERVIÇO PARA DISTRIBUIÇÃO GRATUITA"/>
    <x v="46"/>
    <x v="106"/>
    <n v="4012093"/>
    <x v="0"/>
  </r>
  <r>
    <s v="08"/>
    <s v="001"/>
    <s v="12"/>
    <s v="365"/>
    <s v="0016"/>
    <x v="13"/>
    <x v="16"/>
    <x v="86"/>
    <x v="5"/>
    <s v="001-GABINETE DA SECRETARIA DA EDUCAÇÃO"/>
    <s v="12-EDUCAÇÃO"/>
    <s v="365-EDUCAÇÃO INFANTIL"/>
    <s v="0016-Escola para Todos​"/>
    <s v="2.017-Suporte ao Aluno "/>
    <s v="3.3.90.32.00-MATERIAL, BEM OU SERVIÇO PARA DISTRIBUIÇÃO GRATUITA"/>
    <x v="46"/>
    <x v="105"/>
    <n v="17745907"/>
    <x v="0"/>
  </r>
  <r>
    <s v="08"/>
    <s v="001"/>
    <s v="12"/>
    <s v="365"/>
    <s v="0016"/>
    <x v="13"/>
    <x v="16"/>
    <x v="86"/>
    <x v="5"/>
    <s v="001-GABINETE DA SECRETARIA DA EDUCAÇÃO"/>
    <s v="12-EDUCAÇÃO"/>
    <s v="365-EDUCAÇÃO INFANTIL"/>
    <s v="0016-Escola para Todos​"/>
    <s v="2.017-Suporte ao Aluno "/>
    <s v="3.3.90.32.00-MATERIAL, BEM OU SERVIÇO PARA DISTRIBUIÇÃO GRATUITA"/>
    <x v="46"/>
    <x v="106"/>
    <n v="3206578"/>
    <x v="0"/>
  </r>
  <r>
    <s v="08"/>
    <s v="001"/>
    <s v="12"/>
    <s v="361"/>
    <s v="0016"/>
    <x v="14"/>
    <x v="5"/>
    <x v="87"/>
    <x v="5"/>
    <s v="001-GABINETE DA SECRETARIA DA EDUCAÇÃO"/>
    <s v="12-EDUCAÇÃO"/>
    <s v="361-ENSINO FUNDAMENTAL"/>
    <s v="0016-Escola para Todos​"/>
    <s v="2.018-Conectividade e Tecnologia na Educação"/>
    <s v="3.3.90.40.00-SERVIÇOS DE TECNOLOGIA DA INFORMAÇÃO E COMUNICAÇÃO - PESSOA JURÍDICA"/>
    <x v="14"/>
    <x v="107"/>
    <n v="48301742.159999996"/>
    <x v="0"/>
  </r>
  <r>
    <s v="08"/>
    <s v="001"/>
    <s v="12"/>
    <s v="361"/>
    <s v="0016"/>
    <x v="14"/>
    <x v="5"/>
    <x v="87"/>
    <x v="5"/>
    <s v="001-GABINETE DA SECRETARIA DA EDUCAÇÃO"/>
    <s v="12-EDUCAÇÃO"/>
    <s v="361-ENSINO FUNDAMENTAL"/>
    <s v="0016-Escola para Todos​"/>
    <s v="2.018-Conectividade e Tecnologia na Educação"/>
    <s v="3.3.90.40.00-SERVIÇOS DE TECNOLOGIA DA INFORMAÇÃO E COMUNICAÇÃO - PESSOA JURÍDICA"/>
    <x v="14"/>
    <x v="108"/>
    <n v="5390478.2199999997"/>
    <x v="0"/>
  </r>
  <r>
    <s v="08"/>
    <s v="001"/>
    <s v="12"/>
    <s v="361"/>
    <s v="0016"/>
    <x v="14"/>
    <x v="5"/>
    <x v="87"/>
    <x v="5"/>
    <s v="001-GABINETE DA SECRETARIA DA EDUCAÇÃO"/>
    <s v="12-EDUCAÇÃO"/>
    <s v="361-ENSINO FUNDAMENTAL"/>
    <s v="0016-Escola para Todos​"/>
    <s v="2.018-Conectividade e Tecnologia na Educação"/>
    <s v="3.3.90.40.00-SERVIÇOS DE TECNOLOGIA DA INFORMAÇÃO E COMUNICAÇÃO - PESSOA JURÍDICA"/>
    <x v="14"/>
    <x v="109"/>
    <n v="6234310"/>
    <x v="0"/>
  </r>
  <r>
    <s v="08"/>
    <s v="001"/>
    <s v="12"/>
    <s v="361"/>
    <s v="0016"/>
    <x v="14"/>
    <x v="5"/>
    <x v="87"/>
    <x v="5"/>
    <s v="001-GABINETE DA SECRETARIA DA EDUCAÇÃO"/>
    <s v="12-EDUCAÇÃO"/>
    <s v="361-ENSINO FUNDAMENTAL"/>
    <s v="0016-Escola para Todos​"/>
    <s v="2.018-Conectividade e Tecnologia na Educação"/>
    <s v="3.3.90.40.00-SERVIÇOS DE TECNOLOGIA DA INFORMAÇÃO E COMUNICAÇÃO - PESSOA JURÍDICA"/>
    <x v="14"/>
    <x v="110"/>
    <n v="10735121.529999999"/>
    <x v="0"/>
  </r>
  <r>
    <s v="08"/>
    <s v="001"/>
    <s v="12"/>
    <s v="361"/>
    <s v="0016"/>
    <x v="14"/>
    <x v="5"/>
    <x v="87"/>
    <x v="5"/>
    <s v="001-GABINETE DA SECRETARIA DA EDUCAÇÃO"/>
    <s v="12-EDUCAÇÃO"/>
    <s v="361-ENSINO FUNDAMENTAL"/>
    <s v="0016-Escola para Todos​"/>
    <s v="2.018-Conectividade e Tecnologia na Educação"/>
    <s v="3.3.90.40.00-SERVIÇOS DE TECNOLOGIA DA INFORMAÇÃO E COMUNICAÇÃO - PESSOA JURÍDICA"/>
    <x v="14"/>
    <x v="111"/>
    <n v="3069880"/>
    <x v="0"/>
  </r>
  <r>
    <s v="08"/>
    <s v="001"/>
    <s v="12"/>
    <s v="361"/>
    <s v="0016"/>
    <x v="14"/>
    <x v="0"/>
    <x v="88"/>
    <x v="5"/>
    <s v="001-GABINETE DA SECRETARIA DA EDUCAÇÃO"/>
    <s v="12-EDUCAÇÃO"/>
    <s v="361-ENSINO FUNDAMENTAL"/>
    <s v="0016-Escola para Todos​"/>
    <s v="2.018-Conectividade e Tecnologia na Educação"/>
    <s v="3.3.90.30.00-MATERIAL DE CONSUMO"/>
    <x v="11"/>
    <x v="112"/>
    <n v="1"/>
    <x v="0"/>
  </r>
  <r>
    <s v="08"/>
    <s v="001"/>
    <s v="12"/>
    <s v="361"/>
    <s v="0016"/>
    <x v="14"/>
    <x v="8"/>
    <x v="89"/>
    <x v="5"/>
    <s v="001-GABINETE DA SECRETARIA DA EDUCAÇÃO"/>
    <s v="12-EDUCAÇÃO"/>
    <s v="361-ENSINO FUNDAMENTAL"/>
    <s v="0016-Escola para Todos​"/>
    <s v="2.018-Conectividade e Tecnologia na Educação"/>
    <s v="4.4.90.52.00-EQUIPAMENTOS E MATERIAL PERMANENTE"/>
    <x v="47"/>
    <x v="112"/>
    <n v="3440397.84"/>
    <x v="0"/>
  </r>
  <r>
    <s v="08"/>
    <s v="001"/>
    <s v="12"/>
    <s v="365"/>
    <s v="0016"/>
    <x v="14"/>
    <x v="5"/>
    <x v="90"/>
    <x v="5"/>
    <s v="001-GABINETE DA SECRETARIA DA EDUCAÇÃO"/>
    <s v="12-EDUCAÇÃO"/>
    <s v="365-EDUCAÇÃO INFANTIL"/>
    <s v="0016-Escola para Todos​"/>
    <s v="2.018-Conectividade e Tecnologia na Educação"/>
    <s v="3.3.90.40.00-SERVIÇOS DE TECNOLOGIA DA INFORMAÇÃO E COMUNICAÇÃO - PESSOA JURÍDICA"/>
    <x v="14"/>
    <x v="107"/>
    <n v="11496140.460000001"/>
    <x v="0"/>
  </r>
  <r>
    <s v="08"/>
    <s v="001"/>
    <s v="12"/>
    <s v="365"/>
    <s v="0016"/>
    <x v="14"/>
    <x v="5"/>
    <x v="90"/>
    <x v="5"/>
    <s v="001-GABINETE DA SECRETARIA DA EDUCAÇÃO"/>
    <s v="12-EDUCAÇÃO"/>
    <s v="365-EDUCAÇÃO INFANTIL"/>
    <s v="0016-Escola para Todos​"/>
    <s v="2.018-Conectividade e Tecnologia na Educação"/>
    <s v="3.3.90.40.00-SERVIÇOS DE TECNOLOGIA DA INFORMAÇÃO E COMUNICAÇÃO - PESSOA JURÍDICA"/>
    <x v="14"/>
    <x v="113"/>
    <n v="3593651.14"/>
    <x v="0"/>
  </r>
  <r>
    <s v="08"/>
    <s v="001"/>
    <s v="12"/>
    <s v="366"/>
    <s v="0016"/>
    <x v="15"/>
    <x v="11"/>
    <x v="91"/>
    <x v="5"/>
    <s v="001-GABINETE DA SECRETARIA DA EDUCAÇÃO"/>
    <s v="12-EDUCAÇÃO"/>
    <s v="366-EDUCAÇÃO DE JOVENS E ADULTOS"/>
    <s v="0016-Escola para Todos​"/>
    <s v="2.019-Ações Pedagógicas Complementares"/>
    <s v="3.3.50.39.00-OUTROS SERVIÇOS DE TERCEIROS - PESSOA JURÍDICA"/>
    <x v="30"/>
    <x v="114"/>
    <n v="3018178"/>
    <x v="0"/>
  </r>
  <r>
    <s v="08"/>
    <s v="001"/>
    <s v="12"/>
    <s v="361"/>
    <s v="0016"/>
    <x v="15"/>
    <x v="16"/>
    <x v="92"/>
    <x v="5"/>
    <s v="001-GABINETE DA SECRETARIA DA EDUCAÇÃO"/>
    <s v="12-EDUCAÇÃO"/>
    <s v="361-ENSINO FUNDAMENTAL"/>
    <s v="0016-Escola para Todos​"/>
    <s v="2.019-Ações Pedagógicas Complementares"/>
    <s v="3.3.90.32.00-MATERIAL, BEM OU SERVIÇO PARA DISTRIBUIÇÃO GRATUITA"/>
    <x v="48"/>
    <x v="115"/>
    <n v="1"/>
    <x v="0"/>
  </r>
  <r>
    <s v="08"/>
    <s v="001"/>
    <s v="12"/>
    <s v="365"/>
    <s v="0016"/>
    <x v="15"/>
    <x v="16"/>
    <x v="93"/>
    <x v="5"/>
    <s v="001-GABINETE DA SECRETARIA DA EDUCAÇÃO"/>
    <s v="12-EDUCAÇÃO"/>
    <s v="365-EDUCAÇÃO INFANTIL"/>
    <s v="0016-Escola para Todos​"/>
    <s v="2.019-Ações Pedagógicas Complementares"/>
    <s v="3.3.90.32.00-MATERIAL, BEM OU SERVIÇO PARA DISTRIBUIÇÃO GRATUITA"/>
    <x v="48"/>
    <x v="115"/>
    <n v="1"/>
    <x v="0"/>
  </r>
  <r>
    <s v="08"/>
    <s v="001"/>
    <s v="12"/>
    <s v="367"/>
    <s v="0016"/>
    <x v="15"/>
    <x v="1"/>
    <x v="94"/>
    <x v="5"/>
    <s v="001-GABINETE DA SECRETARIA DA EDUCAÇÃO"/>
    <s v="12-EDUCAÇÃO"/>
    <s v="367-EDUCAÇÃO ESPECIAL"/>
    <s v="0016-Escola para Todos​"/>
    <s v="2.019-Ações Pedagógicas Complementares"/>
    <s v="3.3.90.39.00-OUTROS SERVIÇOS DE TERCEIROS - PESSOA JURÍDICA"/>
    <x v="49"/>
    <x v="116"/>
    <n v="2586416.7999999998"/>
    <x v="0"/>
  </r>
  <r>
    <s v="08"/>
    <s v="001"/>
    <s v="12"/>
    <s v="367"/>
    <s v="0016"/>
    <x v="15"/>
    <x v="1"/>
    <x v="94"/>
    <x v="5"/>
    <s v="001-GABINETE DA SECRETARIA DA EDUCAÇÃO"/>
    <s v="12-EDUCAÇÃO"/>
    <s v="367-EDUCAÇÃO ESPECIAL"/>
    <s v="0016-Escola para Todos​"/>
    <s v="2.019-Ações Pedagógicas Complementares"/>
    <s v="3.3.90.39.00-OUTROS SERVIÇOS DE TERCEIROS - PESSOA JURÍDICA"/>
    <x v="49"/>
    <x v="117"/>
    <n v="2439650"/>
    <x v="0"/>
  </r>
  <r>
    <s v="08"/>
    <s v="001"/>
    <s v="12"/>
    <s v="361"/>
    <s v="0016"/>
    <x v="15"/>
    <x v="1"/>
    <x v="95"/>
    <x v="5"/>
    <s v="001-GABINETE DA SECRETARIA DA EDUCAÇÃO"/>
    <s v="12-EDUCAÇÃO"/>
    <s v="361-ENSINO FUNDAMENTAL"/>
    <s v="0016-Escola para Todos​"/>
    <s v="2.019-Ações Pedagógicas Complementares"/>
    <s v="3.3.90.39.00-OUTROS SERVIÇOS DE TERCEIROS - PESSOA JURÍDICA"/>
    <x v="49"/>
    <x v="118"/>
    <n v="55574467"/>
    <x v="0"/>
  </r>
  <r>
    <s v="08"/>
    <s v="001"/>
    <s v="12"/>
    <s v="366"/>
    <s v="0016"/>
    <x v="15"/>
    <x v="1"/>
    <x v="96"/>
    <x v="5"/>
    <s v="001-GABINETE DA SECRETARIA DA EDUCAÇÃO"/>
    <s v="12-EDUCAÇÃO"/>
    <s v="366-EDUCAÇÃO DE JOVENS E ADULTOS"/>
    <s v="0016-Escola para Todos​"/>
    <s v="2.019-Ações Pedagógicas Complementares"/>
    <s v="3.3.90.39.00-OUTROS SERVIÇOS DE TERCEIROS - PESSOA JURÍDICA"/>
    <x v="22"/>
    <x v="119"/>
    <n v="79200"/>
    <x v="0"/>
  </r>
  <r>
    <s v="08"/>
    <s v="001"/>
    <s v="12"/>
    <s v="366"/>
    <s v="0016"/>
    <x v="15"/>
    <x v="15"/>
    <x v="97"/>
    <x v="5"/>
    <s v="001-GABINETE DA SECRETARIA DA EDUCAÇÃO"/>
    <s v="12-EDUCAÇÃO"/>
    <s v="366-EDUCAÇÃO DE JOVENS E ADULTOS"/>
    <s v="0016-Escola para Todos​"/>
    <s v="2.019-Ações Pedagógicas Complementares"/>
    <s v="3.3.90.48.00 - OUTROS AUXILIOS FINANCEIROS A PESSOAS FISICAS"/>
    <x v="18"/>
    <x v="120"/>
    <n v="1150000"/>
    <x v="0"/>
  </r>
  <r>
    <s v="08"/>
    <s v="001"/>
    <s v="12"/>
    <s v="361"/>
    <s v="0016"/>
    <x v="16"/>
    <x v="1"/>
    <x v="98"/>
    <x v="5"/>
    <s v="001-GABINETE DA SECRETARIA DA EDUCAÇÃO"/>
    <s v="12-EDUCAÇÃO"/>
    <s v="361-ENSINO FUNDAMENTAL"/>
    <s v="0016-Escola para Todos​"/>
    <s v="2.020-Transporte de Alunos "/>
    <s v="3.3.90.39.00-OUTROS SERVIÇOS DE TERCEIROS - PESSOA JURÍDICA"/>
    <x v="50"/>
    <x v="121"/>
    <n v="13120263"/>
    <x v="0"/>
  </r>
  <r>
    <s v="08"/>
    <s v="001"/>
    <s v="12"/>
    <s v="365"/>
    <s v="0016"/>
    <x v="16"/>
    <x v="1"/>
    <x v="99"/>
    <x v="5"/>
    <s v="001-GABINETE DA SECRETARIA DA EDUCAÇÃO"/>
    <s v="12-EDUCAÇÃO"/>
    <s v="365-EDUCAÇÃO INFANTIL"/>
    <s v="0016-Escola para Todos​"/>
    <s v="2.020-Transporte de Alunos "/>
    <s v="3.3.90.39.00-OUTROS SERVIÇOS DE TERCEIROS - PESSOA JURÍDICA"/>
    <x v="50"/>
    <x v="121"/>
    <n v="7996842"/>
    <x v="0"/>
  </r>
  <r>
    <s v="08"/>
    <s v="001"/>
    <s v="12"/>
    <s v="365"/>
    <s v="0016"/>
    <x v="16"/>
    <x v="1"/>
    <x v="99"/>
    <x v="5"/>
    <s v="001-GABINETE DA SECRETARIA DA EDUCAÇÃO"/>
    <s v="12-EDUCAÇÃO"/>
    <s v="365-EDUCAÇÃO INFANTIL"/>
    <s v="0016-Escola para Todos​"/>
    <s v="2.020-Transporte de Alunos "/>
    <s v="3.3.90.39.00-OUTROS SERVIÇOS DE TERCEIROS - PESSOA JURÍDICA"/>
    <x v="50"/>
    <x v="122"/>
    <n v="1"/>
    <x v="0"/>
  </r>
  <r>
    <s v="08"/>
    <s v="001"/>
    <s v="12"/>
    <s v="361"/>
    <s v="0016"/>
    <x v="16"/>
    <x v="1"/>
    <x v="98"/>
    <x v="5"/>
    <s v="001-GABINETE DA SECRETARIA DA EDUCAÇÃO"/>
    <s v="12-EDUCAÇÃO"/>
    <s v="361-ENSINO FUNDAMENTAL"/>
    <s v="0016-Escola para Todos​"/>
    <s v="2.020-Transporte de Alunos "/>
    <s v="3.3.90.39.00-OUTROS SERVIÇOS DE TERCEIROS - PESSOA JURÍDICA"/>
    <x v="50"/>
    <x v="122"/>
    <n v="3525840"/>
    <x v="0"/>
  </r>
  <r>
    <s v="08"/>
    <s v="001"/>
    <s v="12"/>
    <s v="365"/>
    <s v="0016"/>
    <x v="17"/>
    <x v="11"/>
    <x v="100"/>
    <x v="5"/>
    <s v="001-GABINETE DA SECRETARIA DA EDUCAÇÃO"/>
    <s v="12-EDUCAÇÃO"/>
    <s v="365-EDUCAÇÃO INFANTIL"/>
    <s v="0016-Escola para Todos​"/>
    <s v="2.022-Parcerias para Criação de Vagas"/>
    <s v="3.3.50.39.00-OUTROS SERVIÇOS DE TERCEIROS - PESSOA JURÍDICA"/>
    <x v="30"/>
    <x v="123"/>
    <n v="60497859"/>
    <x v="0"/>
  </r>
  <r>
    <s v="08"/>
    <s v="001"/>
    <s v="12"/>
    <s v="365"/>
    <s v="0016"/>
    <x v="17"/>
    <x v="17"/>
    <x v="101"/>
    <x v="5"/>
    <s v="001-GABINETE DA SECRETARIA DA EDUCAÇÃO"/>
    <s v="12-EDUCAÇÃO"/>
    <s v="365-EDUCAÇÃO INFANTIL"/>
    <s v="0016-Escola para Todos​"/>
    <s v="2.022-Parcerias para Criação de Vagas"/>
    <s v="4.4.50.39.00-OUTROS SERVIÇOS DE TERCEIROS - PESSOA JURÍDICA"/>
    <x v="30"/>
    <x v="123"/>
    <n v="157080"/>
    <x v="0"/>
  </r>
  <r>
    <s v="08"/>
    <s v="001"/>
    <s v="12"/>
    <s v="122"/>
    <s v="0016"/>
    <x v="18"/>
    <x v="11"/>
    <x v="102"/>
    <x v="5"/>
    <s v="001-GABINETE DA SECRETARIA DA EDUCAÇÃO"/>
    <s v="12-EDUCAÇÃO"/>
    <s v="122-ADMINISTRAÇÃO GERAL"/>
    <s v="0016-Escola para Todos​"/>
    <s v="2.023-Gestão Compartilhada de Equipamentos Públicos "/>
    <s v="3.3.50.39.00-OUTROS SERVIÇOS DE TERCEIROS - PESSOA JURÍDICA"/>
    <x v="30"/>
    <x v="124"/>
    <n v="6524118"/>
    <x v="0"/>
  </r>
  <r>
    <s v="08"/>
    <s v="001"/>
    <s v="12"/>
    <s v="361"/>
    <s v="0016"/>
    <x v="18"/>
    <x v="11"/>
    <x v="103"/>
    <x v="5"/>
    <s v="001-GABINETE DA SECRETARIA DA EDUCAÇÃO"/>
    <s v="12-EDUCAÇÃO"/>
    <s v="361-ENSINO FUNDAMENTAL"/>
    <s v="0016-Escola para Todos​"/>
    <s v="2.023-Gestão Compartilhada de Equipamentos Públicos "/>
    <s v="3.3.50.39.00-OUTROS SERVIÇOS DE TERCEIROS - PESSOA JURÍDICA"/>
    <x v="30"/>
    <x v="124"/>
    <n v="8250825"/>
    <x v="0"/>
  </r>
  <r>
    <s v="08"/>
    <s v="001"/>
    <s v="12"/>
    <s v="365"/>
    <s v="0016"/>
    <x v="18"/>
    <x v="11"/>
    <x v="104"/>
    <x v="5"/>
    <s v="001-GABINETE DA SECRETARIA DA EDUCAÇÃO"/>
    <s v="12-EDUCAÇÃO"/>
    <s v="365-EDUCAÇÃO INFANTIL"/>
    <s v="0016-Escola para Todos​"/>
    <s v="2.023-Gestão Compartilhada de Equipamentos Públicos "/>
    <s v="3.3.50.39.00-OUTROS SERVIÇOS DE TERCEIROS - PESSOA JURÍDICA"/>
    <x v="30"/>
    <x v="124"/>
    <n v="2357637"/>
    <x v="0"/>
  </r>
  <r>
    <s v="08"/>
    <s v="001"/>
    <s v="12"/>
    <s v="122"/>
    <s v="0016"/>
    <x v="18"/>
    <x v="17"/>
    <x v="105"/>
    <x v="5"/>
    <s v="001-GABINETE DA SECRETARIA DA EDUCAÇÃO"/>
    <s v="12-EDUCAÇÃO"/>
    <s v="122-ADMINISTRAÇÃO GERAL"/>
    <s v="0016-Escola para Todos​"/>
    <s v="2.023-Gestão Compartilhada de Equipamentos Públicos "/>
    <s v="4.4.50.39.00-OUTROS SERVIÇOS DE TERCEIROS - PESSOA JURÍDICA"/>
    <x v="30"/>
    <x v="124"/>
    <n v="1461076"/>
    <x v="0"/>
  </r>
  <r>
    <s v="08"/>
    <s v="001"/>
    <s v="12"/>
    <s v="361"/>
    <s v="0016"/>
    <x v="18"/>
    <x v="17"/>
    <x v="106"/>
    <x v="5"/>
    <s v="001-GABINETE DA SECRETARIA DA EDUCAÇÃO"/>
    <s v="12-EDUCAÇÃO"/>
    <s v="361-ENSINO FUNDAMENTAL"/>
    <s v="0016-Escola para Todos​"/>
    <s v="2.023-Gestão Compartilhada de Equipamentos Públicos "/>
    <s v="4.4.50.39.00-OUTROS SERVIÇOS DE TERCEIROS - PESSOA JURÍDICA"/>
    <x v="30"/>
    <x v="124"/>
    <n v="2062707"/>
    <x v="0"/>
  </r>
  <r>
    <s v="08"/>
    <s v="001"/>
    <s v="12"/>
    <s v="365"/>
    <s v="0016"/>
    <x v="18"/>
    <x v="17"/>
    <x v="107"/>
    <x v="5"/>
    <s v="001-GABINETE DA SECRETARIA DA EDUCAÇÃO"/>
    <s v="12-EDUCAÇÃO"/>
    <s v="365-EDUCAÇÃO INFANTIL"/>
    <s v="0016-Escola para Todos​"/>
    <s v="2.023-Gestão Compartilhada de Equipamentos Públicos "/>
    <s v="4.4.50.39.00-OUTROS SERVIÇOS DE TERCEIROS - PESSOA JURÍDICA"/>
    <x v="30"/>
    <x v="124"/>
    <n v="589409"/>
    <x v="0"/>
  </r>
  <r>
    <s v="09"/>
    <s v="001"/>
    <s v="04"/>
    <s v="126"/>
    <s v="0002"/>
    <x v="1"/>
    <x v="1"/>
    <x v="108"/>
    <x v="6"/>
    <s v="001-GABINETE DA SECRETARIA DA SAÚD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125"/>
    <n v="12378931.68"/>
    <x v="0"/>
  </r>
  <r>
    <s v="09"/>
    <s v="001"/>
    <s v="04"/>
    <s v="131"/>
    <s v="0002"/>
    <x v="4"/>
    <x v="1"/>
    <x v="109"/>
    <x v="6"/>
    <s v="001-GABINETE DA SECRETARIA DA SAÚD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2"/>
    <x v="126"/>
    <n v="20000"/>
    <x v="0"/>
  </r>
  <r>
    <s v="09"/>
    <s v="001"/>
    <s v="04"/>
    <s v="131"/>
    <s v="0002"/>
    <x v="4"/>
    <x v="0"/>
    <x v="110"/>
    <x v="6"/>
    <s v="001-GABINETE DA SECRETARIA DA SAÚDE"/>
    <s v="4-ADMINISTRAÇÃO"/>
    <s v="131-COMUNICAÇÃO SOCIAL"/>
    <s v="0002-Governo Inteligente, Aberto e Inovador​"/>
    <s v="2.005-Promoção de Eventos, Comunicação e Participação Social "/>
    <s v="3.3.90.30.00-MATERIAL DE CONSUMO"/>
    <x v="12"/>
    <x v="87"/>
    <n v="200000"/>
    <x v="0"/>
  </r>
  <r>
    <s v="09"/>
    <s v="001"/>
    <s v="04"/>
    <s v="131"/>
    <s v="0002"/>
    <x v="4"/>
    <x v="1"/>
    <x v="109"/>
    <x v="6"/>
    <s v="001-GABINETE DA SECRETARIA DA SAÚD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57"/>
    <n v="565781.76000000001"/>
    <x v="0"/>
  </r>
  <r>
    <s v="09"/>
    <s v="001"/>
    <s v="04"/>
    <s v="131"/>
    <s v="0002"/>
    <x v="4"/>
    <x v="1"/>
    <x v="109"/>
    <x v="6"/>
    <s v="001-GABINETE DA SECRETARIA DA SAÚD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55"/>
    <n v="100000"/>
    <x v="0"/>
  </r>
  <r>
    <s v="09"/>
    <s v="001"/>
    <s v="04"/>
    <s v="128"/>
    <s v="0002"/>
    <x v="2"/>
    <x v="10"/>
    <x v="111"/>
    <x v="6"/>
    <s v="001-GABINETE DA SECRETARIA DA SAÚD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127"/>
    <n v="1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28"/>
    <n v="193624879.09999999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29"/>
    <n v="38574204.640000001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29"/>
    <n v="32858395.890000001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29"/>
    <n v="33856942.490000002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30"/>
    <n v="43309032.719999999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31"/>
    <n v="34823799.479999997"/>
    <x v="0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51"/>
    <x v="132"/>
    <n v="109175630.3"/>
    <x v="0"/>
  </r>
  <r>
    <s v="09"/>
    <s v="009"/>
    <s v="10"/>
    <s v="302"/>
    <s v="0015"/>
    <x v="18"/>
    <x v="18"/>
    <x v="113"/>
    <x v="6"/>
    <s v="009-DIRETORIA GERAL DA ATENÇÃO SECUNDÁRIA EM SAÚDE"/>
    <s v="10-SAÚDE"/>
    <s v="302-ASSISTÊNCIA HOSPITALAR E AMBULATORIAL"/>
    <s v="0015-Atenção e Cuidado em Saúde​"/>
    <s v="2.023-Gestão Compartilhada de Equipamentos Públicos "/>
    <s v="3.3.50.85.00-CONTRATO DE GESTÃO"/>
    <x v="51"/>
    <x v="133"/>
    <n v="3235357.08"/>
    <x v="0"/>
  </r>
  <r>
    <s v="09"/>
    <s v="009"/>
    <s v="10"/>
    <s v="302"/>
    <s v="0015"/>
    <x v="19"/>
    <x v="11"/>
    <x v="11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50.39.00-OUTROS SERVIÇOS DE TERCEIROS - PESSOA JURÍDICA"/>
    <x v="52"/>
    <x v="134"/>
    <n v="4199199.21"/>
    <x v="0"/>
  </r>
  <r>
    <s v="09"/>
    <s v="009"/>
    <s v="10"/>
    <s v="302"/>
    <s v="0015"/>
    <x v="18"/>
    <x v="18"/>
    <x v="113"/>
    <x v="6"/>
    <s v="009-DIRETORIA GERAL DA ATENÇÃO SECUNDÁRIA EM SAÚDE"/>
    <s v="10-SAÚDE"/>
    <s v="302-ASSISTÊNCIA HOSPITALAR E AMBULATORIAL"/>
    <s v="0015-Atenção e Cuidado em Saúde​"/>
    <s v="2.023-Gestão Compartilhada de Equipamentos Públicos "/>
    <s v="3.3.50.85.00-CONTRATO DE GESTÃO"/>
    <x v="51"/>
    <x v="135"/>
    <n v="10966750.32"/>
    <x v="0"/>
  </r>
  <r>
    <s v="09"/>
    <s v="009"/>
    <s v="10"/>
    <s v="302"/>
    <s v="0015"/>
    <x v="19"/>
    <x v="11"/>
    <x v="11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50.39.00-OUTROS SERVIÇOS DE TERCEIROS - PESSOA JURÍDICA"/>
    <x v="52"/>
    <x v="136"/>
    <n v="294000"/>
    <x v="0"/>
  </r>
  <r>
    <s v="09"/>
    <s v="009"/>
    <s v="10"/>
    <s v="302"/>
    <s v="0015"/>
    <x v="19"/>
    <x v="11"/>
    <x v="11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50.39.00-OUTROS SERVIÇOS DE TERCEIROS - PESSOA JURÍDICA"/>
    <x v="52"/>
    <x v="137"/>
    <n v="600000"/>
    <x v="0"/>
  </r>
  <r>
    <s v="09"/>
    <s v="009"/>
    <s v="10"/>
    <s v="302"/>
    <s v="0015"/>
    <x v="19"/>
    <x v="11"/>
    <x v="11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50.39.00-OUTROS SERVIÇOS DE TERCEIROS - PESSOA JURÍDICA"/>
    <x v="52"/>
    <x v="138"/>
    <n v="5714017.0800000001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2"/>
    <x v="139"/>
    <n v="2330574.12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22"/>
    <x v="139"/>
    <n v="25344994.079999998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39"/>
    <n v="1456608.84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0"/>
    <n v="1032222.48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0"/>
    <n v="842012.52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18"/>
    <x v="140"/>
    <n v="9044062.1999999993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18"/>
    <x v="140"/>
    <n v="1196990.3999999999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18"/>
    <x v="141"/>
    <n v="2804189.4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18"/>
    <x v="141"/>
    <n v="2006150.88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1"/>
    <n v="4862854.08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1"/>
    <n v="3195067.92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18"/>
    <x v="141"/>
    <n v="1358957.16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18"/>
    <x v="141"/>
    <n v="225789.24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18"/>
    <x v="141"/>
    <n v="25335.72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18"/>
    <x v="141"/>
    <n v="54992.4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18"/>
    <x v="142"/>
    <n v="42624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2"/>
    <n v="2391206.4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18"/>
    <x v="142"/>
    <n v="90362.880000000005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142"/>
    <n v="3210390.72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53"/>
    <x v="143"/>
    <n v="10921060.92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53"/>
    <x v="143"/>
    <n v="1946186.64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53"/>
    <x v="143"/>
    <n v="395139.48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22"/>
    <x v="144"/>
    <n v="1524474.96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45"/>
    <n v="312600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45"/>
    <n v="143280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26"/>
    <x v="145"/>
    <n v="33600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3"/>
    <x v="146"/>
    <n v="577951.07999999996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3"/>
    <x v="146"/>
    <n v="920214.36"/>
    <x v="0"/>
  </r>
  <r>
    <s v="09"/>
    <s v="006"/>
    <s v="10"/>
    <s v="302"/>
    <s v="0015"/>
    <x v="20"/>
    <x v="0"/>
    <x v="120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2"/>
    <x v="146"/>
    <n v="4499527.2"/>
    <x v="0"/>
  </r>
  <r>
    <s v="09"/>
    <s v="010"/>
    <s v="10"/>
    <s v="302"/>
    <s v="0015"/>
    <x v="20"/>
    <x v="0"/>
    <x v="121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2"/>
    <x v="146"/>
    <n v="8918329.3200000003"/>
    <x v="0"/>
  </r>
  <r>
    <s v="09"/>
    <s v="009"/>
    <s v="10"/>
    <s v="302"/>
    <s v="0015"/>
    <x v="19"/>
    <x v="0"/>
    <x v="122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0.00-MATERIAL DE CONSUMO"/>
    <x v="12"/>
    <x v="146"/>
    <n v="2953525.08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47"/>
    <n v="5778180"/>
    <x v="0"/>
  </r>
  <r>
    <s v="09"/>
    <s v="012"/>
    <s v="10"/>
    <s v="303"/>
    <s v="0014"/>
    <x v="0"/>
    <x v="1"/>
    <x v="123"/>
    <x v="6"/>
    <s v="012-DEPARTAMENTO DE ASSISTÊNCIA FARMACÊUTICA"/>
    <s v="10-SAÚDE"/>
    <s v="303-SUPORTE PROFILÁTICO E TERAPÊUTICO"/>
    <s v="0014-Gestão em Saúde​"/>
    <s v="2.011-Manutenção de Equipamentos Públicos "/>
    <s v="3.3.90.39.00-OUTROS SERVIÇOS DE TERCEIROS - PESSOA JURÍDICA"/>
    <x v="26"/>
    <x v="147"/>
    <n v="120600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26"/>
    <x v="147"/>
    <n v="1674756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47"/>
    <n v="2007852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23"/>
    <x v="148"/>
    <n v="230852.52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3"/>
    <x v="149"/>
    <n v="71334.720000000001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2"/>
    <x v="150"/>
    <n v="4416547.2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3"/>
    <x v="151"/>
    <n v="509494.8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52"/>
    <n v="177646.2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6"/>
    <x v="152"/>
    <n v="85639.2"/>
    <x v="0"/>
  </r>
  <r>
    <s v="09"/>
    <s v="010"/>
    <s v="10"/>
    <s v="302"/>
    <s v="0015"/>
    <x v="20"/>
    <x v="0"/>
    <x v="121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0"/>
    <x v="152"/>
    <n v="1469614.92"/>
    <x v="0"/>
  </r>
  <r>
    <s v="09"/>
    <s v="006"/>
    <s v="10"/>
    <s v="302"/>
    <s v="0015"/>
    <x v="20"/>
    <x v="0"/>
    <x v="120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0"/>
    <x v="152"/>
    <n v="1406585.76"/>
    <x v="0"/>
  </r>
  <r>
    <s v="09"/>
    <s v="008"/>
    <s v="10"/>
    <s v="301"/>
    <s v="0015"/>
    <x v="21"/>
    <x v="0"/>
    <x v="124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0.00-MATERIAL DE CONSUMO"/>
    <x v="0"/>
    <x v="152"/>
    <n v="68127.240000000005"/>
    <x v="0"/>
  </r>
  <r>
    <s v="09"/>
    <s v="009"/>
    <s v="10"/>
    <s v="302"/>
    <s v="0015"/>
    <x v="19"/>
    <x v="0"/>
    <x v="122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0.00-MATERIAL DE CONSUMO"/>
    <x v="0"/>
    <x v="152"/>
    <n v="59668.800000000003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54"/>
    <x v="153"/>
    <n v="260000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2"/>
    <x v="154"/>
    <n v="2508000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1"/>
    <x v="155"/>
    <n v="1103539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3"/>
    <x v="156"/>
    <n v="1162001"/>
    <x v="0"/>
  </r>
  <r>
    <s v="09"/>
    <s v="015"/>
    <s v="10"/>
    <s v="122"/>
    <s v="0014"/>
    <x v="0"/>
    <x v="6"/>
    <x v="126"/>
    <x v="6"/>
    <s v="015-DIRETORIA GERAL DA GESTÃO DE SAÚDE"/>
    <s v="10-SAÚDE"/>
    <s v="122-ADMINISTRAÇÃO GERAL"/>
    <s v="0014-Gestão em Saúde​"/>
    <s v="2.011-Manutenção de Equipamentos Públicos "/>
    <s v="3.3.90.93.00-INDENIZAÇÕES E RESTITUIÇÕES"/>
    <x v="17"/>
    <x v="157"/>
    <n v="250000"/>
    <x v="0"/>
  </r>
  <r>
    <s v="09"/>
    <s v="006"/>
    <s v="10"/>
    <s v="302"/>
    <s v="0015"/>
    <x v="20"/>
    <x v="6"/>
    <x v="127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93.00-INDENIZAÇÕES E RESTITUIÇÕES"/>
    <x v="41"/>
    <x v="158"/>
    <n v="1740000"/>
    <x v="0"/>
  </r>
  <r>
    <s v="09"/>
    <s v="015"/>
    <s v="10"/>
    <s v="122"/>
    <s v="0014"/>
    <x v="0"/>
    <x v="6"/>
    <x v="126"/>
    <x v="6"/>
    <s v="015-DIRETORIA GERAL DA GESTÃO DE SAÚDE"/>
    <s v="10-SAÚDE"/>
    <s v="122-ADMINISTRAÇÃO GERAL"/>
    <s v="0014-Gestão em Saúde​"/>
    <s v="2.011-Manutenção de Equipamentos Públicos "/>
    <s v="3.3.90.93.00-INDENIZAÇÕES E RESTITUIÇÕES"/>
    <x v="41"/>
    <x v="159"/>
    <n v="3696000"/>
    <x v="0"/>
  </r>
  <r>
    <s v="09"/>
    <s v="009"/>
    <s v="10"/>
    <s v="302"/>
    <s v="0015"/>
    <x v="19"/>
    <x v="6"/>
    <x v="128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93.00-INDENIZAÇÕES E RESTITUIÇÕES"/>
    <x v="41"/>
    <x v="160"/>
    <n v="792000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6"/>
    <x v="161"/>
    <n v="200000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4"/>
    <x v="162"/>
    <n v="2680000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22"/>
    <x v="23"/>
    <n v="200000"/>
    <x v="0"/>
  </r>
  <r>
    <s v="09"/>
    <s v="015"/>
    <s v="10"/>
    <s v="122"/>
    <s v="0014"/>
    <x v="0"/>
    <x v="16"/>
    <x v="129"/>
    <x v="6"/>
    <s v="015-DIRETORIA GERAL DA GESTÃO DE SAÚDE"/>
    <s v="10-SAÚDE"/>
    <s v="122-ADMINISTRAÇÃO GERAL"/>
    <s v="0014-Gestão em Saúde​"/>
    <s v="2.011-Manutenção de Equipamentos Públicos "/>
    <s v="3.3.90.32.00-MATERIAL, BEM OU SERVIÇO PARA DISTRIBUIÇÃO GRATUITA"/>
    <x v="46"/>
    <x v="163"/>
    <n v="360000"/>
    <x v="0"/>
  </r>
  <r>
    <s v="09"/>
    <s v="006"/>
    <s v="10"/>
    <s v="302"/>
    <s v="0015"/>
    <x v="20"/>
    <x v="0"/>
    <x v="120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2"/>
    <x v="164"/>
    <n v="1083662.1000000001"/>
    <x v="0"/>
  </r>
  <r>
    <s v="09"/>
    <s v="010"/>
    <s v="10"/>
    <s v="302"/>
    <s v="0002"/>
    <x v="20"/>
    <x v="0"/>
    <x v="130"/>
    <x v="6"/>
    <s v="010-DIRETORIA GERAL DE URGÊNCIA E EMERGÊNCIA"/>
    <s v="10-SAÚDE"/>
    <s v="302-ASSISTÊNCIA HOSPITALAR E AMBULATORIAL"/>
    <s v="0002-Governo Inteligente, Aberto e Inovador​"/>
    <s v="2.014-Manutenção de Equipamentos Públicos - Atenção Hospitalar e Urgência e Emergência "/>
    <s v="3.3.90.30.00-MATERIAL DE CONSUMO"/>
    <x v="12"/>
    <x v="164"/>
    <n v="274000"/>
    <x v="0"/>
  </r>
  <r>
    <s v="09"/>
    <s v="008"/>
    <s v="10"/>
    <s v="301"/>
    <s v="0015"/>
    <x v="21"/>
    <x v="19"/>
    <x v="131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m/>
    <x v="18"/>
    <x v="165"/>
    <n v="3037000"/>
    <x v="0"/>
  </r>
  <r>
    <s v="09"/>
    <s v="008"/>
    <s v="10"/>
    <s v="301"/>
    <s v="0015"/>
    <x v="21"/>
    <x v="0"/>
    <x v="124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0.00-MATERIAL DE CONSUMO"/>
    <x v="55"/>
    <x v="166"/>
    <n v="1640000"/>
    <x v="0"/>
  </r>
  <r>
    <s v="09"/>
    <s v="001"/>
    <s v="10"/>
    <s v="302"/>
    <s v="0015"/>
    <x v="22"/>
    <x v="1"/>
    <x v="132"/>
    <x v="6"/>
    <s v="001-GABINETE DA SECRETARIA DA SAÚDE"/>
    <s v="10-SAÚDE"/>
    <s v="302-ASSISTÊNCIA HOSPITALAR E AMBULATORIAL"/>
    <s v="0015-Atenção e Cuidado em Saúde​"/>
    <s v="2.026-Residências e Internações Compulsórias"/>
    <s v="3.3.90.39.00-OUTROS SERVIÇOS DE TERCEIROS - PESSOA JURÍDICA"/>
    <x v="56"/>
    <x v="167"/>
    <n v="2350000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7"/>
    <x v="168"/>
    <n v="18216000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7"/>
    <x v="169"/>
    <n v="1222332"/>
    <x v="0"/>
  </r>
  <r>
    <s v="09"/>
    <s v="012"/>
    <s v="10"/>
    <s v="303"/>
    <s v="0014"/>
    <x v="0"/>
    <x v="16"/>
    <x v="134"/>
    <x v="6"/>
    <s v="012-DEPARTAMENTO DE ASSISTÊNCIA FARMACÊUTICA"/>
    <s v="10-SAÚDE"/>
    <s v="303-SUPORTE PROFILÁTICO E TERAPÊUTICO"/>
    <s v="0014-Gestão em Saúde​"/>
    <s v="2.011-Manutenção de Equipamentos Públicos "/>
    <s v="3.3.90.32.00-MATERIAL, BEM OU SERVIÇO PARA DISTRIBUIÇÃO GRATUITA"/>
    <x v="46"/>
    <x v="170"/>
    <n v="2272332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7"/>
    <x v="171"/>
    <n v="6000000"/>
    <x v="0"/>
  </r>
  <r>
    <s v="09"/>
    <s v="012"/>
    <s v="10"/>
    <s v="303"/>
    <s v="0014"/>
    <x v="0"/>
    <x v="16"/>
    <x v="134"/>
    <x v="6"/>
    <s v="012-DEPARTAMENTO DE ASSISTÊNCIA FARMACÊUTICA"/>
    <s v="10-SAÚDE"/>
    <s v="303-SUPORTE PROFILÁTICO E TERAPÊUTICO"/>
    <s v="0014-Gestão em Saúde​"/>
    <s v="2.011-Manutenção de Equipamentos Públicos "/>
    <s v="3.3.90.32.00-MATERIAL, BEM OU SERVIÇO PARA DISTRIBUIÇÃO GRATUITA"/>
    <x v="57"/>
    <x v="172"/>
    <n v="61803000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8"/>
    <x v="173"/>
    <n v="45000000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7"/>
    <x v="174"/>
    <n v="1685190"/>
    <x v="0"/>
  </r>
  <r>
    <s v="09"/>
    <s v="012"/>
    <s v="10"/>
    <s v="303"/>
    <s v="0014"/>
    <x v="0"/>
    <x v="0"/>
    <x v="133"/>
    <x v="6"/>
    <s v="012-DEPARTAMENTO DE ASSISTÊNCIA FARMACÊUTICA"/>
    <s v="10-SAÚDE"/>
    <s v="303-SUPORTE PROFILÁTICO E TERAPÊUTICO"/>
    <s v="0014-Gestão em Saúde​"/>
    <s v="2.011-Manutenção de Equipamentos Públicos "/>
    <s v="3.3.90.30.00-MATERIAL DE CONSUMO"/>
    <x v="57"/>
    <x v="175"/>
    <n v="418000"/>
    <x v="0"/>
  </r>
  <r>
    <s v="09"/>
    <s v="008"/>
    <s v="10"/>
    <s v="301"/>
    <s v="0014"/>
    <x v="21"/>
    <x v="1"/>
    <x v="135"/>
    <x v="6"/>
    <s v="008-DIRETORIA GERAL DE ATENÇÃO PRIMÁRIA EM SAÚDE"/>
    <s v="10-SAÚDE"/>
    <s v="301-ATENÇÃO BÁSICA"/>
    <s v="0014-Gestão em Saúde​"/>
    <s v="2.012-Manutenção de Equipamentos Públicos - Atenção Primária "/>
    <s v="3.3.90.39.00-OUTROS SERVIÇOS DE TERCEIROS - PESSOA JURÍDICA"/>
    <x v="22"/>
    <x v="176"/>
    <n v="960000"/>
    <x v="0"/>
  </r>
  <r>
    <s v="09"/>
    <s v="009"/>
    <s v="10"/>
    <s v="302"/>
    <s v="0015"/>
    <x v="19"/>
    <x v="0"/>
    <x v="122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0.00-MATERIAL DE CONSUMO"/>
    <x v="12"/>
    <x v="177"/>
    <n v="150000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33"/>
    <x v="178"/>
    <n v="1000000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56"/>
    <x v="179"/>
    <n v="1000000"/>
    <x v="0"/>
  </r>
  <r>
    <s v="09"/>
    <s v="012"/>
    <s v="10"/>
    <s v="303"/>
    <s v="0015"/>
    <x v="0"/>
    <x v="16"/>
    <x v="136"/>
    <x v="6"/>
    <s v="012-DEPARTAMENTO DE ASSISTÊNCIA FARMACÊUTICA"/>
    <s v="10-SAÚDE"/>
    <s v="303-SUPORTE PROFILÁTICO E TERAPÊUTICO"/>
    <s v="0015-Atenção e Cuidado em Saúde​"/>
    <s v="2.011-Manutenção de Equipamentos Públicos "/>
    <s v="3.3.90.32.00-MATERIAL, BEM OU SERVIÇO PARA DISTRIBUIÇÃO GRATUITA"/>
    <x v="59"/>
    <x v="180"/>
    <n v="50000"/>
    <x v="0"/>
  </r>
  <r>
    <s v="09"/>
    <s v="012"/>
    <s v="10"/>
    <s v="303"/>
    <s v="0015"/>
    <x v="0"/>
    <x v="0"/>
    <x v="137"/>
    <x v="6"/>
    <s v="012-DEPARTAMENTO DE ASSISTÊNCIA FARMACÊUTICA"/>
    <s v="10-SAÚDE"/>
    <s v="303-SUPORTE PROFILÁTICO E TERAPÊUTICO"/>
    <s v="0015-Atenção e Cuidado em Saúde​"/>
    <s v="2.011-Manutenção de Equipamentos Públicos "/>
    <s v="3.3.90.30.00-MATERIAL DE CONSUMO"/>
    <x v="60"/>
    <x v="181"/>
    <n v="11000000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22"/>
    <x v="182"/>
    <n v="200000"/>
    <x v="0"/>
  </r>
  <r>
    <s v="09"/>
    <s v="015"/>
    <s v="10"/>
    <s v="122"/>
    <s v="0014"/>
    <x v="5"/>
    <x v="8"/>
    <x v="138"/>
    <x v="6"/>
    <s v="015-DIRETORIA GERAL DA GESTÃO DE SAÚDE"/>
    <s v="10-SAÚDE"/>
    <s v="122-ADMINISTRAÇÃO GERAL"/>
    <s v="0014-Gestão em Saúde​"/>
    <s v="1.002-Reforma e Ampliação de Unidades"/>
    <s v="4.4.90.52.00-EQUIPAMENTOS E MATERIAL PERMANENTE"/>
    <x v="19"/>
    <x v="183"/>
    <n v="500000"/>
    <x v="0"/>
  </r>
  <r>
    <s v="09"/>
    <s v="015"/>
    <s v="10"/>
    <s v="122"/>
    <s v="0014"/>
    <x v="5"/>
    <x v="8"/>
    <x v="138"/>
    <x v="6"/>
    <s v="015-DIRETORIA GERAL DA GESTÃO DE SAÚDE"/>
    <s v="10-SAÚDE"/>
    <s v="122-ADMINISTRAÇÃO GERAL"/>
    <s v="0014-Gestão em Saúde​"/>
    <s v="1.002-Reforma e Ampliação de Unidades"/>
    <s v="4.4.90.52.00-EQUIPAMENTOS E MATERIAL PERMANENTE"/>
    <x v="19"/>
    <x v="184"/>
    <n v="100000"/>
    <x v="0"/>
  </r>
  <r>
    <s v="09"/>
    <s v="006"/>
    <s v="10"/>
    <s v="302"/>
    <s v="0015"/>
    <x v="5"/>
    <x v="19"/>
    <x v="139"/>
    <x v="6"/>
    <s v="006-HOSPITAL E MATERNIDADE MUNICIPAL AMADOR AGUIAR"/>
    <s v="10-SAÚDE"/>
    <s v="302-ASSISTÊNCIA HOSPITALAR E AMBULATORIAL"/>
    <s v="0015-Atenção e Cuidado em Saúde​"/>
    <s v="1.002-Reforma e Ampliação de Unidades"/>
    <m/>
    <x v="18"/>
    <x v="185"/>
    <n v="1"/>
    <x v="0"/>
  </r>
  <r>
    <s v="09"/>
    <s v="001"/>
    <s v="10"/>
    <s v="122"/>
    <s v="0001"/>
    <x v="3"/>
    <x v="1"/>
    <x v="140"/>
    <x v="6"/>
    <s v="001-GABINETE DA SECRETARIA DA SAÚDE"/>
    <s v="10-SAÚDE"/>
    <s v="122-ADMINISTRAÇÃO GERAL"/>
    <s v="0001-Administração e Coordenação Geral​"/>
    <s v="2.006-Representações Oficiais "/>
    <s v="3.3.90.39.00-OUTROS SERVIÇOS DE TERCEIROS - PESSOA JURÍDICA"/>
    <x v="22"/>
    <x v="186"/>
    <n v="1000"/>
    <x v="0"/>
  </r>
  <r>
    <s v="09"/>
    <s v="015"/>
    <s v="10"/>
    <s v="122"/>
    <s v="0014"/>
    <x v="0"/>
    <x v="16"/>
    <x v="129"/>
    <x v="6"/>
    <s v="015-DIRETORIA GERAL DA GESTÃO DE SAÚDE"/>
    <s v="10-SAÚDE"/>
    <s v="122-ADMINISTRAÇÃO GERAL"/>
    <s v="0014-Gestão em Saúde​"/>
    <s v="2.011-Manutenção de Equipamentos Públicos "/>
    <s v="3.3.90.32.00-MATERIAL, BEM OU SERVIÇO PARA DISTRIBUIÇÃO GRATUITA"/>
    <x v="61"/>
    <x v="187"/>
    <n v="280000"/>
    <x v="0"/>
  </r>
  <r>
    <s v="09"/>
    <s v="008"/>
    <s v="10"/>
    <s v="301"/>
    <s v="0015"/>
    <x v="21"/>
    <x v="0"/>
    <x v="124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0.00-MATERIAL DE CONSUMO"/>
    <x v="0"/>
    <x v="188"/>
    <n v="533680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62"/>
    <x v="188"/>
    <n v="2841049.28"/>
    <x v="0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22"/>
    <x v="189"/>
    <n v="1771440"/>
    <x v="0"/>
  </r>
  <r>
    <s v="09"/>
    <s v="015"/>
    <s v="10"/>
    <s v="302"/>
    <s v="0015"/>
    <x v="20"/>
    <x v="0"/>
    <x v="141"/>
    <x v="6"/>
    <s v="015-DIRETORIA GERAL DA GESTÃO DE SAÚDE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1"/>
    <x v="190"/>
    <n v="300000"/>
    <x v="0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11"/>
    <x v="191"/>
    <n v="175981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63"/>
    <x v="192"/>
    <n v="7460121.6200000001"/>
    <x v="0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63"/>
    <x v="193"/>
    <n v="22495672.800000001"/>
    <x v="0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63"/>
    <x v="194"/>
    <n v="3820484.64"/>
    <x v="0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63"/>
    <x v="195"/>
    <n v="20319812.41"/>
    <x v="0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63"/>
    <x v="196"/>
    <n v="36559571.399999999"/>
    <x v="0"/>
  </r>
  <r>
    <s v="09"/>
    <s v="008"/>
    <s v="10"/>
    <s v="301"/>
    <s v="0015"/>
    <x v="5"/>
    <x v="19"/>
    <x v="142"/>
    <x v="6"/>
    <s v="008-DIRETORIA GERAL DE ATENÇÃO PRIMÁRIA EM SAÚDE"/>
    <s v="10-SAÚDE"/>
    <s v="301-ATENÇÃO BÁSICA"/>
    <s v="0015-Atenção e Cuidado em Saúde​"/>
    <s v="1.002-Reforma e Ampliação de Unidades"/>
    <m/>
    <x v="18"/>
    <x v="185"/>
    <n v="1"/>
    <x v="0"/>
  </r>
  <r>
    <s v="09"/>
    <s v="009"/>
    <s v="10"/>
    <s v="302"/>
    <s v="0015"/>
    <x v="5"/>
    <x v="19"/>
    <x v="143"/>
    <x v="6"/>
    <s v="009-DIRETORIA GERAL DA ATENÇÃO SECUNDÁRIA EM SAÚDE"/>
    <s v="10-SAÚDE"/>
    <s v="302-ASSISTÊNCIA HOSPITALAR E AMBULATORIAL"/>
    <s v="0015-Atenção e Cuidado em Saúde​"/>
    <s v="1.002-Reforma e Ampliação de Unidades"/>
    <m/>
    <x v="18"/>
    <x v="185"/>
    <n v="1"/>
    <x v="0"/>
  </r>
  <r>
    <s v="09"/>
    <s v="010"/>
    <s v="10"/>
    <s v="302"/>
    <s v="0015"/>
    <x v="5"/>
    <x v="19"/>
    <x v="144"/>
    <x v="6"/>
    <s v="010-DIRETORIA GERAL DE URGÊNCIA E EMERGÊNCIA"/>
    <s v="10-SAÚDE"/>
    <s v="302-ASSISTÊNCIA HOSPITALAR E AMBULATORIAL"/>
    <s v="0015-Atenção e Cuidado em Saúde​"/>
    <s v="1.002-Reforma e Ampliação de Unidades"/>
    <m/>
    <x v="18"/>
    <x v="185"/>
    <n v="1"/>
    <x v="0"/>
  </r>
  <r>
    <s v="09"/>
    <s v="015"/>
    <s v="10"/>
    <s v="122"/>
    <s v="0014"/>
    <x v="5"/>
    <x v="19"/>
    <x v="145"/>
    <x v="6"/>
    <s v="015-DIRETORIA GERAL DA GESTÃO DE SAÚDE"/>
    <s v="10-SAÚDE"/>
    <s v="122-ADMINISTRAÇÃO GERAL"/>
    <s v="0014-Gestão em Saúde​"/>
    <s v="1.002-Reforma e Ampliação de Unidades"/>
    <m/>
    <x v="18"/>
    <x v="185"/>
    <n v="1"/>
    <x v="0"/>
  </r>
  <r>
    <s v="09"/>
    <s v="015"/>
    <s v="10"/>
    <s v="122"/>
    <s v="0014"/>
    <x v="0"/>
    <x v="9"/>
    <x v="146"/>
    <x v="6"/>
    <s v="015-DIRETORIA GERAL DA GESTÃO DE SAÚDE"/>
    <s v="10-SAÚDE"/>
    <s v="122-ADMINISTRAÇÃO GERAL"/>
    <s v="0014-Gestão em Saúde​"/>
    <s v="2.011-Manutenção de Equipamentos Públicos "/>
    <s v="3.3.90.92.00-DESPESAS DE EXERCÍCIOS ANTERIORES"/>
    <x v="64"/>
    <x v="0"/>
    <n v="1"/>
    <x v="0"/>
  </r>
  <r>
    <s v="09"/>
    <s v="015"/>
    <s v="10"/>
    <s v="122"/>
    <s v="0014"/>
    <x v="0"/>
    <x v="6"/>
    <x v="126"/>
    <x v="6"/>
    <s v="015-DIRETORIA GERAL DA GESTÃO DE SAÚDE"/>
    <s v="10-SAÚDE"/>
    <s v="122-ADMINISTRAÇÃO GERAL"/>
    <s v="0014-Gestão em Saúde​"/>
    <s v="2.011-Manutenção de Equipamentos Públicos "/>
    <s v="3.3.90.93.00-INDENIZAÇÕES E RESTITUIÇÕES"/>
    <x v="41"/>
    <x v="0"/>
    <n v="1"/>
    <x v="0"/>
  </r>
  <r>
    <s v="11"/>
    <s v="001"/>
    <s v="04"/>
    <s v="121"/>
    <s v="0004"/>
    <x v="23"/>
    <x v="1"/>
    <x v="147"/>
    <x v="7"/>
    <s v="001-GABINETE DA SECRETARIA DE SERVIÇOS E OBRAS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18"/>
    <x v="197"/>
    <n v="1000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1"/>
    <x v="198"/>
    <n v="30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0"/>
    <x v="199"/>
    <n v="7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31"/>
    <x v="200"/>
    <n v="200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12"/>
    <x v="201"/>
    <n v="60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3"/>
    <x v="202"/>
    <n v="100000"/>
    <x v="0"/>
  </r>
  <r>
    <s v="11"/>
    <s v="001"/>
    <s v="04"/>
    <s v="122"/>
    <s v="0001"/>
    <x v="23"/>
    <x v="0"/>
    <x v="148"/>
    <x v="7"/>
    <s v="001-GABINETE DA SECRETARIA DE SERVIÇOS E OBRAS"/>
    <s v="4-ADMINISTRAÇÃO"/>
    <s v="122-ADMINISTRAÇÃO GERAL"/>
    <s v="0001-Administração e Coordenação Geral​"/>
    <s v="1.001-Estudos, Pesquisas, Planos e Projetos "/>
    <s v="3.3.90.30.00-MATERIAL DE CONSUMO"/>
    <x v="2"/>
    <x v="203"/>
    <n v="200000"/>
    <x v="0"/>
  </r>
  <r>
    <s v="11"/>
    <s v="001"/>
    <s v="04"/>
    <s v="122"/>
    <s v="0001"/>
    <x v="5"/>
    <x v="0"/>
    <x v="149"/>
    <x v="7"/>
    <s v="001-GABINETE DA SECRETARIA DE SERVIÇOS E OBRAS"/>
    <s v="4-ADMINISTRAÇÃO"/>
    <s v="122-ADMINISTRAÇÃO GERAL"/>
    <s v="0001-Administração e Coordenação Geral​"/>
    <s v="1.002-Reforma e Ampliação de Unidades"/>
    <s v="3.3.90.30.00-MATERIAL DE CONSUMO"/>
    <x v="6"/>
    <x v="0"/>
    <n v="1"/>
    <x v="0"/>
  </r>
  <r>
    <s v="11"/>
    <s v="001"/>
    <s v="04"/>
    <s v="122"/>
    <s v="0011"/>
    <x v="5"/>
    <x v="1"/>
    <x v="150"/>
    <x v="7"/>
    <s v="001-GABINETE DA SECRETARIA DE SERVIÇOS E OBRAS"/>
    <s v="4-ADMINISTRAÇÃO"/>
    <s v="122-ADMINISTRAÇÃO GERAL"/>
    <s v="0011-Zeladoria Urbana e Cuidados com a Cidade​"/>
    <s v="1.002-Reforma e Ampliação de Unidades"/>
    <s v="3.3.90.39.00-OUTROS SERVIÇOS DE TERCEIROS - PESSOA JURÍDICA"/>
    <x v="15"/>
    <x v="204"/>
    <m/>
    <x v="0"/>
  </r>
  <r>
    <s v="11"/>
    <s v="001"/>
    <s v="04"/>
    <s v="122"/>
    <s v="0011"/>
    <x v="10"/>
    <x v="12"/>
    <x v="151"/>
    <x v="7"/>
    <s v="001-GABINETE DA SECRETARIA DE SERVIÇOS E OBRAS"/>
    <s v="4-ADMINISTRAÇÃO"/>
    <s v="122-ADMINISTRAÇÃO GERAL"/>
    <s v="0011-Zeladoria Urbana e Cuidados com a Cidade​"/>
    <s v="1.003-Implantação de Novas Unidades"/>
    <s v="4.4.90.51.00-OBRAS E INSTALAÇÕES"/>
    <x v="65"/>
    <x v="205"/>
    <n v="14357865.720000001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11"/>
    <x v="206"/>
    <n v="15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11"/>
    <x v="207"/>
    <n v="1000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1"/>
    <x v="202"/>
    <n v="70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43"/>
    <x v="208"/>
    <n v="120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3"/>
    <x v="202"/>
    <n v="30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2"/>
    <x v="203"/>
    <n v="100000"/>
    <x v="0"/>
  </r>
  <r>
    <s v="11"/>
    <s v="001"/>
    <s v="04"/>
    <s v="122"/>
    <s v="0011"/>
    <x v="0"/>
    <x v="1"/>
    <x v="153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9"/>
    <x v="0"/>
    <n v="120000"/>
    <x v="0"/>
  </r>
  <r>
    <s v="11"/>
    <s v="001"/>
    <s v="04"/>
    <s v="122"/>
    <s v="0011"/>
    <x v="0"/>
    <x v="1"/>
    <x v="153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4"/>
    <x v="209"/>
    <n v="2500000"/>
    <x v="0"/>
  </r>
  <r>
    <s v="11"/>
    <s v="001"/>
    <s v="04"/>
    <s v="122"/>
    <s v="0011"/>
    <x v="0"/>
    <x v="1"/>
    <x v="153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66"/>
    <x v="210"/>
    <n v="28730415.210000001"/>
    <x v="0"/>
  </r>
  <r>
    <s v="11"/>
    <s v="001"/>
    <s v="04"/>
    <s v="122"/>
    <s v="0011"/>
    <x v="0"/>
    <x v="1"/>
    <x v="153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67"/>
    <x v="0"/>
    <n v="10000"/>
    <x v="0"/>
  </r>
  <r>
    <s v="11"/>
    <s v="001"/>
    <s v="04"/>
    <s v="122"/>
    <s v="0011"/>
    <x v="0"/>
    <x v="8"/>
    <x v="154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4.4.90.52.00-EQUIPAMENTOS E MATERIAL PERMANENTE"/>
    <x v="68"/>
    <x v="0"/>
    <n v="25000"/>
    <x v="0"/>
  </r>
  <r>
    <s v="11"/>
    <s v="001"/>
    <s v="04"/>
    <s v="122"/>
    <s v="0011"/>
    <x v="0"/>
    <x v="8"/>
    <x v="154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4.4.90.52.00-EQUIPAMENTOS E MATERIAL PERMANENTE"/>
    <x v="19"/>
    <x v="200"/>
    <n v="60000"/>
    <x v="0"/>
  </r>
  <r>
    <s v="11"/>
    <s v="001"/>
    <s v="04"/>
    <s v="122"/>
    <s v="0011"/>
    <x v="0"/>
    <x v="8"/>
    <x v="154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4.4.90.52.00-EQUIPAMENTOS E MATERIAL PERMANENTE"/>
    <x v="68"/>
    <x v="200"/>
    <n v="30000"/>
    <x v="0"/>
  </r>
  <r>
    <s v="11"/>
    <s v="001"/>
    <s v="04"/>
    <s v="122"/>
    <s v="0011"/>
    <x v="0"/>
    <x v="8"/>
    <x v="154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4.4.90.52.00-EQUIPAMENTOS E MATERIAL PERMANENTE"/>
    <x v="42"/>
    <x v="0"/>
    <n v="215000"/>
    <x v="0"/>
  </r>
  <r>
    <s v="11"/>
    <s v="001"/>
    <s v="04"/>
    <s v="121"/>
    <s v="0011"/>
    <x v="0"/>
    <x v="8"/>
    <x v="155"/>
    <x v="7"/>
    <s v="001-GABINETE DA SECRETARIA DE SERVIÇOS E OBRAS"/>
    <s v="4-ADMINISTRAÇÃO"/>
    <s v="121-PLANEJAMENTO E ORÇAMENTO"/>
    <s v="0011-Zeladoria Urbana e Cuidados com a Cidade​"/>
    <s v="2.011-Manutenção de Equipamentos Públicos "/>
    <s v="4.4.90.52.00-EQUIPAMENTOS E MATERIAL PERMANENTE"/>
    <x v="19"/>
    <x v="211"/>
    <n v="10000"/>
    <x v="0"/>
  </r>
  <r>
    <s v="11"/>
    <s v="001"/>
    <s v="04"/>
    <s v="131"/>
    <s v="0002"/>
    <x v="4"/>
    <x v="1"/>
    <x v="156"/>
    <x v="7"/>
    <s v="001-GABINETE DA SECRETARIA DE SERVIÇOS E OBRA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2"/>
    <x v="0"/>
    <n v="5000"/>
    <x v="0"/>
  </r>
  <r>
    <s v="11"/>
    <s v="001"/>
    <s v="04"/>
    <s v="131"/>
    <s v="0002"/>
    <x v="4"/>
    <x v="1"/>
    <x v="156"/>
    <x v="7"/>
    <s v="001-GABINETE DA SECRETARIA DE SERVIÇOS E OBRA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212"/>
    <n v="50000"/>
    <x v="0"/>
  </r>
  <r>
    <s v="11"/>
    <s v="001"/>
    <s v="04"/>
    <s v="122"/>
    <s v="0011"/>
    <x v="10"/>
    <x v="1"/>
    <x v="157"/>
    <x v="7"/>
    <s v="001-GABINETE DA SECRETARIA DE SERVIÇOS E OBRAS"/>
    <s v="4-ADMINISTRAÇÃO"/>
    <s v="122-ADMINISTRAÇÃO GERAL"/>
    <s v="0011-Zeladoria Urbana e Cuidados com a Cidade​"/>
    <s v="1.003-Implantação de Novas Unidades"/>
    <s v="3.3.90.39.00-OUTROS SERVIÇOS DE TERCEIROS - PESSOA JURÍDICA"/>
    <x v="22"/>
    <x v="213"/>
    <n v="6387943.7999999998"/>
    <x v="0"/>
  </r>
  <r>
    <s v="11"/>
    <s v="001"/>
    <s v="04"/>
    <s v="452"/>
    <s v="0011"/>
    <x v="24"/>
    <x v="1"/>
    <x v="158"/>
    <x v="7"/>
    <s v="001-GABINETE DA SECRETARIA DE SERVIÇOS E OBRAS"/>
    <s v="4-ADMINISTRAÇÃO"/>
    <s v="452-SERVIÇOS URBNOS"/>
    <s v="0011-Zeladoria Urbana e Cuidados com a Cidade​"/>
    <s v="2.034-Manutenção da Infraestrutura Viária"/>
    <s v="3.3.90.39.00-OUTROS SERVIÇOS DE TERCEIROS - PESSOA JURÍDICA"/>
    <x v="66"/>
    <x v="214"/>
    <n v="6000000"/>
    <x v="0"/>
  </r>
  <r>
    <s v="11"/>
    <s v="001"/>
    <s v="04"/>
    <s v="122"/>
    <s v="0011"/>
    <x v="0"/>
    <x v="0"/>
    <x v="152"/>
    <x v="7"/>
    <s v="001-GABINETE DA SECRETARIA DE SERVIÇOS E OBRAS"/>
    <s v="4-ADMINISTRAÇÃO"/>
    <s v="122-ADMINISTRAÇÃO GERAL"/>
    <s v="0011-Zeladoria Urbana e Cuidados com a Cidade​"/>
    <s v="2.011-Manutenção de Equipamentos Públicos "/>
    <s v="3.3.90.30.00-MATERIAL DE CONSUMO"/>
    <x v="6"/>
    <x v="215"/>
    <n v="4500000"/>
    <x v="0"/>
  </r>
  <r>
    <s v="11"/>
    <s v="014"/>
    <s v="04"/>
    <s v="122"/>
    <s v="0011"/>
    <x v="0"/>
    <x v="0"/>
    <x v="159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0.00-MATERIAL DE CONSUMO"/>
    <x v="1"/>
    <x v="201"/>
    <n v="50000"/>
    <x v="0"/>
  </r>
  <r>
    <s v="11"/>
    <s v="014"/>
    <s v="04"/>
    <s v="122"/>
    <s v="0011"/>
    <x v="0"/>
    <x v="0"/>
    <x v="159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0.00-MATERIAL DE CONSUMO"/>
    <x v="11"/>
    <x v="216"/>
    <n v="1000000"/>
    <x v="0"/>
  </r>
  <r>
    <s v="11"/>
    <s v="014"/>
    <s v="04"/>
    <s v="122"/>
    <s v="0011"/>
    <x v="0"/>
    <x v="0"/>
    <x v="159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0.00-MATERIAL DE CONSUMO"/>
    <x v="2"/>
    <x v="0"/>
    <n v="100000"/>
    <x v="0"/>
  </r>
  <r>
    <s v="11"/>
    <s v="014"/>
    <s v="04"/>
    <s v="122"/>
    <s v="0011"/>
    <x v="0"/>
    <x v="0"/>
    <x v="159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0.00-MATERIAL DE CONSUMO"/>
    <x v="43"/>
    <x v="208"/>
    <n v="70000"/>
    <x v="0"/>
  </r>
  <r>
    <s v="11"/>
    <s v="014"/>
    <s v="04"/>
    <s v="122"/>
    <s v="0011"/>
    <x v="0"/>
    <x v="1"/>
    <x v="160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66"/>
    <x v="217"/>
    <n v="12914427.6"/>
    <x v="0"/>
  </r>
  <r>
    <s v="11"/>
    <s v="014"/>
    <s v="04"/>
    <s v="122"/>
    <s v="0011"/>
    <x v="0"/>
    <x v="1"/>
    <x v="160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9"/>
    <x v="218"/>
    <n v="250000"/>
    <x v="0"/>
  </r>
  <r>
    <s v="11"/>
    <s v="014"/>
    <s v="04"/>
    <s v="122"/>
    <s v="0011"/>
    <x v="0"/>
    <x v="1"/>
    <x v="160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9"/>
    <x v="219"/>
    <n v="105150"/>
    <x v="0"/>
  </r>
  <r>
    <s v="11"/>
    <s v="014"/>
    <s v="04"/>
    <s v="122"/>
    <s v="0011"/>
    <x v="0"/>
    <x v="1"/>
    <x v="160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67"/>
    <x v="220"/>
    <n v="80000"/>
    <x v="0"/>
  </r>
  <r>
    <s v="11"/>
    <s v="014"/>
    <s v="04"/>
    <s v="122"/>
    <s v="0011"/>
    <x v="0"/>
    <x v="8"/>
    <x v="161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4.4.90.52.00-EQUIPAMENTOS E MATERIAL PERMANENTE"/>
    <x v="42"/>
    <x v="221"/>
    <n v="80000"/>
    <x v="0"/>
  </r>
  <r>
    <s v="11"/>
    <s v="014"/>
    <s v="04"/>
    <s v="122"/>
    <s v="0011"/>
    <x v="0"/>
    <x v="20"/>
    <x v="162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4.5.90.62.00-AQUISIÇÃO DE PRODUTOS PARA REVENDA"/>
    <x v="69"/>
    <x v="222"/>
    <n v="1200000"/>
    <x v="0"/>
  </r>
  <r>
    <s v="11"/>
    <s v="001"/>
    <s v="04"/>
    <s v="121"/>
    <s v="0011"/>
    <x v="0"/>
    <x v="6"/>
    <x v="163"/>
    <x v="7"/>
    <s v="001-GABINETE DA SECRETARIA DE SERVIÇOS E OBRAS"/>
    <s v="4-ADMINISTRAÇÃO"/>
    <s v="121-PLANEJAMENTO E ORÇAMENTO"/>
    <s v="0011-Zeladoria Urbana e Cuidados com a Cidade​"/>
    <s v="2.011-Manutenção de Equipamentos Públicos "/>
    <s v="3.3.90.93.00-INDENIZAÇÕES E RESTITUIÇÕES"/>
    <x v="70"/>
    <x v="0"/>
    <n v="5000"/>
    <x v="0"/>
  </r>
  <r>
    <s v="11"/>
    <s v="001"/>
    <s v="15"/>
    <s v="451"/>
    <s v="0013"/>
    <x v="25"/>
    <x v="12"/>
    <x v="164"/>
    <x v="7"/>
    <s v="001-GABINETE DA SECRETARIA DE SERVIÇOS E OBRAS"/>
    <s v="15-URBANISMO"/>
    <s v="451-INFRA-ESTRUTURA URBANA"/>
    <s v="0013-Mobilidade Urbana e Infraestrutura Viária​"/>
    <s v="1.006-Desenvolvimento da Infraestrutura Viária"/>
    <s v="4.4.90.51.00-OBRAS E INSTALAÇÕES"/>
    <x v="65"/>
    <x v="223"/>
    <n v="32775171.18"/>
    <x v="0"/>
  </r>
  <r>
    <s v="11"/>
    <s v="001"/>
    <s v="15"/>
    <s v="452"/>
    <s v="0011"/>
    <x v="26"/>
    <x v="0"/>
    <x v="165"/>
    <x v="7"/>
    <s v="001-GABINETE DA SECRETARIA DE SERVIÇOS E OBRAS"/>
    <s v="15-URBANISMO"/>
    <s v="452-SERVIÇOS URBANOS"/>
    <s v="0011-Zeladoria Urbana e Cuidados com a Cidade​"/>
    <s v="2.038-Iluminação Pública "/>
    <s v="3.3.90.30.00-MATERIAL DE CONSUMO"/>
    <x v="20"/>
    <x v="224"/>
    <n v="3000000"/>
    <x v="0"/>
  </r>
  <r>
    <s v="11"/>
    <s v="001"/>
    <s v="15"/>
    <s v="452"/>
    <s v="0011"/>
    <x v="26"/>
    <x v="1"/>
    <x v="166"/>
    <x v="7"/>
    <s v="001-GABINETE DA SECRETARIA DE SERVIÇOS E OBRAS"/>
    <s v="15-URBANISMO"/>
    <s v="452-SERVIÇOS URBANOS"/>
    <s v="0011-Zeladoria Urbana e Cuidados com a Cidade​"/>
    <s v="2.038-Iluminação Pública "/>
    <s v="3.3.90.39.00-OUTROS SERVIÇOS DE TERCEIROS - PESSOA JURÍDICA"/>
    <x v="22"/>
    <x v="225"/>
    <n v="22621050.850000001"/>
    <x v="0"/>
  </r>
  <r>
    <s v="11"/>
    <s v="001"/>
    <s v="15"/>
    <s v="452"/>
    <s v="0011"/>
    <x v="26"/>
    <x v="1"/>
    <x v="166"/>
    <x v="7"/>
    <s v="001-GABINETE DA SECRETARIA DE SERVIÇOS E OBRAS"/>
    <s v="15-URBANISMO"/>
    <s v="452-SERVIÇOS URBANOS"/>
    <s v="0011-Zeladoria Urbana e Cuidados com a Cidade​"/>
    <s v="2.038-Iluminação Pública "/>
    <s v="3.3.90.39.00-OUTROS SERVIÇOS DE TERCEIROS - PESSOA JURÍDICA"/>
    <x v="38"/>
    <x v="226"/>
    <n v="12000000"/>
    <x v="0"/>
  </r>
  <r>
    <s v="11"/>
    <s v="001"/>
    <s v="15"/>
    <s v="452"/>
    <s v="0011"/>
    <x v="26"/>
    <x v="1"/>
    <x v="166"/>
    <x v="7"/>
    <s v="001-GABINETE DA SECRETARIA DE SERVIÇOS E OBRAS"/>
    <s v="15-URBANISMO"/>
    <s v="452-SERVIÇOS URBANOS"/>
    <s v="0011-Zeladoria Urbana e Cuidados com a Cidade​"/>
    <s v="2.038-Iluminação Pública "/>
    <s v="3.3.90.39.00-OUTROS SERVIÇOS DE TERCEIROS - PESSOA JURÍDICA"/>
    <x v="22"/>
    <x v="227"/>
    <n v="1000000"/>
    <x v="0"/>
  </r>
  <r>
    <s v="11"/>
    <s v="001"/>
    <s v="15"/>
    <s v="452"/>
    <s v="0011"/>
    <x v="26"/>
    <x v="1"/>
    <x v="166"/>
    <x v="7"/>
    <s v="001-GABINETE DA SECRETARIA DE SERVIÇOS E OBRAS"/>
    <s v="15-URBANISMO"/>
    <s v="452-SERVIÇOS URBANOS"/>
    <s v="0011-Zeladoria Urbana e Cuidados com a Cidade​"/>
    <s v="2.038-Iluminação Pública "/>
    <s v="3.3.90.39.00-OUTROS SERVIÇOS DE TERCEIROS - PESSOA JURÍDICA"/>
    <x v="22"/>
    <x v="228"/>
    <n v="320540"/>
    <x v="0"/>
  </r>
  <r>
    <s v="11"/>
    <s v="001"/>
    <s v="15"/>
    <s v="452"/>
    <s v="0013"/>
    <x v="24"/>
    <x v="1"/>
    <x v="167"/>
    <x v="7"/>
    <s v="001-GABINETE DA SECRETARIA DE SERVIÇOS E OBRAS"/>
    <s v="15-URBANISMO"/>
    <s v="452-SERVIÇOS URBANOS"/>
    <s v="0013-Mobilidade Urbana e Infraestrutura Viária​"/>
    <s v="2.034-Manutenção da Infraestrutura Viária"/>
    <s v="3.3.90.39.00-OUTROS SERVIÇOS DE TERCEIROS - PESSOA JURÍDICA"/>
    <x v="22"/>
    <x v="229"/>
    <n v="220000"/>
    <x v="0"/>
  </r>
  <r>
    <s v="11"/>
    <s v="001"/>
    <s v="15"/>
    <s v="452"/>
    <s v="0013"/>
    <x v="24"/>
    <x v="1"/>
    <x v="167"/>
    <x v="7"/>
    <s v="001-GABINETE DA SECRETARIA DE SERVIÇOS E OBRAS"/>
    <s v="15-URBANISMO"/>
    <s v="452-SERVIÇOS URBANOS"/>
    <s v="0013-Mobilidade Urbana e Infraestrutura Viária​"/>
    <s v="2.034-Manutenção da Infraestrutura Viária"/>
    <s v="3.3.90.39.00-OUTROS SERVIÇOS DE TERCEIROS - PESSOA JURÍDICA"/>
    <x v="22"/>
    <x v="230"/>
    <n v="14986317.720000001"/>
    <x v="0"/>
  </r>
  <r>
    <s v="11"/>
    <s v="001"/>
    <s v="15"/>
    <s v="451"/>
    <s v="0011"/>
    <x v="0"/>
    <x v="12"/>
    <x v="168"/>
    <x v="7"/>
    <s v="001-GABINETE DA SECRETARIA DE SERVIÇOS E OBRAS"/>
    <s v="15-URBANISMO"/>
    <s v="451-INFRA-ESTRUTURA URBANA"/>
    <s v="0011-Zeladoria Urbana e Cuidados com a Cidade​"/>
    <s v="2.011-Manutenção de Equipamentos Públicos "/>
    <s v="4.4.90.51.00-OBRAS E INSTALAÇÕES"/>
    <x v="65"/>
    <x v="231"/>
    <n v="3000000"/>
    <x v="0"/>
  </r>
  <r>
    <s v="11"/>
    <s v="001"/>
    <s v="15"/>
    <s v="451"/>
    <s v="0011"/>
    <x v="0"/>
    <x v="12"/>
    <x v="168"/>
    <x v="7"/>
    <s v="001-GABINETE DA SECRETARIA DE SERVIÇOS E OBRAS"/>
    <s v="15-URBANISMO"/>
    <s v="451-INFRA-ESTRUTURA URBANA"/>
    <s v="0011-Zeladoria Urbana e Cuidados com a Cidade​"/>
    <s v="2.011-Manutenção de Equipamentos Públicos "/>
    <s v="4.4.90.51.00-OBRAS E INSTALAÇÕES"/>
    <x v="65"/>
    <x v="232"/>
    <n v="187659.84"/>
    <x v="0"/>
  </r>
  <r>
    <s v="11"/>
    <s v="001"/>
    <s v="15"/>
    <s v="451"/>
    <s v="0011"/>
    <x v="0"/>
    <x v="12"/>
    <x v="168"/>
    <x v="7"/>
    <s v="001-GABINETE DA SECRETARIA DE SERVIÇOS E OBRAS"/>
    <s v="15-URBANISMO"/>
    <s v="451-INFRA-ESTRUTURA URBANA"/>
    <s v="0011-Zeladoria Urbana e Cuidados com a Cidade​"/>
    <s v="2.011-Manutenção de Equipamentos Públicos "/>
    <s v="4.4.90.51.00-OBRAS E INSTALAÇÕES"/>
    <x v="65"/>
    <x v="233"/>
    <n v="183662.89"/>
    <x v="0"/>
  </r>
  <r>
    <s v="11"/>
    <s v="001"/>
    <s v="17"/>
    <s v="452"/>
    <s v="0007"/>
    <x v="27"/>
    <x v="1"/>
    <x v="169"/>
    <x v="7"/>
    <s v="001-GABINETE DA SECRETARIA DE SERVIÇOS E OBRAS"/>
    <s v="17-SANEAMENTO"/>
    <s v="452-SERVIÇOS URBANOS"/>
    <s v="0007-Meio Ambiente, Sustentabilidade e Bem-Estar Animal​"/>
    <s v="2.039-Limpeza Urbana e Gestão de Resíduos Sólidos "/>
    <s v="3.3.90.39.00-OUTROS SERVIÇOS DE TERCEIROS - PESSOA JURÍDICA"/>
    <x v="66"/>
    <x v="234"/>
    <n v="196411805.19999999"/>
    <x v="0"/>
  </r>
  <r>
    <s v="11"/>
    <s v="001"/>
    <s v="18"/>
    <s v="544"/>
    <s v="0005"/>
    <x v="28"/>
    <x v="1"/>
    <x v="170"/>
    <x v="7"/>
    <s v="001-GABINETE DA SECRETARIA DE SERVIÇOS E OBRAS"/>
    <s v="18-GESTÃO AMBIENTAL"/>
    <s v="544-RECURSOS HÍDRICOS"/>
    <s v="0005-Resiliência Urbana​"/>
    <s v="2.035-Manutenção e Serviços de Drenagem Urbana "/>
    <s v="3.3.90.39.00-OUTROS SERVIÇOS DE TERCEIROS - PESSOA JURÍDICA"/>
    <x v="16"/>
    <x v="235"/>
    <n v="9000000"/>
    <x v="0"/>
  </r>
  <r>
    <s v="11"/>
    <s v="001"/>
    <s v="18"/>
    <s v="543"/>
    <s v="0007"/>
    <x v="29"/>
    <x v="1"/>
    <x v="171"/>
    <x v="7"/>
    <s v="001-GABINETE DA SECRETARIA DE SERVIÇOS E OBRAS"/>
    <s v="18-GESTÃO AMBIENTAL"/>
    <s v="543-RECUPERAÇÃO DE ÁREAS DEGRADADAS"/>
    <s v="0007-Meio Ambiente, Sustentabilidade e Bem-Estar Animal​"/>
    <s v="2.037-Ampliação e Manutenção de Áreas Verdes"/>
    <s v="3.3.90.39.00-OUTROS SERVIÇOS DE TERCEIROS - PESSOA JURÍDICA"/>
    <x v="66"/>
    <x v="236"/>
    <n v="58811871.009999998"/>
    <x v="0"/>
  </r>
  <r>
    <s v="11"/>
    <s v="001"/>
    <s v="18"/>
    <s v="452"/>
    <s v="0007"/>
    <x v="10"/>
    <x v="1"/>
    <x v="172"/>
    <x v="7"/>
    <s v="001-GABINETE DA SECRETARIA DE SERVIÇOS E OBRAS"/>
    <s v="18-GESTÃO AMBIENTAL"/>
    <s v="452-SERVIÇOS URBANOS"/>
    <s v="0007-Meio Ambiente, Sustentabilidade e Bem-Estar Animal​"/>
    <s v="1.003-Implantação de Novas Unidades"/>
    <s v="3.3.90.39.00-OUTROS SERVIÇOS DE TERCEIROS - PESSOA JURÍDICA"/>
    <x v="22"/>
    <x v="237"/>
    <n v="5048386.2"/>
    <x v="0"/>
  </r>
  <r>
    <s v="11"/>
    <s v="001"/>
    <s v="18"/>
    <s v="544"/>
    <s v="0005"/>
    <x v="28"/>
    <x v="1"/>
    <x v="170"/>
    <x v="7"/>
    <s v="001-GABINETE DA SECRETARIA DE SERVIÇOS E OBRAS"/>
    <s v="18-GESTÃO AMBIENTAL"/>
    <s v="544-RECURSOS HÍDRICOS"/>
    <s v="0005-Resiliência Urbana​"/>
    <s v="2.035-Manutenção e Serviços de Drenagem Urbana "/>
    <s v="3.3.90.39.00-OUTROS SERVIÇOS DE TERCEIROS - PESSOA JURÍDICA"/>
    <x v="22"/>
    <x v="238"/>
    <n v="31777017.539999999"/>
    <x v="0"/>
  </r>
  <r>
    <s v="11"/>
    <s v="001"/>
    <s v="18"/>
    <s v="544"/>
    <s v="0005"/>
    <x v="28"/>
    <x v="1"/>
    <x v="170"/>
    <x v="7"/>
    <s v="001-GABINETE DA SECRETARIA DE SERVIÇOS E OBRAS"/>
    <s v="18-GESTÃO AMBIENTAL"/>
    <s v="544-RECURSOS HÍDRICOS"/>
    <s v="0005-Resiliência Urbana​"/>
    <s v="2.035-Manutenção e Serviços de Drenagem Urbana "/>
    <s v="3.3.90.39.00-OUTROS SERVIÇOS DE TERCEIROS - PESSOA JURÍDICA"/>
    <x v="22"/>
    <x v="239"/>
    <n v="10000000"/>
    <x v="0"/>
  </r>
  <r>
    <s v="12"/>
    <s v="001"/>
    <s v="04"/>
    <s v="122"/>
    <s v="0002"/>
    <x v="30"/>
    <x v="11"/>
    <x v="173"/>
    <x v="8"/>
    <s v="001-GABINETE DA SECRETARIA DE ESPORTE, RECREAÇÃO E LAZER"/>
    <s v="4-ADMINISTRAÇÃO"/>
    <s v="122-ADMINISTRAÇÃO GERAL"/>
    <s v="0002-Governo Inteligente, Aberto e Inovador​"/>
    <s v="2.032-Iniciação Esportiva "/>
    <s v="3.3.50.39.00-OUTROS SERVIÇOS DE TERCEIROS - PESSOA JURÍDICA"/>
    <x v="71"/>
    <x v="0"/>
    <n v="1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31"/>
    <x v="0"/>
    <n v="1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12"/>
    <x v="0"/>
    <n v="35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1"/>
    <x v="0"/>
    <n v="5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3"/>
    <x v="0"/>
    <n v="3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2"/>
    <x v="0"/>
    <n v="25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72"/>
    <x v="0"/>
    <n v="1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20"/>
    <x v="0"/>
    <n v="10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6"/>
    <x v="0"/>
    <n v="15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21"/>
    <x v="0"/>
    <n v="5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73"/>
    <x v="0"/>
    <n v="1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11"/>
    <x v="0"/>
    <n v="100000"/>
    <x v="0"/>
  </r>
  <r>
    <s v="12"/>
    <s v="001"/>
    <s v="04"/>
    <s v="122"/>
    <s v="0001"/>
    <x v="0"/>
    <x v="0"/>
    <x v="174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0.00-MATERIAL DE CONSUMO"/>
    <x v="0"/>
    <x v="0"/>
    <n v="1"/>
    <x v="0"/>
  </r>
  <r>
    <s v="12"/>
    <s v="001"/>
    <s v="04"/>
    <s v="811"/>
    <s v="0010"/>
    <x v="31"/>
    <x v="7"/>
    <x v="175"/>
    <x v="8"/>
    <s v="001-GABINETE DA SECRETARIA DE ESPORTE, RECREAÇÃO E LAZER"/>
    <s v="4-ADMINISTRAÇÃO"/>
    <s v="811-DESPORTO DE RENDIMENTO"/>
    <s v="0010-Esporte, Lazer e Bem-Estar​"/>
    <s v="2.030-Apoio ao Esporte de Alto Rendimento"/>
    <s v="3.3.90.33.00-PASSAGENS E DESPESAS COM LOCOMOÇÃO"/>
    <x v="74"/>
    <x v="0"/>
    <n v="50000"/>
    <x v="0"/>
  </r>
  <r>
    <s v="12"/>
    <s v="001"/>
    <s v="04"/>
    <s v="811"/>
    <s v="0010"/>
    <x v="31"/>
    <x v="7"/>
    <x v="175"/>
    <x v="8"/>
    <s v="001-GABINETE DA SECRETARIA DE ESPORTE, RECREAÇÃO E LAZER"/>
    <s v="4-ADMINISTRAÇÃO"/>
    <s v="811-DESPORTO DE RENDIMENTO"/>
    <s v="0010-Esporte, Lazer e Bem-Estar​"/>
    <s v="2.030-Apoio ao Esporte de Alto Rendimento"/>
    <s v="3.3.90.33.00-PASSAGENS E DESPESAS COM LOCOMOÇÃO"/>
    <x v="75"/>
    <x v="0"/>
    <n v="50000"/>
    <x v="0"/>
  </r>
  <r>
    <s v="12"/>
    <s v="001"/>
    <s v="04"/>
    <s v="811"/>
    <s v="0010"/>
    <x v="31"/>
    <x v="7"/>
    <x v="175"/>
    <x v="8"/>
    <s v="001-GABINETE DA SECRETARIA DE ESPORTE, RECREAÇÃO E LAZER"/>
    <s v="4-ADMINISTRAÇÃO"/>
    <s v="811-DESPORTO DE RENDIMENTO"/>
    <s v="0010-Esporte, Lazer e Bem-Estar​"/>
    <s v="2.030-Apoio ao Esporte de Alto Rendimento"/>
    <s v="3.3.90.33.00-PASSAGENS E DESPESAS COM LOCOMOÇÃO"/>
    <x v="76"/>
    <x v="0"/>
    <n v="1"/>
    <x v="0"/>
  </r>
  <r>
    <s v="12"/>
    <s v="001"/>
    <s v="04"/>
    <s v="131"/>
    <s v="0010"/>
    <x v="4"/>
    <x v="1"/>
    <x v="176"/>
    <x v="8"/>
    <s v="001-GABINETE DA SECRETARIA DE ESPORTE, RECREAÇÃO E LAZER"/>
    <s v="4-ADMINISTRAÇÃO"/>
    <s v="131-COMUNICAÇÃO SOCIAL"/>
    <s v="0010-Esporte, Lazer e Bem-Estar​"/>
    <s v="2.005-Promoção de Eventos, Comunicação e Participação Social "/>
    <s v="3.3.90.39.00-OUTROS SERVIÇOS DE TERCEIROS - PESSOA JURÍDICA"/>
    <x v="32"/>
    <x v="0"/>
    <n v="20000"/>
    <x v="0"/>
  </r>
  <r>
    <s v="12"/>
    <s v="001"/>
    <s v="04"/>
    <s v="122"/>
    <s v="0004"/>
    <x v="0"/>
    <x v="1"/>
    <x v="177"/>
    <x v="8"/>
    <s v="001-GABINETE DA SECRETARIA DE ESPORTE, RECREAÇÃO E LAZER"/>
    <s v="4-ADMINISTRAÇÃO"/>
    <s v="122-ADMINISTRAÇÃO GERAL"/>
    <s v="0004-Planejamento e Gestão de Políticas Públicas "/>
    <s v="2.011-Manutenção de Equipamentos Públicos "/>
    <s v="3.3.90.39.00-OUTROS SERVIÇOS DE TERCEIROS - PESSOA JURÍDICA"/>
    <x v="66"/>
    <x v="0"/>
    <n v="500000"/>
    <x v="0"/>
  </r>
  <r>
    <s v="12"/>
    <s v="001"/>
    <s v="04"/>
    <s v="121"/>
    <s v="0001"/>
    <x v="10"/>
    <x v="1"/>
    <x v="178"/>
    <x v="8"/>
    <s v="001-GABINETE DA SECRETARIA DE ESPORTE, RECREAÇÃO E LAZER"/>
    <s v="4-ADMINISTRAÇÃO"/>
    <s v="121-PLANEJAMENTO E ORÇAMENTO"/>
    <s v="0001-Administração e Coordenação Geral​"/>
    <s v="1.003-Implantação de Novas Unidades"/>
    <s v="3.3.90.39.00-OUTROS SERVIÇOS DE TERCEIROS - PESSOA JURÍDICA"/>
    <x v="10"/>
    <x v="0"/>
    <n v="1"/>
    <x v="0"/>
  </r>
  <r>
    <s v="12"/>
    <s v="001"/>
    <s v="04"/>
    <s v="121"/>
    <s v="0001"/>
    <x v="0"/>
    <x v="1"/>
    <x v="179"/>
    <x v="8"/>
    <s v="001-GABINETE DA SECRETARIA DE ESPORTE, RECREAÇÃO E LAZER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26"/>
    <x v="0"/>
    <n v="1"/>
    <x v="0"/>
  </r>
  <r>
    <s v="12"/>
    <s v="001"/>
    <s v="04"/>
    <s v="122"/>
    <s v="0001"/>
    <x v="0"/>
    <x v="1"/>
    <x v="180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9.00-OUTROS SERVIÇOS DE TERCEIROS - PESSOA JURÍDICA"/>
    <x v="4"/>
    <x v="0"/>
    <n v="1000000"/>
    <x v="0"/>
  </r>
  <r>
    <s v="12"/>
    <s v="001"/>
    <s v="04"/>
    <s v="122"/>
    <s v="0001"/>
    <x v="0"/>
    <x v="1"/>
    <x v="180"/>
    <x v="8"/>
    <s v="001-GABINETE DA SECRETARIA DE ESPORTE, RECREAÇÃO E LAZER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0"/>
    <n v="100000"/>
    <x v="0"/>
  </r>
  <r>
    <s v="12"/>
    <s v="001"/>
    <s v="04"/>
    <s v="121"/>
    <s v="0001"/>
    <x v="0"/>
    <x v="1"/>
    <x v="179"/>
    <x v="8"/>
    <s v="001-GABINETE DA SECRETARIA DE ESPORTE, RECREAÇÃO E LAZER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5"/>
    <x v="0"/>
    <n v="1"/>
    <x v="0"/>
  </r>
  <r>
    <s v="12"/>
    <s v="001"/>
    <s v="04"/>
    <s v="131"/>
    <s v="0001"/>
    <x v="3"/>
    <x v="1"/>
    <x v="181"/>
    <x v="8"/>
    <s v="001-GABINETE DA SECRETARIA DE ESPORTE, RECREAÇÃO E LAZER"/>
    <s v="4-ADMINISTRAÇÃO"/>
    <s v="131-COMUNICAÇÃO SOCIAL"/>
    <s v="0001-Administração e Coordenação Geral​"/>
    <s v="2.006-Representações Oficiais "/>
    <s v="3.3.90.39.00-OUTROS SERVIÇOS DE TERCEIROS - PESSOA JURÍDICA"/>
    <x v="27"/>
    <x v="0"/>
    <n v="50000"/>
    <x v="0"/>
  </r>
  <r>
    <s v="12"/>
    <s v="001"/>
    <s v="04"/>
    <s v="121"/>
    <s v="0001"/>
    <x v="30"/>
    <x v="9"/>
    <x v="182"/>
    <x v="8"/>
    <s v="001-GABINETE DA SECRETARIA DE ESPORTE, RECREAÇÃO E LAZER"/>
    <s v="4-ADMINISTRAÇÃO"/>
    <s v="121-PLANEJAMENTO E ORÇAMENTO"/>
    <s v="0001-Administração e Coordenação Geral​"/>
    <s v="2.032-Iniciação Esportiva "/>
    <s v="3.3.90.92.00-DESPESAS DE EXERCÍCIOS ANTERIORES"/>
    <x v="22"/>
    <x v="0"/>
    <n v="1"/>
    <x v="0"/>
  </r>
  <r>
    <s v="12"/>
    <s v="001"/>
    <s v="04"/>
    <s v="122"/>
    <s v="0001"/>
    <x v="11"/>
    <x v="6"/>
    <x v="183"/>
    <x v="8"/>
    <s v="001-GABINETE DA SECRETARIA DE ESPORTE, RECREAÇÃO E LAZER"/>
    <s v="4-ADMINISTRAÇÃO"/>
    <s v="122-ADMINISTRAÇÃO GERAL"/>
    <s v="0001-Administração e Coordenação Geral​"/>
    <s v="2.001-Remuneração, Benefícios e Encargos"/>
    <s v="3.3.90.93.00-INDENIZAÇÕES E RESTITUIÇÕES"/>
    <x v="70"/>
    <x v="0"/>
    <n v="1"/>
    <x v="0"/>
  </r>
  <r>
    <s v="12"/>
    <s v="001"/>
    <s v="04"/>
    <s v="122"/>
    <s v="0001"/>
    <x v="11"/>
    <x v="6"/>
    <x v="183"/>
    <x v="8"/>
    <s v="001-GABINETE DA SECRETARIA DE ESPORTE, RECREAÇÃO E LAZER"/>
    <s v="4-ADMINISTRAÇÃO"/>
    <s v="122-ADMINISTRAÇÃO GERAL"/>
    <s v="0001-Administração e Coordenação Geral​"/>
    <s v="2.001-Remuneração, Benefícios e Encargos"/>
    <s v="3.3.90.93.00-INDENIZAÇÕES E RESTITUIÇÕES"/>
    <x v="41"/>
    <x v="0"/>
    <n v="1"/>
    <x v="0"/>
  </r>
  <r>
    <s v="12"/>
    <s v="001"/>
    <s v="04"/>
    <s v="122"/>
    <s v="0001"/>
    <x v="3"/>
    <x v="6"/>
    <x v="184"/>
    <x v="8"/>
    <s v="001-GABINETE DA SECRETARIA DE ESPORTE, RECREAÇÃO E LAZER"/>
    <s v="4-ADMINISTRAÇÃO"/>
    <s v="122-ADMINISTRAÇÃO GERAL"/>
    <s v="0001-Administração e Coordenação Geral​"/>
    <s v="2.006-Representações Oficiais "/>
    <s v="3.3.90.93.00-INDENIZAÇÕES E RESTITUIÇÕES"/>
    <x v="77"/>
    <x v="0"/>
    <n v="1"/>
    <x v="0"/>
  </r>
  <r>
    <s v="12"/>
    <s v="001"/>
    <s v="04"/>
    <s v="122"/>
    <s v="0002"/>
    <x v="5"/>
    <x v="12"/>
    <x v="185"/>
    <x v="8"/>
    <s v="001-GABINETE DA SECRETARIA DE ESPORTE, RECREAÇÃO E LAZER"/>
    <s v="4-ADMINISTRAÇÃO"/>
    <s v="122-ADMINISTRAÇÃO GERAL"/>
    <s v="0002-Governo Inteligente, Aberto e Inovador​"/>
    <s v="1.002-Reforma e Ampliação de Unidades"/>
    <s v="4.4.90.51.00-OBRAS E INSTALAÇÕES"/>
    <x v="18"/>
    <x v="0"/>
    <n v="1"/>
    <x v="0"/>
  </r>
  <r>
    <s v="12"/>
    <s v="001"/>
    <s v="04"/>
    <s v="121"/>
    <s v="0010"/>
    <x v="31"/>
    <x v="8"/>
    <x v="186"/>
    <x v="8"/>
    <s v="001-GABINETE DA SECRETARIA DE ESPORTE, RECREAÇÃO E LAZER"/>
    <s v="4-ADMINISTRAÇÃO"/>
    <s v="121-PLANEJAMENTO E ORÇAMENTO"/>
    <s v="0010-Esporte, Lazer e Bem-Estar​"/>
    <s v="2.030-Apoio ao Esporte de Alto Rendimento"/>
    <s v="4.4.90.52.00-EQUIPAMENTOS E MATERIAL PERMANENTE"/>
    <x v="18"/>
    <x v="0"/>
    <n v="600000"/>
    <x v="0"/>
  </r>
  <r>
    <s v="12"/>
    <s v="001"/>
    <s v="04"/>
    <s v="122"/>
    <s v="0002"/>
    <x v="32"/>
    <x v="1"/>
    <x v="187"/>
    <x v="8"/>
    <s v="001-GABINETE DA SECRETARIA DE ESPORTE, RECREAÇÃO E LAZER"/>
    <s v="4-ADMINISTRAÇÃO"/>
    <s v="122-ADMINISTRAÇÃO GERAL"/>
    <s v="0002-Governo Inteligente, Aberto e Inovador​"/>
    <s v="2.028-Disseminação de Atividades Culturais e Esportivas Decentralizadas"/>
    <s v="3.3.90.39.00-OUTROS SERVIÇOS DE TERCEIROS - PESSOA JURÍDICA"/>
    <x v="18"/>
    <x v="0"/>
    <n v="1"/>
    <x v="0"/>
  </r>
  <r>
    <s v="12"/>
    <s v="001"/>
    <s v="27"/>
    <s v="811"/>
    <s v="0010"/>
    <x v="33"/>
    <x v="14"/>
    <x v="188"/>
    <x v="8"/>
    <s v="001-GABINETE DA SECRETARIA DE ESPORTE, RECREAÇÃO E LAZER"/>
    <s v="27-DESPORTO E LAZER"/>
    <s v="811-DESPORTO DE RENDIMENTO"/>
    <s v="0010-Esporte, Lazer e Bem-Estar​"/>
    <s v="2.031-Esporte Amador "/>
    <s v="3.3.90.31.00-PREMIAÇÕES CULTURAIS, ARTÍSTICAS, CIENTÍFICAS, DESPORTIVAS E OUTRAS"/>
    <x v="36"/>
    <x v="0"/>
    <n v="150000"/>
    <x v="0"/>
  </r>
  <r>
    <s v="12"/>
    <s v="001"/>
    <s v="27"/>
    <s v="812"/>
    <s v="0010"/>
    <x v="30"/>
    <x v="10"/>
    <x v="189"/>
    <x v="8"/>
    <s v="001-GABINETE DA SECRETARIA DE ESPORTE, RECREAÇÃO E LAZER"/>
    <s v="27-DESPORTO E LAZER"/>
    <s v="812-DESPORTO COMUNITÁRIO"/>
    <s v="0010-Esporte, Lazer e Bem-Estar​"/>
    <s v="2.032-Iniciação Esportiva "/>
    <s v="3.3.90.36.00-OUTROS SERVIÇOS DE TERCEIROS - PESSOA FÍSICA"/>
    <x v="78"/>
    <x v="0"/>
    <n v="1972800"/>
    <x v="0"/>
  </r>
  <r>
    <s v="12"/>
    <s v="001"/>
    <s v="27"/>
    <s v="812"/>
    <s v="0010"/>
    <x v="31"/>
    <x v="1"/>
    <x v="190"/>
    <x v="8"/>
    <s v="001-GABINETE DA SECRETARIA DE ESPORTE, RECREAÇÃO E LAZER"/>
    <s v="27-DESPORTO E LAZER"/>
    <s v="812-DESPORTO COMUNITÁRIO"/>
    <s v="0010-Esporte, Lazer e Bem-Estar​"/>
    <s v="2.030-Apoio ao Esporte de Alto Rendimento"/>
    <s v="3.3.90.39.00-OUTROS SERVIÇOS DE TERCEIROS - PESSOA JURÍDICA"/>
    <x v="13"/>
    <x v="0"/>
    <n v="120000"/>
    <x v="0"/>
  </r>
  <r>
    <s v="12"/>
    <s v="001"/>
    <s v="27"/>
    <s v="812"/>
    <s v="0010"/>
    <x v="3"/>
    <x v="1"/>
    <x v="191"/>
    <x v="8"/>
    <s v="001-GABINETE DA SECRETARIA DE ESPORTE, RECREAÇÃO E LAZER"/>
    <s v="27-DESPORTO E LAZER"/>
    <s v="812-DESPORTO COMUNITÁRIO"/>
    <s v="0010-Esporte, Lazer e Bem-Estar​"/>
    <s v="2.006-Representações Oficiais "/>
    <s v="3.3.90.39.00-OUTROS SERVIÇOS DE TERCEIROS - PESSOA JURÍDICA"/>
    <x v="79"/>
    <x v="0"/>
    <n v="60000"/>
    <x v="0"/>
  </r>
  <r>
    <s v="12"/>
    <s v="001"/>
    <s v="27"/>
    <s v="811"/>
    <s v="0010"/>
    <x v="31"/>
    <x v="1"/>
    <x v="192"/>
    <x v="8"/>
    <s v="001-GABINETE DA SECRETARIA DE ESPORTE, RECREAÇÃO E LAZER"/>
    <s v="27-DESPORTO E LAZER"/>
    <s v="811-DESPORTO DE RENDIMENTO"/>
    <s v="0010-Esporte, Lazer e Bem-Estar​"/>
    <s v="2.030-Apoio ao Esporte de Alto Rendimento"/>
    <s v="3.3.90.39.00-OUTROS SERVIÇOS DE TERCEIROS - PESSOA JURÍDICA"/>
    <x v="22"/>
    <x v="0"/>
    <n v="1557000"/>
    <x v="0"/>
  </r>
  <r>
    <s v="12"/>
    <s v="001"/>
    <s v="27"/>
    <s v="812"/>
    <s v="0001"/>
    <x v="30"/>
    <x v="1"/>
    <x v="193"/>
    <x v="8"/>
    <s v="001-GABINETE DA SECRETARIA DE ESPORTE, RECREAÇÃO E LAZER"/>
    <s v="27-DESPORTO E LAZER"/>
    <s v="812-DESPORTO COMUNITÁRIO"/>
    <s v="0001-Administração e Coordenação Geral​"/>
    <s v="2.032-Iniciação Esportiva "/>
    <s v="3.3.90.39.00-OUTROS SERVIÇOS DE TERCEIROS - PESSOA JURÍDICA"/>
    <x v="78"/>
    <x v="0"/>
    <n v="100000"/>
    <x v="0"/>
  </r>
  <r>
    <s v="13"/>
    <s v="001"/>
    <s v="04"/>
    <s v="122"/>
    <s v="0001"/>
    <x v="3"/>
    <x v="7"/>
    <x v="194"/>
    <x v="9"/>
    <s v="001-GABINETE DA SECRETARIA DE HABITAÇÃO"/>
    <s v="4-ADMINISTRAÇÃO"/>
    <s v="122-ADMINISTRAÇÃO GERAL"/>
    <s v="0001-Administração e Coordenação Geral​"/>
    <s v="2.006-Representações Oficiais "/>
    <s v="3.3.90.33.00-PASSAGENS E DESPESAS COM LOCOMOÇÃO"/>
    <x v="18"/>
    <x v="240"/>
    <n v="40000"/>
    <x v="0"/>
  </r>
  <r>
    <s v="13"/>
    <s v="001"/>
    <s v="04"/>
    <s v="122"/>
    <s v="0001"/>
    <x v="3"/>
    <x v="1"/>
    <x v="195"/>
    <x v="9"/>
    <s v="001-GABINETE DA SECRETARIA DE HABITAÇÃO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241"/>
    <n v="40000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31"/>
    <x v="242"/>
    <n v="11181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0"/>
    <x v="243"/>
    <n v="3040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12"/>
    <x v="244"/>
    <n v="57363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1"/>
    <x v="245"/>
    <n v="27693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3"/>
    <x v="246"/>
    <n v="69045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2"/>
    <x v="247"/>
    <n v="55203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72"/>
    <x v="248"/>
    <n v="25000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43"/>
    <x v="249"/>
    <n v="14828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80"/>
    <x v="249"/>
    <n v="2000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20"/>
    <x v="250"/>
    <n v="42479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6"/>
    <x v="251"/>
    <n v="113395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21"/>
    <x v="252"/>
    <n v="75271"/>
    <x v="0"/>
  </r>
  <r>
    <s v="13"/>
    <s v="001"/>
    <s v="04"/>
    <s v="122"/>
    <s v="0001"/>
    <x v="0"/>
    <x v="0"/>
    <x v="196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0.00-MATERIAL DE CONSUMO"/>
    <x v="11"/>
    <x v="253"/>
    <n v="33044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81"/>
    <x v="254"/>
    <n v="30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10"/>
    <x v="255"/>
    <n v="212775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252"/>
    <n v="50181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82"/>
    <x v="254"/>
    <n v="1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15"/>
    <x v="254"/>
    <n v="13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254"/>
    <n v="8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83"/>
    <x v="254"/>
    <n v="11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254"/>
    <n v="800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7"/>
    <x v="256"/>
    <n v="50000"/>
    <x v="0"/>
  </r>
  <r>
    <s v="13"/>
    <s v="001"/>
    <s v="04"/>
    <s v="122"/>
    <s v="0001"/>
    <x v="0"/>
    <x v="1"/>
    <x v="197"/>
    <x v="9"/>
    <s v="001-GABINETE DA SECRETARIA DE HABIT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78"/>
    <x v="254"/>
    <n v="1000"/>
    <x v="0"/>
  </r>
  <r>
    <s v="13"/>
    <s v="001"/>
    <s v="04"/>
    <s v="122"/>
    <s v="0001"/>
    <x v="0"/>
    <x v="8"/>
    <x v="198"/>
    <x v="9"/>
    <s v="001-GABINETE DA SECRETARIA DE HABITAÇÃO"/>
    <s v="4-ADMINISTRAÇÃO"/>
    <s v="122-ADMINISTRAÇÃO GERAL"/>
    <s v="0001-Administração e Coordenação Geral​"/>
    <s v="2.011-Manutenção de Equipamentos Públicos "/>
    <s v="4.4.90.52.00-EQUIPAMENTOS E MATERIAL PERMANENTE"/>
    <x v="7"/>
    <x v="257"/>
    <n v="109000"/>
    <x v="0"/>
  </r>
  <r>
    <s v="13"/>
    <s v="001"/>
    <s v="04"/>
    <s v="122"/>
    <s v="0001"/>
    <x v="0"/>
    <x v="8"/>
    <x v="198"/>
    <x v="9"/>
    <s v="001-GABINETE DA SECRETARIA DE HABITAÇÃO"/>
    <s v="4-ADMINISTRAÇÃO"/>
    <s v="122-ADMINISTRAÇÃO GERAL"/>
    <s v="0001-Administração e Coordenação Geral​"/>
    <s v="2.011-Manutenção de Equipamentos Públicos "/>
    <s v="4.4.90.52.00-EQUIPAMENTOS E MATERIAL PERMANENTE"/>
    <x v="84"/>
    <x v="257"/>
    <n v="160000"/>
    <x v="0"/>
  </r>
  <r>
    <s v="13"/>
    <s v="001"/>
    <s v="04"/>
    <s v="122"/>
    <s v="0001"/>
    <x v="2"/>
    <x v="10"/>
    <x v="199"/>
    <x v="9"/>
    <s v="001-GABINETE DA SECRETARIA DE HABITAÇÃO"/>
    <s v="4-ADMINISTRAÇÃO"/>
    <s v="122-ADMINISTRAÇÃO GERAL"/>
    <s v="0001-Administração e Coordenação Geral​"/>
    <s v="2.003-Qualificação de Servidores e Processos Institucionais"/>
    <s v="3.3.90.36.00-OUTROS SERVIÇOS DE TERCEIROS - PESSOA FÍSICA"/>
    <x v="18"/>
    <x v="254"/>
    <n v="2000"/>
    <x v="0"/>
  </r>
  <r>
    <s v="13"/>
    <s v="001"/>
    <s v="04"/>
    <s v="122"/>
    <s v="0001"/>
    <x v="2"/>
    <x v="1"/>
    <x v="200"/>
    <x v="9"/>
    <s v="001-GABINETE DA SECRETARIA DE HABITAÇÃO"/>
    <s v="4-ADMINISTRAÇÃO"/>
    <s v="122-ADMINISTRAÇÃO GERAL"/>
    <s v="0001-Administração e Coordenação Geral​"/>
    <s v="2.003-Qualificação de Servidores e Processos Institucionais"/>
    <s v="3.3.90.39.00-OUTROS SERVIÇOS DE TERCEIROS - PESSOA JURÍDICA"/>
    <x v="22"/>
    <x v="254"/>
    <n v="30000"/>
    <x v="0"/>
  </r>
  <r>
    <s v="13"/>
    <s v="001"/>
    <s v="04"/>
    <s v="122"/>
    <s v="0001"/>
    <x v="4"/>
    <x v="6"/>
    <x v="201"/>
    <x v="9"/>
    <s v="001-GABINETE DA SECRETARIA DE HABITAÇÃO"/>
    <s v="4-ADMINISTRAÇÃO"/>
    <s v="122-ADMINISTRAÇÃO GERAL"/>
    <s v="0001-Administração e Coordenação Geral​"/>
    <s v="2.005-Promoção de Eventos, Comunicação e Participação Social "/>
    <s v="3.3.90.93.00-INDENIZAÇÕES E RESTITUIÇÕES"/>
    <x v="70"/>
    <x v="254"/>
    <n v="1000"/>
    <x v="0"/>
  </r>
  <r>
    <s v="13"/>
    <s v="001"/>
    <s v="04"/>
    <s v="122"/>
    <s v="0001"/>
    <x v="4"/>
    <x v="6"/>
    <x v="201"/>
    <x v="9"/>
    <s v="001-GABINETE DA SECRETARIA DE HABITAÇÃO"/>
    <s v="4-ADMINISTRAÇÃO"/>
    <s v="122-ADMINISTRAÇÃO GERAL"/>
    <s v="0001-Administração e Coordenação Geral​"/>
    <s v="2.005-Promoção de Eventos, Comunicação e Participação Social "/>
    <s v="3.3.90.93.00-INDENIZAÇÕES E RESTITUIÇÕES"/>
    <x v="41"/>
    <x v="254"/>
    <n v="5000"/>
    <x v="0"/>
  </r>
  <r>
    <s v="13"/>
    <s v="008"/>
    <s v="04"/>
    <s v="122"/>
    <s v="0001"/>
    <x v="4"/>
    <x v="6"/>
    <x v="202"/>
    <x v="9"/>
    <s v="008-FUNDO MUNICIPAL DE POLÍTICA URBANA E HABITACIONAL"/>
    <s v="4-ADMINISTRAÇÃO"/>
    <s v="122-ADMINISTRAÇÃO GERAL"/>
    <s v="0001-Administração e Coordenação Geral​"/>
    <s v="2.005-Promoção de Eventos, Comunicação e Participação Social "/>
    <s v="3.3.90.93.00-INDENIZAÇÕES E RESTITUIÇÕES"/>
    <x v="41"/>
    <x v="254"/>
    <n v="5000"/>
    <x v="0"/>
  </r>
  <r>
    <s v="13"/>
    <s v="001"/>
    <s v="04"/>
    <s v="122"/>
    <s v="0001"/>
    <x v="4"/>
    <x v="1"/>
    <x v="203"/>
    <x v="9"/>
    <s v="001-GABINETE DA SECRETARIA DE HABITAÇÃO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13"/>
    <x v="258"/>
    <n v="61250"/>
    <x v="0"/>
  </r>
  <r>
    <s v="13"/>
    <s v="001"/>
    <s v="15"/>
    <s v="451"/>
    <s v="0005"/>
    <x v="34"/>
    <x v="12"/>
    <x v="204"/>
    <x v="9"/>
    <s v="001-GABINETE DA SECRETARIA DE HABITAÇÃO"/>
    <s v="15-URBANISMO"/>
    <s v="451-INFRA-ESTRUTURA URBANA"/>
    <s v="0005-Resiliência Urbana​"/>
    <s v="1.009-Urbanização de Favelas e Comunidades "/>
    <s v="4.4.90.51.00-OBRAS E INSTALAÇÕES"/>
    <x v="65"/>
    <x v="259"/>
    <n v="1794355"/>
    <x v="0"/>
  </r>
  <r>
    <s v="13"/>
    <s v="001"/>
    <s v="15"/>
    <s v="451"/>
    <s v="0005"/>
    <x v="34"/>
    <x v="12"/>
    <x v="204"/>
    <x v="9"/>
    <s v="001-GABINETE DA SECRETARIA DE HABITAÇÃO"/>
    <s v="15-URBANISMO"/>
    <s v="451-INFRA-ESTRUTURA URBANA"/>
    <s v="0005-Resiliência Urbana​"/>
    <s v="1.009-Urbanização de Favelas e Comunidades "/>
    <s v="4.4.90.51.00-OBRAS E INSTALAÇÕES"/>
    <x v="65"/>
    <x v="260"/>
    <n v="430808.82"/>
    <x v="0"/>
  </r>
  <r>
    <s v="13"/>
    <s v="001"/>
    <s v="15"/>
    <s v="451"/>
    <s v="0005"/>
    <x v="34"/>
    <x v="12"/>
    <x v="204"/>
    <x v="9"/>
    <s v="001-GABINETE DA SECRETARIA DE HABITAÇÃO"/>
    <s v="15-URBANISMO"/>
    <s v="451-INFRA-ESTRUTURA URBANA"/>
    <s v="0005-Resiliência Urbana​"/>
    <s v="1.009-Urbanização de Favelas e Comunidades "/>
    <s v="4.4.90.51.00-OBRAS E INSTALAÇÕES"/>
    <x v="65"/>
    <x v="261"/>
    <n v="7921060.3499999996"/>
    <x v="0"/>
  </r>
  <r>
    <s v="13"/>
    <s v="001"/>
    <s v="15"/>
    <s v="451"/>
    <s v="0005"/>
    <x v="34"/>
    <x v="12"/>
    <x v="204"/>
    <x v="9"/>
    <s v="001-GABINETE DA SECRETARIA DE HABITAÇÃO"/>
    <s v="15-URBANISMO"/>
    <s v="451-INFRA-ESTRUTURA URBANA"/>
    <s v="0005-Resiliência Urbana​"/>
    <s v="1.009-Urbanização de Favelas e Comunidades "/>
    <s v="4.4.90.51.00-OBRAS E INSTALAÇÕES"/>
    <x v="65"/>
    <x v="262"/>
    <n v="18471618.02"/>
    <x v="0"/>
  </r>
  <r>
    <s v="13"/>
    <s v="001"/>
    <s v="16"/>
    <s v="482"/>
    <s v="0012"/>
    <x v="35"/>
    <x v="1"/>
    <x v="205"/>
    <x v="9"/>
    <s v="001-GABINETE DA SECRETARIA DE HABITAÇÃO"/>
    <s v="16-HABITAÇÃO"/>
    <s v="482-HABITAÇÃO URBANA"/>
    <s v="0012-Moradia Digna​"/>
    <s v="1.010-Requalificação de Favelas e Comunidades"/>
    <s v="3.3.90.39.00-OUTROS SERVIÇOS DE TERCEIROS - PESSOA JURÍDICA"/>
    <x v="22"/>
    <x v="263"/>
    <n v="23703265"/>
    <x v="0"/>
  </r>
  <r>
    <s v="13"/>
    <s v="001"/>
    <s v="16"/>
    <s v="482"/>
    <s v="0012"/>
    <x v="36"/>
    <x v="12"/>
    <x v="206"/>
    <x v="9"/>
    <s v="001-GABINETE DA SECRETARIA DE HABITAÇÃO"/>
    <s v="16-HABITAÇÃO"/>
    <s v="482-HABITAÇÃO URBANA"/>
    <s v="0012-Moradia Digna​"/>
    <s v="1.014-Recuperação de Conjuntos Habitacionais"/>
    <s v="4.4.90.51.00-OBRAS E INSTALAÇÕES"/>
    <x v="65"/>
    <x v="264"/>
    <n v="21640357.149999999"/>
    <x v="0"/>
  </r>
  <r>
    <s v="13"/>
    <s v="001"/>
    <s v="16"/>
    <s v="482"/>
    <s v="0012"/>
    <x v="34"/>
    <x v="12"/>
    <x v="207"/>
    <x v="9"/>
    <s v="001-GABINETE DA SECRETARIA DE HABITAÇÃO"/>
    <s v="16-HABITAÇÃO"/>
    <s v="482-HABITAÇÃO URBANA"/>
    <s v="0012-Moradia Digna​"/>
    <s v="1.009-Urbanização de Favelas e Comunidades "/>
    <s v="4.4.90.51.00-OBRAS E INSTALAÇÕES"/>
    <x v="65"/>
    <x v="265"/>
    <n v="6301164"/>
    <x v="0"/>
  </r>
  <r>
    <s v="13"/>
    <s v="001"/>
    <s v="16"/>
    <s v="482"/>
    <s v="0012"/>
    <x v="37"/>
    <x v="1"/>
    <x v="208"/>
    <x v="9"/>
    <s v="001-GABINETE DA SECRETARIA DE HABITAÇÃO"/>
    <s v="16-HABITAÇÃO"/>
    <s v="482-HABITAÇÃO URBANA"/>
    <s v="0012-Moradia Digna​"/>
    <s v="1.011-Regularização Fundiária de Assentamentos Precários, Loteamentos e Conjuntos Habitacionais "/>
    <s v="3.3.90.39.00-OUTROS SERVIÇOS DE TERCEIROS - PESSOA JURÍDICA"/>
    <x v="22"/>
    <x v="266"/>
    <n v="2810760.6"/>
    <x v="0"/>
  </r>
  <r>
    <s v="13"/>
    <s v="001"/>
    <s v="16"/>
    <s v="482"/>
    <s v="0012"/>
    <x v="37"/>
    <x v="1"/>
    <x v="208"/>
    <x v="9"/>
    <s v="001-GABINETE DA SECRETARIA DE HABITAÇÃO"/>
    <s v="16-HABITAÇÃO"/>
    <s v="482-HABITAÇÃO URBANA"/>
    <s v="0012-Moradia Digna​"/>
    <s v="1.011-Regularização Fundiária de Assentamentos Precários, Loteamentos e Conjuntos Habitacionais "/>
    <s v="3.3.90.39.00-OUTROS SERVIÇOS DE TERCEIROS - PESSOA JURÍDICA"/>
    <x v="22"/>
    <x v="267"/>
    <n v="1651248.14"/>
    <x v="0"/>
  </r>
  <r>
    <s v="14"/>
    <s v="001"/>
    <s v="04"/>
    <s v="245"/>
    <s v="0001"/>
    <x v="23"/>
    <x v="1"/>
    <x v="209"/>
    <x v="10"/>
    <s v="001-GABINETE DA SECRETARIA DE ASSISTÊNCIA SOCIAL"/>
    <s v="4-ADMINISTRAÇÃO"/>
    <s v="245-SERVIÇOS SOCIOASSISTENCIAIS"/>
    <s v="0001-Administração e Coordenação Geral​"/>
    <s v="1.001-Estudos, Pesquisas, Planos e Projetos "/>
    <s v="3.3.90.39.00-OUTROS SERVIÇOS DE TERCEIROS - PESSOA JURÍDICA"/>
    <x v="22"/>
    <x v="268"/>
    <n v="1"/>
    <x v="0"/>
  </r>
  <r>
    <s v="14"/>
    <s v="001"/>
    <s v="04"/>
    <s v="131"/>
    <s v="0002"/>
    <x v="4"/>
    <x v="1"/>
    <x v="210"/>
    <x v="10"/>
    <s v="001-GABINETE DA SECRETARIA DE ASSISTÊNCIA SOCIA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6"/>
    <x v="269"/>
    <n v="250000"/>
    <x v="0"/>
  </r>
  <r>
    <s v="14"/>
    <s v="001"/>
    <s v="04"/>
    <s v="126"/>
    <s v="0002"/>
    <x v="1"/>
    <x v="5"/>
    <x v="211"/>
    <x v="10"/>
    <s v="001-GABINETE DA SECRETARIA DE ASSISTÊNCIA SOCIAL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270"/>
    <n v="1378090"/>
    <x v="0"/>
  </r>
  <r>
    <s v="14"/>
    <s v="005"/>
    <s v="04"/>
    <s v="128"/>
    <s v="0002"/>
    <x v="2"/>
    <x v="1"/>
    <x v="212"/>
    <x v="10"/>
    <s v="005-FUNDO MUNICIPAL DE ASSISTÊNCIA SOCIAL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83"/>
    <x v="271"/>
    <n v="280000"/>
    <x v="0"/>
  </r>
  <r>
    <s v="14"/>
    <s v="001"/>
    <s v="04"/>
    <s v="131"/>
    <s v="0002"/>
    <x v="4"/>
    <x v="1"/>
    <x v="210"/>
    <x v="10"/>
    <s v="001-GABINETE DA SECRETARIA DE ASSISTÊNCIA SOCIA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2"/>
    <x v="272"/>
    <n v="115000"/>
    <x v="0"/>
  </r>
  <r>
    <s v="14"/>
    <s v="001"/>
    <s v="04"/>
    <s v="131"/>
    <s v="0002"/>
    <x v="4"/>
    <x v="0"/>
    <x v="213"/>
    <x v="10"/>
    <s v="001-GABINETE DA SECRETARIA DE ASSISTÊNCIA SOCIAL"/>
    <s v="4-ADMINISTRAÇÃO"/>
    <s v="131-COMUNICAÇÃO SOCIAL"/>
    <s v="0002-Governo Inteligente, Aberto e Inovador​"/>
    <s v="2.005-Promoção de Eventos, Comunicação e Participação Social "/>
    <s v="3.3.90.30.00-MATERIAL DE CONSUMO"/>
    <x v="12"/>
    <x v="273"/>
    <n v="50000"/>
    <x v="0"/>
  </r>
  <r>
    <s v="14"/>
    <s v="001"/>
    <s v="04"/>
    <s v="122"/>
    <s v="0001"/>
    <x v="3"/>
    <x v="1"/>
    <x v="214"/>
    <x v="10"/>
    <s v="001-GABINETE DA SECRETARIA DE ASSISTÊNCIA SOCIAL"/>
    <s v="4-ADMINISTRAÇÃO"/>
    <s v="122-ADMINISTRAÇÃO GERAL"/>
    <s v="0001-Administração e Coordenação Geral​"/>
    <s v="2.006-Representações Oficiais "/>
    <s v="3.3.90.39.00-OUTROS SERVIÇOS DE TERCEIROS - PESSOA JURÍDICA"/>
    <x v="15"/>
    <x v="274"/>
    <n v="50000"/>
    <x v="0"/>
  </r>
  <r>
    <s v="14"/>
    <s v="001"/>
    <s v="04"/>
    <s v="121"/>
    <s v="0004"/>
    <x v="23"/>
    <x v="5"/>
    <x v="215"/>
    <x v="10"/>
    <s v="001-GABINETE DA SECRETARIA DE ASSISTÊNCIA SOCIAL"/>
    <s v="4-ADMINISTRAÇÃO"/>
    <s v="121-PLANEJAMENTO E ORÇAMENTO"/>
    <s v="0004-Planejamento e Gestão de Políticas Públicas "/>
    <s v="1.001-Estudos, Pesquisas, Planos e Projetos "/>
    <s v="3.3.90.40.00-SERVIÇOS DE TECNOLOGIA DA INFORMAÇÃO E COMUNICAÇÃO - PESSOA JURÍDICA"/>
    <x v="18"/>
    <x v="275"/>
    <n v="1"/>
    <x v="0"/>
  </r>
  <r>
    <s v="14"/>
    <s v="001"/>
    <s v="04"/>
    <s v="122"/>
    <s v="0001"/>
    <x v="4"/>
    <x v="1"/>
    <x v="216"/>
    <x v="10"/>
    <s v="001-GABINETE DA SECRETARIA DE ASSISTÊNCIA SOCIAL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22"/>
    <x v="276"/>
    <n v="30000"/>
    <x v="0"/>
  </r>
  <r>
    <s v="14"/>
    <s v="001"/>
    <s v="04"/>
    <s v="122"/>
    <s v="0001"/>
    <x v="0"/>
    <x v="0"/>
    <x v="217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30.00-MATERIAL DE CONSUMO"/>
    <x v="0"/>
    <x v="277"/>
    <n v="13000"/>
    <x v="0"/>
  </r>
  <r>
    <s v="14"/>
    <s v="001"/>
    <s v="04"/>
    <s v="122"/>
    <s v="0001"/>
    <x v="0"/>
    <x v="0"/>
    <x v="217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30.00-MATERIAL DE CONSUMO"/>
    <x v="2"/>
    <x v="278"/>
    <n v="170000"/>
    <x v="0"/>
  </r>
  <r>
    <s v="14"/>
    <s v="001"/>
    <s v="04"/>
    <s v="122"/>
    <s v="0001"/>
    <x v="0"/>
    <x v="0"/>
    <x v="217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30.00-MATERIAL DE CONSUMO"/>
    <x v="3"/>
    <x v="279"/>
    <n v="20000"/>
    <x v="0"/>
  </r>
  <r>
    <s v="14"/>
    <s v="001"/>
    <s v="04"/>
    <s v="122"/>
    <s v="0001"/>
    <x v="0"/>
    <x v="0"/>
    <x v="217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30.00-MATERIAL DE CONSUMO"/>
    <x v="12"/>
    <x v="280"/>
    <n v="21500"/>
    <x v="0"/>
  </r>
  <r>
    <s v="14"/>
    <s v="001"/>
    <s v="04"/>
    <s v="122"/>
    <s v="0001"/>
    <x v="0"/>
    <x v="1"/>
    <x v="218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39.00-OUTROS SERVIÇOS DE TERCEIROS - PESSOA JURÍDICA"/>
    <x v="16"/>
    <x v="281"/>
    <n v="125000"/>
    <x v="0"/>
  </r>
  <r>
    <s v="14"/>
    <s v="001"/>
    <s v="04"/>
    <s v="122"/>
    <s v="0001"/>
    <x v="0"/>
    <x v="6"/>
    <x v="219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3.3.90.93.00-INDENIZAÇÕES E RESTITUIÇÕES"/>
    <x v="11"/>
    <x v="282"/>
    <n v="5000"/>
    <x v="0"/>
  </r>
  <r>
    <s v="14"/>
    <s v="001"/>
    <s v="04"/>
    <s v="122"/>
    <s v="0001"/>
    <x v="0"/>
    <x v="8"/>
    <x v="220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4.4.90.52.00-EQUIPAMENTOS E MATERIAL PERMANENTE"/>
    <x v="42"/>
    <x v="283"/>
    <n v="70000"/>
    <x v="0"/>
  </r>
  <r>
    <s v="14"/>
    <s v="001"/>
    <s v="04"/>
    <s v="128"/>
    <s v="0002"/>
    <x v="2"/>
    <x v="1"/>
    <x v="221"/>
    <x v="10"/>
    <s v="001-GABINETE DA SECRETARIA DE ASSISTÊNCIA SOCIAL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83"/>
    <x v="284"/>
    <n v="10000"/>
    <x v="0"/>
  </r>
  <r>
    <s v="14"/>
    <s v="001"/>
    <s v="04"/>
    <s v="131"/>
    <s v="0002"/>
    <x v="4"/>
    <x v="1"/>
    <x v="210"/>
    <x v="10"/>
    <s v="001-GABINETE DA SECRETARIA DE ASSISTÊNCIA SOCIA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40"/>
    <x v="285"/>
    <n v="40000"/>
    <x v="0"/>
  </r>
  <r>
    <s v="14"/>
    <s v="001"/>
    <s v="04"/>
    <s v="122"/>
    <s v="0001"/>
    <x v="0"/>
    <x v="8"/>
    <x v="220"/>
    <x v="10"/>
    <s v="001-GABINETE DA SECRETARIA DE ASSISTÊNCIA SOCIAL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m/>
    <x v="0"/>
  </r>
  <r>
    <s v="14"/>
    <s v="001"/>
    <s v="08"/>
    <s v="246"/>
    <s v="0019"/>
    <x v="38"/>
    <x v="1"/>
    <x v="222"/>
    <x v="10"/>
    <s v="001-GABINETE DA SECRETARIA DE ASSISTÊNCIA SOCIAL"/>
    <s v="8-ASSISTÊNCIA SOCIAL"/>
    <s v="246-SEGURANÇA DE RENDA"/>
    <s v="0019-Segurança Alimentar e Combate à Pobreza​"/>
    <s v="2.024-Distribuição de Alimentos e Benefícios para as Famílias em Situação de Vulnerabilidade"/>
    <s v="3.3.90.39.00-OUTROS SERVIÇOS DE TERCEIROS - PESSOA JURÍDICA"/>
    <x v="22"/>
    <x v="286"/>
    <n v="0"/>
    <x v="0"/>
  </r>
  <r>
    <s v="14"/>
    <s v="005"/>
    <s v="08"/>
    <s v="245"/>
    <s v="0018"/>
    <x v="39"/>
    <x v="11"/>
    <x v="223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50.39.00-OUTROS SERVIÇOS DE TERCEIROS - PESSOA JURÍDICA"/>
    <x v="18"/>
    <x v="287"/>
    <n v="6083040"/>
    <x v="0"/>
  </r>
  <r>
    <s v="14"/>
    <s v="005"/>
    <s v="08"/>
    <s v="245"/>
    <s v="0018"/>
    <x v="40"/>
    <x v="11"/>
    <x v="224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50.39.00-OUTROS SERVIÇOS DE TERCEIROS - PESSOA JURÍDICA"/>
    <x v="18"/>
    <x v="288"/>
    <n v="30604000"/>
    <x v="0"/>
  </r>
  <r>
    <s v="14"/>
    <s v="001"/>
    <s v="08"/>
    <s v="245"/>
    <s v="0018"/>
    <x v="22"/>
    <x v="1"/>
    <x v="225"/>
    <x v="10"/>
    <s v="001-GABINETE DA SECRETARIA DE ASSISTÊNCIA SOCIAL"/>
    <s v="8-ASSISTÊNCIA SOCIAL"/>
    <s v="245-SERVIÇOS SOCIOASSISTENCIAIS"/>
    <s v="0018-Proteção Social e Garantia de Direitos​"/>
    <s v="2.026-Residências e Internações Compulsórias"/>
    <s v="3.3.90.39.00-OUTROS SERVIÇOS DE TERCEIROS - PESSOA JURÍDICA"/>
    <x v="22"/>
    <x v="289"/>
    <n v="1700000"/>
    <x v="0"/>
  </r>
  <r>
    <s v="14"/>
    <s v="005"/>
    <s v="08"/>
    <s v="245"/>
    <s v="0018"/>
    <x v="40"/>
    <x v="3"/>
    <x v="226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71.70.00-RATEIO PELA PARTICIPAÇÃO EM CONSÓRCIO PÚBLICO"/>
    <x v="30"/>
    <x v="290"/>
    <n v="81049"/>
    <x v="0"/>
  </r>
  <r>
    <s v="14"/>
    <s v="005"/>
    <s v="08"/>
    <s v="245"/>
    <s v="0018"/>
    <x v="40"/>
    <x v="21"/>
    <x v="227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71.70.00-RATEIO PELA PARTICIPAÇÃO EM CONSÓRCIO PÚBLICO"/>
    <x v="30"/>
    <x v="290"/>
    <n v="9351"/>
    <x v="0"/>
  </r>
  <r>
    <s v="14"/>
    <s v="001"/>
    <s v="08"/>
    <s v="245"/>
    <s v="0018"/>
    <x v="22"/>
    <x v="1"/>
    <x v="225"/>
    <x v="10"/>
    <s v="001-GABINETE DA SECRETARIA DE ASSISTÊNCIA SOCIAL"/>
    <s v="8-ASSISTÊNCIA SOCIAL"/>
    <s v="245-SERVIÇOS SOCIOASSISTENCIAIS"/>
    <s v="0018-Proteção Social e Garantia de Direitos​"/>
    <s v="2.026-Residências e Internações Compulsórias"/>
    <s v="3.3.90.39.00-OUTROS SERVIÇOS DE TERCEIROS - PESSOA JURÍDICA"/>
    <x v="22"/>
    <x v="291"/>
    <n v="680000"/>
    <x v="0"/>
  </r>
  <r>
    <s v="14"/>
    <s v="005"/>
    <s v="08"/>
    <s v="245"/>
    <s v="0018"/>
    <x v="4"/>
    <x v="1"/>
    <x v="228"/>
    <x v="10"/>
    <s v="005-FUNDO MUNICIPAL DE ASSISTÊNCIA SOCIAL"/>
    <s v="8-ASSISTÊNCIA SOCIAL"/>
    <s v="245-SERVIÇOS SOCIOASSISTENCIAIS"/>
    <s v="0018-Proteção Social e Garantia de Direitos​"/>
    <s v="2.005-Promoção de Eventos, Comunicação e Participação Social "/>
    <s v="3.3.90.39.00-OUTROS SERVIÇOS DE TERCEIROS - PESSOA JURÍDICA"/>
    <x v="22"/>
    <x v="292"/>
    <n v="565000"/>
    <x v="0"/>
  </r>
  <r>
    <s v="14"/>
    <s v="005"/>
    <s v="08"/>
    <s v="245"/>
    <s v="0018"/>
    <x v="4"/>
    <x v="0"/>
    <x v="229"/>
    <x v="10"/>
    <s v="005-FUNDO MUNICIPAL DE ASSISTÊNCIA SOCIAL"/>
    <s v="8-ASSISTÊNCIA SOCIAL"/>
    <s v="245-SERVIÇOS SOCIOASSISTENCIAIS"/>
    <s v="0018-Proteção Social e Garantia de Direitos​"/>
    <s v="2.005-Promoção de Eventos, Comunicação e Participação Social "/>
    <s v="3.3.90.30.00-MATERIAL DE CONSUMO"/>
    <x v="12"/>
    <x v="293"/>
    <n v="477000"/>
    <x v="0"/>
  </r>
  <r>
    <s v="14"/>
    <s v="001"/>
    <s v="08"/>
    <s v="246"/>
    <s v="0018"/>
    <x v="6"/>
    <x v="1"/>
    <x v="230"/>
    <x v="10"/>
    <s v="001-GABINETE DA SECRETARIA DE ASSISTÊNCIA SOCIAL"/>
    <s v="8-ASSISTÊNCIA SOCIAL"/>
    <s v="246-SEGURANÇA DE RENDA"/>
    <s v="0018-Proteção Social e Garantia de Direitos​"/>
    <s v="2.027-Intermediação Profissional "/>
    <s v="3.3.90.39.00-OUTROS SERVIÇOS DE TERCEIROS - PESSOA JURÍDICA"/>
    <x v="40"/>
    <x v="294"/>
    <n v="3356640"/>
    <x v="0"/>
  </r>
  <r>
    <s v="14"/>
    <s v="001"/>
    <s v="08"/>
    <s v="245"/>
    <s v="0001"/>
    <x v="5"/>
    <x v="1"/>
    <x v="231"/>
    <x v="10"/>
    <s v="001-GABINETE DA SECRETARIA DE ASSISTÊNCIA SOCIAL"/>
    <s v="8-ASSISTÊNCIA SOCIAL"/>
    <s v="245-SERVIÇOS SOCIOASSISTENCIAIS"/>
    <s v="0001-Administração e Coordenação Geral​"/>
    <s v="1.002-Reforma e Ampliação de Unidades"/>
    <s v="3.3.90.39.00-OUTROS SERVIÇOS DE TERCEIROS - PESSOA JURÍDICA"/>
    <x v="4"/>
    <x v="275"/>
    <n v="1"/>
    <x v="0"/>
  </r>
  <r>
    <s v="14"/>
    <s v="005"/>
    <s v="08"/>
    <s v="245"/>
    <s v="0018"/>
    <x v="39"/>
    <x v="4"/>
    <x v="232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4.4.50.52.00-EQUIPAMENTOS E MATERIAL PERMANENTE"/>
    <x v="18"/>
    <x v="275"/>
    <n v="1"/>
    <x v="0"/>
  </r>
  <r>
    <s v="14"/>
    <s v="005"/>
    <s v="08"/>
    <s v="245"/>
    <s v="0018"/>
    <x v="40"/>
    <x v="4"/>
    <x v="23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50.52.00-EQUIPAMENTOS E MATERIAL PERMANENTE"/>
    <x v="18"/>
    <x v="288"/>
    <n v="920852"/>
    <x v="0"/>
  </r>
  <r>
    <s v="14"/>
    <s v="007"/>
    <s v="08"/>
    <s v="245"/>
    <s v="0018"/>
    <x v="10"/>
    <x v="1"/>
    <x v="234"/>
    <x v="10"/>
    <s v="007-DEPARTAMENTO DE PROTEÇÃO SOCIAL BÁSICA"/>
    <s v="8-ASSISTÊNCIA SOCIAL"/>
    <s v="245-SERVIÇOS SOCIOASSISTENCIAIS"/>
    <s v="0018-Proteção Social e Garantia de Direitos​"/>
    <s v="1.003-Implantação de Novas Unidades"/>
    <s v="3.3.90.39.00-OUTROS SERVIÇOS DE TERCEIROS - PESSOA JURÍDICA"/>
    <x v="4"/>
    <x v="275"/>
    <n v="1"/>
    <x v="0"/>
  </r>
  <r>
    <s v="14"/>
    <s v="005"/>
    <s v="08"/>
    <s v="122"/>
    <s v="0018"/>
    <x v="0"/>
    <x v="0"/>
    <x v="235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0.00-MATERIAL DE CONSUMO"/>
    <x v="12"/>
    <x v="295"/>
    <n v="30000"/>
    <x v="0"/>
  </r>
  <r>
    <s v="14"/>
    <s v="005"/>
    <s v="08"/>
    <s v="122"/>
    <s v="0018"/>
    <x v="0"/>
    <x v="0"/>
    <x v="235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0.00-MATERIAL DE CONSUMO"/>
    <x v="2"/>
    <x v="296"/>
    <n v="50000"/>
    <x v="0"/>
  </r>
  <r>
    <s v="14"/>
    <s v="005"/>
    <s v="08"/>
    <s v="122"/>
    <s v="0018"/>
    <x v="0"/>
    <x v="0"/>
    <x v="235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0.00-MATERIAL DE CONSUMO"/>
    <x v="3"/>
    <x v="297"/>
    <n v="30000"/>
    <x v="0"/>
  </r>
  <r>
    <s v="14"/>
    <s v="005"/>
    <s v="08"/>
    <s v="122"/>
    <s v="0018"/>
    <x v="0"/>
    <x v="1"/>
    <x v="236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9.00-OUTROS SERVIÇOS DE TERCEIROS - PESSOA JURÍDICA"/>
    <x v="22"/>
    <x v="298"/>
    <n v="1100000"/>
    <x v="0"/>
  </r>
  <r>
    <s v="14"/>
    <s v="005"/>
    <s v="08"/>
    <s v="122"/>
    <s v="0018"/>
    <x v="0"/>
    <x v="1"/>
    <x v="236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9.00-OUTROS SERVIÇOS DE TERCEIROS - PESSOA JURÍDICA"/>
    <x v="4"/>
    <x v="299"/>
    <n v="300000"/>
    <x v="0"/>
  </r>
  <r>
    <s v="14"/>
    <s v="005"/>
    <s v="08"/>
    <s v="122"/>
    <s v="0018"/>
    <x v="0"/>
    <x v="1"/>
    <x v="236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9.00-OUTROS SERVIÇOS DE TERCEIROS - PESSOA JURÍDICA"/>
    <x v="23"/>
    <x v="300"/>
    <n v="50000"/>
    <x v="0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12"/>
    <x v="301"/>
    <n v="560000"/>
    <x v="0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2"/>
    <x v="301"/>
    <n v="710000"/>
    <x v="0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3"/>
    <x v="302"/>
    <n v="53000"/>
    <x v="0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45"/>
    <x v="303"/>
    <n v="50000"/>
    <x v="0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31"/>
    <x v="304"/>
    <n v="330000"/>
    <x v="0"/>
  </r>
  <r>
    <s v="14"/>
    <s v="005"/>
    <s v="08"/>
    <s v="245"/>
    <s v="0018"/>
    <x v="39"/>
    <x v="1"/>
    <x v="238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26"/>
    <x v="18"/>
    <n v="250000"/>
    <x v="0"/>
  </r>
  <r>
    <s v="14"/>
    <s v="005"/>
    <s v="08"/>
    <s v="245"/>
    <s v="0018"/>
    <x v="39"/>
    <x v="1"/>
    <x v="238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22"/>
    <x v="305"/>
    <n v="400000"/>
    <x v="0"/>
  </r>
  <r>
    <s v="14"/>
    <s v="005"/>
    <s v="08"/>
    <s v="245"/>
    <s v="0018"/>
    <x v="39"/>
    <x v="1"/>
    <x v="238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22"/>
    <x v="306"/>
    <n v="300000"/>
    <x v="0"/>
  </r>
  <r>
    <s v="14"/>
    <s v="005"/>
    <s v="08"/>
    <s v="245"/>
    <s v="0018"/>
    <x v="39"/>
    <x v="6"/>
    <x v="239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93.00-INDENIZAÇÕES E RESTITUIÇÕES"/>
    <x v="11"/>
    <x v="307"/>
    <n v="20000"/>
    <x v="0"/>
  </r>
  <r>
    <s v="14"/>
    <s v="005"/>
    <s v="08"/>
    <s v="245"/>
    <s v="0018"/>
    <x v="39"/>
    <x v="8"/>
    <x v="240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42"/>
    <x v="308"/>
    <n v="149000"/>
    <x v="0"/>
  </r>
  <r>
    <s v="14"/>
    <s v="005"/>
    <s v="08"/>
    <s v="245"/>
    <s v="0018"/>
    <x v="40"/>
    <x v="8"/>
    <x v="241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42"/>
    <x v="308"/>
    <n v="300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8"/>
    <x v="307"/>
    <n v="20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2"/>
    <x v="301"/>
    <n v="3100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2"/>
    <x v="301"/>
    <n v="450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3"/>
    <x v="302"/>
    <n v="53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45"/>
    <x v="303"/>
    <n v="170000"/>
    <x v="0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31"/>
    <x v="304"/>
    <n v="330000"/>
    <x v="0"/>
  </r>
  <r>
    <s v="14"/>
    <s v="005"/>
    <s v="08"/>
    <s v="245"/>
    <s v="0018"/>
    <x v="40"/>
    <x v="1"/>
    <x v="24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26"/>
    <x v="18"/>
    <n v="250000"/>
    <x v="0"/>
  </r>
  <r>
    <s v="14"/>
    <s v="005"/>
    <s v="08"/>
    <s v="245"/>
    <s v="0018"/>
    <x v="40"/>
    <x v="1"/>
    <x v="24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22"/>
    <x v="305"/>
    <n v="110000"/>
    <x v="0"/>
  </r>
  <r>
    <s v="14"/>
    <s v="005"/>
    <s v="08"/>
    <s v="245"/>
    <s v="0018"/>
    <x v="40"/>
    <x v="1"/>
    <x v="24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22"/>
    <x v="306"/>
    <n v="120000"/>
    <x v="0"/>
  </r>
  <r>
    <s v="14"/>
    <s v="005"/>
    <s v="08"/>
    <s v="245"/>
    <s v="0018"/>
    <x v="40"/>
    <x v="1"/>
    <x v="24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15"/>
    <x v="309"/>
    <n v="20000"/>
    <x v="0"/>
  </r>
  <r>
    <s v="14"/>
    <s v="005"/>
    <s v="08"/>
    <s v="245"/>
    <s v="0018"/>
    <x v="39"/>
    <x v="1"/>
    <x v="238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15"/>
    <x v="309"/>
    <n v="20000"/>
    <x v="0"/>
  </r>
  <r>
    <s v="14"/>
    <s v="005"/>
    <s v="08"/>
    <s v="245"/>
    <s v="0018"/>
    <x v="0"/>
    <x v="1"/>
    <x v="244"/>
    <x v="10"/>
    <s v="005-FUNDO MUNICIPAL DE ASSISTÊNCIA SOCIAL"/>
    <s v="8-ASSISTÊNCIA SOCIAL"/>
    <s v="245-SERVIÇOS SOCIOASSISTENCIAIS"/>
    <s v="0018-Proteção Social e Garantia de Direitos​"/>
    <s v="2.011-Manutenção de Equipamentos Públicos "/>
    <s v="3.3.90.39.00-OUTROS SERVIÇOS DE TERCEIROS - PESSOA JURÍDICA"/>
    <x v="15"/>
    <x v="310"/>
    <n v="20000"/>
    <x v="0"/>
  </r>
  <r>
    <s v="14"/>
    <s v="005"/>
    <s v="08"/>
    <s v="245"/>
    <s v="0018"/>
    <x v="40"/>
    <x v="10"/>
    <x v="245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6.00-OUTROS SERVIÇOS DE TERCEIROS - PESSOA FÍSICA"/>
    <x v="15"/>
    <x v="0"/>
    <n v="0"/>
    <x v="0"/>
  </r>
  <r>
    <s v="14"/>
    <s v="005"/>
    <s v="08"/>
    <s v="245"/>
    <s v="0018"/>
    <x v="40"/>
    <x v="6"/>
    <x v="246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93.00-INDENIZAÇÕES E RESTITUIÇÕES"/>
    <x v="11"/>
    <x v="307"/>
    <n v="20000"/>
    <x v="0"/>
  </r>
  <r>
    <s v="14"/>
    <s v="005"/>
    <s v="08"/>
    <s v="246"/>
    <s v="0018"/>
    <x v="38"/>
    <x v="0"/>
    <x v="247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3.3.90.30.00-MATERIAL DE CONSUMO"/>
    <x v="18"/>
    <x v="311"/>
    <m/>
    <x v="0"/>
  </r>
  <r>
    <s v="14"/>
    <s v="005"/>
    <s v="08"/>
    <s v="246"/>
    <s v="0018"/>
    <x v="38"/>
    <x v="1"/>
    <x v="248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3.3.90.39.00-OUTROS SERVIÇOS DE TERCEIROS - PESSOA JURÍDICA"/>
    <x v="18"/>
    <x v="311"/>
    <m/>
    <x v="0"/>
  </r>
  <r>
    <s v="14"/>
    <s v="005"/>
    <s v="08"/>
    <s v="246"/>
    <s v="0018"/>
    <x v="38"/>
    <x v="8"/>
    <x v="249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4.4.90.52.00-EQUIPAMENTOS E MATERIAL PERMANENTE"/>
    <x v="85"/>
    <x v="311"/>
    <m/>
    <x v="0"/>
  </r>
  <r>
    <s v="14"/>
    <s v="007"/>
    <s v="08"/>
    <s v="245"/>
    <s v="0018"/>
    <x v="4"/>
    <x v="0"/>
    <x v="250"/>
    <x v="10"/>
    <s v="007-DEPARTAMENTO DE PROTEÇÃO SOCIAL BÁSICA"/>
    <s v="8-ASSISTÊNCIA SOCIAL"/>
    <s v="245-SERVIÇOS SOCIOASSISTENCIAIS"/>
    <s v="0018-Proteção Social e Garantia de Direitos​"/>
    <s v="2.005-Promoção de Eventos, Comunicação e Participação Social "/>
    <s v="3.3.90.30.00-MATERIAL DE CONSUMO"/>
    <x v="12"/>
    <x v="293"/>
    <n v="30000"/>
    <x v="0"/>
  </r>
  <r>
    <s v="14"/>
    <s v="007"/>
    <s v="08"/>
    <s v="245"/>
    <s v="0018"/>
    <x v="4"/>
    <x v="1"/>
    <x v="251"/>
    <x v="10"/>
    <s v="007-DEPARTAMENTO DE PROTEÇÃO SOCIAL BÁSICA"/>
    <s v="8-ASSISTÊNCIA SOCIAL"/>
    <s v="245-SERVIÇOS SOCIOASSISTENCIAIS"/>
    <s v="0018-Proteção Social e Garantia de Direitos​"/>
    <s v="2.005-Promoção de Eventos, Comunicação e Participação Social "/>
    <s v="3.3.90.39.00-OUTROS SERVIÇOS DE TERCEIROS - PESSOA JURÍDICA"/>
    <x v="22"/>
    <x v="292"/>
    <n v="20000"/>
    <x v="0"/>
  </r>
  <r>
    <s v="14"/>
    <s v="007"/>
    <s v="08"/>
    <s v="245"/>
    <s v="0018"/>
    <x v="39"/>
    <x v="0"/>
    <x v="252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12"/>
    <x v="301"/>
    <n v="10000"/>
    <x v="0"/>
  </r>
  <r>
    <s v="14"/>
    <s v="007"/>
    <s v="08"/>
    <s v="245"/>
    <s v="0018"/>
    <x v="39"/>
    <x v="0"/>
    <x v="252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12"/>
    <x v="301"/>
    <n v="20000"/>
    <x v="0"/>
  </r>
  <r>
    <s v="14"/>
    <s v="007"/>
    <s v="08"/>
    <s v="245"/>
    <s v="0018"/>
    <x v="39"/>
    <x v="0"/>
    <x v="252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2"/>
    <x v="301"/>
    <n v="15000"/>
    <x v="0"/>
  </r>
  <r>
    <s v="14"/>
    <s v="007"/>
    <s v="08"/>
    <s v="245"/>
    <s v="0018"/>
    <x v="39"/>
    <x v="0"/>
    <x v="252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3"/>
    <x v="302"/>
    <n v="30000"/>
    <x v="0"/>
  </r>
  <r>
    <s v="14"/>
    <s v="007"/>
    <s v="08"/>
    <s v="245"/>
    <s v="0018"/>
    <x v="39"/>
    <x v="1"/>
    <x v="253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26"/>
    <x v="312"/>
    <n v="44328"/>
    <x v="0"/>
  </r>
  <r>
    <s v="14"/>
    <s v="007"/>
    <s v="08"/>
    <s v="245"/>
    <s v="0018"/>
    <x v="39"/>
    <x v="1"/>
    <x v="253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4"/>
    <x v="313"/>
    <n v="40000"/>
    <x v="0"/>
  </r>
  <r>
    <s v="14"/>
    <s v="007"/>
    <s v="08"/>
    <s v="245"/>
    <s v="0018"/>
    <x v="39"/>
    <x v="1"/>
    <x v="253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15"/>
    <x v="314"/>
    <n v="8000"/>
    <x v="0"/>
  </r>
  <r>
    <s v="14"/>
    <s v="007"/>
    <s v="08"/>
    <s v="245"/>
    <s v="0018"/>
    <x v="39"/>
    <x v="8"/>
    <x v="254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42"/>
    <x v="315"/>
    <n v="50000"/>
    <x v="0"/>
  </r>
  <r>
    <s v="14"/>
    <s v="008"/>
    <s v="08"/>
    <s v="245"/>
    <s v="0018"/>
    <x v="5"/>
    <x v="1"/>
    <x v="255"/>
    <x v="10"/>
    <s v="008-DEPARTAMENTO DE PROTEÇÃO SOCIAL ESPECIAL"/>
    <s v="8-ASSISTÊNCIA SOCIAL"/>
    <s v="245-SERVIÇOS SOCIOASSISTENCIAIS"/>
    <s v="0018-Proteção Social e Garantia de Direitos​"/>
    <s v="1.002-Reforma e Ampliação de Unidades"/>
    <s v="3.3.90.39.00-OUTROS SERVIÇOS DE TERCEIROS - PESSOA JURÍDICA"/>
    <x v="4"/>
    <x v="316"/>
    <n v="1"/>
    <x v="0"/>
  </r>
  <r>
    <s v="14"/>
    <s v="008"/>
    <s v="08"/>
    <s v="245"/>
    <s v="0018"/>
    <x v="40"/>
    <x v="0"/>
    <x v="256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2"/>
    <x v="293"/>
    <n v="30000"/>
    <x v="0"/>
  </r>
  <r>
    <s v="14"/>
    <s v="008"/>
    <s v="08"/>
    <s v="245"/>
    <s v="0018"/>
    <x v="40"/>
    <x v="1"/>
    <x v="257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22"/>
    <x v="292"/>
    <n v="20000"/>
    <x v="0"/>
  </r>
  <r>
    <s v="14"/>
    <s v="008"/>
    <s v="08"/>
    <s v="245"/>
    <s v="0018"/>
    <x v="40"/>
    <x v="0"/>
    <x v="256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0"/>
    <x v="301"/>
    <n v="10000"/>
    <x v="0"/>
  </r>
  <r>
    <s v="14"/>
    <s v="008"/>
    <s v="08"/>
    <s v="245"/>
    <s v="0018"/>
    <x v="40"/>
    <x v="0"/>
    <x v="256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2"/>
    <x v="301"/>
    <n v="20000"/>
    <x v="0"/>
  </r>
  <r>
    <s v="14"/>
    <s v="008"/>
    <s v="08"/>
    <s v="245"/>
    <s v="0018"/>
    <x v="40"/>
    <x v="0"/>
    <x v="256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2"/>
    <x v="301"/>
    <n v="15000"/>
    <x v="0"/>
  </r>
  <r>
    <s v="14"/>
    <s v="008"/>
    <s v="08"/>
    <s v="245"/>
    <s v="0018"/>
    <x v="40"/>
    <x v="0"/>
    <x v="256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3"/>
    <x v="302"/>
    <n v="30000"/>
    <x v="0"/>
  </r>
  <r>
    <s v="14"/>
    <s v="008"/>
    <s v="08"/>
    <s v="245"/>
    <s v="0018"/>
    <x v="40"/>
    <x v="1"/>
    <x v="257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26"/>
    <x v="18"/>
    <n v="44328"/>
    <x v="0"/>
  </r>
  <r>
    <s v="14"/>
    <s v="008"/>
    <s v="08"/>
    <s v="245"/>
    <s v="0018"/>
    <x v="40"/>
    <x v="1"/>
    <x v="257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4"/>
    <x v="313"/>
    <n v="40000"/>
    <x v="0"/>
  </r>
  <r>
    <s v="14"/>
    <s v="008"/>
    <s v="08"/>
    <s v="245"/>
    <s v="0018"/>
    <x v="40"/>
    <x v="1"/>
    <x v="257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15"/>
    <x v="314"/>
    <n v="8000"/>
    <x v="0"/>
  </r>
  <r>
    <s v="14"/>
    <s v="008"/>
    <s v="08"/>
    <s v="245"/>
    <s v="0018"/>
    <x v="40"/>
    <x v="8"/>
    <x v="258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42"/>
    <x v="308"/>
    <n v="50000"/>
    <x v="0"/>
  </r>
  <r>
    <s v="14"/>
    <s v="005"/>
    <s v="08"/>
    <s v="122"/>
    <s v="0018"/>
    <x v="0"/>
    <x v="8"/>
    <x v="259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4.4.90.52.00-EQUIPAMENTOS E MATERIAL PERMANENTE"/>
    <x v="42"/>
    <x v="308"/>
    <n v="200000"/>
    <x v="0"/>
  </r>
  <r>
    <s v="14"/>
    <s v="001"/>
    <s v="08"/>
    <s v="241"/>
    <s v="0018"/>
    <x v="41"/>
    <x v="11"/>
    <x v="260"/>
    <x v="10"/>
    <s v="001-GABINETE DA SECRETARIA DE ASSISTÊNCIA SOCIAL"/>
    <s v="8-ASSISTÊNCIA SOCIAL"/>
    <s v="241-ASSISTÊNCIA AO IDOSO ASSISTÊNCIA À PESSOA IDOSA"/>
    <s v="0018-Proteção Social e Garantia de Direitos​"/>
    <s v="2.041-Ação Transversal de Garantia de Direitos"/>
    <s v="3.3.50.39.00-OUTROS SERVIÇOS DE TERCEIROS - PESSOA JURÍDICA"/>
    <x v="18"/>
    <x v="317"/>
    <n v="30000"/>
    <x v="0"/>
  </r>
  <r>
    <s v="14"/>
    <s v="001"/>
    <s v="08"/>
    <s v="241"/>
    <s v="0018"/>
    <x v="41"/>
    <x v="0"/>
    <x v="261"/>
    <x v="10"/>
    <s v="001-GABINETE DA SECRETARIA DE ASSISTÊNCIA SOCIAL"/>
    <s v="8-ASSISTÊNCIA SOCIAL"/>
    <s v="241-ASSISTÊNCIA AO IDOSO ASSISTÊNCIA À PESSOA IDOSA"/>
    <s v="0018-Proteção Social e Garantia de Direitos​"/>
    <s v="2.041-Ação Transversal de Garantia de Direitos"/>
    <s v="3.3.90.30.00-MATERIAL DE CONSUMO"/>
    <x v="3"/>
    <x v="318"/>
    <n v="30000"/>
    <x v="0"/>
  </r>
  <r>
    <s v="14"/>
    <s v="001"/>
    <s v="08"/>
    <s v="241"/>
    <s v="0018"/>
    <x v="41"/>
    <x v="1"/>
    <x v="262"/>
    <x v="10"/>
    <s v="001-GABINETE DA SECRETARIA DE ASSISTÊNCIA SOCIAL"/>
    <s v="8-ASSISTÊNCIA SOCIAL"/>
    <s v="241-ASSISTÊNCIA AO IDOSO ASSISTÊNCIA À PESSOA IDOSA"/>
    <s v="0018-Proteção Social e Garantia de Direitos​"/>
    <s v="2.041-Ação Transversal de Garantia de Direitos"/>
    <s v="3.3.90.39.00-OUTROS SERVIÇOS DE TERCEIROS - PESSOA JURÍDICA"/>
    <x v="22"/>
    <x v="318"/>
    <n v="30000"/>
    <x v="0"/>
  </r>
  <r>
    <s v="14"/>
    <s v="001"/>
    <s v="08"/>
    <s v="241"/>
    <s v="0018"/>
    <x v="41"/>
    <x v="8"/>
    <x v="263"/>
    <x v="10"/>
    <s v="001-GABINETE DA SECRETARIA DE ASSISTÊNCIA SOCIAL"/>
    <s v="8-ASSISTÊNCIA SOCIAL"/>
    <s v="241-ASSISTÊNCIA AO IDOSO ASSISTÊNCIA À PESSOA IDOSA"/>
    <s v="0018-Proteção Social e Garantia de Direitos​"/>
    <s v="2.041-Ação Transversal de Garantia de Direitos"/>
    <s v="4.4.90.52.00-EQUIPAMENTOS E MATERIAL PERMANENTE"/>
    <x v="33"/>
    <x v="317"/>
    <n v="30000"/>
    <x v="0"/>
  </r>
  <r>
    <s v="14"/>
    <s v="001"/>
    <s v="08"/>
    <s v="245"/>
    <s v="0018"/>
    <x v="41"/>
    <x v="0"/>
    <x v="264"/>
    <x v="10"/>
    <s v="001-GABINETE DA SECRETARIA DE ASSISTÊNCIA SOCIAL"/>
    <s v="8-ASSISTÊNCIA SOCIAL"/>
    <s v="245-SERVIÇOS SOCIOASSISTENCIAIS"/>
    <s v="0018-Proteção Social e Garantia de Direitos​"/>
    <s v="2.041-Ação Transversal de Garantia de Direitos"/>
    <s v="3.3.90.30.00-MATERIAL DE CONSUMO"/>
    <x v="3"/>
    <x v="319"/>
    <n v="30000"/>
    <x v="0"/>
  </r>
  <r>
    <s v="14"/>
    <s v="001"/>
    <s v="08"/>
    <s v="245"/>
    <s v="0018"/>
    <x v="41"/>
    <x v="1"/>
    <x v="265"/>
    <x v="10"/>
    <s v="001-GABINETE DA SECRETARIA DE ASSISTÊNCIA SOCIAL"/>
    <s v="8-ASSISTÊNCIA SOCIAL"/>
    <s v="245-SERVIÇOS SOCIOASSISTENCIAIS"/>
    <s v="0018-Proteção Social e Garantia de Direitos​"/>
    <s v="2.041-Ação Transversal de Garantia de Direitos"/>
    <s v="3.3.90.39.00-OUTROS SERVIÇOS DE TERCEIROS - PESSOA JURÍDICA"/>
    <x v="22"/>
    <x v="319"/>
    <n v="50000"/>
    <x v="0"/>
  </r>
  <r>
    <s v="14"/>
    <s v="001"/>
    <s v="08"/>
    <s v="245"/>
    <s v="0018"/>
    <x v="41"/>
    <x v="8"/>
    <x v="266"/>
    <x v="10"/>
    <s v="001-GABINETE DA SECRETARIA DE ASSISTÊNCIA SOCIAL"/>
    <s v="8-ASSISTÊNCIA SOCIAL"/>
    <s v="245-SERVIÇOS SOCIOASSISTENCIAIS"/>
    <s v="0018-Proteção Social e Garantia de Direitos​"/>
    <s v="2.041-Ação Transversal de Garantia de Direitos"/>
    <s v="4.4.90.52.00-EQUIPAMENTOS E MATERIAL PERMANENTE"/>
    <x v="42"/>
    <x v="319"/>
    <n v="20000"/>
    <x v="0"/>
  </r>
  <r>
    <s v="14"/>
    <s v="001"/>
    <s v="08"/>
    <s v="241"/>
    <s v="0018"/>
    <x v="41"/>
    <x v="10"/>
    <x v="267"/>
    <x v="10"/>
    <s v="001-GABINETE DA SECRETARIA DE ASSISTÊNCIA SOCIAL"/>
    <s v="8-ASSISTÊNCIA SOCIAL"/>
    <s v="241-ASSISTÊNCIA AO IDOSO ASSISTÊNCIA À PESSOA IDOSA"/>
    <s v="0018-Proteção Social e Garantia de Direitos​"/>
    <s v="2.041-Ação Transversal de Garantia de Direitos"/>
    <s v="3.3.90.36.00-OUTROS SERVIÇOS DE TERCEIROS - PESSOA FÍSICA"/>
    <x v="18"/>
    <x v="320"/>
    <n v="3000"/>
    <x v="0"/>
  </r>
  <r>
    <s v="14"/>
    <s v="005"/>
    <s v="08"/>
    <s v="245"/>
    <s v="0018"/>
    <x v="39"/>
    <x v="8"/>
    <x v="240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7"/>
    <x v="321"/>
    <n v="100000"/>
    <x v="0"/>
  </r>
  <r>
    <s v="14"/>
    <s v="005"/>
    <s v="08"/>
    <s v="245"/>
    <s v="0018"/>
    <x v="40"/>
    <x v="8"/>
    <x v="241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7"/>
    <x v="321"/>
    <n v="100000"/>
    <x v="0"/>
  </r>
  <r>
    <s v="14"/>
    <s v="005"/>
    <s v="08"/>
    <s v="245"/>
    <s v="0018"/>
    <x v="40"/>
    <x v="8"/>
    <x v="241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7"/>
    <x v="321"/>
    <n v="100000"/>
    <x v="0"/>
  </r>
  <r>
    <s v="14"/>
    <s v="007"/>
    <s v="08"/>
    <s v="245"/>
    <s v="0018"/>
    <x v="39"/>
    <x v="8"/>
    <x v="254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7"/>
    <x v="321"/>
    <n v="30000"/>
    <x v="0"/>
  </r>
  <r>
    <s v="14"/>
    <s v="008"/>
    <s v="08"/>
    <s v="245"/>
    <s v="0018"/>
    <x v="40"/>
    <x v="8"/>
    <x v="258"/>
    <x v="10"/>
    <s v="008-DEPARTAMENTO DE PROTEÇÃO SOCIAL ESPE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7"/>
    <x v="321"/>
    <n v="30000"/>
    <x v="0"/>
  </r>
  <r>
    <s v="14"/>
    <s v="005"/>
    <s v="08"/>
    <s v="122"/>
    <s v="0018"/>
    <x v="0"/>
    <x v="8"/>
    <x v="259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4.4.90.52.00-EQUIPAMENTOS E MATERIAL PERMANENTE"/>
    <x v="85"/>
    <x v="322"/>
    <n v="61083"/>
    <x v="0"/>
  </r>
  <r>
    <s v="15"/>
    <s v="001"/>
    <s v="13"/>
    <s v="131"/>
    <s v="0009"/>
    <x v="4"/>
    <x v="1"/>
    <x v="268"/>
    <x v="11"/>
    <s v="001-GABINETE DA CULTURA"/>
    <s v="13-CULTURA"/>
    <s v="131-COMUNICAÇÃO SOCIAL"/>
    <s v="0009-Cultura, Economia Criativa e Patrimônio Histórico​"/>
    <s v="2.005-Promoção de Eventos, Comunicação e Participação Social "/>
    <s v="3.3.90.39.00-OUTROS SERVIÇOS DE TERCEIROS - PESSOA JURÍDICA"/>
    <x v="26"/>
    <x v="0"/>
    <n v="1500000"/>
    <x v="0"/>
  </r>
  <r>
    <s v="15"/>
    <s v="001"/>
    <s v="13"/>
    <s v="392"/>
    <s v="0009"/>
    <x v="32"/>
    <x v="1"/>
    <x v="269"/>
    <x v="11"/>
    <s v="001-GABINETE DA CULTURA"/>
    <s v="13-CULTURA"/>
    <s v="392-DIFUSÃO CULTURAL"/>
    <s v="0009-Cultura, Economia Criativa e Patrimônio Histórico​"/>
    <s v="2.028-Disseminação de Atividades Culturais e Esportivas Decentralizadas"/>
    <s v="3.3.90.39.00-OUTROS SERVIÇOS DE TERCEIROS - PESSOA JURÍDICA"/>
    <x v="86"/>
    <x v="0"/>
    <n v="600000"/>
    <x v="0"/>
  </r>
  <r>
    <s v="15"/>
    <s v="001"/>
    <s v="13"/>
    <s v="392"/>
    <s v="0009"/>
    <x v="32"/>
    <x v="10"/>
    <x v="270"/>
    <x v="11"/>
    <s v="001-GABINETE DA CULTURA"/>
    <s v="13-CULTURA"/>
    <s v="392-DIFUSÃO CULTURAL"/>
    <s v="0009-Cultura, Economia Criativa e Patrimônio Histórico​"/>
    <s v="2.028-Disseminação de Atividades Culturais e Esportivas Decentralizadas"/>
    <s v="3.3.90.36.00-OUTROS SERVIÇOS DE TERCEIROS - PESSOA FÍSICA"/>
    <x v="87"/>
    <x v="0"/>
    <n v="600000"/>
    <x v="0"/>
  </r>
  <r>
    <s v="15"/>
    <s v="001"/>
    <s v="13"/>
    <s v="131"/>
    <s v="0009"/>
    <x v="4"/>
    <x v="1"/>
    <x v="268"/>
    <x v="11"/>
    <s v="001-GABINETE DA CULTURA"/>
    <s v="13-CULTURA"/>
    <s v="131-COMUNICAÇÃO SOCIAL"/>
    <s v="0009-Cultura, Economia Criativa e Patrimônio Histórico​"/>
    <s v="2.005-Promoção de Eventos, Comunicação e Participação Social "/>
    <s v="3.3.90.39.00-OUTROS SERVIÇOS DE TERCEIROS - PESSOA JURÍDICA"/>
    <x v="26"/>
    <x v="0"/>
    <n v="850000"/>
    <x v="0"/>
  </r>
  <r>
    <s v="15"/>
    <s v="001"/>
    <s v="13"/>
    <s v="392"/>
    <s v="0009"/>
    <x v="5"/>
    <x v="8"/>
    <x v="271"/>
    <x v="11"/>
    <s v="001-GABINETE DA CULTURA"/>
    <s v="13-CULTURA"/>
    <s v="392-DIFUSÃO CULTURAL"/>
    <s v="0009-Cultura, Economia Criativa e Patrimônio Histórico​"/>
    <s v="1.002-Reforma e Ampliação de Unidades"/>
    <s v="4.4.90.52.00-EQUIPAMENTOS E MATERIAL PERMANENTE"/>
    <x v="18"/>
    <x v="0"/>
    <n v="200000"/>
    <x v="0"/>
  </r>
  <r>
    <s v="15"/>
    <s v="001"/>
    <s v="13"/>
    <s v="392"/>
    <s v="0009"/>
    <x v="18"/>
    <x v="11"/>
    <x v="272"/>
    <x v="11"/>
    <s v="001-GABINETE DA CULTURA"/>
    <s v="13-CULTURA"/>
    <s v="392-DIFUSÃO CULTURAL"/>
    <s v="0009-Cultura, Economia Criativa e Patrimônio Histórico​"/>
    <s v="2.023-Gestão Compartilhada de Equipamentos Públicos "/>
    <s v="3.3.50.39.00-OUTROS SERVIÇOS DE TERCEIROS - PESSOA JURÍDICA"/>
    <x v="30"/>
    <x v="323"/>
    <n v="4500000"/>
    <x v="0"/>
  </r>
  <r>
    <s v="15"/>
    <s v="001"/>
    <s v="13"/>
    <s v="392"/>
    <s v="0009"/>
    <x v="18"/>
    <x v="11"/>
    <x v="272"/>
    <x v="11"/>
    <s v="001-GABINETE DA CULTURA"/>
    <s v="13-CULTURA"/>
    <s v="392-DIFUSÃO CULTURAL"/>
    <s v="0009-Cultura, Economia Criativa e Patrimônio Histórico​"/>
    <s v="2.023-Gestão Compartilhada de Equipamentos Públicos "/>
    <s v="3.3.50.39.00-OUTROS SERVIÇOS DE TERCEIROS - PESSOA JURÍDICA"/>
    <x v="30"/>
    <x v="323"/>
    <n v="4500000"/>
    <x v="0"/>
  </r>
  <r>
    <s v="15"/>
    <s v="001"/>
    <s v="13"/>
    <s v="392"/>
    <s v="0009"/>
    <x v="18"/>
    <x v="4"/>
    <x v="273"/>
    <x v="11"/>
    <s v="001-GABINETE DA CULTURA"/>
    <s v="13-CULTURA"/>
    <s v="392-DIFUSÃO CULTURAL"/>
    <s v="0009-Cultura, Economia Criativa e Patrimônio Histórico​"/>
    <s v="2.023-Gestão Compartilhada de Equipamentos Públicos "/>
    <s v="4.4.50.52.00-EQUIPAMENTOS E MATERIAL PERMANENTE"/>
    <x v="88"/>
    <x v="323"/>
    <n v="50000"/>
    <x v="0"/>
  </r>
  <r>
    <s v="15"/>
    <s v="001"/>
    <s v="13"/>
    <s v="392"/>
    <s v="0009"/>
    <x v="18"/>
    <x v="4"/>
    <x v="273"/>
    <x v="11"/>
    <s v="001-GABINETE DA CULTURA"/>
    <s v="13-CULTURA"/>
    <s v="392-DIFUSÃO CULTURAL"/>
    <s v="0009-Cultura, Economia Criativa e Patrimônio Histórico​"/>
    <s v="2.023-Gestão Compartilhada de Equipamentos Públicos "/>
    <s v="4.4.50.52.00-EQUIPAMENTOS E MATERIAL PERMANENTE"/>
    <x v="88"/>
    <x v="323"/>
    <n v="50000"/>
    <x v="0"/>
  </r>
  <r>
    <s v="15"/>
    <s v="001"/>
    <s v="13"/>
    <s v="392"/>
    <s v="0009"/>
    <x v="0"/>
    <x v="1"/>
    <x v="274"/>
    <x v="11"/>
    <s v="001-GABINETE DA CULTURA"/>
    <s v="13-CULTURA"/>
    <s v="392-DIFUSÃO CULTURAL"/>
    <s v="0009-Cultura, Economia Criativa e Patrimônio Histórico​"/>
    <s v="2.011-Manutenção de Equipamentos Públicos "/>
    <s v="3.3.90.39.00-OUTROS SERVIÇOS DE TERCEIROS - PESSOA JURÍDICA"/>
    <x v="10"/>
    <x v="324"/>
    <n v="48000"/>
    <x v="0"/>
  </r>
  <r>
    <s v="15"/>
    <s v="001"/>
    <s v="13"/>
    <s v="392"/>
    <s v="0009"/>
    <x v="0"/>
    <x v="1"/>
    <x v="274"/>
    <x v="11"/>
    <s v="001-GABINETE DA CULTURA"/>
    <s v="13-CULTURA"/>
    <s v="392-DIFUSÃO CULTURAL"/>
    <s v="0009-Cultura, Economia Criativa e Patrimônio Histórico​"/>
    <s v="2.011-Manutenção de Equipamentos Públicos "/>
    <s v="3.3.90.39.00-OUTROS SERVIÇOS DE TERCEIROS - PESSOA JURÍDICA"/>
    <x v="9"/>
    <x v="0"/>
    <n v="30000"/>
    <x v="0"/>
  </r>
  <r>
    <s v="15"/>
    <s v="001"/>
    <s v="13"/>
    <s v="392"/>
    <s v="0009"/>
    <x v="5"/>
    <x v="1"/>
    <x v="275"/>
    <x v="11"/>
    <s v="001-GABINETE DA CULTURA"/>
    <s v="13-CULTURA"/>
    <s v="392-DIFUSÃO CULTURAL"/>
    <s v="0009-Cultura, Economia Criativa e Patrimônio Histórico​"/>
    <s v="1.002-Reforma e Ampliação de Unidades"/>
    <s v="3.3.90.39.00-OUTROS SERVIÇOS DE TERCEIROS - PESSOA JURÍDICA"/>
    <x v="23"/>
    <x v="0"/>
    <n v="1000000"/>
    <x v="0"/>
  </r>
  <r>
    <s v="15"/>
    <s v="001"/>
    <s v="13"/>
    <s v="392"/>
    <s v="0009"/>
    <x v="5"/>
    <x v="22"/>
    <x v="276"/>
    <x v="11"/>
    <s v="001-GABINETE DA CULTURA"/>
    <s v="13-CULTURA"/>
    <s v="392-DIFUSÃO CULTURAL"/>
    <s v="0009-Cultura, Economia Criativa e Patrimônio Histórico​"/>
    <s v="1.002-Reforma e Ampliação de Unidades"/>
    <s v="4.4.50.51.00-OBRAS E INSTALAÇÕES"/>
    <x v="18"/>
    <x v="325"/>
    <n v="2500000"/>
    <x v="0"/>
  </r>
  <r>
    <s v="15"/>
    <s v="001"/>
    <s v="13"/>
    <s v="392"/>
    <s v="0001"/>
    <x v="0"/>
    <x v="0"/>
    <x v="277"/>
    <x v="11"/>
    <s v="001-GABINETE DA CULTURA"/>
    <s v="13-CULTURA"/>
    <s v="392-DIFUSÃO CULTURAL"/>
    <s v="0001-Administração e Coordenação Geral​"/>
    <s v="2.011-Manutenção de Equipamentos Públicos "/>
    <s v="3.3.90.30.00-MATERIAL DE CONSUMO"/>
    <x v="11"/>
    <x v="0"/>
    <n v="100000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1"/>
    <x v="326"/>
    <n v="100000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27"/>
    <n v="13977.82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28"/>
    <n v="18206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29"/>
    <n v="12850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1"/>
    <x v="330"/>
    <n v="3074.3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31"/>
    <n v="2500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3"/>
    <x v="332"/>
    <n v="10984.92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33"/>
    <n v="8081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34"/>
    <n v="600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3"/>
    <x v="335"/>
    <n v="453.5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3"/>
    <x v="336"/>
    <n v="11007.82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3"/>
    <x v="337"/>
    <n v="847.17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38"/>
    <n v="183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0"/>
    <x v="339"/>
    <n v="1135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40"/>
    <n v="616.24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"/>
    <x v="341"/>
    <n v="8187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21"/>
    <x v="342"/>
    <n v="23321"/>
    <x v="0"/>
  </r>
  <r>
    <s v="16"/>
    <s v="001"/>
    <s v="23"/>
    <s v="334"/>
    <s v="0008"/>
    <x v="0"/>
    <x v="0"/>
    <x v="278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0.00-MATERIAL DE CONSUMO"/>
    <x v="1"/>
    <x v="343"/>
    <n v="3512.5"/>
    <x v="0"/>
  </r>
  <r>
    <s v="16"/>
    <s v="001"/>
    <s v="23"/>
    <s v="131"/>
    <s v="0002"/>
    <x v="4"/>
    <x v="1"/>
    <x v="279"/>
    <x v="12"/>
    <s v="001-GABINETE DA SECRETARIA DE TECNOLOGIA, INOVAÇÃO E DESENVOLVIMENTO ECONÔMICO"/>
    <s v="23-COMÉRCIO E SERVIÇOS"/>
    <s v="131-COMUNICAÇÃO SOCIAL"/>
    <s v="0002-Governo Inteligente, Aberto e Inovador​"/>
    <s v="2.005-Promoção de Eventos, Comunicação e Participação Social "/>
    <s v="3.3.90.39.00-OUTROS SERVIÇOS DE TERCEIROS - PESSOA JURÍDICA"/>
    <x v="15"/>
    <x v="344"/>
    <n v="11556"/>
    <x v="0"/>
  </r>
  <r>
    <s v="16"/>
    <s v="001"/>
    <s v="23"/>
    <s v="131"/>
    <s v="0002"/>
    <x v="4"/>
    <x v="1"/>
    <x v="279"/>
    <x v="12"/>
    <s v="001-GABINETE DA SECRETARIA DE TECNOLOGIA, INOVAÇÃO E DESENVOLVIMENTO ECONÔMICO"/>
    <s v="23-COMÉRCIO E SERVIÇOS"/>
    <s v="131-COMUNICAÇÃO SOCIAL"/>
    <s v="0002-Governo Inteligente, Aberto e Inovador​"/>
    <s v="2.005-Promoção de Eventos, Comunicação e Participação Social "/>
    <s v="3.3.90.39.00-OUTROS SERVIÇOS DE TERCEIROS - PESSOA JURÍDICA"/>
    <x v="15"/>
    <x v="345"/>
    <n v="108520"/>
    <x v="0"/>
  </r>
  <r>
    <s v="16"/>
    <s v="001"/>
    <s v="23"/>
    <s v="334"/>
    <s v="0008"/>
    <x v="0"/>
    <x v="1"/>
    <x v="280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9.00-OUTROS SERVIÇOS DE TERCEIROS - PESSOA JURÍDICA"/>
    <x v="15"/>
    <x v="346"/>
    <n v="1612.5"/>
    <x v="0"/>
  </r>
  <r>
    <s v="16"/>
    <s v="001"/>
    <s v="23"/>
    <s v="334"/>
    <s v="0008"/>
    <x v="0"/>
    <x v="1"/>
    <x v="280"/>
    <x v="12"/>
    <s v="001-GABINETE DA SECRETARIA DE TECNOLOGIA, INOVAÇÃO E DESENVOLVIMENTO ECONÔMICO"/>
    <s v="23-COMÉRCIO E SERVIÇOS"/>
    <s v="334-FOMENTO AO TRABALHO"/>
    <s v="0008-Empreendedorismo, Negócios e Turismo​"/>
    <s v="2.011-Manutenção de Equipamentos Públicos "/>
    <s v="3.3.90.39.00-OUTROS SERVIÇOS DE TERCEIROS - PESSOA JURÍDICA"/>
    <x v="15"/>
    <x v="342"/>
    <n v="420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47"/>
    <n v="960"/>
    <x v="0"/>
  </r>
  <r>
    <s v="17"/>
    <s v="001"/>
    <s v="04"/>
    <s v="541"/>
    <s v="0007"/>
    <x v="0"/>
    <x v="18"/>
    <x v="282"/>
    <x v="13"/>
    <s v="001-GABINETE DA SECRETARIA DE MEIO AMBIENTE E RECURSOS HÍDRICOS"/>
    <s v="4-ADMINISTRAÇÃO"/>
    <s v="541-PRESERVAÇÃO E CONSERVAÇÃO AMBIENTAL"/>
    <s v="0007-Meio Ambiente, Sustentabilidade e Bem-Estar Animal​"/>
    <s v="2.011-Manutenção de Equipamentos Públicos "/>
    <s v="3.3.50.85.00-CONTRATO DE GESTÃO"/>
    <x v="51"/>
    <x v="348"/>
    <n v="10000000"/>
    <x v="0"/>
  </r>
  <r>
    <s v="17"/>
    <s v="001"/>
    <s v="04"/>
    <s v="541"/>
    <s v="0007"/>
    <x v="0"/>
    <x v="1"/>
    <x v="283"/>
    <x v="13"/>
    <s v="001-GABINETE DA SECRETARIA DE MEIO AMBIENTE E RECURSOS HÍDRICOS"/>
    <s v="4-ADMINISTRAÇÃO"/>
    <s v="541-PRESERVAÇÃO E CONSERVAÇÃO AMBIENTAL"/>
    <s v="0007-Meio Ambiente, Sustentabilidade e Bem-Estar Animal​"/>
    <s v="2.011-Manutenção de Equipamentos Públicos "/>
    <s v="3.3.90.39.00-OUTROS SERVIÇOS DE TERCEIROS - PESSOA JURÍDICA"/>
    <x v="22"/>
    <x v="349"/>
    <n v="600000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50"/>
    <n v="240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51"/>
    <n v="95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43"/>
    <x v="352"/>
    <n v="40711.7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53"/>
    <n v="15454.2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54"/>
    <n v="15264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55"/>
    <n v="4850"/>
    <x v="0"/>
  </r>
  <r>
    <s v="17"/>
    <s v="001"/>
    <s v="04"/>
    <s v="131"/>
    <s v="0002"/>
    <x v="4"/>
    <x v="0"/>
    <x v="284"/>
    <x v="13"/>
    <s v="001-GABINETE DA SECRETARIA DE MEIO AMBIENTE E RECURSOS HÍDRICOS"/>
    <s v="4-ADMINISTRAÇÃO"/>
    <s v="131-COMUNICAÇÃO SOCIAL"/>
    <s v="0002-Governo Inteligente, Aberto e Inovador​"/>
    <s v="2.005-Promoção de Eventos, Comunicação e Participação Social "/>
    <s v="3.3.90.30.00-MATERIAL DE CONSUMO"/>
    <x v="12"/>
    <x v="0"/>
    <n v="20000"/>
    <x v="0"/>
  </r>
  <r>
    <s v="17"/>
    <s v="001"/>
    <s v="04"/>
    <s v="122"/>
    <s v="0007"/>
    <x v="11"/>
    <x v="0"/>
    <x v="285"/>
    <x v="13"/>
    <s v="001-GABINETE DA SECRETARIA DE MEIO AMBIENTE E RECURSOS HÍDRICOS"/>
    <s v="4-ADMINISTRAÇÃO"/>
    <s v="122-ADMINISTRAÇÃO GERAL"/>
    <s v="0007-Meio Ambiente, Sustentabilidade e Bem-Estar Animal​"/>
    <s v="2.001-Remuneração, Benefícios e Encargos"/>
    <s v="3.3.90.30.00-MATERIAL DE CONSUMO"/>
    <x v="72"/>
    <x v="356"/>
    <n v="16613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57"/>
    <n v="87257.3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58"/>
    <n v="2345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59"/>
    <n v="5340.2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60"/>
    <n v="1600.2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61"/>
    <n v="283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62"/>
    <n v="40581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63"/>
    <n v="9573.6"/>
    <x v="0"/>
  </r>
  <r>
    <s v="17"/>
    <s v="001"/>
    <s v="04"/>
    <s v="122"/>
    <s v="0007"/>
    <x v="0"/>
    <x v="1"/>
    <x v="286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9.00-OUTROS SERVIÇOS DE TERCEIROS - PESSOA JURÍDICA"/>
    <x v="13"/>
    <x v="364"/>
    <n v="23112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65"/>
    <n v="54258.0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66"/>
    <n v="7425.85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1"/>
    <x v="367"/>
    <n v="3000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68"/>
    <n v="1790.7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69"/>
    <n v="15433.2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6"/>
    <x v="370"/>
    <n v="61600"/>
    <x v="0"/>
  </r>
  <r>
    <s v="17"/>
    <s v="001"/>
    <s v="04"/>
    <s v="122"/>
    <s v="0007"/>
    <x v="0"/>
    <x v="0"/>
    <x v="281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0.00-MATERIAL DE CONSUMO"/>
    <x v="2"/>
    <x v="371"/>
    <n v="10022.950000000001"/>
    <x v="0"/>
  </r>
  <r>
    <s v="17"/>
    <s v="001"/>
    <s v="04"/>
    <s v="122"/>
    <s v="0007"/>
    <x v="0"/>
    <x v="1"/>
    <x v="286"/>
    <x v="13"/>
    <s v="001-GABINETE DA SECRETARIA DE MEIO AMBIENTE E RECURSOS HÍDRICOS"/>
    <s v="4-ADMINISTRAÇÃO"/>
    <s v="122-ADMINISTRAÇÃO GERAL"/>
    <s v="0007-Meio Ambiente, Sustentabilidade e Bem-Estar Animal​"/>
    <s v="2.011-Manutenção de Equipamentos Públicos "/>
    <s v="3.3.90.39.00-OUTROS SERVIÇOS DE TERCEIROS - PESSOA JURÍDICA"/>
    <x v="10"/>
    <x v="372"/>
    <n v="450000"/>
    <x v="0"/>
  </r>
  <r>
    <s v="17"/>
    <s v="001"/>
    <s v="04"/>
    <s v="122"/>
    <s v="0001"/>
    <x v="3"/>
    <x v="7"/>
    <x v="287"/>
    <x v="13"/>
    <s v="001-GABINETE DA SECRETARIA DE MEIO AMBIENTE E RECURSOS HÍDRICOS"/>
    <s v="4-ADMINISTRAÇÃO"/>
    <s v="122-ADMINISTRAÇÃO GERAL"/>
    <s v="0001-Administração e Coordenação Geral​"/>
    <s v="2.006-Representações Oficiais "/>
    <s v="3.3.90.33.00-PASSAGENS E DESPESAS COM LOCOMOÇÃO"/>
    <x v="74"/>
    <x v="0"/>
    <n v="1"/>
    <x v="0"/>
  </r>
  <r>
    <s v="17"/>
    <s v="001"/>
    <s v="04"/>
    <s v="122"/>
    <s v="0001"/>
    <x v="3"/>
    <x v="1"/>
    <x v="288"/>
    <x v="13"/>
    <s v="001-GABINETE DA SECRETARIA DE MEIO AMBIENTE E RECURSOS HÍDRICOS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0"/>
    <n v="1"/>
    <x v="0"/>
  </r>
  <r>
    <s v="17"/>
    <s v="001"/>
    <s v="04"/>
    <s v="128"/>
    <s v="0002"/>
    <x v="2"/>
    <x v="10"/>
    <x v="289"/>
    <x v="13"/>
    <s v="001-GABINETE DA SECRETARIA DE MEIO AMBIENTE E RECURSOS HÍDRICOS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0"/>
  </r>
  <r>
    <s v="17"/>
    <s v="001"/>
    <s v="04"/>
    <s v="128"/>
    <s v="0002"/>
    <x v="2"/>
    <x v="1"/>
    <x v="290"/>
    <x v="13"/>
    <s v="001-GABINETE DA SECRETARIA DE MEIO AMBIENTE E RECURSOS HÍDRICOS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22"/>
    <x v="0"/>
    <n v="1"/>
    <x v="0"/>
  </r>
  <r>
    <s v="17"/>
    <s v="003"/>
    <s v="04"/>
    <s v="541"/>
    <s v="0007"/>
    <x v="23"/>
    <x v="1"/>
    <x v="291"/>
    <x v="13"/>
    <s v="003-FUNDO MUNICIPAL DE MEIO AMBIENTE"/>
    <s v="4-ADMINISTRAÇÃO"/>
    <s v="541-PRESERVAÇÃO E CONSERVAÇÃO AMBIENTAL"/>
    <s v="0007-Meio Ambiente, Sustentabilidade e Bem-Estar Animal​"/>
    <s v="1.001-Estudos, Pesquisas, Planos e Projetos "/>
    <s v="3.3.90.39.00-OUTROS SERVIÇOS DE TERCEIROS - PESSOA JURÍDICA"/>
    <x v="22"/>
    <x v="0"/>
    <n v="1"/>
    <x v="0"/>
  </r>
  <r>
    <s v="17"/>
    <s v="001"/>
    <s v="04"/>
    <s v="131"/>
    <s v="0002"/>
    <x v="4"/>
    <x v="1"/>
    <x v="292"/>
    <x v="13"/>
    <s v="001-GABINETE DA SECRETARIA DE MEIO AMBIENTE E RECURSOS HÍDRICO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2"/>
    <x v="0"/>
    <n v="50000"/>
    <x v="0"/>
  </r>
  <r>
    <s v="17"/>
    <s v="001"/>
    <s v="18"/>
    <s v="122"/>
    <s v="0001"/>
    <x v="0"/>
    <x v="6"/>
    <x v="293"/>
    <x v="13"/>
    <s v="001-GABINETE DA SECRETARIA DE MEIO AMBIENTE E RECURSOS HÍDRICOS"/>
    <s v="18-GESTÃO AMBIENTAL"/>
    <s v="122-ADMINISTRAÇÃO GERAL"/>
    <s v="0001-Administração e Coordenação Geral​"/>
    <s v="2.011-Manutenção de Equipamentos Públicos "/>
    <s v="3.3.90.93.00-INDENIZAÇÕES E RESTITUIÇÕES"/>
    <x v="17"/>
    <x v="0"/>
    <n v="5000"/>
    <x v="0"/>
  </r>
  <r>
    <s v="17"/>
    <s v="001"/>
    <s v="18"/>
    <s v="422"/>
    <s v="0007"/>
    <x v="42"/>
    <x v="0"/>
    <x v="294"/>
    <x v="13"/>
    <s v="001-GABINETE DA SECRETARIA DE MEIO AMBIENTE E RECURSOS HÍDRICOS"/>
    <s v="18-GESTÃO AMBIENTAL"/>
    <s v="422-DIREITOS INDIVIDUAIS, COLETIVOS E DIFUSOS"/>
    <s v="0007-Meio Ambiente, Sustentabilidade e Bem-Estar Animal​"/>
    <s v="2.021-Educação Cidadã"/>
    <s v="3.3.90.30.00-MATERIAL DE CONSUMO"/>
    <x v="31"/>
    <x v="0"/>
    <n v="5000"/>
    <x v="0"/>
  </r>
  <r>
    <s v="17"/>
    <s v="001"/>
    <s v="18"/>
    <s v="422"/>
    <s v="0007"/>
    <x v="42"/>
    <x v="1"/>
    <x v="295"/>
    <x v="13"/>
    <s v="001-GABINETE DA SECRETARIA DE MEIO AMBIENTE E RECURSOS HÍDRICOS"/>
    <s v="18-GESTÃO AMBIENTAL"/>
    <s v="422-DIREITOS INDIVIDUAIS, COLETIVOS E DIFUSOS"/>
    <s v="0007-Meio Ambiente, Sustentabilidade e Bem-Estar Animal​"/>
    <s v="2.021-Educação Cidadã"/>
    <s v="3.3.90.39.00-OUTROS SERVIÇOS DE TERCEIROS - PESSOA JURÍDICA"/>
    <x v="27"/>
    <x v="0"/>
    <n v="5000"/>
    <x v="0"/>
  </r>
  <r>
    <s v="17"/>
    <s v="001"/>
    <s v="18"/>
    <s v="541"/>
    <s v="0007"/>
    <x v="5"/>
    <x v="1"/>
    <x v="296"/>
    <x v="13"/>
    <s v="001-GABINETE DA SECRETARIA DE MEIO AMBIENTE E RECURSOS HÍDRICOS"/>
    <s v="18-GESTÃO AMBIENTAL"/>
    <s v="541-PRESERVAÇÃO E CONSERVAÇÃO AMBIENTAL"/>
    <s v="0007-Meio Ambiente, Sustentabilidade e Bem-Estar Animal​"/>
    <s v="1.002-Reforma e Ampliação de Unidades"/>
    <s v="3.3.90.39.00-OUTROS SERVIÇOS DE TERCEIROS - PESSOA JURÍDICA"/>
    <x v="22"/>
    <x v="0"/>
    <n v="1"/>
    <x v="0"/>
  </r>
  <r>
    <s v="18"/>
    <s v="002"/>
    <s v="04"/>
    <s v="122"/>
    <s v="0001"/>
    <x v="0"/>
    <x v="1"/>
    <x v="297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38"/>
    <x v="0"/>
    <n v="12000000"/>
    <x v="0"/>
  </r>
  <r>
    <s v="18"/>
    <s v="002"/>
    <s v="04"/>
    <s v="122"/>
    <s v="0001"/>
    <x v="0"/>
    <x v="1"/>
    <x v="297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0"/>
    <n v="930000"/>
    <x v="0"/>
  </r>
  <r>
    <s v="18"/>
    <s v="002"/>
    <s v="04"/>
    <s v="122"/>
    <s v="0001"/>
    <x v="0"/>
    <x v="1"/>
    <x v="297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373"/>
    <n v="5081994"/>
    <x v="0"/>
  </r>
  <r>
    <s v="18"/>
    <s v="002"/>
    <s v="04"/>
    <s v="122"/>
    <s v="0001"/>
    <x v="0"/>
    <x v="1"/>
    <x v="297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374"/>
    <n v="696000"/>
    <x v="0"/>
  </r>
  <r>
    <s v="18"/>
    <s v="002"/>
    <s v="04"/>
    <s v="122"/>
    <s v="0001"/>
    <x v="0"/>
    <x v="9"/>
    <x v="298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92.00-DESPESAS DE EXERCÍCIOS ANTERIORES"/>
    <x v="64"/>
    <x v="0"/>
    <n v="1"/>
    <x v="0"/>
  </r>
  <r>
    <s v="18"/>
    <s v="002"/>
    <s v="04"/>
    <s v="122"/>
    <s v="0001"/>
    <x v="0"/>
    <x v="5"/>
    <x v="299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40.00-SERVIÇOS DE TECNOLOGIA DA INFORMAÇÃO E COMUNICAÇÃO - PESSOA JURÍDICA"/>
    <x v="89"/>
    <x v="375"/>
    <n v="4503313"/>
    <x v="0"/>
  </r>
  <r>
    <s v="18"/>
    <s v="002"/>
    <s v="04"/>
    <s v="122"/>
    <s v="0001"/>
    <x v="0"/>
    <x v="5"/>
    <x v="299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40.00-SERVIÇOS DE TECNOLOGIA DA INFORMAÇÃO E COMUNICAÇÃO - PESSOA JURÍDICA"/>
    <x v="89"/>
    <x v="376"/>
    <n v="3226380"/>
    <x v="0"/>
  </r>
  <r>
    <s v="18"/>
    <s v="002"/>
    <s v="04"/>
    <s v="122"/>
    <s v="0001"/>
    <x v="0"/>
    <x v="6"/>
    <x v="300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93.00-INDENIZAÇÕES E RESTITUIÇÕES"/>
    <x v="41"/>
    <x v="0"/>
    <n v="1"/>
    <x v="0"/>
  </r>
  <r>
    <s v="18"/>
    <s v="002"/>
    <s v="04"/>
    <s v="126"/>
    <s v="0002"/>
    <x v="1"/>
    <x v="5"/>
    <x v="301"/>
    <x v="14"/>
    <s v="002-RECURSOS SOB A SUPERVISÃO DA SECRETARIA DE ADMINISTRAÇÃ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77"/>
    <n v="5817000"/>
    <x v="0"/>
  </r>
  <r>
    <s v="18"/>
    <s v="002"/>
    <s v="04"/>
    <s v="126"/>
    <s v="0002"/>
    <x v="1"/>
    <x v="5"/>
    <x v="301"/>
    <x v="14"/>
    <s v="002-RECURSOS SOB A SUPERVISÃO DA SECRETARIA DE ADMINISTRAÇÃ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78"/>
    <n v="5568056"/>
    <x v="0"/>
  </r>
  <r>
    <s v="18"/>
    <s v="002"/>
    <s v="04"/>
    <s v="128"/>
    <s v="0001"/>
    <x v="12"/>
    <x v="15"/>
    <x v="302"/>
    <x v="14"/>
    <s v="002-RECURSOS SOB A SUPERVISÃO DA SECRETARIA DE ADMINISTRAÇÃO"/>
    <s v="4-ADMINISTRAÇÃO"/>
    <s v="128-FORMAÇÃO DE RECURSOS HUMANOS"/>
    <s v="0001-Administração e Coordenação Geral​"/>
    <s v="2.008-Estágio e Aprendizagem"/>
    <s v="3.3.90.48.00-OUTROS AUXÍLIOS FINANCEIROS A PESSOA FÍSICA"/>
    <x v="18"/>
    <x v="379"/>
    <n v="24120489"/>
    <x v="0"/>
  </r>
  <r>
    <s v="18"/>
    <s v="002"/>
    <s v="04"/>
    <s v="128"/>
    <s v="0001"/>
    <x v="12"/>
    <x v="1"/>
    <x v="303"/>
    <x v="14"/>
    <s v="002-RECURSOS SOB A SUPERVISÃO DA SECRETARIA DE ADMINISTRAÇÃO"/>
    <s v="4-ADMINISTRAÇÃO"/>
    <s v="128-FORMAÇÃO DE RECURSOS HUMANOS"/>
    <s v="0001-Administração e Coordenação Geral​"/>
    <s v="2.008-Estágio e Aprendizagem"/>
    <s v="3.3.90.39.00-OUTROS SERVIÇOS DE TERCEIROS - PESSOA JURÍDICA"/>
    <x v="22"/>
    <x v="379"/>
    <n v="2240214"/>
    <x v="0"/>
  </r>
  <r>
    <s v="18"/>
    <s v="002"/>
    <s v="04"/>
    <s v="122"/>
    <s v="0001"/>
    <x v="43"/>
    <x v="10"/>
    <x v="304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36.00-OUTROS SERVIÇOS DE TERCEIROS - PESSOA FÍSICA"/>
    <x v="90"/>
    <x v="380"/>
    <n v="7824093"/>
    <x v="0"/>
  </r>
  <r>
    <s v="18"/>
    <s v="002"/>
    <s v="04"/>
    <s v="122"/>
    <s v="0001"/>
    <x v="43"/>
    <x v="1"/>
    <x v="305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39.00-OUTROS SERVIÇOS DE TERCEIROS - PESSOA JURÍDICA"/>
    <x v="90"/>
    <x v="380"/>
    <n v="15600833"/>
    <x v="0"/>
  </r>
  <r>
    <s v="18"/>
    <s v="002"/>
    <s v="04"/>
    <s v="122"/>
    <s v="0001"/>
    <x v="43"/>
    <x v="6"/>
    <x v="306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93.00-INDENIZAÇÕES E RESTITUIÇÕES"/>
    <x v="41"/>
    <x v="0"/>
    <n v="100000"/>
    <x v="0"/>
  </r>
  <r>
    <s v="18"/>
    <s v="002"/>
    <s v="04"/>
    <s v="122"/>
    <s v="0001"/>
    <x v="43"/>
    <x v="9"/>
    <x v="307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92.00-DESPESAS DE EXERCÍCIOS ANTERIORES"/>
    <x v="64"/>
    <x v="0"/>
    <n v="1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1"/>
    <n v="155750.39999999999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2"/>
    <n v="108120.37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3"/>
    <n v="443100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4"/>
    <n v="432075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5"/>
    <n v="537600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6"/>
    <n v="750406.06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7"/>
    <n v="430500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67"/>
    <x v="388"/>
    <n v="115500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91"/>
    <x v="389"/>
    <n v="3000000"/>
    <x v="0"/>
  </r>
  <r>
    <s v="18"/>
    <s v="001"/>
    <s v="04"/>
    <s v="122"/>
    <s v="0001"/>
    <x v="0"/>
    <x v="6"/>
    <x v="309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93.00-INDENIZAÇÕES E RESTITUIÇÕES"/>
    <x v="17"/>
    <x v="390"/>
    <n v="150000"/>
    <x v="0"/>
  </r>
  <r>
    <s v="18"/>
    <s v="001"/>
    <s v="04"/>
    <s v="122"/>
    <s v="0001"/>
    <x v="0"/>
    <x v="1"/>
    <x v="308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391"/>
    <n v="3000"/>
    <x v="0"/>
  </r>
  <r>
    <s v="18"/>
    <s v="001"/>
    <s v="04"/>
    <s v="122"/>
    <s v="0001"/>
    <x v="44"/>
    <x v="1"/>
    <x v="310"/>
    <x v="15"/>
    <s v="001-RECURSOS SOB A SUPERVISÃO DA SECRETARIA DE FINANÇAS"/>
    <s v="4-ADMINISTRAÇÃO"/>
    <s v="122-ADMINISTRAÇÃO GERAL"/>
    <s v="0001-Administração e Coordenação Geral​"/>
    <s v="0.003-Precatórios e Sentenças Judiciais"/>
    <s v="3.3.90.39.00-OUTROS SERVIÇOS DE TERCEIROS - PESSOA JURÍDICA"/>
    <x v="22"/>
    <x v="392"/>
    <n v="260000"/>
    <x v="0"/>
  </r>
  <r>
    <s v="18"/>
    <s v="001"/>
    <s v="04"/>
    <s v="122"/>
    <s v="0001"/>
    <x v="0"/>
    <x v="23"/>
    <x v="311"/>
    <x v="15"/>
    <s v="001-RECURSOS SOB A SUPERVISÃO DA SECRETARIA DE FINANÇAS"/>
    <s v="4-ADMINISTRAÇÃO"/>
    <s v="122-ADMINISTRAÇÃO GERAL"/>
    <s v="0001-Administração e Coordenação Geral​"/>
    <s v="2.011-Manutenção de Equipamentos Públicos "/>
    <s v="3.3.90.91.00-SENTENÇAS JUDICIAIS"/>
    <x v="92"/>
    <x v="393"/>
    <n v="15000"/>
    <x v="0"/>
  </r>
  <r>
    <s v="18"/>
    <s v="001"/>
    <s v="04"/>
    <s v="453"/>
    <s v="0013"/>
    <x v="45"/>
    <x v="6"/>
    <x v="312"/>
    <x v="15"/>
    <s v="001-RECURSOS SOB A SUPERVISÃO DA SECRETARIA DE FINANÇAS"/>
    <s v="4-ADMINISTRAÇÃO"/>
    <s v="453-TRANSPORTES COLETIVOS URBANOS"/>
    <s v="0013-Mobilidade Urbana e Infraestrutura Viária​"/>
    <s v="2.010-Manutenção do Transporte Coletivo "/>
    <s v="3.3.90.93.00-INDENIZAÇÕES E RESTITUIÇÕES"/>
    <x v="17"/>
    <x v="394"/>
    <n v="600000"/>
    <x v="0"/>
  </r>
  <r>
    <s v="18"/>
    <s v="003"/>
    <s v="04"/>
    <s v="126"/>
    <s v="0002"/>
    <x v="1"/>
    <x v="1"/>
    <x v="313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4"/>
    <x v="395"/>
    <n v="6059826.1500000004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96"/>
    <n v="4996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97"/>
    <n v="91872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98"/>
    <n v="1735047.12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399"/>
    <n v="7786917.4800000004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0"/>
    <n v="3587018.04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1"/>
    <n v="83976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2"/>
    <n v="315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3"/>
    <n v="10002310.68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4"/>
    <n v="34984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5"/>
    <n v="8234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6"/>
    <n v="1440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7"/>
    <n v="1022583.36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8"/>
    <n v="8067506.1600000001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09"/>
    <n v="7524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0"/>
    <n v="180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1"/>
    <n v="5282446.32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2"/>
    <n v="1119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3"/>
    <n v="16080000"/>
    <x v="0"/>
  </r>
  <r>
    <s v="18"/>
    <s v="003"/>
    <s v="04"/>
    <s v="126"/>
    <s v="0002"/>
    <x v="1"/>
    <x v="8"/>
    <x v="315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4.4.90.52.00-EQUIPAMENTOS E MATERIAL PERMANENTE"/>
    <x v="85"/>
    <x v="414"/>
    <n v="4900000"/>
    <x v="0"/>
  </r>
  <r>
    <s v="18"/>
    <s v="003"/>
    <s v="04"/>
    <s v="126"/>
    <s v="0002"/>
    <x v="1"/>
    <x v="0"/>
    <x v="316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30.00-MATERIAL DE CONSUMO"/>
    <x v="14"/>
    <x v="415"/>
    <n v="200000"/>
    <x v="0"/>
  </r>
  <r>
    <s v="18"/>
    <s v="003"/>
    <s v="04"/>
    <s v="126"/>
    <s v="0002"/>
    <x v="1"/>
    <x v="1"/>
    <x v="313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4"/>
    <x v="415"/>
    <n v="20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6"/>
    <n v="3600000"/>
    <x v="0"/>
  </r>
  <r>
    <s v="18"/>
    <s v="003"/>
    <s v="04"/>
    <s v="126"/>
    <s v="0002"/>
    <x v="1"/>
    <x v="8"/>
    <x v="315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4.4.90.52.00-EQUIPAMENTOS E MATERIAL PERMANENTE"/>
    <x v="85"/>
    <x v="417"/>
    <n v="211478.39999999999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8"/>
    <n v="2474309.2799999998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19"/>
    <n v="3600000"/>
    <x v="0"/>
  </r>
  <r>
    <s v="18"/>
    <s v="003"/>
    <s v="04"/>
    <s v="126"/>
    <s v="0002"/>
    <x v="1"/>
    <x v="5"/>
    <x v="314"/>
    <x v="16"/>
    <s v="003-RECURSOS SOB SUPERVISÃO DA SECRETARIA DE TECNOLOGIA, INOVAÇÃO E DESENVOLVIMENTO ECONÔMIC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20"/>
    <n v="140000"/>
    <x v="0"/>
  </r>
  <r>
    <s v="19"/>
    <s v="001"/>
    <s v="04"/>
    <s v="131"/>
    <s v="0002"/>
    <x v="4"/>
    <x v="1"/>
    <x v="317"/>
    <x v="17"/>
    <s v="001-GABINETE DA SECRETARIA DE TRANSPORTE E DA MOBILIDADE URBANA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0"/>
    <n v="14300"/>
    <x v="0"/>
  </r>
  <r>
    <s v="19"/>
    <s v="001"/>
    <s v="04"/>
    <s v="131"/>
    <s v="0002"/>
    <x v="4"/>
    <x v="0"/>
    <x v="318"/>
    <x v="17"/>
    <s v="001-GABINETE DA SECRETARIA DE TRANSPORTE E DA MOBILIDADE URBANA"/>
    <s v="4-ADMINISTRAÇÃO"/>
    <s v="131-COMUNICAÇÃO SOCIAL"/>
    <s v="0002-Governo Inteligente, Aberto e Inovador​"/>
    <s v="2.005-Promoção de Eventos, Comunicação e Participação Social "/>
    <s v="3.3.90.30.00-MATERIAL DE CONSUMO"/>
    <x v="12"/>
    <x v="0"/>
    <n v="13750"/>
    <x v="0"/>
  </r>
  <r>
    <s v="19"/>
    <s v="001"/>
    <s v="04"/>
    <s v="131"/>
    <s v="0002"/>
    <x v="4"/>
    <x v="1"/>
    <x v="317"/>
    <x v="17"/>
    <s v="001-GABINETE DA SECRETARIA DE TRANSPORTE E DA MOBILIDADE URBANA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0"/>
    <n v="176849.2"/>
    <x v="0"/>
  </r>
  <r>
    <s v="19"/>
    <s v="001"/>
    <s v="04"/>
    <s v="131"/>
    <s v="0002"/>
    <x v="4"/>
    <x v="1"/>
    <x v="317"/>
    <x v="17"/>
    <s v="001-GABINETE DA SECRETARIA DE TRANSPORTE E DA MOBILIDADE URBANA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0"/>
    <x v="0"/>
    <n v="27500"/>
    <x v="0"/>
  </r>
  <r>
    <s v="19"/>
    <s v="001"/>
    <s v="04"/>
    <s v="122"/>
    <s v="0001"/>
    <x v="3"/>
    <x v="7"/>
    <x v="319"/>
    <x v="17"/>
    <s v="001-GABINETE DA SECRETARIA DE TRANSPORTE E DA MOBILIDADE URBANA"/>
    <s v="4-ADMINISTRAÇÃO"/>
    <s v="122-ADMINISTRAÇÃO GERAL"/>
    <s v="0001-Administração e Coordenação Geral​"/>
    <s v="2.006-Representações Oficiais "/>
    <s v="3.3.90.33.00-PASSAGENS E DESPESAS COM LOCOMOÇÃO"/>
    <x v="93"/>
    <x v="0"/>
    <n v="66000"/>
    <x v="0"/>
  </r>
  <r>
    <s v="19"/>
    <s v="001"/>
    <s v="04"/>
    <s v="122"/>
    <s v="0001"/>
    <x v="3"/>
    <x v="1"/>
    <x v="320"/>
    <x v="17"/>
    <s v="001-GABINETE DA SECRETARIA DE TRANSPORTE E DA MOBILIDADE URBANA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0"/>
    <n v="66000"/>
    <x v="0"/>
  </r>
  <r>
    <s v="19"/>
    <s v="001"/>
    <s v="04"/>
    <s v="122"/>
    <s v="0001"/>
    <x v="11"/>
    <x v="19"/>
    <x v="321"/>
    <x v="17"/>
    <s v="001-GABINETE DA SECRETARIA DE TRANSPORTE E DA MOBILIDADE URBANA"/>
    <s v="4-ADMINISTRAÇÃO"/>
    <s v="122-ADMINISTRAÇÃO GERAL"/>
    <s v="0001-Administração e Coordenação Geral​"/>
    <s v="2.001-Remuneração, Benefícios e Encargos"/>
    <m/>
    <x v="94"/>
    <x v="0"/>
    <n v="17263390.100000001"/>
    <x v="0"/>
  </r>
  <r>
    <s v="19"/>
    <s v="001"/>
    <s v="04"/>
    <s v="128"/>
    <s v="0002"/>
    <x v="2"/>
    <x v="1"/>
    <x v="322"/>
    <x v="17"/>
    <s v="001-GABINETE DA SECRETARIA DE TRANSPORTE E DA MOBILIDADE URBANA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83"/>
    <x v="0"/>
    <n v="150000"/>
    <x v="0"/>
  </r>
  <r>
    <s v="19"/>
    <s v="001"/>
    <s v="04"/>
    <s v="122"/>
    <s v="0001"/>
    <x v="46"/>
    <x v="1"/>
    <x v="323"/>
    <x v="17"/>
    <s v="001-GABINETE DA SECRETARIA DE TRANSPORTE E DA MOBILIDADE URBANA"/>
    <s v="4-ADMINISTRAÇÃO"/>
    <s v="122-ADMINISTRAÇÃO GERAL"/>
    <s v="0001-Administração e Coordenação Geral​"/>
    <s v="2.002-Abastecimento de Frota "/>
    <s v="3.3.90.39.00-OUTROS SERVIÇOS DE TERCEIROS - PESSOA JURÍDICA"/>
    <x v="22"/>
    <x v="0"/>
    <n v="10073446.039999999"/>
    <x v="0"/>
  </r>
  <r>
    <s v="19"/>
    <s v="005"/>
    <s v="04"/>
    <s v="122"/>
    <s v="0001"/>
    <x v="46"/>
    <x v="1"/>
    <x v="324"/>
    <x v="17"/>
    <s v="005-FUNDO MUNICIPAL DE TRÂNSITO"/>
    <s v="4-ADMINISTRAÇÃO"/>
    <s v="122-ADMINISTRAÇÃO GERAL"/>
    <s v="0001-Administração e Coordenação Geral​"/>
    <s v="2.002-Abastecimento de Frota "/>
    <s v="3.3.90.39.00-OUTROS SERVIÇOS DE TERCEIROS - PESSOA JURÍDICA"/>
    <x v="22"/>
    <x v="0"/>
    <n v="1"/>
    <x v="0"/>
  </r>
  <r>
    <s v="19"/>
    <s v="001"/>
    <s v="04"/>
    <s v="121"/>
    <s v="0004"/>
    <x v="23"/>
    <x v="1"/>
    <x v="325"/>
    <x v="17"/>
    <s v="001-GABINETE DA SECRETARIA DE TRANSPORTE E DA MOBILIDADE URBANA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22"/>
    <x v="0"/>
    <n v="2500000"/>
    <x v="0"/>
  </r>
  <r>
    <s v="19"/>
    <s v="001"/>
    <s v="04"/>
    <s v="451"/>
    <s v="0013"/>
    <x v="0"/>
    <x v="1"/>
    <x v="326"/>
    <x v="17"/>
    <s v="001-GABINETE DA SECRETARIA DE TRANSPORTE E DA MOBILIDADE URBANA"/>
    <s v="4-ADMINISTRAÇÃO"/>
    <s v="451-INFRA-ESTRUTURA URBANA"/>
    <s v="0013-Mobilidade Urbana e Infraestrutura Viária​"/>
    <m/>
    <s v="3.3.90.39.00-OUTROS SERVIÇOS DE TERCEIROS - PESSOA JURÍDICA"/>
    <x v="38"/>
    <x v="0"/>
    <n v="175000"/>
    <x v="0"/>
  </r>
  <r>
    <s v="19"/>
    <s v="005"/>
    <s v="04"/>
    <s v="451"/>
    <s v="0013"/>
    <x v="0"/>
    <x v="1"/>
    <x v="327"/>
    <x v="17"/>
    <s v="005-FUNDO MUNICIPAL DE TRÂNSITO"/>
    <s v="4-ADMINISTRAÇÃO"/>
    <s v="451-INFRA-ESTRUTURA URBANA"/>
    <s v="0013-Mobilidade Urbana e Infraestrutura Viária​"/>
    <m/>
    <s v="3.3.90.39.00-OUTROS SERVIÇOS DE TERCEIROS - PESSOA JURÍDICA"/>
    <x v="38"/>
    <x v="0"/>
    <n v="75000"/>
    <x v="0"/>
  </r>
  <r>
    <s v="19"/>
    <s v="001"/>
    <s v="04"/>
    <s v="122"/>
    <s v="0013"/>
    <x v="47"/>
    <x v="6"/>
    <x v="328"/>
    <x v="17"/>
    <s v="001-GABINETE DA SECRETARIA DE TRANSPORTE E DA MOBILIDADE URBANA"/>
    <s v="4-ADMINISTRAÇÃO"/>
    <s v="122-ADMINISTRAÇÃO GERAL"/>
    <s v="0013-Mobilidade Urbana e Infraestrutura Viária​"/>
    <m/>
    <s v="3.3.90.93.00-INDENIZAÇÕES E RESTITUIÇÕES"/>
    <x v="35"/>
    <x v="421"/>
    <n v="1"/>
    <x v="0"/>
  </r>
  <r>
    <s v="19"/>
    <s v="001"/>
    <s v="04"/>
    <s v="122"/>
    <s v="0013"/>
    <x v="47"/>
    <x v="6"/>
    <x v="328"/>
    <x v="17"/>
    <s v="001-GABINETE DA SECRETARIA DE TRANSPORTE E DA MOBILIDADE URBANA"/>
    <s v="4-ADMINISTRAÇÃO"/>
    <s v="122-ADMINISTRAÇÃO GERAL"/>
    <s v="0013-Mobilidade Urbana e Infraestrutura Viária​"/>
    <m/>
    <s v="3.3.90.93.00-INDENIZAÇÕES E RESTITUIÇÕES"/>
    <x v="22"/>
    <x v="422"/>
    <n v="1"/>
    <x v="0"/>
  </r>
  <r>
    <s v="19"/>
    <s v="001"/>
    <s v="04"/>
    <s v="122"/>
    <s v="0001"/>
    <x v="11"/>
    <x v="19"/>
    <x v="321"/>
    <x v="17"/>
    <s v="001-GABINETE DA SECRETARIA DE TRANSPORTE E DA MOBILIDADE URBANA"/>
    <s v="4-ADMINISTRAÇÃO"/>
    <s v="122-ADMINISTRAÇÃO GERAL"/>
    <s v="0001-Administração e Coordenação Geral​"/>
    <s v="2.001-Remuneração, Benefícios e Encargos"/>
    <m/>
    <x v="18"/>
    <x v="0"/>
    <n v="1"/>
    <x v="0"/>
  </r>
  <r>
    <s v="19"/>
    <s v="001"/>
    <s v="15"/>
    <s v="121"/>
    <s v="0013"/>
    <x v="5"/>
    <x v="1"/>
    <x v="329"/>
    <x v="17"/>
    <s v="001-GABINETE DA SECRETARIA DE TRANSPORTE E DA MOBILIDADE URBANA"/>
    <s v="15-URBANISMO"/>
    <s v="121-PLANEJAMENTO E ORÇAMENTO"/>
    <s v="0013-Mobilidade Urbana e Infraestrutura Viária​"/>
    <s v="1.002-Reforma e Ampliação de Unidades"/>
    <s v="3.3.90.39.00-OUTROS SERVIÇOS DE TERCEIROS - PESSOA JURÍDICA"/>
    <x v="22"/>
    <x v="0"/>
    <n v="600000"/>
    <x v="0"/>
  </r>
  <r>
    <s v="19"/>
    <s v="001"/>
    <s v="15"/>
    <s v="451"/>
    <s v="0013"/>
    <x v="5"/>
    <x v="1"/>
    <x v="330"/>
    <x v="17"/>
    <s v="001-GABINETE DA SECRETARIA DE TRANSPORTE E DA MOBILIDADE URBANA"/>
    <s v="15-URBANISMO"/>
    <s v="451-INFRA-ESTRUTURA URBANA"/>
    <s v="0013-Mobilidade Urbana e Infraestrutura Viária​"/>
    <s v="1.002-Reforma e Ampliação de Unidades"/>
    <s v="3.3.90.39.00-OUTROS SERVIÇOS DE TERCEIROS - PESSOA JURÍDICA"/>
    <x v="22"/>
    <x v="0"/>
    <n v="1"/>
    <x v="0"/>
  </r>
  <r>
    <s v="19"/>
    <s v="001"/>
    <s v="15"/>
    <s v="451"/>
    <s v="0013"/>
    <x v="47"/>
    <x v="1"/>
    <x v="331"/>
    <x v="17"/>
    <s v="001-GABINETE DA SECRETARIA DE TRANSPORTE E DA MOBILIDADE URBANA"/>
    <s v="15-URBANISMO"/>
    <s v="451-INFRA-ESTRUTURA URBANA"/>
    <s v="0013-Mobilidade Urbana e Infraestrutura Viária​"/>
    <s v="2.036-Manutenção da Mobilidade Ativa "/>
    <s v="3.3.90.39.00-OUTROS SERVIÇOS DE TERCEIROS - PESSOA JURÍDICA"/>
    <x v="22"/>
    <x v="0"/>
    <n v="1676951.82"/>
    <x v="0"/>
  </r>
  <r>
    <s v="19"/>
    <s v="001"/>
    <s v="15"/>
    <s v="453"/>
    <s v="0013"/>
    <x v="45"/>
    <x v="1"/>
    <x v="332"/>
    <x v="17"/>
    <s v="001-GABINETE DA SECRETARIA DE TRANSPORTE E DA MOBILIDADE URBANA"/>
    <s v="15-URBANISMO"/>
    <s v="453-TRANSPORTES COLETIVOS URBANOS"/>
    <s v="0013-Mobilidade Urbana e Infraestrutura Viária​"/>
    <s v="2.010-Manutenção do Transporte Coletivo "/>
    <s v="3.3.90.39.00-OUTROS SERVIÇOS DE TERCEIROS - PESSOA JURÍDICA"/>
    <x v="22"/>
    <x v="0"/>
    <n v="1800000"/>
    <x v="0"/>
  </r>
  <r>
    <s v="19"/>
    <s v="001"/>
    <s v="15"/>
    <s v="451"/>
    <s v="0013"/>
    <x v="25"/>
    <x v="19"/>
    <x v="333"/>
    <x v="17"/>
    <s v="001-GABINETE DA SECRETARIA DE TRANSPORTE E DA MOBILIDADE URBANA"/>
    <s v="15-URBANISMO"/>
    <s v="451-INFRA-ESTRUTURA URBANA"/>
    <s v="0013-Mobilidade Urbana e Infraestrutura Viária​"/>
    <s v="1.006-Desenvolvimento da Infraestrutura Viária"/>
    <m/>
    <x v="18"/>
    <x v="0"/>
    <n v="1"/>
    <x v="0"/>
  </r>
  <r>
    <s v="19"/>
    <s v="005"/>
    <s v="15"/>
    <s v="451"/>
    <s v="0013"/>
    <x v="24"/>
    <x v="1"/>
    <x v="334"/>
    <x v="17"/>
    <s v="005-FUNDO MUNICIPAL DE TRÂNSITO"/>
    <s v="15-URBANISMO"/>
    <s v="451-INFRA-ESTRUTURA URBANA"/>
    <s v="0013-Mobilidade Urbana e Infraestrutura Viária​"/>
    <s v="2.034-Manutenção da Infraestrutura Viária"/>
    <s v="3.3.90.39.00-OUTROS SERVIÇOS DE TERCEIROS - PESSOA JURÍDICA"/>
    <x v="18"/>
    <x v="423"/>
    <n v="22978754.100000001"/>
    <x v="0"/>
  </r>
  <r>
    <s v="19"/>
    <s v="001"/>
    <s v="15"/>
    <s v="451"/>
    <s v="0013"/>
    <x v="24"/>
    <x v="1"/>
    <x v="335"/>
    <x v="17"/>
    <s v="001-GABINETE DA SECRETARIA DE TRANSPORTE E DA MOBILIDADE URBANA"/>
    <s v="15-URBANISMO"/>
    <s v="451-INFRA-ESTRUTURA URBANA"/>
    <s v="0013-Mobilidade Urbana e Infraestrutura Viária​"/>
    <s v="2.034-Manutenção da Infraestrutura Viária"/>
    <s v="3.3.90.39.00-OUTROS SERVIÇOS DE TERCEIROS - PESSOA JURÍDICA"/>
    <x v="18"/>
    <x v="423"/>
    <n v="34468131.140000001"/>
    <x v="0"/>
  </r>
  <r>
    <s v="19"/>
    <s v="001"/>
    <s v="15"/>
    <s v="126"/>
    <s v="0013"/>
    <x v="1"/>
    <x v="1"/>
    <x v="336"/>
    <x v="17"/>
    <s v="001-GABINETE DA SECRETARIA DE TRANSPORTE E DA MOBILIDADE URBANA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1699489.44"/>
    <x v="0"/>
  </r>
  <r>
    <s v="19"/>
    <s v="001"/>
    <s v="15"/>
    <s v="126"/>
    <s v="0013"/>
    <x v="1"/>
    <x v="1"/>
    <x v="336"/>
    <x v="17"/>
    <s v="001-GABINETE DA SECRETARIA DE TRANSPORTE E DA MOBILIDADE URBANA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6105000"/>
    <x v="0"/>
  </r>
  <r>
    <s v="19"/>
    <s v="001"/>
    <s v="15"/>
    <s v="126"/>
    <s v="0013"/>
    <x v="1"/>
    <x v="1"/>
    <x v="336"/>
    <x v="17"/>
    <s v="001-GABINETE DA SECRETARIA DE TRANSPORTE E DA MOBILIDADE URBANA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5270882.62"/>
    <x v="0"/>
  </r>
  <r>
    <s v="19"/>
    <s v="005"/>
    <s v="15"/>
    <s v="126"/>
    <s v="0013"/>
    <x v="1"/>
    <x v="1"/>
    <x v="337"/>
    <x v="17"/>
    <s v="005-FUNDO MUNICIPAL DE TRÂNSITO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1132992.96"/>
    <x v="0"/>
  </r>
  <r>
    <s v="19"/>
    <s v="005"/>
    <s v="15"/>
    <s v="126"/>
    <s v="0013"/>
    <x v="1"/>
    <x v="1"/>
    <x v="337"/>
    <x v="17"/>
    <s v="005-FUNDO MUNICIPAL DE TRÂNSITO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4070000"/>
    <x v="0"/>
  </r>
  <r>
    <s v="19"/>
    <s v="005"/>
    <s v="15"/>
    <s v="126"/>
    <s v="0013"/>
    <x v="1"/>
    <x v="1"/>
    <x v="337"/>
    <x v="17"/>
    <s v="005-FUNDO MUNICIPAL DE TRÂNSITO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3513921.74"/>
    <x v="0"/>
  </r>
  <r>
    <s v="19"/>
    <s v="001"/>
    <s v="15"/>
    <s v="453"/>
    <s v="0013"/>
    <x v="45"/>
    <x v="1"/>
    <x v="332"/>
    <x v="17"/>
    <s v="001-GABINETE DA SECRETARIA DE TRANSPORTE E DA MOBILIDADE URBANA"/>
    <s v="15-URBANISMO"/>
    <s v="453-TRANSPORTES COLETIVOS URBANOS"/>
    <s v="0013-Mobilidade Urbana e Infraestrutura Viária​"/>
    <s v="2.010-Manutenção do Transporte Coletivo "/>
    <s v="3.3.90.39.00-OUTROS SERVIÇOS DE TERCEIROS - PESSOA JURÍDICA"/>
    <x v="18"/>
    <x v="0"/>
    <n v="1800000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1"/>
    <x v="0"/>
    <n v="56100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2"/>
    <x v="0"/>
    <n v="33000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3"/>
    <x v="0"/>
    <n v="11000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21"/>
    <x v="424"/>
    <n v="66000"/>
    <x v="0"/>
  </r>
  <r>
    <s v="19"/>
    <s v="001"/>
    <s v="15"/>
    <s v="451"/>
    <s v="0013"/>
    <x v="0"/>
    <x v="1"/>
    <x v="339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9.00-OUTROS SERVIÇOS DE TERCEIROS - PESSOA JURÍDICA"/>
    <x v="9"/>
    <x v="424"/>
    <n v="22000"/>
    <x v="0"/>
  </r>
  <r>
    <s v="19"/>
    <s v="001"/>
    <s v="15"/>
    <s v="451"/>
    <s v="0013"/>
    <x v="0"/>
    <x v="1"/>
    <x v="339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9.00-OUTROS SERVIÇOS DE TERCEIROS - PESSOA JURÍDICA"/>
    <x v="10"/>
    <x v="0"/>
    <n v="1536821.75"/>
    <x v="0"/>
  </r>
  <r>
    <s v="19"/>
    <s v="001"/>
    <s v="15"/>
    <s v="451"/>
    <s v="0013"/>
    <x v="0"/>
    <x v="1"/>
    <x v="339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9.00-OUTROS SERVIÇOS DE TERCEIROS - PESSOA JURÍDICA"/>
    <x v="10"/>
    <x v="0"/>
    <n v="56674.73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18"/>
    <x v="425"/>
    <n v="2200"/>
    <x v="0"/>
  </r>
  <r>
    <s v="19"/>
    <s v="001"/>
    <s v="15"/>
    <s v="451"/>
    <s v="0013"/>
    <x v="0"/>
    <x v="1"/>
    <x v="339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9.00-OUTROS SERVIÇOS DE TERCEIROS - PESSOA JURÍDICA"/>
    <x v="18"/>
    <x v="426"/>
    <n v="8415"/>
    <x v="0"/>
  </r>
  <r>
    <s v="19"/>
    <s v="001"/>
    <s v="15"/>
    <s v="451"/>
    <s v="0013"/>
    <x v="0"/>
    <x v="8"/>
    <x v="340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4.4.90.52.00-EQUIPAMENTOS E MATERIAL PERMANENTE"/>
    <x v="19"/>
    <x v="427"/>
    <n v="1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43"/>
    <x v="428"/>
    <n v="1325061.8400000001"/>
    <x v="0"/>
  </r>
  <r>
    <s v="19"/>
    <s v="001"/>
    <s v="15"/>
    <s v="451"/>
    <s v="0013"/>
    <x v="0"/>
    <x v="0"/>
    <x v="338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0.00-MATERIAL DE CONSUMO"/>
    <x v="80"/>
    <x v="0"/>
    <n v="19800"/>
    <x v="0"/>
  </r>
  <r>
    <s v="19"/>
    <s v="001"/>
    <s v="15"/>
    <s v="451"/>
    <s v="0013"/>
    <x v="0"/>
    <x v="8"/>
    <x v="340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4.4.90.52.00-EQUIPAMENTOS E MATERIAL PERMANENTE"/>
    <x v="19"/>
    <x v="0"/>
    <n v="33000"/>
    <x v="0"/>
  </r>
  <r>
    <s v="19"/>
    <s v="001"/>
    <s v="15"/>
    <s v="451"/>
    <s v="0013"/>
    <x v="0"/>
    <x v="8"/>
    <x v="340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4.4.90.52.00-EQUIPAMENTOS E MATERIAL PERMANENTE"/>
    <x v="18"/>
    <x v="0"/>
    <n v="5000"/>
    <x v="0"/>
  </r>
  <r>
    <s v="19"/>
    <s v="001"/>
    <s v="15"/>
    <s v="451"/>
    <s v="0013"/>
    <x v="0"/>
    <x v="8"/>
    <x v="340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4.4.90.52.00-EQUIPAMENTOS E MATERIAL PERMANENTE"/>
    <x v="19"/>
    <x v="0"/>
    <n v="4400"/>
    <x v="0"/>
  </r>
  <r>
    <s v="19"/>
    <s v="001"/>
    <s v="15"/>
    <s v="451"/>
    <s v="0013"/>
    <x v="0"/>
    <x v="1"/>
    <x v="339"/>
    <x v="17"/>
    <s v="001-GABINETE DA SECRETARIA DE TRANSPORTE E DA MOBILIDADE URBANA"/>
    <s v="15-URBANISMO"/>
    <s v="451-INFRA-ESTRUTURA URBANA"/>
    <s v="0013-Mobilidade Urbana e Infraestrutura Viária​"/>
    <m/>
    <s v="3.3.90.39.00-OUTROS SERVIÇOS DE TERCEIROS - PESSOA JURÍDICA"/>
    <x v="67"/>
    <x v="0"/>
    <n v="1550000"/>
    <x v="0"/>
  </r>
  <r>
    <s v="19"/>
    <s v="001"/>
    <s v="15"/>
    <s v="451"/>
    <s v="0013"/>
    <x v="0"/>
    <x v="10"/>
    <x v="341"/>
    <x v="17"/>
    <s v="001-GABINETE DA SECRETARIA DE TRANSPORTE E DA MOBILIDADE URBANA"/>
    <s v="15-URBANISMO"/>
    <s v="451-INFRA-ESTRUTURA URBANA"/>
    <s v="0013-Mobilidade Urbana e Infraestrutura Viária​"/>
    <s v="2.011-Manutenção de Equipamentos Públicos "/>
    <s v="3.3.90.36.00-OUTROS SERVIÇOS DE TERCEIROS - PESSOA FÍSICA"/>
    <x v="95"/>
    <x v="0"/>
    <n v="8800"/>
    <x v="0"/>
  </r>
  <r>
    <s v="19"/>
    <s v="001"/>
    <s v="15"/>
    <s v="422"/>
    <s v="0013"/>
    <x v="42"/>
    <x v="1"/>
    <x v="342"/>
    <x v="17"/>
    <s v="001-GABINETE DA SECRETARIA DE TRANSPORTE E DA MOBILIDADE URBANA"/>
    <s v="15-URBANISMO"/>
    <s v="422-DIREITOS INDIVIDUAIS, COLETIVOS E DIFUSOS"/>
    <s v="0013-Mobilidade Urbana e Infraestrutura Viária​"/>
    <s v="2.021-Educação Cidadã"/>
    <s v="3.3.90.39.00-OUTROS SERVIÇOS DE TERCEIROS - PESSOA JURÍDICA"/>
    <x v="13"/>
    <x v="0"/>
    <n v="5500"/>
    <x v="0"/>
  </r>
  <r>
    <s v="19"/>
    <s v="001"/>
    <s v="15"/>
    <s v="422"/>
    <s v="0013"/>
    <x v="42"/>
    <x v="0"/>
    <x v="343"/>
    <x v="17"/>
    <s v="001-GABINETE DA SECRETARIA DE TRANSPORTE E DA MOBILIDADE URBANA"/>
    <s v="15-URBANISMO"/>
    <s v="422-DIREITOS INDIVIDUAIS, COLETIVOS E DIFUSOS"/>
    <s v="0013-Mobilidade Urbana e Infraestrutura Viária​"/>
    <s v="2.021-Educação Cidadã"/>
    <s v="3.3.90.30.00-MATERIAL DE CONSUMO"/>
    <x v="12"/>
    <x v="0"/>
    <n v="5500"/>
    <x v="0"/>
  </r>
  <r>
    <s v="19"/>
    <s v="001"/>
    <s v="15"/>
    <s v="422"/>
    <s v="0013"/>
    <x v="42"/>
    <x v="1"/>
    <x v="342"/>
    <x v="17"/>
    <s v="001-GABINETE DA SECRETARIA DE TRANSPORTE E DA MOBILIDADE URBANA"/>
    <s v="15-URBANISMO"/>
    <s v="422-DIREITOS INDIVIDUAIS, COLETIVOS E DIFUSOS"/>
    <s v="0013-Mobilidade Urbana e Infraestrutura Viária​"/>
    <s v="2.021-Educação Cidadã"/>
    <s v="3.3.90.39.00-OUTROS SERVIÇOS DE TERCEIROS - PESSOA JURÍDICA"/>
    <x v="18"/>
    <x v="0"/>
    <n v="71512.100000000006"/>
    <x v="0"/>
  </r>
  <r>
    <s v="19"/>
    <s v="001"/>
    <s v="15"/>
    <s v="422"/>
    <s v="0013"/>
    <x v="42"/>
    <x v="1"/>
    <x v="342"/>
    <x v="17"/>
    <s v="001-GABINETE DA SECRETARIA DE TRANSPORTE E DA MOBILIDADE URBANA"/>
    <s v="15-URBANISMO"/>
    <s v="422-DIREITOS INDIVIDUAIS, COLETIVOS E DIFUSOS"/>
    <s v="0013-Mobilidade Urbana e Infraestrutura Viária​"/>
    <s v="2.021-Educação Cidadã"/>
    <s v="3.3.90.39.00-OUTROS SERVIÇOS DE TERCEIROS - PESSOA JURÍDICA"/>
    <x v="18"/>
    <x v="0"/>
    <n v="5500"/>
    <x v="0"/>
  </r>
  <r>
    <s v="19"/>
    <s v="001"/>
    <s v="15"/>
    <s v="422"/>
    <s v="0013"/>
    <x v="42"/>
    <x v="1"/>
    <x v="342"/>
    <x v="17"/>
    <s v="001-GABINETE DA SECRETARIA DE TRANSPORTE E DA MOBILIDADE URBANA"/>
    <s v="15-URBANISMO"/>
    <s v="422-DIREITOS INDIVIDUAIS, COLETIVOS E DIFUSOS"/>
    <s v="0013-Mobilidade Urbana e Infraestrutura Viária​"/>
    <s v="2.021-Educação Cidadã"/>
    <s v="3.3.90.39.00-OUTROS SERVIÇOS DE TERCEIROS - PESSOA JURÍDICA"/>
    <x v="18"/>
    <x v="0"/>
    <n v="484000"/>
    <x v="0"/>
  </r>
  <r>
    <s v="20"/>
    <s v="001"/>
    <s v="06"/>
    <s v="126"/>
    <s v="0006"/>
    <x v="1"/>
    <x v="1"/>
    <x v="344"/>
    <x v="18"/>
    <s v="001-GABINETE DA SECRETARIA DE SEGURANÇA E CONTROLE URBANO"/>
    <s v="6-SEGURANÇA PÚBLICA"/>
    <s v="126-TECNOLOGIA DA INFORMATIZAÇÃO"/>
    <s v="0006-Segurança Pública e Fiscalização Inteligente​"/>
    <s v="2.007-Ampliação e Manutenção de Sistemas de Inteligência, Fiscalização e Tecnologia"/>
    <s v="3.3.90.39.00-OUTROS SERVIÇOS DE TERCEIROS - PESSOA JURÍDICA"/>
    <x v="22"/>
    <x v="429"/>
    <n v="39024117.119999997"/>
    <x v="0"/>
  </r>
  <r>
    <s v="20"/>
    <s v="001"/>
    <s v="06"/>
    <s v="181"/>
    <s v="0006"/>
    <x v="0"/>
    <x v="1"/>
    <x v="345"/>
    <x v="18"/>
    <s v="001-GABINETE DA SECRETARIA DE SEGURANÇA E CONTROLE URBANO"/>
    <s v="6-SEGURANÇA PÚBLICA"/>
    <s v="181-POLICIAMENTO"/>
    <s v="0006-Segurança Pública e Fiscalização Inteligente​"/>
    <s v="2.011-Manutenção de Equipamentos Públicos "/>
    <s v="3.3.90.39.00-OUTROS SERVIÇOS DE TERCEIROS - PESSOA JURÍDICA"/>
    <x v="22"/>
    <x v="430"/>
    <n v="8296154.3200000003"/>
    <x v="0"/>
  </r>
  <r>
    <s v="20"/>
    <s v="001"/>
    <s v="06"/>
    <s v="181"/>
    <s v="0006"/>
    <x v="0"/>
    <x v="1"/>
    <x v="345"/>
    <x v="18"/>
    <s v="001-GABINETE DA SECRETARIA DE SEGURANÇA E CONTROLE URBANO"/>
    <s v="6-SEGURANÇA PÚBLICA"/>
    <s v="181-POLICIAMENTO"/>
    <s v="0006-Segurança Pública e Fiscalização Inteligente​"/>
    <s v="2.011-Manutenção de Equipamentos Públicos "/>
    <s v="3.3.90.39.00-OUTROS SERVIÇOS DE TERCEIROS - PESSOA JURÍDICA"/>
    <x v="22"/>
    <x v="431"/>
    <n v="495335.82"/>
    <x v="0"/>
  </r>
  <r>
    <s v="20"/>
    <s v="001"/>
    <s v="06"/>
    <s v="181"/>
    <s v="0006"/>
    <x v="0"/>
    <x v="1"/>
    <x v="345"/>
    <x v="18"/>
    <s v="001-GABINETE DA SECRETARIA DE SEGURANÇA E CONTROLE URBANO"/>
    <s v="6-SEGURANÇA PÚBLICA"/>
    <s v="181-POLICIAMENTO"/>
    <s v="0006-Segurança Pública e Fiscalização Inteligente​"/>
    <s v="2.011-Manutenção de Equipamentos Públicos "/>
    <s v="3.3.90.39.00-OUTROS SERVIÇOS DE TERCEIROS - PESSOA JURÍDICA"/>
    <x v="22"/>
    <x v="432"/>
    <n v="424154.51"/>
    <x v="0"/>
  </r>
  <r>
    <s v="23"/>
    <s v="001"/>
    <s v="04"/>
    <s v="122"/>
    <s v="0001"/>
    <x v="11"/>
    <x v="19"/>
    <x v="346"/>
    <x v="19"/>
    <s v="001-GABINETE DA SECRETARIA DE COMUNICAÇÃO"/>
    <s v="4-ADMINISTRAÇÃO"/>
    <s v="122-ADMINISTRAÇÃO GERAL"/>
    <s v="0001-Administração e Coordenação Geral​"/>
    <s v="2.001-Remuneração, Benefícios e Encargos"/>
    <m/>
    <x v="18"/>
    <x v="0"/>
    <n v="3277473"/>
    <x v="0"/>
  </r>
  <r>
    <s v="23"/>
    <s v="001"/>
    <s v="04"/>
    <s v="122"/>
    <s v="0001"/>
    <x v="11"/>
    <x v="19"/>
    <x v="346"/>
    <x v="19"/>
    <s v="001-GABINETE DA SECRETARIA DE COMUNICAÇÃO"/>
    <s v="4-ADMINISTRAÇÃO"/>
    <s v="122-ADMINISTRAÇÃO GERAL"/>
    <s v="0001-Administração e Coordenação Geral​"/>
    <s v="2.001-Remuneração, Benefícios e Encargos"/>
    <m/>
    <x v="18"/>
    <x v="0"/>
    <n v="609597"/>
    <x v="0"/>
  </r>
  <r>
    <s v="23"/>
    <s v="001"/>
    <s v="04"/>
    <s v="122"/>
    <s v="0001"/>
    <x v="11"/>
    <x v="19"/>
    <x v="346"/>
    <x v="19"/>
    <s v="001-GABINETE DA SECRETARIA DE COMUNICAÇÃO"/>
    <s v="4-ADMINISTRAÇÃO"/>
    <s v="122-ADMINISTRAÇÃO GERAL"/>
    <s v="0001-Administração e Coordenação Geral​"/>
    <s v="2.001-Remuneração, Benefícios e Encargos"/>
    <m/>
    <x v="18"/>
    <x v="0"/>
    <n v="123993"/>
    <x v="0"/>
  </r>
  <r>
    <s v="23"/>
    <s v="001"/>
    <s v="04"/>
    <s v="122"/>
    <s v="0001"/>
    <x v="11"/>
    <x v="19"/>
    <x v="346"/>
    <x v="19"/>
    <s v="001-GABINETE DA SECRETARIA DE COMUNICAÇÃO"/>
    <s v="4-ADMINISTRAÇÃO"/>
    <s v="122-ADMINISTRAÇÃO GERAL"/>
    <s v="0001-Administração e Coordenação Geral​"/>
    <s v="2.001-Remuneração, Benefícios e Encargos"/>
    <m/>
    <x v="18"/>
    <x v="0"/>
    <n v="2"/>
    <x v="0"/>
  </r>
  <r>
    <s v="23"/>
    <s v="001"/>
    <s v="04"/>
    <s v="122"/>
    <s v="0001"/>
    <x v="11"/>
    <x v="19"/>
    <x v="346"/>
    <x v="19"/>
    <s v="001-GABINETE DA SECRETARIA DE COMUNICAÇÃO"/>
    <s v="4-ADMINISTRAÇÃO"/>
    <s v="122-ADMINISTRAÇÃO GERAL"/>
    <s v="0001-Administração e Coordenação Geral​"/>
    <s v="2.001-Remuneração, Benefícios e Encargos"/>
    <m/>
    <x v="18"/>
    <x v="0"/>
    <n v="46942"/>
    <x v="0"/>
  </r>
  <r>
    <s v="23"/>
    <s v="001"/>
    <s v="04"/>
    <s v="122"/>
    <s v="0001"/>
    <x v="4"/>
    <x v="8"/>
    <x v="347"/>
    <x v="19"/>
    <s v="001-GABINETE DA SECRETARIA DE COMUNICAÇÃO"/>
    <s v="4-ADMINISTRAÇÃO"/>
    <s v="122-ADMINISTRAÇÃO GERAL"/>
    <s v="0001-Administração e Coordenação Geral​"/>
    <s v="2.005-Promoção de Eventos, Comunicação e Participação Social "/>
    <s v="4.4.90.52.00-EQUIPAMENTOS E MATERIAL PERMANENTE"/>
    <x v="96"/>
    <x v="0"/>
    <n v="200000"/>
    <x v="0"/>
  </r>
  <r>
    <s v="23"/>
    <s v="001"/>
    <s v="04"/>
    <s v="122"/>
    <s v="0001"/>
    <x v="4"/>
    <x v="1"/>
    <x v="348"/>
    <x v="19"/>
    <s v="001-GABINETE DA SECRETARIA DE COMUNICAÇÃO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29"/>
    <x v="0"/>
    <n v="6018000"/>
    <x v="0"/>
  </r>
  <r>
    <s v="23"/>
    <s v="001"/>
    <s v="04"/>
    <s v="122"/>
    <s v="0001"/>
    <x v="4"/>
    <x v="1"/>
    <x v="348"/>
    <x v="19"/>
    <s v="001-GABINETE DA SECRETARIA DE COMUNICAÇÃO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29"/>
    <x v="433"/>
    <n v="22000000"/>
    <x v="0"/>
  </r>
  <r>
    <s v="23"/>
    <s v="001"/>
    <s v="04"/>
    <s v="122"/>
    <s v="0001"/>
    <x v="3"/>
    <x v="1"/>
    <x v="349"/>
    <x v="19"/>
    <s v="001-GABINETE DA SECRETARIA DE COMUNICAÇÃO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0"/>
    <n v="1"/>
    <x v="0"/>
  </r>
  <r>
    <s v="23"/>
    <s v="001"/>
    <s v="04"/>
    <s v="122"/>
    <s v="0001"/>
    <x v="3"/>
    <x v="1"/>
    <x v="349"/>
    <x v="19"/>
    <s v="001-GABINETE DA SECRETARIA DE COMUNICAÇÃO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0"/>
    <n v="1"/>
    <x v="0"/>
  </r>
  <r>
    <s v="23"/>
    <s v="001"/>
    <s v="04"/>
    <s v="122"/>
    <s v="0001"/>
    <x v="0"/>
    <x v="1"/>
    <x v="350"/>
    <x v="19"/>
    <s v="001-GABINETE DA SECRETARIA DE COMUNIC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40"/>
    <x v="0"/>
    <n v="10000"/>
    <x v="0"/>
  </r>
  <r>
    <s v="23"/>
    <s v="001"/>
    <s v="04"/>
    <s v="122"/>
    <s v="0001"/>
    <x v="0"/>
    <x v="1"/>
    <x v="350"/>
    <x v="19"/>
    <s v="001-GABINETE DA SECRETARIA DE COMUNIC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40"/>
    <x v="0"/>
    <n v="10000"/>
    <x v="0"/>
  </r>
  <r>
    <s v="23"/>
    <s v="001"/>
    <s v="04"/>
    <s v="122"/>
    <s v="0001"/>
    <x v="0"/>
    <x v="1"/>
    <x v="350"/>
    <x v="19"/>
    <s v="001-GABINETE DA SECRETARIA DE COMUNIC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40"/>
    <x v="0"/>
    <n v="10000"/>
    <x v="0"/>
  </r>
  <r>
    <s v="23"/>
    <s v="001"/>
    <s v="04"/>
    <s v="122"/>
    <s v="0001"/>
    <x v="0"/>
    <x v="1"/>
    <x v="350"/>
    <x v="19"/>
    <s v="001-GABINETE DA SECRETARIA DE COMUNIC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0"/>
    <n v="22000"/>
    <x v="0"/>
  </r>
  <r>
    <s v="23"/>
    <s v="001"/>
    <s v="04"/>
    <s v="122"/>
    <s v="0001"/>
    <x v="0"/>
    <x v="1"/>
    <x v="350"/>
    <x v="19"/>
    <s v="001-GABINETE DA SECRETARIA DE COMUNIC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0"/>
    <n v="303000"/>
    <x v="0"/>
  </r>
  <r>
    <s v="23"/>
    <s v="001"/>
    <s v="04"/>
    <s v="128"/>
    <s v="0002"/>
    <x v="2"/>
    <x v="8"/>
    <x v="351"/>
    <x v="19"/>
    <s v="001-GABINETE DA SECRETARIA DE COMUNICAÇÃO"/>
    <s v="4-ADMINISTRAÇÃO"/>
    <s v="128-FORMAÇÃO DE RECURSOS HUMANOS"/>
    <s v="0002-Governo Inteligente, Aberto e Inovador​"/>
    <s v="2.003-Qualificação de Servidores e Processos Institucionais"/>
    <s v="4.4.90.52.00-EQUIPAMENTOS E MATERIAL PERMANENTE"/>
    <x v="96"/>
    <x v="0"/>
    <n v="15000"/>
    <x v="0"/>
  </r>
  <r>
    <s v="23"/>
    <s v="001"/>
    <s v="04"/>
    <s v="131"/>
    <s v="0002"/>
    <x v="4"/>
    <x v="8"/>
    <x v="352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4.4.90.52.00-EQUIPAMENTOS E MATERIAL PERMANENTE"/>
    <x v="96"/>
    <x v="0"/>
    <n v="8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0"/>
    <n v="15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m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0"/>
    <n v="8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40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360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100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0000000"/>
    <x v="0"/>
  </r>
  <r>
    <s v="23"/>
    <s v="001"/>
    <s v="04"/>
    <s v="131"/>
    <s v="0002"/>
    <x v="4"/>
    <x v="1"/>
    <x v="353"/>
    <x v="19"/>
    <s v="001-GABINETE DA SECRETARIA DE COMUNICAÇÃ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400000"/>
    <x v="0"/>
  </r>
  <r>
    <s v="24"/>
    <s v="001"/>
    <s v="04"/>
    <s v="122"/>
    <s v="0001"/>
    <x v="23"/>
    <x v="1"/>
    <x v="354"/>
    <x v="20"/>
    <s v="001-GABINETE DA SECRETARIA DE PLANEJAMENTO E GESTÃO"/>
    <s v="4-ADMINISTRAÇÃO"/>
    <s v="122-ADMINISTRAÇÃO GERAL"/>
    <s v="0001-Administração e Coordenação Geral​"/>
    <s v="1.001-Estudos, Pesquisas, Planos e Projetos "/>
    <s v="3.3.90.39.00-OUTROS SERVIÇOS DE TERCEIROS - PESSOA JURÍDICA"/>
    <x v="18"/>
    <x v="434"/>
    <n v="6301385"/>
    <x v="0"/>
  </r>
  <r>
    <s v="24"/>
    <s v="001"/>
    <s v="04"/>
    <s v="121"/>
    <s v="0001"/>
    <x v="0"/>
    <x v="1"/>
    <x v="355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435"/>
    <n v="1500000"/>
    <x v="0"/>
  </r>
  <r>
    <s v="24"/>
    <s v="001"/>
    <s v="04"/>
    <s v="121"/>
    <s v="0001"/>
    <x v="0"/>
    <x v="0"/>
    <x v="356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0.00-MATERIAL DE CONSUMO"/>
    <x v="12"/>
    <x v="436"/>
    <n v="40000"/>
    <x v="0"/>
  </r>
  <r>
    <s v="24"/>
    <s v="001"/>
    <s v="04"/>
    <s v="121"/>
    <s v="0001"/>
    <x v="0"/>
    <x v="1"/>
    <x v="355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437"/>
    <n v="40000"/>
    <x v="0"/>
  </r>
  <r>
    <s v="24"/>
    <s v="001"/>
    <s v="04"/>
    <s v="121"/>
    <s v="0001"/>
    <x v="0"/>
    <x v="0"/>
    <x v="356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0.00-MATERIAL DE CONSUMO"/>
    <x v="2"/>
    <x v="438"/>
    <n v="38685"/>
    <x v="0"/>
  </r>
  <r>
    <s v="24"/>
    <s v="001"/>
    <s v="04"/>
    <s v="121"/>
    <s v="0001"/>
    <x v="0"/>
    <x v="0"/>
    <x v="356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0.00-MATERIAL DE CONSUMO"/>
    <x v="3"/>
    <x v="439"/>
    <n v="35000"/>
    <x v="0"/>
  </r>
  <r>
    <s v="24"/>
    <s v="001"/>
    <s v="04"/>
    <s v="121"/>
    <s v="0001"/>
    <x v="0"/>
    <x v="1"/>
    <x v="355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440"/>
    <n v="30000"/>
    <x v="0"/>
  </r>
  <r>
    <s v="24"/>
    <s v="001"/>
    <s v="04"/>
    <s v="121"/>
    <s v="0001"/>
    <x v="0"/>
    <x v="1"/>
    <x v="355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441"/>
    <n v="10000"/>
    <x v="0"/>
  </r>
  <r>
    <s v="24"/>
    <s v="001"/>
    <s v="04"/>
    <s v="121"/>
    <s v="0001"/>
    <x v="0"/>
    <x v="1"/>
    <x v="355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22"/>
    <x v="442"/>
    <n v="88656"/>
    <x v="0"/>
  </r>
  <r>
    <s v="24"/>
    <s v="001"/>
    <s v="04"/>
    <s v="121"/>
    <s v="0001"/>
    <x v="0"/>
    <x v="8"/>
    <x v="357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4.4.90.52.00-EQUIPAMENTOS E MATERIAL PERMANENTE"/>
    <x v="7"/>
    <x v="443"/>
    <n v="60000"/>
    <x v="0"/>
  </r>
  <r>
    <s v="24"/>
    <s v="001"/>
    <s v="04"/>
    <s v="121"/>
    <s v="0001"/>
    <x v="1"/>
    <x v="5"/>
    <x v="358"/>
    <x v="20"/>
    <s v="001-GABINETE DA SECRETARIA DE PLANEJAMENTO E GESTÃO"/>
    <s v="4-ADMINISTRAÇÃO"/>
    <s v="121-PLANEJAMENTO E ORÇAMENTO"/>
    <s v="0001-Administração e Coordenação Geral​"/>
    <s v="2.007-Ampliação e Manutenção de Sistemas de Inteligência, Fiscalização e Tecnologia"/>
    <s v="3.3.90.40.00-SERVIÇOS DE TECNOLOGIA DA INFORMAÇÃO E COMUNICAÇÃO - PESSOA JURÍDICA"/>
    <x v="18"/>
    <x v="444"/>
    <n v="20782"/>
    <x v="0"/>
  </r>
  <r>
    <s v="24"/>
    <s v="001"/>
    <s v="04"/>
    <s v="121"/>
    <s v="0001"/>
    <x v="4"/>
    <x v="14"/>
    <x v="359"/>
    <x v="20"/>
    <s v="001-GABINETE DA SECRETARIA DE PLANEJAMENTO E GESTÃO"/>
    <s v="4-ADMINISTRAÇÃO"/>
    <s v="121-PLANEJAMENTO E ORÇAMENTO"/>
    <s v="0001-Administração e Coordenação Geral​"/>
    <s v="2.005-Promoção de Eventos, Comunicação e Participação Social "/>
    <s v="3.3.90.31.00-PREMIAÇÕES CULTURAIS, ARTÍSTICAS, CIENTÍFICAS, DESPORTIVAS E OUTRAS"/>
    <x v="18"/>
    <x v="445"/>
    <n v="207820"/>
    <x v="0"/>
  </r>
  <r>
    <s v="24"/>
    <s v="001"/>
    <s v="04"/>
    <s v="121"/>
    <s v="0001"/>
    <x v="4"/>
    <x v="0"/>
    <x v="360"/>
    <x v="20"/>
    <s v="001-GABINETE DA SECRETARIA DE PLANEJAMENTO E GESTÃO"/>
    <s v="4-ADMINISTRAÇÃO"/>
    <s v="121-PLANEJAMENTO E ORÇAMENTO"/>
    <s v="0001-Administração e Coordenação Geral​"/>
    <s v="2.005-Promoção de Eventos, Comunicação e Participação Social "/>
    <s v="3.3.90.30.00-MATERIAL DE CONSUMO"/>
    <x v="12"/>
    <x v="446"/>
    <n v="250000"/>
    <x v="0"/>
  </r>
  <r>
    <s v="24"/>
    <s v="001"/>
    <s v="04"/>
    <s v="121"/>
    <s v="0001"/>
    <x v="4"/>
    <x v="1"/>
    <x v="361"/>
    <x v="20"/>
    <s v="001-GABINETE DA SECRETARIA DE PLANEJAMENTO E GESTÃO"/>
    <s v="4-ADMINISTRAÇÃO"/>
    <s v="121-PLANEJAMENTO E ORÇAMENTO"/>
    <s v="0001-Administração e Coordenação Geral​"/>
    <s v="2.005-Promoção de Eventos, Comunicação e Participação Social "/>
    <s v="3.3.90.39.00-OUTROS SERVIÇOS DE TERCEIROS - PESSOA JURÍDICA"/>
    <x v="13"/>
    <x v="447"/>
    <n v="250000"/>
    <x v="0"/>
  </r>
  <r>
    <s v="24"/>
    <s v="001"/>
    <s v="04"/>
    <s v="121"/>
    <s v="0001"/>
    <x v="4"/>
    <x v="1"/>
    <x v="361"/>
    <x v="20"/>
    <s v="001-GABINETE DA SECRETARIA DE PLANEJAMENTO E GESTÃO"/>
    <s v="4-ADMINISTRAÇÃO"/>
    <s v="121-PLANEJAMENTO E ORÇAMENTO"/>
    <s v="0001-Administração e Coordenação Geral​"/>
    <s v="2.005-Promoção de Eventos, Comunicação e Participação Social "/>
    <s v="3.3.90.39.00-OUTROS SERVIÇOS DE TERCEIROS - PESSOA JURÍDICA"/>
    <x v="18"/>
    <x v="448"/>
    <n v="500000"/>
    <x v="0"/>
  </r>
  <r>
    <s v="24"/>
    <s v="001"/>
    <s v="04"/>
    <s v="121"/>
    <s v="0001"/>
    <x v="4"/>
    <x v="1"/>
    <x v="361"/>
    <x v="20"/>
    <s v="001-GABINETE DA SECRETARIA DE PLANEJAMENTO E GESTÃO"/>
    <s v="4-ADMINISTRAÇÃO"/>
    <s v="121-PLANEJAMENTO E ORÇAMENTO"/>
    <s v="0001-Administração e Coordenação Geral​"/>
    <s v="2.005-Promoção de Eventos, Comunicação e Participação Social "/>
    <s v="3.3.90.39.00-OUTROS SERVIÇOS DE TERCEIROS - PESSOA JURÍDICA"/>
    <x v="27"/>
    <x v="449"/>
    <n v="454302"/>
    <x v="0"/>
  </r>
  <r>
    <s v="24"/>
    <s v="001"/>
    <s v="04"/>
    <s v="121"/>
    <s v="0001"/>
    <x v="0"/>
    <x v="12"/>
    <x v="362"/>
    <x v="20"/>
    <s v="001-GABINETE DA SECRETARIA DE PLANEJAMENTO E GESTÃO"/>
    <s v="4-ADMINISTRAÇÃO"/>
    <s v="121-PLANEJAMENTO E ORÇAMENTO"/>
    <s v="0001-Administração e Coordenação Geral​"/>
    <s v="2.011-Manutenção de Equipamentos Públicos "/>
    <s v="4.4.90.51.00-OBRAS E INSTALAÇÕES"/>
    <x v="18"/>
    <x v="450"/>
    <n v="2000000"/>
    <x v="0"/>
  </r>
  <r>
    <s v="24"/>
    <s v="001"/>
    <s v="04"/>
    <s v="121"/>
    <s v="0001"/>
    <x v="5"/>
    <x v="8"/>
    <x v="363"/>
    <x v="20"/>
    <s v="001-GABINETE DA SECRETARIA DE PLANEJAMENTO E GESTÃO"/>
    <s v="4-ADMINISTRAÇÃO"/>
    <s v="121-PLANEJAMENTO E ORÇAMENTO"/>
    <s v="0001-Administração e Coordenação Geral​"/>
    <s v="1.002-Reforma e Ampliação de Unidades"/>
    <s v="4.4.90.52.00-EQUIPAMENTOS E MATERIAL PERMANENTE"/>
    <x v="18"/>
    <x v="450"/>
    <n v="3000000"/>
    <x v="0"/>
  </r>
  <r>
    <s v="27"/>
    <s v="001"/>
    <s v="04"/>
    <s v="122"/>
    <s v="0001"/>
    <x v="0"/>
    <x v="0"/>
    <x v="364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0.00-MATERIAL DE CONSUMO"/>
    <x v="1"/>
    <x v="451"/>
    <n v="13717"/>
    <x v="0"/>
  </r>
  <r>
    <s v="27"/>
    <s v="001"/>
    <s v="04"/>
    <s v="122"/>
    <s v="0001"/>
    <x v="0"/>
    <x v="0"/>
    <x v="364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0.00-MATERIAL DE CONSUMO"/>
    <x v="3"/>
    <x v="451"/>
    <n v="4157"/>
    <x v="0"/>
  </r>
  <r>
    <s v="27"/>
    <s v="001"/>
    <s v="04"/>
    <s v="122"/>
    <s v="0001"/>
    <x v="0"/>
    <x v="0"/>
    <x v="364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0.00-MATERIAL DE CONSUMO"/>
    <x v="2"/>
    <x v="451"/>
    <n v="10391"/>
    <x v="0"/>
  </r>
  <r>
    <s v="27"/>
    <s v="001"/>
    <s v="04"/>
    <s v="122"/>
    <s v="0001"/>
    <x v="0"/>
    <x v="0"/>
    <x v="364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0.00-MATERIAL DE CONSUMO"/>
    <x v="6"/>
    <x v="451"/>
    <n v="9000"/>
    <x v="0"/>
  </r>
  <r>
    <s v="27"/>
    <s v="001"/>
    <s v="04"/>
    <s v="122"/>
    <s v="0001"/>
    <x v="0"/>
    <x v="0"/>
    <x v="364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0.00-MATERIAL DE CONSUMO"/>
    <x v="21"/>
    <x v="451"/>
    <n v="9456"/>
    <x v="0"/>
  </r>
  <r>
    <s v="27"/>
    <s v="001"/>
    <s v="04"/>
    <s v="122"/>
    <s v="0001"/>
    <x v="0"/>
    <x v="1"/>
    <x v="365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4"/>
    <x v="452"/>
    <n v="15000"/>
    <x v="0"/>
  </r>
  <r>
    <s v="27"/>
    <s v="001"/>
    <s v="04"/>
    <s v="122"/>
    <s v="0001"/>
    <x v="0"/>
    <x v="1"/>
    <x v="365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3"/>
    <x v="453"/>
    <n v="10600"/>
    <x v="0"/>
  </r>
  <r>
    <s v="27"/>
    <s v="001"/>
    <s v="04"/>
    <s v="122"/>
    <s v="0001"/>
    <x v="0"/>
    <x v="1"/>
    <x v="365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451"/>
    <n v="4053"/>
    <x v="0"/>
  </r>
  <r>
    <s v="27"/>
    <s v="001"/>
    <s v="04"/>
    <s v="122"/>
    <s v="0001"/>
    <x v="0"/>
    <x v="1"/>
    <x v="365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3.3.90.39.00-OUTROS SERVIÇOS DE TERCEIROS - PESSOA JURÍDICA"/>
    <x v="22"/>
    <x v="451"/>
    <n v="2000"/>
    <x v="0"/>
  </r>
  <r>
    <s v="27"/>
    <s v="001"/>
    <s v="04"/>
    <s v="122"/>
    <s v="0001"/>
    <x v="0"/>
    <x v="8"/>
    <x v="366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4.4.90.52.00-EQUIPAMENTOS E MATERIAL PERMANENTE"/>
    <x v="19"/>
    <x v="451"/>
    <n v="3118"/>
    <x v="0"/>
  </r>
  <r>
    <s v="27"/>
    <s v="001"/>
    <s v="04"/>
    <s v="122"/>
    <s v="0001"/>
    <x v="0"/>
    <x v="8"/>
    <x v="366"/>
    <x v="21"/>
    <s v="001-GABINETE DA CONTROLADORIA GERAL DO MUNICÍPIO"/>
    <s v="4-ADMINISTRAÇÃO"/>
    <s v="122-ADMINISTRAÇÃO GERAL"/>
    <s v="0001-Administração e Coordenação Geral​"/>
    <s v="2.011-Manutenção de Equipamentos Públicos "/>
    <s v="4.4.90.52.00-EQUIPAMENTOS E MATERIAL PERMANENTE"/>
    <x v="42"/>
    <x v="451"/>
    <n v="29897"/>
    <x v="0"/>
  </r>
  <r>
    <s v="27"/>
    <s v="001"/>
    <s v="04"/>
    <s v="126"/>
    <s v="0001"/>
    <x v="1"/>
    <x v="1"/>
    <x v="367"/>
    <x v="21"/>
    <s v="001-GABINETE DA CONTROLADORIA GERAL DO MUNICÍPIO"/>
    <s v="4-ADMINISTRAÇÃO"/>
    <s v="126-TECNOLOGIA DA INFORMATIZAÇÃO"/>
    <s v="0001-Administração e Coordenação Geral​"/>
    <s v="2.007-Ampliação e Manutenção de Sistemas de Inteligência, Fiscalização e Tecnologia"/>
    <s v="3.3.90.39.00-OUTROS SERVIÇOS DE TERCEIROS - PESSOA JURÍDICA"/>
    <x v="22"/>
    <x v="451"/>
    <n v="3361"/>
    <x v="0"/>
  </r>
  <r>
    <s v="27"/>
    <s v="001"/>
    <s v="04"/>
    <s v="126"/>
    <s v="0001"/>
    <x v="1"/>
    <x v="5"/>
    <x v="368"/>
    <x v="21"/>
    <s v="001-GABINETE DA CONTROLADORIA GERAL DO MUNICÍPIO"/>
    <s v="4-ADMINISTRAÇÃO"/>
    <s v="126-TECNOLOGIA DA INFORMATIZAÇÃO"/>
    <s v="0001-Administração e Coordenação Geral​"/>
    <s v="2.007-Ampliação e Manutenção de Sistemas de Inteligência, Fiscalização e Tecnologia"/>
    <s v="3.3.90.40.00-SERVIÇOS DE TECNOLOGIA DA INFORMAÇÃO E COMUNICAÇÃO - PESSOA JURÍDICA"/>
    <x v="97"/>
    <x v="454"/>
    <n v="164000"/>
    <x v="0"/>
  </r>
  <r>
    <s v="27"/>
    <s v="001"/>
    <s v="04"/>
    <s v="126"/>
    <s v="0001"/>
    <x v="1"/>
    <x v="5"/>
    <x v="368"/>
    <x v="21"/>
    <s v="001-GABINETE DA CONTROLADORIA GERAL DO MUNICÍPIO"/>
    <s v="4-ADMINISTRAÇÃO"/>
    <s v="126-TECNOLOGIA DA INFORMATIZAÇÃO"/>
    <s v="0001-Administração e Coordenação Geral​"/>
    <s v="2.007-Ampliação e Manutenção de Sistemas de Inteligência, Fiscalização e Tecnologia"/>
    <s v="3.3.90.40.00-SERVIÇOS DE TECNOLOGIA DA INFORMAÇÃO E COMUNICAÇÃO - PESSOA JURÍDICA"/>
    <x v="14"/>
    <x v="455"/>
    <n v="3371440"/>
    <x v="0"/>
  </r>
  <r>
    <s v="27"/>
    <s v="001"/>
    <s v="04"/>
    <s v="128"/>
    <s v="0002"/>
    <x v="2"/>
    <x v="1"/>
    <x v="369"/>
    <x v="21"/>
    <s v="001-GABINETE DA CONTROLADORIA GERAL DO MUNICÍPIO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83"/>
    <x v="451"/>
    <n v="10000"/>
    <x v="0"/>
  </r>
  <r>
    <s v="27"/>
    <s v="001"/>
    <s v="04"/>
    <s v="131"/>
    <s v="0002"/>
    <x v="4"/>
    <x v="0"/>
    <x v="370"/>
    <x v="21"/>
    <s v="001-GABINETE DA CONTROLADORIA GERAL DO MUNICÍPIO"/>
    <s v="4-ADMINISTRAÇÃO"/>
    <s v="131-COMUNICAÇÃO SOCIAL"/>
    <s v="0002-Governo Inteligente, Aberto e Inovador​"/>
    <s v="2.005-Promoção de Eventos, Comunicação e Participação Social "/>
    <s v="3.3.90.30.00-MATERIAL DE CONSUMO"/>
    <x v="6"/>
    <x v="451"/>
    <n v="500"/>
    <x v="0"/>
  </r>
  <r>
    <s v="27"/>
    <s v="001"/>
    <s v="04"/>
    <s v="131"/>
    <s v="0002"/>
    <x v="4"/>
    <x v="1"/>
    <x v="371"/>
    <x v="21"/>
    <s v="001-GABINETE DA CONTROLADORIA GERAL DO MUNICÍPI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451"/>
    <n v="28922"/>
    <x v="0"/>
  </r>
  <r>
    <s v="27"/>
    <s v="001"/>
    <s v="04"/>
    <s v="131"/>
    <s v="0002"/>
    <x v="4"/>
    <x v="1"/>
    <x v="371"/>
    <x v="21"/>
    <s v="001-GABINETE DA CONTROLADORIA GERAL DO MUNICÍPI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6"/>
    <x v="451"/>
    <n v="2079"/>
    <x v="0"/>
  </r>
  <r>
    <s v="27"/>
    <s v="001"/>
    <s v="04"/>
    <s v="131"/>
    <s v="0002"/>
    <x v="4"/>
    <x v="1"/>
    <x v="371"/>
    <x v="21"/>
    <s v="001-GABINETE DA CONTROLADORIA GERAL DO MUNICÍPI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451"/>
    <n v="2250"/>
    <x v="0"/>
  </r>
  <r>
    <s v="27"/>
    <s v="001"/>
    <s v="04"/>
    <s v="131"/>
    <s v="0002"/>
    <x v="4"/>
    <x v="8"/>
    <x v="372"/>
    <x v="21"/>
    <s v="001-GABINETE DA CONTROLADORIA GERAL DO MUNICÍPIO"/>
    <s v="4-ADMINISTRAÇÃO"/>
    <s v="131-COMUNICAÇÃO SOCIAL"/>
    <s v="0002-Governo Inteligente, Aberto e Inovador​"/>
    <s v="2.005-Promoção de Eventos, Comunicação e Participação Social "/>
    <s v="4.4.90.52.00-EQUIPAMENTOS E MATERIAL PERMANENTE"/>
    <x v="42"/>
    <x v="451"/>
    <n v="500"/>
    <x v="0"/>
  </r>
  <r>
    <s v="28"/>
    <s v="001"/>
    <s v="04"/>
    <s v="122"/>
    <s v="0004"/>
    <x v="23"/>
    <x v="1"/>
    <x v="373"/>
    <x v="22"/>
    <s v="001-GABINETE DA SECRETARIA DE GOVERNO"/>
    <s v="4-ADMINISTRAÇÃO"/>
    <s v="122-ADMINISTRAÇÃO GERAL"/>
    <s v="0004-Planejamento e Gestão de Políticas Públicas "/>
    <s v="1.001-Estudos, Pesquisas, Planos e Projetos "/>
    <s v="3.3.90.39.00-OUTROS SERVIÇOS DE TERCEIROS - PESSOA JURÍDICA"/>
    <x v="15"/>
    <x v="42"/>
    <n v="1"/>
    <x v="0"/>
  </r>
  <r>
    <s v="28"/>
    <s v="001"/>
    <s v="04"/>
    <s v="122"/>
    <s v="0001"/>
    <x v="5"/>
    <x v="0"/>
    <x v="374"/>
    <x v="22"/>
    <s v="001-GABINETE DA SECRETARIA DE GOVERNO"/>
    <s v="4-ADMINISTRAÇÃO"/>
    <s v="122-ADMINISTRAÇÃO GERAL"/>
    <s v="0001-Administração e Coordenação Geral​"/>
    <s v="1.002-Reforma e Ampliação de Unidades"/>
    <s v="3.3.90.30.00-MATERIAL DE CONSUMO"/>
    <x v="6"/>
    <x v="42"/>
    <n v="1"/>
    <x v="0"/>
  </r>
  <r>
    <s v="28"/>
    <s v="001"/>
    <s v="04"/>
    <s v="122"/>
    <s v="0001"/>
    <x v="5"/>
    <x v="1"/>
    <x v="375"/>
    <x v="22"/>
    <s v="001-GABINETE DA SECRETARIA DE GOVERNO"/>
    <s v="4-ADMINISTRAÇÃO"/>
    <s v="122-ADMINISTRAÇÃO GERAL"/>
    <s v="0001-Administração e Coordenação Geral​"/>
    <s v="1.002-Reforma e Ampliação de Unidades"/>
    <s v="3.3.90.39.00-OUTROS SERVIÇOS DE TERCEIROS - PESSOA JURÍDICA"/>
    <x v="22"/>
    <x v="42"/>
    <n v="1"/>
    <x v="0"/>
  </r>
  <r>
    <s v="28"/>
    <s v="001"/>
    <s v="04"/>
    <s v="122"/>
    <s v="0001"/>
    <x v="3"/>
    <x v="7"/>
    <x v="376"/>
    <x v="22"/>
    <s v="001-GABINETE DA SECRETARIA DE GOVERNO"/>
    <s v="4-ADMINISTRAÇÃO"/>
    <s v="122-ADMINISTRAÇÃO GERAL"/>
    <s v="0001-Administração e Coordenação Geral​"/>
    <s v="2.006-Representações Oficiais "/>
    <s v="3.3.90.33.00-PASSAGENS E DESPESAS COM LOCOMOÇÃO"/>
    <x v="74"/>
    <x v="42"/>
    <n v="420000"/>
    <x v="0"/>
  </r>
  <r>
    <s v="28"/>
    <s v="001"/>
    <s v="04"/>
    <s v="122"/>
    <s v="0001"/>
    <x v="3"/>
    <x v="1"/>
    <x v="377"/>
    <x v="22"/>
    <s v="001-GABINETE DA SECRETARIA DE GOVERNO"/>
    <s v="4-ADMINISTRAÇÃO"/>
    <s v="122-ADMINISTRAÇÃO GERAL"/>
    <s v="0001-Administração e Coordenação Geral​"/>
    <s v="2.006-Representações Oficiais "/>
    <s v="3.3.90.39.00-OUTROS SERVIÇOS DE TERCEIROS - PESSOA JURÍDICA"/>
    <x v="79"/>
    <x v="0"/>
    <n v="120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0"/>
    <x v="0"/>
    <n v="1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12"/>
    <x v="0"/>
    <n v="60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1"/>
    <x v="42"/>
    <n v="30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3"/>
    <x v="0"/>
    <n v="40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2"/>
    <x v="42"/>
    <n v="50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20"/>
    <x v="42"/>
    <n v="24176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6"/>
    <x v="42"/>
    <n v="60000"/>
    <x v="0"/>
  </r>
  <r>
    <s v="28"/>
    <s v="001"/>
    <s v="04"/>
    <s v="122"/>
    <s v="0001"/>
    <x v="0"/>
    <x v="1"/>
    <x v="379"/>
    <x v="22"/>
    <s v="001-GABINETE DA SECRETARIA DE GOVERNO"/>
    <s v="4-ADMINISTRAÇÃO"/>
    <s v="122-ADMINISTRAÇÃO GERAL"/>
    <s v="0001-Administração e Coordenação Geral​"/>
    <s v="2.011-Manutenção de Equipamentos Públicos "/>
    <s v="3.3.90.39.00-OUTROS SERVIÇOS DE TERCEIROS - PESSOA JURÍDICA"/>
    <x v="10"/>
    <x v="42"/>
    <n v="44000"/>
    <x v="0"/>
  </r>
  <r>
    <s v="28"/>
    <s v="001"/>
    <s v="04"/>
    <s v="122"/>
    <s v="0001"/>
    <x v="0"/>
    <x v="1"/>
    <x v="379"/>
    <x v="22"/>
    <s v="001-GABINETE DA SECRETARIA DE GOVERNO"/>
    <s v="4-ADMINISTRAÇÃO"/>
    <s v="122-ADMINISTRAÇÃO GERAL"/>
    <s v="0001-Administração e Coordenação Geral​"/>
    <s v="2.011-Manutenção de Equipamentos Públicos "/>
    <s v="3.3.90.39.00-OUTROS SERVIÇOS DE TERCEIROS - PESSOA JURÍDICA"/>
    <x v="23"/>
    <x v="42"/>
    <n v="20000"/>
    <x v="0"/>
  </r>
  <r>
    <s v="28"/>
    <s v="001"/>
    <s v="04"/>
    <s v="122"/>
    <s v="0001"/>
    <x v="0"/>
    <x v="1"/>
    <x v="379"/>
    <x v="22"/>
    <s v="001-GABINETE DA SECRETARIA DE GOVERNO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42"/>
    <n v="15000"/>
    <x v="0"/>
  </r>
  <r>
    <s v="28"/>
    <s v="001"/>
    <s v="04"/>
    <s v="122"/>
    <s v="0001"/>
    <x v="0"/>
    <x v="0"/>
    <x v="378"/>
    <x v="22"/>
    <s v="001-GABINETE DA SECRETARIA DE GOVERNO"/>
    <s v="4-ADMINISTRAÇÃO"/>
    <s v="122-ADMINISTRAÇÃO GERAL"/>
    <s v="0001-Administração e Coordenação Geral​"/>
    <s v="2.011-Manutenção de Equipamentos Públicos "/>
    <s v="3.3.90.30.00-MATERIAL DE CONSUMO"/>
    <x v="21"/>
    <x v="42"/>
    <n v="40000"/>
    <x v="0"/>
  </r>
  <r>
    <s v="28"/>
    <s v="001"/>
    <s v="04"/>
    <s v="122"/>
    <s v="0001"/>
    <x v="0"/>
    <x v="1"/>
    <x v="379"/>
    <x v="22"/>
    <s v="001-GABINETE DA SECRETARIA DE GOVERNO"/>
    <s v="4-ADMINISTRAÇÃO"/>
    <s v="122-ADMINISTRAÇÃO GERAL"/>
    <s v="0001-Administração e Coordenação Geral​"/>
    <s v="2.011-Manutenção de Equipamentos Públicos "/>
    <s v="3.3.90.39.00-OUTROS SERVIÇOS DE TERCEIROS - PESSOA JURÍDICA"/>
    <x v="15"/>
    <x v="42"/>
    <n v="1"/>
    <x v="0"/>
  </r>
  <r>
    <s v="28"/>
    <s v="001"/>
    <s v="04"/>
    <s v="126"/>
    <s v="0002"/>
    <x v="1"/>
    <x v="1"/>
    <x v="380"/>
    <x v="22"/>
    <s v="001-GABINETE DA SECRETARIA DE GOVERNO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22"/>
    <x v="42"/>
    <n v="1"/>
    <x v="0"/>
  </r>
  <r>
    <s v="28"/>
    <s v="001"/>
    <s v="04"/>
    <s v="126"/>
    <s v="0002"/>
    <x v="1"/>
    <x v="5"/>
    <x v="381"/>
    <x v="22"/>
    <s v="001-GABINETE DA SECRETARIA DE GOVERN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42"/>
    <n v="1679599"/>
    <x v="0"/>
  </r>
  <r>
    <s v="28"/>
    <s v="001"/>
    <s v="04"/>
    <s v="128"/>
    <s v="0002"/>
    <x v="2"/>
    <x v="10"/>
    <x v="382"/>
    <x v="22"/>
    <s v="001-GABINETE DA SECRETARIA DE GOVERNO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0"/>
  </r>
  <r>
    <s v="28"/>
    <s v="001"/>
    <s v="04"/>
    <s v="128"/>
    <s v="0002"/>
    <x v="2"/>
    <x v="1"/>
    <x v="383"/>
    <x v="22"/>
    <s v="001-GABINETE DA SECRETARIA DE GOVERNO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5"/>
    <x v="42"/>
    <m/>
    <x v="0"/>
  </r>
  <r>
    <s v="28"/>
    <s v="001"/>
    <s v="04"/>
    <s v="131"/>
    <s v="0002"/>
    <x v="4"/>
    <x v="0"/>
    <x v="384"/>
    <x v="22"/>
    <s v="001-GABINETE DA SECRETARIA DE GOVERNO"/>
    <s v="4-ADMINISTRAÇÃO"/>
    <s v="131-COMUNICAÇÃO SOCIAL"/>
    <s v="0002-Governo Inteligente, Aberto e Inovador​"/>
    <s v="2.005-Promoção de Eventos, Comunicação e Participação Social "/>
    <s v="3.3.90.30.00-MATERIAL DE CONSUMO"/>
    <x v="3"/>
    <x v="0"/>
    <n v="40000"/>
    <x v="0"/>
  </r>
  <r>
    <s v="28"/>
    <s v="001"/>
    <s v="04"/>
    <s v="131"/>
    <s v="0002"/>
    <x v="4"/>
    <x v="1"/>
    <x v="385"/>
    <x v="22"/>
    <s v="001-GABINETE DA SECRETARIA DE GOVERN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2"/>
    <x v="0"/>
    <n v="45000"/>
    <x v="0"/>
  </r>
  <r>
    <s v="28"/>
    <s v="001"/>
    <s v="04"/>
    <s v="131"/>
    <s v="0002"/>
    <x v="4"/>
    <x v="0"/>
    <x v="384"/>
    <x v="22"/>
    <s v="001-GABINETE DA SECRETARIA DE GOVERNO"/>
    <s v="4-ADMINISTRAÇÃO"/>
    <s v="131-COMUNICAÇÃO SOCIAL"/>
    <s v="0002-Governo Inteligente, Aberto e Inovador​"/>
    <s v="2.005-Promoção de Eventos, Comunicação e Participação Social "/>
    <s v="3.3.90.30.00-MATERIAL DE CONSUMO"/>
    <x v="72"/>
    <x v="42"/>
    <n v="1"/>
    <x v="0"/>
  </r>
  <r>
    <s v="28"/>
    <s v="001"/>
    <s v="04"/>
    <s v="131"/>
    <s v="0002"/>
    <x v="4"/>
    <x v="1"/>
    <x v="385"/>
    <x v="22"/>
    <s v="001-GABINETE DA SECRETARIA DE GOVERNO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42"/>
    <n v="1"/>
    <x v="0"/>
  </r>
  <r>
    <s v="28"/>
    <s v="001"/>
    <s v="04"/>
    <s v="122"/>
    <s v="0001"/>
    <x v="0"/>
    <x v="8"/>
    <x v="386"/>
    <x v="22"/>
    <s v="001-GABINETE DA SECRETARIA DE GOVERNO"/>
    <s v="4-ADMINISTRAÇÃO"/>
    <s v="122-ADMINISTRAÇÃO GERAL"/>
    <s v="0001-Administração e Coordenação Geral​"/>
    <s v="2.011-Manutenção de Equipamentos Públicos "/>
    <s v="4.4.90.52.00-EQUIPAMENTOS E MATERIAL PERMANENTE"/>
    <x v="42"/>
    <x v="0"/>
    <n v="50000"/>
    <x v="0"/>
  </r>
  <r>
    <s v="28"/>
    <s v="001"/>
    <s v="04"/>
    <s v="122"/>
    <s v="0001"/>
    <x v="0"/>
    <x v="8"/>
    <x v="386"/>
    <x v="22"/>
    <s v="001-GABINETE DA SECRETARIA DE GOVERNO"/>
    <s v="4-ADMINISTRAÇÃO"/>
    <s v="122-ADMINISTRAÇÃO GERAL"/>
    <s v="0001-Administração e Coordenação Geral​"/>
    <s v="2.011-Manutenção de Equipamentos Públicos "/>
    <s v="4.4.90.52.00-EQUIPAMENTOS E MATERIAL PERMANENTE"/>
    <x v="19"/>
    <x v="42"/>
    <n v="60000"/>
    <x v="0"/>
  </r>
  <r>
    <s v="28"/>
    <s v="001"/>
    <s v="04"/>
    <s v="122"/>
    <s v="0001"/>
    <x v="0"/>
    <x v="8"/>
    <x v="386"/>
    <x v="22"/>
    <s v="001-GABINETE DA SECRETARIA DE GOVERNO"/>
    <s v="4-ADMINISTRAÇÃO"/>
    <s v="122-ADMINISTRAÇÃO GERAL"/>
    <s v="0001-Administração e Coordenação Geral​"/>
    <s v="2.011-Manutenção de Equipamentos Públicos "/>
    <s v="4.4.90.52.00-EQUIPAMENTOS E MATERIAL PERMANENTE"/>
    <x v="7"/>
    <x v="42"/>
    <n v="20000"/>
    <x v="0"/>
  </r>
  <r>
    <s v="28"/>
    <s v="007"/>
    <s v="04"/>
    <s v="131"/>
    <s v="0001"/>
    <x v="4"/>
    <x v="1"/>
    <x v="387"/>
    <x v="22"/>
    <s v="007-FUNDO MUNICIPAL DE POLÍTICAS SOBRE DROGAS"/>
    <s v="4-ADMINISTRAÇÃO"/>
    <s v="131-COMUNICAÇÃO SOCIAL"/>
    <s v="0001-Administração e Coordenação Geral​"/>
    <s v="2.005-Promoção de Eventos, Comunicação e Participação Social "/>
    <s v="3.3.90.39.00-OUTROS SERVIÇOS DE TERCEIROS - PESSOA JURÍDICA"/>
    <x v="32"/>
    <x v="42"/>
    <n v="1"/>
    <x v="0"/>
  </r>
  <r>
    <s v="28"/>
    <s v="007"/>
    <s v="04"/>
    <s v="122"/>
    <s v="0001"/>
    <x v="4"/>
    <x v="0"/>
    <x v="388"/>
    <x v="22"/>
    <s v="007-FUNDO MUNICIPAL DE POLÍTICAS SOBRE DROGAS"/>
    <s v="4-ADMINISTRAÇÃO"/>
    <s v="122-ADMINISTRAÇÃO GERAL"/>
    <s v="0001-Administração e Coordenação Geral​"/>
    <s v="2.005-Promoção de Eventos, Comunicação e Participação Social "/>
    <s v="3.3.90.30.00-MATERIAL DE CONSUMO"/>
    <x v="12"/>
    <x v="0"/>
    <n v="8000"/>
    <x v="0"/>
  </r>
  <r>
    <s v="30"/>
    <s v="001"/>
    <s v="04"/>
    <s v="122"/>
    <s v="0001"/>
    <x v="3"/>
    <x v="7"/>
    <x v="389"/>
    <x v="23"/>
    <s v="001-GABINETE DA SECRETARIA EXECUTIVA DA PESSOA COM DEFICIÊNCIA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35000"/>
    <x v="0"/>
  </r>
  <r>
    <s v="30"/>
    <s v="001"/>
    <s v="04"/>
    <s v="122"/>
    <s v="0001"/>
    <x v="0"/>
    <x v="0"/>
    <x v="390"/>
    <x v="23"/>
    <s v="001-GABINETE DA SECRETARIA EXECUTIVA DA PESSOA COM DEFICIÊNCIA"/>
    <s v="4-ADMINISTRAÇÃO"/>
    <s v="122-ADMINISTRAÇÃO GERAL"/>
    <s v="0001-Administração e Coordenação Geral​"/>
    <s v="2.011-Manutenção de Equipamentos Públicos "/>
    <s v="3.3.90.30.00-MATERIAL DE CONSUMO"/>
    <x v="6"/>
    <x v="0"/>
    <n v="50000"/>
    <x v="0"/>
  </r>
  <r>
    <s v="30"/>
    <s v="001"/>
    <s v="04"/>
    <s v="122"/>
    <s v="0001"/>
    <x v="0"/>
    <x v="0"/>
    <x v="390"/>
    <x v="23"/>
    <s v="001-GABINETE DA SECRETARIA EXECUTIVA DA PESSOA COM DEFICIÊNCIA"/>
    <s v="4-ADMINISTRAÇÃO"/>
    <s v="122-ADMINISTRAÇÃO GERAL"/>
    <s v="0001-Administração e Coordenação Geral​"/>
    <s v="2.011-Manutenção de Equipamentos Públicos "/>
    <s v="3.3.90.30.00-MATERIAL DE CONSUMO"/>
    <x v="1"/>
    <x v="0"/>
    <n v="10000"/>
    <x v="0"/>
  </r>
  <r>
    <s v="30"/>
    <s v="001"/>
    <s v="04"/>
    <s v="122"/>
    <s v="0001"/>
    <x v="0"/>
    <x v="0"/>
    <x v="390"/>
    <x v="23"/>
    <s v="001-GABINETE DA SECRETARIA EXECUTIVA DA PESSOA COM DEFICIÊNCIA"/>
    <s v="4-ADMINISTRAÇÃO"/>
    <s v="122-ADMINISTRAÇÃO GERAL"/>
    <s v="0001-Administração e Coordenação Geral​"/>
    <s v="2.011-Manutenção de Equipamentos Públicos "/>
    <s v="3.3.90.30.00-MATERIAL DE CONSUMO"/>
    <x v="3"/>
    <x v="0"/>
    <n v="15000"/>
    <x v="0"/>
  </r>
  <r>
    <s v="30"/>
    <s v="001"/>
    <s v="04"/>
    <s v="122"/>
    <s v="0001"/>
    <x v="0"/>
    <x v="0"/>
    <x v="390"/>
    <x v="23"/>
    <s v="001-GABINETE DA SECRETARIA EXECUTIVA DA PESSOA COM DEFICIÊNCIA"/>
    <s v="4-ADMINISTRAÇÃO"/>
    <s v="122-ADMINISTRAÇÃO GERAL"/>
    <s v="0001-Administração e Coordenação Geral​"/>
    <s v="2.011-Manutenção de Equipamentos Públicos "/>
    <s v="3.3.90.30.00-MATERIAL DE CONSUMO"/>
    <x v="12"/>
    <x v="0"/>
    <n v="15000"/>
    <x v="0"/>
  </r>
  <r>
    <s v="30"/>
    <s v="001"/>
    <s v="14"/>
    <s v="242"/>
    <s v="0018"/>
    <x v="41"/>
    <x v="11"/>
    <x v="391"/>
    <x v="23"/>
    <s v="001-GABINETE DA SECRETARIA EXECUTIVA DA PESSOA COM DEFICIÊNCIA"/>
    <s v="14-DIREITOS DA CIDADANIA"/>
    <s v="242-ASSISTÊNCIA AO PORTADOR DE DEFICIÊNCIA ASSISTÊNCIA À PESSOA COM DEFICIÊNCIA"/>
    <m/>
    <s v="2.041-Ação Transversal de Garantia de Direitos"/>
    <s v="3.3.50.39.00-OUTROS SERVIÇOS DE TERCEIROS - PESSOA JURÍDICA"/>
    <x v="30"/>
    <x v="456"/>
    <n v="4400000"/>
    <x v="0"/>
  </r>
  <r>
    <s v="30"/>
    <s v="001"/>
    <s v="14"/>
    <s v="242"/>
    <s v="0018"/>
    <x v="41"/>
    <x v="4"/>
    <x v="392"/>
    <x v="23"/>
    <s v="001-GABINETE DA SECRETARIA EXECUTIVA DA PESSOA COM DEFICIÊNCIA"/>
    <s v="14-DIREITOS DA CIDADANIA"/>
    <s v="242-ASSISTÊNCIA AO PORTADOR DE DEFICIÊNCIA ASSISTÊNCIA À PESSOA COM DEFICIÊNCIA"/>
    <m/>
    <s v="2.041-Ação Transversal de Garantia de Direitos"/>
    <s v="4.4.50.52.00-EQUIPAMENTOS E MATERIAL PERMANENTE"/>
    <x v="88"/>
    <x v="457"/>
    <n v="27753.97"/>
    <x v="0"/>
  </r>
  <r>
    <s v="30"/>
    <s v="001"/>
    <s v="14"/>
    <s v="242"/>
    <s v="0018"/>
    <x v="41"/>
    <x v="11"/>
    <x v="391"/>
    <x v="23"/>
    <s v="001-GABINETE DA SECRETARIA EXECUTIVA DA PESSOA COM DEFICIÊNCIA"/>
    <s v="14-DIREITOS DA CIDADANIA"/>
    <s v="242-ASSISTÊNCIA AO PORTADOR DE DEFICIÊNCIA ASSISTÊNCIA À PESSOA COM DEFICIÊNCIA"/>
    <m/>
    <s v="2.041-Ação Transversal de Garantia de Direitos"/>
    <s v="3.3.50.39.00-OUTROS SERVIÇOS DE TERCEIROS - PESSOA JURÍDICA"/>
    <x v="71"/>
    <x v="458"/>
    <n v="760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0"/>
    <x v="459"/>
    <n v="15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1"/>
    <x v="459"/>
    <n v="20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2"/>
    <x v="459"/>
    <n v="15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3"/>
    <x v="459"/>
    <n v="15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21"/>
    <x v="459"/>
    <n v="25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20"/>
    <x v="460"/>
    <n v="50000"/>
    <x v="0"/>
  </r>
  <r>
    <s v="31"/>
    <s v="001"/>
    <s v="04"/>
    <s v="122"/>
    <s v="0001"/>
    <x v="0"/>
    <x v="0"/>
    <x v="393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0.00-MATERIAL DE CONSUMO"/>
    <x v="12"/>
    <x v="461"/>
    <n v="30000"/>
    <x v="0"/>
  </r>
  <r>
    <s v="31"/>
    <s v="001"/>
    <s v="04"/>
    <s v="422"/>
    <s v="0018"/>
    <x v="4"/>
    <x v="1"/>
    <x v="394"/>
    <x v="24"/>
    <s v="001-GABINETE DA SECRETARIA EXECUTIVA DE POLITICAS DE PROMOÇÃO DA IGUALDADE RACIAL"/>
    <s v="4-ADMINISTRAÇÃO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98"/>
    <x v="462"/>
    <n v="50000"/>
    <x v="0"/>
  </r>
  <r>
    <s v="31"/>
    <s v="001"/>
    <s v="04"/>
    <s v="122"/>
    <s v="0001"/>
    <x v="0"/>
    <x v="8"/>
    <x v="395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4.4.90.52.00-EQUIPAMENTOS E MATERIAL PERMANENTE"/>
    <x v="19"/>
    <x v="463"/>
    <n v="20000"/>
    <x v="0"/>
  </r>
  <r>
    <s v="31"/>
    <s v="001"/>
    <s v="04"/>
    <s v="122"/>
    <s v="0001"/>
    <x v="0"/>
    <x v="1"/>
    <x v="396"/>
    <x v="24"/>
    <s v="001-GABINETE DA SECRETARIA EXECUTIVA DE POLITICAS DE PROMOÇÃO DA IGUALDADE RACIAL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464"/>
    <n v="15000"/>
    <x v="0"/>
  </r>
  <r>
    <s v="31"/>
    <s v="001"/>
    <s v="04"/>
    <s v="128"/>
    <s v="0001"/>
    <x v="2"/>
    <x v="1"/>
    <x v="397"/>
    <x v="24"/>
    <s v="001-GABINETE DA SECRETARIA EXECUTIVA DE POLITICAS DE PROMOÇÃO DA IGUALDADE RACIAL"/>
    <s v="4-ADMINISTRAÇÃO"/>
    <s v="128-FORMAÇÃO DE RECURSOS HUMANOS"/>
    <s v="0001-Administração e Coordenação Geral​"/>
    <s v="2.003-Qualificação de Servidores e Processos Institucionais"/>
    <s v="3.3.90.39.00-OUTROS SERVIÇOS DE TERCEIROS - PESSOA JURÍDICA"/>
    <x v="78"/>
    <x v="465"/>
    <n v="50000"/>
    <x v="0"/>
  </r>
  <r>
    <s v="31"/>
    <s v="001"/>
    <s v="04"/>
    <s v="422"/>
    <s v="0002"/>
    <x v="2"/>
    <x v="24"/>
    <x v="398"/>
    <x v="24"/>
    <s v="001-GABINETE DA SECRETARIA EXECUTIVA DE POLITICAS DE PROMOÇÃO DA IGUALDADE RACIAL"/>
    <s v="4-ADMINISTRAÇÃO"/>
    <s v="422-DIREITOS INDIVIDUAIS, COLETIVOS E DIFUSOS"/>
    <s v="0002-Governo Inteligente, Aberto e Inovador​"/>
    <s v="2.003-Qualificação de Servidores e Processos Institucionais"/>
    <s v="3.3.90.35.00-SERVIÇOS DE CONSULTORIA"/>
    <x v="18"/>
    <x v="466"/>
    <n v="300000"/>
    <x v="0"/>
  </r>
  <r>
    <s v="31"/>
    <s v="001"/>
    <s v="04"/>
    <s v="422"/>
    <s v="0018"/>
    <x v="4"/>
    <x v="1"/>
    <x v="394"/>
    <x v="24"/>
    <s v="001-GABINETE DA SECRETARIA EXECUTIVA DE POLITICAS DE PROMOÇÃO DA IGUALDADE RACIAL"/>
    <s v="4-ADMINISTRAÇÃO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13"/>
    <x v="467"/>
    <n v="90000"/>
    <x v="0"/>
  </r>
  <r>
    <s v="31"/>
    <s v="001"/>
    <s v="04"/>
    <s v="122"/>
    <s v="0001"/>
    <x v="3"/>
    <x v="7"/>
    <x v="399"/>
    <x v="24"/>
    <s v="001-GABINETE DA SECRETARIA EXECUTIVA DE POLITICAS DE PROMOÇÃO DA IGUALDADE RACIAL"/>
    <s v="4-ADMINISTRAÇÃO"/>
    <s v="122-ADMINISTRAÇÃO GERAL"/>
    <s v="0001-Administração e Coordenação Geral​"/>
    <s v="2.006-Representações Oficiais "/>
    <s v="3.3.90.33.00-PASSAGENS E DESPESAS COM LOCOMOÇÃO"/>
    <x v="18"/>
    <x v="459"/>
    <n v="60000"/>
    <x v="0"/>
  </r>
  <r>
    <s v="31"/>
    <s v="001"/>
    <s v="14"/>
    <s v="391"/>
    <s v="0009"/>
    <x v="48"/>
    <x v="8"/>
    <x v="400"/>
    <x v="24"/>
    <s v="001-GABINETE DA SECRETARIA EXECUTIVA DE POLITICAS DE PROMOÇÃO DA IGUALDADE RACIAL"/>
    <s v="14-DIREITOS DA CIDADANIA"/>
    <s v="391-PATRIMÔNIO HISTÓRICO, ARTÍSTICO E ARQUEOLÓGICO"/>
    <s v="0009-Cultura, Economia Criativa e Patrimônio Histórico​"/>
    <s v="2.029-Valorização do Patrimônio Histórico-Cultural"/>
    <s v="4.4.90.52.00-EQUIPAMENTOS E MATERIAL PERMANENTE"/>
    <x v="19"/>
    <x v="468"/>
    <n v="50000"/>
    <x v="0"/>
  </r>
  <r>
    <s v="31"/>
    <s v="001"/>
    <s v="14"/>
    <s v="391"/>
    <s v="0009"/>
    <x v="5"/>
    <x v="1"/>
    <x v="401"/>
    <x v="24"/>
    <s v="001-GABINETE DA SECRETARIA EXECUTIVA DE POLITICAS DE PROMOÇÃO DA IGUALDADE RACIAL"/>
    <s v="14-DIREITOS DA CIDADANIA"/>
    <s v="391-PATRIMÔNIO HISTÓRICO, ARTÍSTICO E ARQUEOLÓGICO"/>
    <s v="0009-Cultura, Economia Criativa e Patrimônio Histórico​"/>
    <s v="1.002-Reforma e Ampliação de Unidades"/>
    <s v="3.3.90.39.00-OUTROS SERVIÇOS DE TERCEIROS - PESSOA JURÍDICA"/>
    <x v="4"/>
    <x v="469"/>
    <n v="50000"/>
    <x v="0"/>
  </r>
  <r>
    <s v="31"/>
    <s v="001"/>
    <s v="14"/>
    <s v="131"/>
    <s v="0002"/>
    <x v="4"/>
    <x v="1"/>
    <x v="402"/>
    <x v="24"/>
    <s v="001-GABINETE DA SECRETARIA EXECUTIVA DE POLITICAS DE PROMOÇÃO DA IGUALDADE RACIAL"/>
    <s v="14-DIREITOS DA CIDADANIA"/>
    <s v="131-COMUNICAÇÃO SOCIAL"/>
    <s v="0002-Governo Inteligente, Aberto e Inovador​"/>
    <s v="2.005-Promoção de Eventos, Comunicação e Participação Social "/>
    <s v="3.3.90.39.00-OUTROS SERVIÇOS DE TERCEIROS - PESSOA JURÍDICA"/>
    <x v="32"/>
    <x v="470"/>
    <n v="100000"/>
    <x v="0"/>
  </r>
  <r>
    <s v="31"/>
    <s v="001"/>
    <s v="14"/>
    <s v="131"/>
    <s v="0002"/>
    <x v="4"/>
    <x v="1"/>
    <x v="402"/>
    <x v="24"/>
    <s v="001-GABINETE DA SECRETARIA EXECUTIVA DE POLITICAS DE PROMOÇÃO DA IGUALDADE RACIAL"/>
    <s v="14-DIREITOS DA CIDADANIA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471"/>
    <n v="50000"/>
    <x v="0"/>
  </r>
  <r>
    <s v="31"/>
    <s v="001"/>
    <s v="14"/>
    <s v="422"/>
    <s v="0009"/>
    <x v="48"/>
    <x v="14"/>
    <x v="403"/>
    <x v="24"/>
    <s v="001-GABINETE DA SECRETARIA EXECUTIVA DE POLITICAS DE PROMOÇÃO DA IGUALDADE RACIAL"/>
    <s v="14-DIREITOS DA CIDADANIA"/>
    <s v="422-DIREITOS INDIVIDUAIS, COLETIVOS E DIFUSOS"/>
    <s v="0009-Cultura, Economia Criativa e Patrimônio Histórico​"/>
    <s v="2.029-Valorização do Patrimônio Histórico-Cultural"/>
    <s v="3.3.90.31.00-PREMIAÇÕES CULTURAIS, ARTÍSTICAS, CIENTÍFICAS, DESPORTIVAS E OUTRAS"/>
    <x v="18"/>
    <x v="472"/>
    <n v="100000"/>
    <x v="0"/>
  </r>
  <r>
    <s v="31"/>
    <s v="001"/>
    <s v="14"/>
    <s v="422"/>
    <s v="0018"/>
    <x v="4"/>
    <x v="10"/>
    <x v="404"/>
    <x v="24"/>
    <s v="001-GABINETE DA SECRETARIA EXECUTIVA DE POLITICAS DE PROMOÇÃO DA IGUALDADE RACIAL"/>
    <s v="14-DIREITOS DA CIDADANIA"/>
    <s v="422-DIREITOS INDIVIDUAIS, COLETIVOS E DIFUSOS"/>
    <s v="0018-Proteção Social e Garantia de Direitos​"/>
    <s v="2.005-Promoção de Eventos, Comunicação e Participação Social "/>
    <s v="3.3.90.36.00-OUTROS SERVIÇOS DE TERCEIROS - PESSOA FÍSICA"/>
    <x v="18"/>
    <x v="473"/>
    <n v="50000"/>
    <x v="0"/>
  </r>
  <r>
    <s v="31"/>
    <s v="001"/>
    <s v="14"/>
    <s v="422"/>
    <s v="0018"/>
    <x v="4"/>
    <x v="1"/>
    <x v="405"/>
    <x v="24"/>
    <s v="001-GABINETE DA SECRETARIA EXECUTIVA DE POLITICAS DE PROMOÇÃO DA IGUALDADE RACIAL"/>
    <s v="14-DIREITOS DA CIDADANIA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78"/>
    <x v="473"/>
    <n v="200000"/>
    <x v="0"/>
  </r>
  <r>
    <s v="31"/>
    <s v="001"/>
    <s v="14"/>
    <s v="422"/>
    <s v="0018"/>
    <x v="4"/>
    <x v="1"/>
    <x v="405"/>
    <x v="24"/>
    <s v="001-GABINETE DA SECRETARIA EXECUTIVA DE POLITICAS DE PROMOÇÃO DA IGUALDADE RACIAL"/>
    <s v="14-DIREITOS DA CIDADANIA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27"/>
    <x v="474"/>
    <n v="100000"/>
    <x v="0"/>
  </r>
  <r>
    <s v="31"/>
    <s v="001"/>
    <s v="14"/>
    <s v="422"/>
    <s v="0018"/>
    <x v="4"/>
    <x v="0"/>
    <x v="406"/>
    <x v="24"/>
    <s v="001-GABINETE DA SECRETARIA EXECUTIVA DE POLITICAS DE PROMOÇÃO DA IGUALDADE RACIAL"/>
    <s v="14-DIREITOS DA CIDADANIA"/>
    <s v="422-DIREITOS INDIVIDUAIS, COLETIVOS E DIFUSOS"/>
    <s v="0018-Proteção Social e Garantia de Direitos​"/>
    <s v="2.005-Promoção de Eventos, Comunicação e Participação Social "/>
    <s v="3.3.90.30.00-MATERIAL DE CONSUMO"/>
    <x v="12"/>
    <x v="475"/>
    <n v="30000"/>
    <x v="0"/>
  </r>
  <r>
    <s v="31"/>
    <s v="001"/>
    <s v="14"/>
    <s v="422"/>
    <s v="0002"/>
    <x v="0"/>
    <x v="7"/>
    <x v="407"/>
    <x v="24"/>
    <s v="001-GABINETE DA SECRETARIA EXECUTIVA DE POLITICAS DE PROMOÇÃO DA IGUALDADE RACIAL"/>
    <s v="14-DIREITOS DA CIDADANIA"/>
    <s v="422-DIREITOS INDIVIDUAIS, COLETIVOS E DIFUSOS"/>
    <s v="0002-Governo Inteligente, Aberto e Inovador​"/>
    <s v="2.011-Manutenção de Equipamentos Públicos "/>
    <s v="3.3.90.33.00-PASSAGENS E DESPESAS COM LOCOMOÇÃO"/>
    <x v="18"/>
    <x v="459"/>
    <n v="20000"/>
    <x v="0"/>
  </r>
  <r>
    <s v="31"/>
    <s v="001"/>
    <s v="14"/>
    <s v="422"/>
    <s v="0002"/>
    <x v="0"/>
    <x v="1"/>
    <x v="408"/>
    <x v="24"/>
    <s v="001-GABINETE DA SECRETARIA EXECUTIVA DE POLITICAS DE PROMOÇÃO DA IGUALDADE RACIAL"/>
    <s v="14-DIREITOS DA CIDADANIA"/>
    <s v="422-DIREITOS INDIVIDUAIS, COLETIVOS E DIFUSOS"/>
    <s v="0002-Governo Inteligente, Aberto e Inovador​"/>
    <s v="2.011-Manutenção de Equipamentos Públicos "/>
    <s v="3.3.90.39.00-OUTROS SERVIÇOS DE TERCEIROS - PESSOA JURÍDICA"/>
    <x v="78"/>
    <x v="476"/>
    <n v="20000"/>
    <x v="0"/>
  </r>
  <r>
    <s v="31"/>
    <s v="001"/>
    <s v="14"/>
    <s v="391"/>
    <s v="0009"/>
    <x v="48"/>
    <x v="5"/>
    <x v="409"/>
    <x v="24"/>
    <s v="001-GABINETE DA SECRETARIA EXECUTIVA DE POLITICAS DE PROMOÇÃO DA IGUALDADE RACIAL"/>
    <s v="14-DIREITOS DA CIDADANIA"/>
    <s v="391-PATRIMÔNIO HISTÓRICO, ARTÍSTICO E ARQUEOLÓGICO"/>
    <s v="0009-Cultura, Economia Criativa e Patrimônio Histórico​"/>
    <s v="2.029-Valorização do Patrimônio Histórico-Cultural"/>
    <s v="3.3.90.40.00-SERVIÇOS DE TECNOLOGIA DA INFORMAÇÃO E COMUNICAÇÃO - PESSOA JURÍDICA"/>
    <x v="18"/>
    <x v="477"/>
    <n v="100000"/>
    <x v="0"/>
  </r>
  <r>
    <s v="32"/>
    <s v="001"/>
    <s v="04"/>
    <s v="122"/>
    <s v="0001"/>
    <x v="3"/>
    <x v="1"/>
    <x v="410"/>
    <x v="25"/>
    <s v="001-GABINETE DA SECRETARIA EXECUTIVA DE POLÍTICAS PARA MULHERES E DIVERSIDADE"/>
    <s v="4-ADMINISTRAÇÃO"/>
    <s v="122-ADMINISTRAÇÃO GERAL"/>
    <s v="0001-Administração e Coordenação Geral​"/>
    <s v="2.006-Representações Oficiais "/>
    <s v="3.3.90.39.00-OUTROS SERVIÇOS DE TERCEIROS - PESSOA JURÍDICA"/>
    <x v="86"/>
    <x v="0"/>
    <n v="40000"/>
    <x v="0"/>
  </r>
  <r>
    <s v="32"/>
    <s v="001"/>
    <s v="04"/>
    <s v="131"/>
    <s v="0001"/>
    <x v="4"/>
    <x v="1"/>
    <x v="411"/>
    <x v="25"/>
    <s v="001-GABINETE DA SECRETARIA EXECUTIVA DE POLÍTICAS PARA MULHERES E DIVERSIDADE"/>
    <s v="4-ADMINISTRAÇÃO"/>
    <s v="131-COMUNICAÇÃO SOCIAL"/>
    <s v="0001-Administração e Coordenação Geral​"/>
    <s v="2.005-Promoção de Eventos, Comunicação e Participação Social "/>
    <s v="3.3.90.39.00-OUTROS SERVIÇOS DE TERCEIROS - PESSOA JURÍDICA"/>
    <x v="27"/>
    <x v="0"/>
    <n v="70000"/>
    <x v="0"/>
  </r>
  <r>
    <s v="32"/>
    <s v="001"/>
    <s v="04"/>
    <s v="131"/>
    <s v="0002"/>
    <x v="4"/>
    <x v="1"/>
    <x v="412"/>
    <x v="25"/>
    <s v="001-GABINETE DA SECRETARIA EXECUTIVA DE POLÍTICAS PARA MULHERES E DIVERSIDAD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3"/>
    <x v="478"/>
    <n v="10000"/>
    <x v="0"/>
  </r>
  <r>
    <s v="32"/>
    <s v="001"/>
    <s v="14"/>
    <s v="422"/>
    <s v="0018"/>
    <x v="0"/>
    <x v="3"/>
    <x v="413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71.70.00-RATEIO PELA PARTICIPAÇÃO EM CONSÓRCIO PÚBLICO"/>
    <x v="5"/>
    <x v="479"/>
    <n v="234633"/>
    <x v="0"/>
  </r>
  <r>
    <s v="32"/>
    <s v="001"/>
    <s v="14"/>
    <s v="422"/>
    <s v="0018"/>
    <x v="0"/>
    <x v="21"/>
    <x v="414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4.4.71.70.00-RATEIO PELA PARTICIPAÇÃO EM CONSÓRCIO PÚBLICO"/>
    <x v="5"/>
    <x v="480"/>
    <n v="31995"/>
    <x v="0"/>
  </r>
  <r>
    <s v="32"/>
    <s v="001"/>
    <s v="14"/>
    <s v="422"/>
    <s v="0018"/>
    <x v="0"/>
    <x v="0"/>
    <x v="415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0.00-MATERIAL DE CONSUMO"/>
    <x v="12"/>
    <x v="0"/>
    <n v="5000"/>
    <x v="0"/>
  </r>
  <r>
    <s v="32"/>
    <s v="001"/>
    <s v="14"/>
    <s v="422"/>
    <s v="0018"/>
    <x v="0"/>
    <x v="0"/>
    <x v="415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0.00-MATERIAL DE CONSUMO"/>
    <x v="1"/>
    <x v="0"/>
    <n v="16000"/>
    <x v="0"/>
  </r>
  <r>
    <s v="32"/>
    <s v="001"/>
    <s v="14"/>
    <s v="422"/>
    <s v="0018"/>
    <x v="0"/>
    <x v="0"/>
    <x v="415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0.00-MATERIAL DE CONSUMO"/>
    <x v="3"/>
    <x v="0"/>
    <n v="13000"/>
    <x v="0"/>
  </r>
  <r>
    <s v="32"/>
    <s v="001"/>
    <s v="14"/>
    <s v="422"/>
    <s v="0018"/>
    <x v="0"/>
    <x v="0"/>
    <x v="415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0.00-MATERIAL DE CONSUMO"/>
    <x v="2"/>
    <x v="0"/>
    <n v="10559"/>
    <x v="0"/>
  </r>
  <r>
    <s v="32"/>
    <s v="001"/>
    <s v="14"/>
    <s v="334"/>
    <s v="0017"/>
    <x v="7"/>
    <x v="1"/>
    <x v="416"/>
    <x v="25"/>
    <s v="001-GABINETE DA SECRETARIA EXECUTIVA DE POLÍTICAS PARA MULHERES E DIVERSIDADE"/>
    <s v="14-DIREITOS DA CIDADANIA"/>
    <s v="334-FOMENTO AO TRABALHO"/>
    <s v="0017-Trabalho, Emprego e Renda​"/>
    <s v="2.004-Qualificação Socioprofissional "/>
    <s v="3.3.90.39.00-OUTROS SERVIÇOS DE TERCEIROS - PESSOA JURÍDICA"/>
    <x v="15"/>
    <x v="481"/>
    <n v="370515"/>
    <x v="0"/>
  </r>
  <r>
    <s v="32"/>
    <s v="001"/>
    <s v="14"/>
    <s v="422"/>
    <s v="0018"/>
    <x v="0"/>
    <x v="1"/>
    <x v="417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9.00-OUTROS SERVIÇOS DE TERCEIROS - PESSOA JURÍDICA"/>
    <x v="9"/>
    <x v="482"/>
    <n v="15000"/>
    <x v="0"/>
  </r>
  <r>
    <s v="32"/>
    <s v="001"/>
    <s v="14"/>
    <s v="422"/>
    <s v="0018"/>
    <x v="0"/>
    <x v="1"/>
    <x v="417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90.39.00-OUTROS SERVIÇOS DE TERCEIROS - PESSOA JURÍDICA"/>
    <x v="15"/>
    <x v="0"/>
    <n v="70000"/>
    <x v="0"/>
  </r>
  <r>
    <s v="32"/>
    <s v="001"/>
    <s v="14"/>
    <s v="422"/>
    <s v="0018"/>
    <x v="0"/>
    <x v="11"/>
    <x v="418"/>
    <x v="25"/>
    <s v="001-GABINETE DA SECRETARIA EXECUTIVA DE POLÍTICAS PARA MULHERES E DIVERSIDADE"/>
    <s v="14-DIREITOS DA CIDADANIA"/>
    <s v="422-DIREITOS INDIVIDUAIS, COLETIVOS E DIFUSOS"/>
    <s v="0018-Proteção Social e Garantia de Direitos​"/>
    <s v="2.011-Manutenção de Equipamentos Públicos "/>
    <s v="3.3.50.39.00-OUTROS SERVIÇOS DE TERCEIROS - PESSOA JURÍDICA"/>
    <x v="30"/>
    <x v="483"/>
    <n v="1241896"/>
    <x v="0"/>
  </r>
  <r>
    <s v="33"/>
    <s v="001"/>
    <s v="04"/>
    <s v="122"/>
    <s v="0001"/>
    <x v="3"/>
    <x v="6"/>
    <x v="419"/>
    <x v="26"/>
    <s v="001-GABINETE DA SECRETARIA EXECUTIVA DE COMPRAS E LICITAÇÕES"/>
    <s v="4-ADMINISTRAÇÃO"/>
    <s v="122-ADMINISTRAÇÃO GERAL"/>
    <s v="0001-Administração e Coordenação Geral​"/>
    <s v="2.006-Representações Oficiais "/>
    <s v="3.3.90.93.00-INDENIZAÇÕES E RESTITUIÇÕES"/>
    <x v="17"/>
    <x v="0"/>
    <n v="150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1"/>
    <x v="484"/>
    <n v="1257.4000000000001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0"/>
    <x v="485"/>
    <n v="756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12"/>
    <x v="486"/>
    <n v="1011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2"/>
    <x v="487"/>
    <n v="1500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3"/>
    <x v="488"/>
    <n v="9000"/>
    <x v="0"/>
  </r>
  <r>
    <s v="33"/>
    <s v="001"/>
    <s v="04"/>
    <s v="122"/>
    <s v="0001"/>
    <x v="0"/>
    <x v="1"/>
    <x v="421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9.00-OUTROS SERVIÇOS DE TERCEIROS - PESSOA JURÍDICA"/>
    <x v="9"/>
    <x v="489"/>
    <n v="100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21"/>
    <x v="489"/>
    <n v="150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6"/>
    <x v="489"/>
    <n v="500"/>
    <x v="0"/>
  </r>
  <r>
    <s v="33"/>
    <s v="001"/>
    <s v="04"/>
    <s v="122"/>
    <s v="0001"/>
    <x v="0"/>
    <x v="0"/>
    <x v="420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0.00-MATERIAL DE CONSUMO"/>
    <x v="20"/>
    <x v="490"/>
    <n v="500"/>
    <x v="0"/>
  </r>
  <r>
    <s v="33"/>
    <s v="001"/>
    <s v="04"/>
    <s v="122"/>
    <s v="0001"/>
    <x v="0"/>
    <x v="1"/>
    <x v="421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3.3.90.39.00-OUTROS SERVIÇOS DE TERCEIROS - PESSOA JURÍDICA"/>
    <x v="23"/>
    <x v="491"/>
    <n v="22000"/>
    <x v="0"/>
  </r>
  <r>
    <s v="33"/>
    <s v="001"/>
    <s v="04"/>
    <s v="122"/>
    <s v="0001"/>
    <x v="0"/>
    <x v="8"/>
    <x v="422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4.4.90.52.00-EQUIPAMENTOS E MATERIAL PERMANENTE"/>
    <x v="19"/>
    <x v="492"/>
    <n v="15000"/>
    <x v="0"/>
  </r>
  <r>
    <s v="33"/>
    <s v="001"/>
    <s v="04"/>
    <s v="122"/>
    <s v="0001"/>
    <x v="0"/>
    <x v="8"/>
    <x v="422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4.4.90.52.00-EQUIPAMENTOS E MATERIAL PERMANENTE"/>
    <x v="42"/>
    <x v="489"/>
    <n v="5000"/>
    <x v="0"/>
  </r>
  <r>
    <s v="33"/>
    <s v="001"/>
    <s v="04"/>
    <s v="122"/>
    <s v="0001"/>
    <x v="0"/>
    <x v="8"/>
    <x v="422"/>
    <x v="26"/>
    <s v="001-GABINETE DA SECRETARIA EXECUTIVA DE COMPRAS E LICITAÇÕES"/>
    <s v="4-ADMINISTRAÇÃO"/>
    <s v="122-ADMINISTRAÇÃO GERAL"/>
    <s v="0001-Administração e Coordenação Geral​"/>
    <s v="2.011-Manutenção de Equipamentos Públicos "/>
    <s v="4.4.90.52.00-EQUIPAMENTOS E MATERIAL PERMANENTE"/>
    <x v="7"/>
    <x v="493"/>
    <n v="1500"/>
    <x v="0"/>
  </r>
  <r>
    <s v="33"/>
    <s v="001"/>
    <s v="04"/>
    <s v="126"/>
    <s v="0002"/>
    <x v="1"/>
    <x v="1"/>
    <x v="423"/>
    <x v="26"/>
    <s v="001-GABINETE DA SECRETARIA EXECUTIVA DE COMPRAS E LICITAÇÕES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8"/>
    <x v="494"/>
    <n v="360000"/>
    <x v="0"/>
  </r>
  <r>
    <s v="33"/>
    <s v="001"/>
    <s v="04"/>
    <s v="126"/>
    <s v="0002"/>
    <x v="1"/>
    <x v="5"/>
    <x v="424"/>
    <x v="26"/>
    <s v="001-GABINETE DA SECRETARIA EXECUTIVA DE COMPRAS E LICITAÇÕES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4"/>
    <x v="495"/>
    <n v="2200"/>
    <x v="0"/>
  </r>
  <r>
    <s v="33"/>
    <s v="001"/>
    <s v="04"/>
    <s v="128"/>
    <s v="0002"/>
    <x v="2"/>
    <x v="1"/>
    <x v="425"/>
    <x v="26"/>
    <s v="001-GABINETE DA SECRETARIA EXECUTIVA DE COMPRAS E LICITAÇÕES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3"/>
    <x v="496"/>
    <n v="15001"/>
    <x v="0"/>
  </r>
  <r>
    <s v="33"/>
    <s v="001"/>
    <s v="04"/>
    <s v="128"/>
    <s v="0002"/>
    <x v="2"/>
    <x v="1"/>
    <x v="425"/>
    <x v="26"/>
    <s v="001-GABINETE DA SECRETARIA EXECUTIVA DE COMPRAS E LICITAÇÕES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83"/>
    <x v="489"/>
    <n v="7814"/>
    <x v="0"/>
  </r>
  <r>
    <s v="33"/>
    <s v="001"/>
    <s v="04"/>
    <s v="131"/>
    <s v="0002"/>
    <x v="4"/>
    <x v="1"/>
    <x v="426"/>
    <x v="26"/>
    <s v="001-GABINETE DA SECRETARIA EXECUTIVA DE COMPRAS E LICITAÇÕE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99"/>
    <x v="497"/>
    <n v="153200"/>
    <x v="0"/>
  </r>
  <r>
    <s v="33"/>
    <s v="001"/>
    <s v="04"/>
    <s v="131"/>
    <s v="0002"/>
    <x v="4"/>
    <x v="1"/>
    <x v="426"/>
    <x v="26"/>
    <s v="001-GABINETE DA SECRETARIA EXECUTIVA DE COMPRAS E LICITAÇÕE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99"/>
    <x v="489"/>
    <n v="10000"/>
    <x v="0"/>
  </r>
  <r>
    <s v="33"/>
    <s v="001"/>
    <s v="04"/>
    <s v="131"/>
    <s v="0002"/>
    <x v="4"/>
    <x v="1"/>
    <x v="426"/>
    <x v="26"/>
    <s v="001-GABINETE DA SECRETARIA EXECUTIVA DE COMPRAS E LICITAÇÕES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99"/>
    <x v="498"/>
    <n v="36968"/>
    <x v="0"/>
  </r>
  <r>
    <s v="34"/>
    <s v="001"/>
    <s v="04"/>
    <s v="131"/>
    <s v="0002"/>
    <x v="4"/>
    <x v="1"/>
    <x v="427"/>
    <x v="27"/>
    <s v="001-GABINETE DA COORDENADORIA DA DEFESA CIVI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7"/>
    <x v="499"/>
    <n v="4800"/>
    <x v="0"/>
  </r>
  <r>
    <s v="34"/>
    <s v="001"/>
    <s v="04"/>
    <s v="131"/>
    <s v="0002"/>
    <x v="4"/>
    <x v="0"/>
    <x v="428"/>
    <x v="27"/>
    <s v="001-GABINETE DA COORDENADORIA DA DEFESA CIVIL"/>
    <s v="4-ADMINISTRAÇÃO"/>
    <s v="131-COMUNICAÇÃO SOCIAL"/>
    <s v="0002-Governo Inteligente, Aberto e Inovador​"/>
    <s v="2.005-Promoção de Eventos, Comunicação e Participação Social "/>
    <s v="3.3.90.30.00-MATERIAL DE CONSUMO"/>
    <x v="12"/>
    <x v="500"/>
    <n v="7668"/>
    <x v="0"/>
  </r>
  <r>
    <s v="34"/>
    <s v="001"/>
    <s v="04"/>
    <s v="131"/>
    <s v="0002"/>
    <x v="4"/>
    <x v="1"/>
    <x v="427"/>
    <x v="27"/>
    <s v="001-GABINETE DA COORDENADORIA DA DEFESA CIVI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22"/>
    <x v="501"/>
    <n v="2568"/>
    <x v="0"/>
  </r>
  <r>
    <s v="34"/>
    <s v="001"/>
    <s v="04"/>
    <s v="122"/>
    <s v="0001"/>
    <x v="3"/>
    <x v="7"/>
    <x v="429"/>
    <x v="27"/>
    <s v="001-GABINETE DA COORDENADORIA DA DEFESA CIVIL"/>
    <s v="4-ADMINISTRAÇÃO"/>
    <s v="122-ADMINISTRAÇÃO GERAL"/>
    <s v="0001-Administração e Coordenação Geral​"/>
    <s v="2.006-Representações Oficiais "/>
    <s v="3.3.90.33.00-PASSAGENS E DESPESAS COM LOCOMOÇÃO"/>
    <x v="18"/>
    <x v="254"/>
    <m/>
    <x v="0"/>
  </r>
  <r>
    <s v="34"/>
    <s v="001"/>
    <s v="04"/>
    <s v="122"/>
    <s v="0001"/>
    <x v="3"/>
    <x v="1"/>
    <x v="430"/>
    <x v="27"/>
    <s v="001-GABINETE DA COORDENADORIA DA DEFESA CIVIL"/>
    <s v="4-ADMINISTRAÇÃO"/>
    <s v="122-ADMINISTRAÇÃO GERAL"/>
    <s v="0001-Administração e Coordenação Geral​"/>
    <s v="2.006-Representações Oficiais "/>
    <s v="3.3.90.39.00-OUTROS SERVIÇOS DE TERCEIROS - PESSOA JURÍDICA"/>
    <x v="22"/>
    <x v="254"/>
    <m/>
    <x v="0"/>
  </r>
  <r>
    <s v="34"/>
    <s v="001"/>
    <s v="04"/>
    <s v="128"/>
    <s v="0002"/>
    <x v="2"/>
    <x v="10"/>
    <x v="431"/>
    <x v="27"/>
    <s v="001-GABINETE DA COORDENADORIA DA DEFESA CIVIL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254"/>
    <m/>
    <x v="0"/>
  </r>
  <r>
    <s v="34"/>
    <s v="001"/>
    <s v="15"/>
    <s v="182"/>
    <s v="0005"/>
    <x v="5"/>
    <x v="1"/>
    <x v="432"/>
    <x v="27"/>
    <s v="001-GABINETE DA COORDENADORIA DA DEFESA CIVIL"/>
    <s v="15-URBANISMO"/>
    <s v="182-DEFESA CIVIL"/>
    <s v="0005-Resiliência Urbana​"/>
    <s v="1.002-Reforma e Ampliação de Unidades"/>
    <s v="3.3.90.39.00-OUTROS SERVIÇOS DE TERCEIROS - PESSOA JURÍDICA"/>
    <x v="22"/>
    <x v="254"/>
    <m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2"/>
    <n v="346.5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3"/>
    <n v="2124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1"/>
    <x v="504"/>
    <n v="1700.8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5"/>
    <n v="118.78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6"/>
    <n v="712.5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7"/>
    <n v="5457.2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08"/>
    <n v="2623.5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1"/>
    <x v="509"/>
    <n v="1800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1"/>
    <x v="510"/>
    <n v="8750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1"/>
    <x v="511"/>
    <n v="9118.9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3"/>
    <x v="512"/>
    <n v="5300.8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13"/>
    <n v="1373.1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14"/>
    <n v="1993.5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15"/>
    <n v="1278.5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2"/>
    <x v="516"/>
    <n v="1434.55"/>
    <x v="0"/>
  </r>
  <r>
    <s v="34"/>
    <s v="001"/>
    <s v="15"/>
    <s v="182"/>
    <s v="0005"/>
    <x v="0"/>
    <x v="1"/>
    <x v="434"/>
    <x v="27"/>
    <s v="001-GABINETE DA COORDENADORIA DA DEFESA CIVIL"/>
    <s v="15-URBANISMO"/>
    <s v="182-DEFESA CIVIL"/>
    <s v="0005-Resiliência Urbana​"/>
    <s v="2.011-Manutenção de Equipamentos Públicos "/>
    <s v="3.3.90.39.00-OUTROS SERVIÇOS DE TERCEIROS - PESSOA JURÍDICA"/>
    <x v="9"/>
    <x v="511"/>
    <n v="13606.68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33"/>
    <x v="517"/>
    <n v="457840"/>
    <x v="0"/>
  </r>
  <r>
    <s v="34"/>
    <s v="001"/>
    <s v="15"/>
    <s v="182"/>
    <s v="0005"/>
    <x v="0"/>
    <x v="0"/>
    <x v="433"/>
    <x v="27"/>
    <s v="001-GABINETE DA COORDENADORIA DA DEFESA CIVIL"/>
    <s v="15-URBANISMO"/>
    <s v="182-DEFESA CIVIL"/>
    <s v="0005-Resiliência Urbana​"/>
    <s v="2.011-Manutenção de Equipamentos Públicos "/>
    <s v="3.3.90.30.00-MATERIAL DE CONSUMO"/>
    <x v="0"/>
    <x v="518"/>
    <n v="1552"/>
    <x v="0"/>
  </r>
  <r>
    <s v="34"/>
    <s v="001"/>
    <s v="15"/>
    <s v="182"/>
    <s v="0005"/>
    <x v="0"/>
    <x v="8"/>
    <x v="435"/>
    <x v="27"/>
    <s v="001-GABINETE DA COORDENADORIA DA DEFESA CIVIL"/>
    <s v="15-URBANISMO"/>
    <s v="182-DEFESA CIVIL"/>
    <s v="0005-Resiliência Urbana​"/>
    <s v="2.011-Manutenção de Equipamentos Públicos "/>
    <s v="4.4.90.52.00-EQUIPAMENTOS E MATERIAL PERMANENTE"/>
    <x v="19"/>
    <x v="519"/>
    <n v="18534.16"/>
    <x v="0"/>
  </r>
  <r>
    <s v="36"/>
    <s v="001"/>
    <s v="04"/>
    <s v="122"/>
    <s v="0001"/>
    <x v="3"/>
    <x v="7"/>
    <x v="436"/>
    <x v="28"/>
    <s v="001-GABINETE DA SECRETARIA DA FAMÍLIA, CIDADANIA E SEGURANÇA ALIMENTAR"/>
    <s v="4-ADMINISTRAÇÃO"/>
    <s v="122-ADMINISTRAÇÃO GERAL"/>
    <s v="0001-Administração e Coordenação Geral​"/>
    <s v="2.006-Representações Oficiais "/>
    <s v="3.3.90.33.00-PASSAGENS E DESPESAS COM LOCOMOÇÃO"/>
    <x v="18"/>
    <x v="520"/>
    <n v="19960"/>
    <x v="0"/>
  </r>
  <r>
    <s v="36"/>
    <s v="001"/>
    <s v="04"/>
    <s v="122"/>
    <s v="0001"/>
    <x v="3"/>
    <x v="1"/>
    <x v="437"/>
    <x v="28"/>
    <s v="001-GABINETE DA SECRETARIA DA FAMÍLIA, CIDADANIA E SEGURANÇA ALIMENTAR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520"/>
    <n v="14790"/>
    <x v="0"/>
  </r>
  <r>
    <s v="36"/>
    <s v="001"/>
    <s v="04"/>
    <s v="122"/>
    <s v="0001"/>
    <x v="3"/>
    <x v="1"/>
    <x v="437"/>
    <x v="28"/>
    <s v="001-GABINETE DA SECRETARIA DA FAMÍLIA, CIDADANIA E SEGURANÇA ALIMENTAR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520"/>
    <n v="8062"/>
    <x v="0"/>
  </r>
  <r>
    <s v="36"/>
    <s v="001"/>
    <s v="04"/>
    <s v="128"/>
    <s v="0002"/>
    <x v="2"/>
    <x v="1"/>
    <x v="438"/>
    <x v="28"/>
    <s v="001-GABINETE DA SECRETARIA DA FAMÍLIA, CIDADANIA E SEGURANÇA ALIMENTAR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521"/>
    <n v="95300"/>
    <x v="0"/>
  </r>
  <r>
    <s v="36"/>
    <s v="001"/>
    <s v="04"/>
    <s v="131"/>
    <s v="0002"/>
    <x v="4"/>
    <x v="0"/>
    <x v="439"/>
    <x v="28"/>
    <s v="001-GABINETE DA SECRETARIA DA FAMÍLIA, CIDADANIA E SEGURANÇA ALIMENTAR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522"/>
    <n v="97680"/>
    <x v="0"/>
  </r>
  <r>
    <s v="36"/>
    <s v="001"/>
    <s v="04"/>
    <s v="131"/>
    <s v="0002"/>
    <x v="4"/>
    <x v="1"/>
    <x v="440"/>
    <x v="28"/>
    <s v="001-GABINETE DA SECRETARIA DA FAMÍLIA, CIDADANIA E SEGURANÇA ALIMENTAR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523"/>
    <n v="31412.2896"/>
    <x v="0"/>
  </r>
  <r>
    <s v="36"/>
    <s v="001"/>
    <s v="04"/>
    <s v="131"/>
    <s v="0002"/>
    <x v="4"/>
    <x v="1"/>
    <x v="440"/>
    <x v="28"/>
    <s v="001-GABINETE DA SECRETARIA DA FAMÍLIA, CIDADANIA E SEGURANÇA ALIMENTAR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524"/>
    <n v="49004.39"/>
    <x v="0"/>
  </r>
  <r>
    <s v="36"/>
    <s v="001"/>
    <s v="04"/>
    <s v="131"/>
    <s v="0002"/>
    <x v="4"/>
    <x v="1"/>
    <x v="440"/>
    <x v="28"/>
    <s v="001-GABINETE DA SECRETARIA DA FAMÍLIA, CIDADANIA E SEGURANÇA ALIMENTAR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525"/>
    <n v="202372.09299999999"/>
    <x v="0"/>
  </r>
  <r>
    <s v="36"/>
    <s v="001"/>
    <s v="04"/>
    <s v="131"/>
    <s v="0002"/>
    <x v="4"/>
    <x v="1"/>
    <x v="440"/>
    <x v="28"/>
    <s v="001-GABINETE DA SECRETARIA DA FAMÍLIA, CIDADANIA E SEGURANÇA ALIMENTAR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521"/>
    <n v="133200"/>
    <x v="0"/>
  </r>
  <r>
    <s v="36"/>
    <s v="001"/>
    <s v="04"/>
    <s v="128"/>
    <s v="0019"/>
    <x v="11"/>
    <x v="1"/>
    <x v="441"/>
    <x v="28"/>
    <s v="001-GABINETE DA SECRETARIA DA FAMÍLIA, CIDADANIA E SEGURANÇA ALIMENTAR"/>
    <s v="4-ADMINISTRAÇÃO"/>
    <s v="128-FORMAÇÃO DE RECURSOS HUMANOS"/>
    <s v="0019-Segurança Alimentar e Combate à Pobreza​"/>
    <s v="2.001-Remuneração, Benefícios e Encargos"/>
    <s v="3.3.90.39.00-OUTROS SERVIÇOS DE TERCEIROS - PESSOA JURÍDICA"/>
    <x v="18"/>
    <x v="526"/>
    <n v="43200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27"/>
    <n v="46857.52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28"/>
    <n v="78825.539999999994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29"/>
    <n v="210466.32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30"/>
    <n v="51388.25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31"/>
    <n v="5894.1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32"/>
    <n v="33559.89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33"/>
    <n v="15196.86"/>
    <x v="0"/>
  </r>
  <r>
    <s v="36"/>
    <s v="001"/>
    <s v="08"/>
    <s v="244"/>
    <s v="0019"/>
    <x v="0"/>
    <x v="1"/>
    <x v="443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9.00-OUTROS SERVIÇOS DE TERCEIROS - PESSOA JURÍDICA"/>
    <x v="18"/>
    <x v="534"/>
    <n v="15000"/>
    <x v="0"/>
  </r>
  <r>
    <s v="36"/>
    <s v="001"/>
    <s v="08"/>
    <s v="244"/>
    <s v="0019"/>
    <x v="0"/>
    <x v="1"/>
    <x v="443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9.00-OUTROS SERVIÇOS DE TERCEIROS - PESSOA JURÍDICA"/>
    <x v="18"/>
    <x v="535"/>
    <n v="68280.47"/>
    <x v="0"/>
  </r>
  <r>
    <s v="36"/>
    <s v="001"/>
    <s v="08"/>
    <s v="244"/>
    <s v="0019"/>
    <x v="0"/>
    <x v="1"/>
    <x v="443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9.00-OUTROS SERVIÇOS DE TERCEIROS - PESSOA JURÍDICA"/>
    <x v="18"/>
    <x v="536"/>
    <n v="19758"/>
    <x v="0"/>
  </r>
  <r>
    <s v="36"/>
    <s v="001"/>
    <s v="08"/>
    <s v="244"/>
    <s v="0019"/>
    <x v="0"/>
    <x v="6"/>
    <x v="444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93.00-INDENIZAÇÕES E RESTITUIÇÕES"/>
    <x v="18"/>
    <x v="537"/>
    <n v="5550"/>
    <x v="0"/>
  </r>
  <r>
    <s v="36"/>
    <s v="001"/>
    <s v="08"/>
    <s v="244"/>
    <s v="0019"/>
    <x v="0"/>
    <x v="8"/>
    <x v="445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4.4.90.52.00-EQUIPAMENTOS E MATERIAL PERMANENTE"/>
    <x v="18"/>
    <x v="538"/>
    <n v="65994.323999999993"/>
    <x v="0"/>
  </r>
  <r>
    <s v="36"/>
    <s v="001"/>
    <s v="08"/>
    <s v="244"/>
    <s v="0019"/>
    <x v="0"/>
    <x v="8"/>
    <x v="445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4.4.90.52.00-EQUIPAMENTOS E MATERIAL PERMANENTE"/>
    <x v="18"/>
    <x v="539"/>
    <n v="31740.0504"/>
    <x v="0"/>
  </r>
  <r>
    <s v="36"/>
    <s v="001"/>
    <s v="08"/>
    <s v="244"/>
    <s v="0019"/>
    <x v="38"/>
    <x v="0"/>
    <x v="446"/>
    <x v="28"/>
    <s v="001-GABINETE DA SECRETARIA DA FAMÍLIA, CIDADANIA E SEGURANÇA ALIMENTAR"/>
    <s v="8-ASSISTÊNCIA SOCIAL"/>
    <s v="244-ASSISTÊNCIA COMUNITÁRIA"/>
    <s v="0019-Segurança Alimentar e Combate à Pobreza​"/>
    <s v="2.024-Distribuição de Alimentos e Benefícios para as Famílias em Situação de Vulnerabilidade"/>
    <s v="3.3.90.30.00-MATERIAL DE CONSUMO"/>
    <x v="18"/>
    <x v="540"/>
    <n v="66600"/>
    <x v="0"/>
  </r>
  <r>
    <s v="36"/>
    <s v="001"/>
    <s v="08"/>
    <s v="244"/>
    <s v="0019"/>
    <x v="38"/>
    <x v="16"/>
    <x v="447"/>
    <x v="28"/>
    <s v="001-GABINETE DA SECRETARIA DA FAMÍLIA, CIDADANIA E SEGURANÇA ALIMENTAR"/>
    <s v="8-ASSISTÊNCIA SOCIAL"/>
    <s v="244-ASSISTÊNCIA COMUNITÁRIA"/>
    <s v="0019-Segurança Alimentar e Combate à Pobreza​"/>
    <s v="2.024-Distribuição de Alimentos e Benefícios para as Famílias em Situação de Vulnerabilidade"/>
    <s v="3.3.90.32.00-MATERIAL, BEM OU SERVIÇO PARA DISTRIBUIÇÃO GRATUITA"/>
    <x v="18"/>
    <x v="541"/>
    <n v="27736.68"/>
    <x v="0"/>
  </r>
  <r>
    <s v="36"/>
    <s v="001"/>
    <s v="08"/>
    <s v="244"/>
    <s v="0019"/>
    <x v="38"/>
    <x v="16"/>
    <x v="447"/>
    <x v="28"/>
    <s v="001-GABINETE DA SECRETARIA DA FAMÍLIA, CIDADANIA E SEGURANÇA ALIMENTAR"/>
    <s v="8-ASSISTÊNCIA SOCIAL"/>
    <s v="244-ASSISTÊNCIA COMUNITÁRIA"/>
    <s v="0019-Segurança Alimentar e Combate à Pobreza​"/>
    <s v="2.024-Distribuição de Alimentos e Benefícios para as Famílias em Situação de Vulnerabilidade"/>
    <s v="3.3.90.32.00-MATERIAL, BEM OU SERVIÇO PARA DISTRIBUIÇÃO GRATUITA"/>
    <x v="18"/>
    <x v="542"/>
    <n v="61677.327599999997"/>
    <x v="0"/>
  </r>
  <r>
    <s v="36"/>
    <s v="001"/>
    <s v="08"/>
    <s v="244"/>
    <s v="0019"/>
    <x v="0"/>
    <x v="0"/>
    <x v="442"/>
    <x v="28"/>
    <s v="001-GABINETE DA SECRETARIA DA FAMÍLIA, CIDADANIA E SEGURANÇA ALIMENTAR"/>
    <s v="8-ASSISTÊNCIA SOCIAL"/>
    <s v="244-ASSISTÊNCIA COMUNITÁRIA"/>
    <s v="0019-Segurança Alimentar e Combate à Pobreza​"/>
    <s v="2.011-Manutenção de Equipamentos Públicos "/>
    <s v="3.3.90.30.00-MATERIAL DE CONSUMO"/>
    <x v="18"/>
    <x v="543"/>
    <n v="17331.919999999998"/>
    <x v="0"/>
  </r>
  <r>
    <s v="36"/>
    <s v="001"/>
    <s v="08"/>
    <s v="244"/>
    <s v="0019"/>
    <x v="5"/>
    <x v="1"/>
    <x v="448"/>
    <x v="28"/>
    <s v="001-GABINETE DA SECRETARIA DA FAMÍLIA, CIDADANIA E SEGURANÇA ALIMENTAR"/>
    <s v="8-ASSISTÊNCIA SOCIAL"/>
    <s v="244-ASSISTÊNCIA COMUNITÁRIA"/>
    <s v="0019-Segurança Alimentar e Combate à Pobreza​"/>
    <s v="1.002-Reforma e Ampliação de Unidades"/>
    <s v="3.3.90.39.00-OUTROS SERVIÇOS DE TERCEIROS - PESSOA JURÍDICA"/>
    <x v="18"/>
    <x v="544"/>
    <n v="50000"/>
    <x v="0"/>
  </r>
  <r>
    <s v="36"/>
    <s v="001"/>
    <s v="08"/>
    <s v="244"/>
    <s v="0019"/>
    <x v="5"/>
    <x v="1"/>
    <x v="448"/>
    <x v="28"/>
    <s v="001-GABINETE DA SECRETARIA DA FAMÍLIA, CIDADANIA E SEGURANÇA ALIMENTAR"/>
    <s v="8-ASSISTÊNCIA SOCIAL"/>
    <s v="244-ASSISTÊNCIA COMUNITÁRIA"/>
    <s v="0019-Segurança Alimentar e Combate à Pobreza​"/>
    <s v="1.002-Reforma e Ampliação de Unidades"/>
    <s v="3.3.90.39.00-OUTROS SERVIÇOS DE TERCEIROS - PESSOA JURÍDICA"/>
    <x v="18"/>
    <x v="545"/>
    <n v="12000"/>
    <x v="0"/>
  </r>
  <r>
    <s v="01"/>
    <s v="001"/>
    <s v="01"/>
    <s v="031"/>
    <s v="0003"/>
    <x v="49"/>
    <x v="25"/>
    <x v="449"/>
    <x v="29"/>
    <s v="001-CHEFIA DE GABINETE"/>
    <s v="01"/>
    <s v="031"/>
    <s v="0003"/>
    <s v="2.042"/>
    <e v="#N/A"/>
    <x v="18"/>
    <x v="0"/>
    <n v="1"/>
    <x v="1"/>
  </r>
  <r>
    <s v="01"/>
    <s v="001"/>
    <s v="01"/>
    <s v="031"/>
    <s v="0003"/>
    <x v="49"/>
    <x v="0"/>
    <x v="450"/>
    <x v="29"/>
    <s v="001-CHEFIA DE GABINETE"/>
    <e v="#N/A"/>
    <e v="#N/A"/>
    <e v="#N/A"/>
    <e v="#N/A"/>
    <s v="3.3.90.30.00-MATERIAL DE CONSUMO"/>
    <x v="18"/>
    <x v="0"/>
    <n v="1575000"/>
    <x v="1"/>
  </r>
  <r>
    <s v="01"/>
    <s v="001"/>
    <s v="01"/>
    <s v="031"/>
    <s v="0003"/>
    <x v="49"/>
    <x v="16"/>
    <x v="451"/>
    <x v="29"/>
    <s v="001-CHEFIA DE GABINETE"/>
    <e v="#N/A"/>
    <e v="#N/A"/>
    <e v="#N/A"/>
    <e v="#N/A"/>
    <s v="3.3.90.32.00-MATERIAL, BEM OU SERVIÇO PARA DISTRIBUIÇÃO GRATUITA"/>
    <x v="18"/>
    <x v="0"/>
    <n v="1"/>
    <x v="1"/>
  </r>
  <r>
    <s v="01"/>
    <s v="001"/>
    <s v="01"/>
    <s v="031"/>
    <s v="0003"/>
    <x v="49"/>
    <x v="7"/>
    <x v="452"/>
    <x v="29"/>
    <s v="001-CHEFIA DE GABINETE"/>
    <e v="#N/A"/>
    <e v="#N/A"/>
    <e v="#N/A"/>
    <e v="#N/A"/>
    <s v="3.3.90.33.00-PASSAGENS E DESPESAS COM LOCOMOÇÃO"/>
    <x v="18"/>
    <x v="0"/>
    <n v="1"/>
    <x v="1"/>
  </r>
  <r>
    <s v="01"/>
    <s v="001"/>
    <s v="01"/>
    <s v="031"/>
    <s v="0003"/>
    <x v="49"/>
    <x v="24"/>
    <x v="453"/>
    <x v="29"/>
    <s v="001-CHEFIA DE GABINETE"/>
    <e v="#N/A"/>
    <e v="#N/A"/>
    <e v="#N/A"/>
    <e v="#N/A"/>
    <s v="3.3.90.35.00-SERVIÇOS DE CONSULTORIA"/>
    <x v="18"/>
    <x v="0"/>
    <n v="1"/>
    <x v="1"/>
  </r>
  <r>
    <s v="01"/>
    <s v="001"/>
    <s v="01"/>
    <s v="031"/>
    <s v="0003"/>
    <x v="49"/>
    <x v="26"/>
    <x v="454"/>
    <x v="29"/>
    <s v="001-CHEFIA DE GABINETE"/>
    <e v="#N/A"/>
    <e v="#N/A"/>
    <e v="#N/A"/>
    <e v="#N/A"/>
    <e v="#N/A"/>
    <x v="18"/>
    <x v="0"/>
    <n v="1"/>
    <x v="1"/>
  </r>
  <r>
    <s v="01"/>
    <s v="001"/>
    <s v="01"/>
    <s v="031"/>
    <s v="0003"/>
    <x v="49"/>
    <x v="1"/>
    <x v="455"/>
    <x v="29"/>
    <s v="001-CHEFIA DE GABINETE"/>
    <e v="#N/A"/>
    <e v="#N/A"/>
    <e v="#N/A"/>
    <e v="#N/A"/>
    <s v="3.3.90.39.00-OUTROS SERVIÇOS DE TERCEIROS - PESSOA JURÍDICA"/>
    <x v="18"/>
    <x v="0"/>
    <n v="35000000"/>
    <x v="1"/>
  </r>
  <r>
    <s v="01"/>
    <s v="001"/>
    <s v="01"/>
    <s v="031"/>
    <s v="0003"/>
    <x v="49"/>
    <x v="5"/>
    <x v="456"/>
    <x v="29"/>
    <s v="001-CHEFIA DE GABINETE"/>
    <e v="#N/A"/>
    <e v="#N/A"/>
    <e v="#N/A"/>
    <e v="#N/A"/>
    <s v="3.3.90.40.00-SERVIÇOS DE TECNOLOGIA DA INFORMAÇÃO E COMUNICAÇÃO - PESSOA JURÍDICA"/>
    <x v="18"/>
    <x v="0"/>
    <n v="5000000"/>
    <x v="1"/>
  </r>
  <r>
    <s v="01"/>
    <s v="001"/>
    <s v="01"/>
    <s v="031"/>
    <s v="0003"/>
    <x v="49"/>
    <x v="27"/>
    <x v="457"/>
    <x v="29"/>
    <s v="001-CHEFIA DE GABINETE"/>
    <e v="#N/A"/>
    <e v="#N/A"/>
    <e v="#N/A"/>
    <e v="#N/A"/>
    <e v="#N/A"/>
    <x v="18"/>
    <x v="0"/>
    <n v="1"/>
    <x v="1"/>
  </r>
  <r>
    <s v="01"/>
    <s v="001"/>
    <s v="01"/>
    <s v="031"/>
    <s v="0003"/>
    <x v="49"/>
    <x v="15"/>
    <x v="458"/>
    <x v="29"/>
    <s v="001-CHEFIA DE GABINETE"/>
    <e v="#N/A"/>
    <e v="#N/A"/>
    <e v="#N/A"/>
    <e v="#N/A"/>
    <s v="3.3.90.48.00 - OUTROS AUXILIOS FINANCEIROS A PESSOAS FISICAS"/>
    <x v="18"/>
    <x v="0"/>
    <n v="189300"/>
    <x v="1"/>
  </r>
  <r>
    <s v="01"/>
    <s v="001"/>
    <s v="01"/>
    <s v="031"/>
    <s v="0003"/>
    <x v="49"/>
    <x v="9"/>
    <x v="459"/>
    <x v="29"/>
    <s v="001-CHEFIA DE GABINETE"/>
    <e v="#N/A"/>
    <e v="#N/A"/>
    <e v="#N/A"/>
    <e v="#N/A"/>
    <s v="3.3.90.92.00-DESPESAS DE EXERCÍCIOS ANTERIORES"/>
    <x v="18"/>
    <x v="0"/>
    <n v="1"/>
    <x v="1"/>
  </r>
  <r>
    <s v="01"/>
    <s v="001"/>
    <s v="01"/>
    <s v="031"/>
    <s v="0003"/>
    <x v="49"/>
    <x v="6"/>
    <x v="460"/>
    <x v="29"/>
    <s v="001-CHEFIA DE GABINETE"/>
    <e v="#N/A"/>
    <e v="#N/A"/>
    <e v="#N/A"/>
    <e v="#N/A"/>
    <s v="3.3.90.93.00-INDENIZAÇÕES E RESTITUIÇÕES"/>
    <x v="18"/>
    <x v="0"/>
    <n v="1"/>
    <x v="1"/>
  </r>
  <r>
    <s v="01"/>
    <s v="001"/>
    <s v="01"/>
    <s v="031"/>
    <s v="0003"/>
    <x v="49"/>
    <x v="4"/>
    <x v="461"/>
    <x v="29"/>
    <s v="001-CHEFIA DE GABINETE"/>
    <e v="#N/A"/>
    <e v="#N/A"/>
    <e v="#N/A"/>
    <e v="#N/A"/>
    <s v="4.4.50.52.00-EQUIPAMENTOS E MATERIAL PERMANENTE"/>
    <x v="18"/>
    <x v="0"/>
    <n v="2100000"/>
    <x v="1"/>
  </r>
  <r>
    <s v="01"/>
    <s v="001"/>
    <s v="01"/>
    <s v="031"/>
    <s v="0003"/>
    <x v="49"/>
    <x v="28"/>
    <x v="462"/>
    <x v="29"/>
    <s v="001-CHEFIA DE GABINETE"/>
    <e v="#N/A"/>
    <e v="#N/A"/>
    <e v="#N/A"/>
    <e v="#N/A"/>
    <e v="#N/A"/>
    <x v="18"/>
    <x v="0"/>
    <n v="1"/>
    <x v="1"/>
  </r>
  <r>
    <s v="02"/>
    <s v="001"/>
    <s v="04"/>
    <s v="122"/>
    <s v="0001"/>
    <x v="3"/>
    <x v="7"/>
    <x v="463"/>
    <x v="0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2"/>
    <s v="001"/>
    <s v="04"/>
    <s v="122"/>
    <s v="0001"/>
    <x v="3"/>
    <x v="1"/>
    <x v="464"/>
    <x v="0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02"/>
    <s v="001"/>
    <s v="04"/>
    <s v="122"/>
    <s v="0001"/>
    <x v="0"/>
    <x v="2"/>
    <x v="2"/>
    <x v="0"/>
    <s v="001-CHEFIA DE GABINETE"/>
    <s v="4-ADMINISTRAÇÃO"/>
    <s v="122-ADMINISTRAÇÃO GERAL"/>
    <s v="0001-Administração e Coordenação Geral​"/>
    <s v="2.011-Manutenção de Equipamentos Públicos "/>
    <s v="3.1.71.70.00-RATEIO PELA PARTICIPAÇÃO EM CONSÓRCIO PÚBLICO"/>
    <x v="18"/>
    <x v="0"/>
    <n v="580914.21675599995"/>
    <x v="1"/>
  </r>
  <r>
    <s v="02"/>
    <s v="001"/>
    <s v="04"/>
    <s v="122"/>
    <s v="0001"/>
    <x v="0"/>
    <x v="3"/>
    <x v="3"/>
    <x v="0"/>
    <s v="001-CHEFIA DE GABINETE"/>
    <s v="4-ADMINISTRAÇÃO"/>
    <s v="122-ADMINISTRAÇÃO GERAL"/>
    <s v="0001-Administração e Coordenação Geral​"/>
    <s v="2.011-Manutenção de Equipamentos Públicos "/>
    <s v="3.3.71.70.00-RATEIO PELA PARTICIPAÇÃO EM CONSÓRCIO PÚBLICO"/>
    <x v="18"/>
    <x v="0"/>
    <n v="2323656.6176400003"/>
    <x v="1"/>
  </r>
  <r>
    <s v="02"/>
    <s v="001"/>
    <s v="04"/>
    <s v="122"/>
    <s v="0001"/>
    <x v="0"/>
    <x v="0"/>
    <x v="0"/>
    <x v="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84686.65"/>
    <x v="1"/>
  </r>
  <r>
    <s v="02"/>
    <s v="001"/>
    <s v="04"/>
    <s v="122"/>
    <s v="0001"/>
    <x v="0"/>
    <x v="1"/>
    <x v="1"/>
    <x v="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323037.1434"/>
    <x v="1"/>
  </r>
  <r>
    <s v="02"/>
    <s v="001"/>
    <s v="04"/>
    <s v="131"/>
    <s v="0002"/>
    <x v="4"/>
    <x v="0"/>
    <x v="465"/>
    <x v="0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5195.5"/>
    <x v="1"/>
  </r>
  <r>
    <s v="02"/>
    <s v="001"/>
    <s v="04"/>
    <s v="131"/>
    <s v="0002"/>
    <x v="4"/>
    <x v="1"/>
    <x v="466"/>
    <x v="0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55072.260900000001"/>
    <x v="1"/>
  </r>
  <r>
    <s v="02"/>
    <s v="006"/>
    <s v="04"/>
    <s v="122"/>
    <s v="0018"/>
    <x v="0"/>
    <x v="0"/>
    <x v="467"/>
    <x v="0"/>
    <s v="006-HOSPITAL E MATERNIDADE MUNICIPAL AMADOR AGUIAR"/>
    <s v="4-ADMINISTRAÇÃO"/>
    <s v="122-ADMINISTRAÇÃO GERAL"/>
    <s v="0018-Proteção Social e Garantia de Direitos​"/>
    <s v="2.011-Manutenção de Equipamentos Públicos "/>
    <s v="3.3.90.30.00-MATERIAL DE CONSUMO"/>
    <x v="18"/>
    <x v="0"/>
    <n v="25977.5"/>
    <x v="1"/>
  </r>
  <r>
    <s v="02"/>
    <s v="006"/>
    <s v="04"/>
    <s v="122"/>
    <s v="0018"/>
    <x v="0"/>
    <x v="1"/>
    <x v="468"/>
    <x v="0"/>
    <s v="006-HOSPITAL E MATERNIDADE MUNICIPAL AMADOR AGUIAR"/>
    <s v="4-ADMINISTRAÇÃO"/>
    <s v="122-ADMINISTRAÇÃO GERAL"/>
    <s v="0018-Proteção Social e Garantia de Direitos​"/>
    <s v="2.011-Manutenção de Equipamentos Públicos "/>
    <s v="3.3.90.39.00-OUTROS SERVIÇOS DE TERCEIROS - PESSOA JURÍDICA"/>
    <x v="18"/>
    <x v="0"/>
    <n v="5097.75"/>
    <x v="1"/>
  </r>
  <r>
    <s v="02"/>
    <s v="006"/>
    <s v="04"/>
    <s v="131"/>
    <s v="0002"/>
    <x v="4"/>
    <x v="0"/>
    <x v="469"/>
    <x v="0"/>
    <s v="006-HOSPITAL E MATERNIDADE MUNICIPAL AMADOR AGUIAR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0391"/>
    <x v="1"/>
  </r>
  <r>
    <s v="02"/>
    <s v="006"/>
    <s v="04"/>
    <s v="131"/>
    <s v="0002"/>
    <x v="4"/>
    <x v="1"/>
    <x v="470"/>
    <x v="0"/>
    <s v="006-HOSPITAL E MATERNIDADE MUNICIPAL AMADOR AGUIAR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72741.95"/>
    <x v="1"/>
  </r>
  <r>
    <s v="02"/>
    <s v="006"/>
    <s v="04"/>
    <s v="244"/>
    <s v="0019"/>
    <x v="38"/>
    <x v="16"/>
    <x v="471"/>
    <x v="0"/>
    <s v="006-HOSPITAL E MATERNIDADE MUNICIPAL AMADOR AGUIAR"/>
    <s v="4-ADMINISTRAÇÃO"/>
    <s v="244-ASSISTÊNCIA COMUNITÁRIA"/>
    <s v="0019-Segurança Alimentar e Combate à Pobreza​"/>
    <s v="2.024-Distribuição de Alimentos e Benefícios para as Famílias em Situação de Vulnerabilidade"/>
    <s v="3.3.90.32.00-MATERIAL, BEM OU SERVIÇO PARA DISTRIBUIÇÃO GRATUITA"/>
    <x v="18"/>
    <x v="0"/>
    <n v="10390.9609"/>
    <x v="1"/>
  </r>
  <r>
    <s v="02"/>
    <s v="006"/>
    <s v="08"/>
    <s v="244"/>
    <s v="0019"/>
    <x v="38"/>
    <x v="16"/>
    <x v="472"/>
    <x v="0"/>
    <s v="006-HOSPITAL E MATERNIDADE MUNICIPAL AMADOR AGUIAR"/>
    <s v="8-ASSISTÊNCIA SOCIAL"/>
    <s v="244-ASSISTÊNCIA COMUNITÁRIA"/>
    <s v="0019-Segurança Alimentar e Combate à Pobreza​"/>
    <s v="2.024-Distribuição de Alimentos e Benefícios para as Famílias em Situação de Vulnerabilidade"/>
    <s v="3.3.90.32.00-MATERIAL, BEM OU SERVIÇO PARA DISTRIBUIÇÃO GRATUITA"/>
    <x v="18"/>
    <x v="0"/>
    <n v="5980020.3436000012"/>
    <x v="1"/>
  </r>
  <r>
    <s v="02"/>
    <s v="006"/>
    <s v="08"/>
    <s v="334"/>
    <s v="0017"/>
    <x v="7"/>
    <x v="0"/>
    <x v="473"/>
    <x v="0"/>
    <s v="006-HOSPITAL E MATERNIDADE MUNICIPAL AMADOR AGUIAR"/>
    <s v="8-ASSISTÊNCIA SOCIAL"/>
    <s v="334-FOMENTO AO TRABALHO"/>
    <s v="0017-Trabalho, Emprego e Renda​"/>
    <s v="2.004-Qualificação Socioprofissional "/>
    <s v="3.3.90.30.00-MATERIAL DE CONSUMO"/>
    <x v="18"/>
    <x v="0"/>
    <n v="124692"/>
    <x v="1"/>
  </r>
  <r>
    <s v="02"/>
    <s v="006"/>
    <s v="08"/>
    <s v="334"/>
    <s v="0017"/>
    <x v="7"/>
    <x v="4"/>
    <x v="474"/>
    <x v="0"/>
    <s v="006-HOSPITAL E MATERNIDADE MUNICIPAL AMADOR AGUIAR"/>
    <s v="8-ASSISTÊNCIA SOCIAL"/>
    <s v="334-FOMENTO AO TRABALHO"/>
    <s v="0017-Trabalho, Emprego e Renda​"/>
    <s v="2.004-Qualificação Socioprofissional "/>
    <s v="4.4.50.52.00-EQUIPAMENTOS E MATERIAL PERMANENTE"/>
    <x v="18"/>
    <x v="0"/>
    <n v="0"/>
    <x v="1"/>
  </r>
  <r>
    <s v="02"/>
    <s v="012"/>
    <s v="04"/>
    <s v="122"/>
    <s v="0001"/>
    <x v="0"/>
    <x v="0"/>
    <x v="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0.00-MATERIAL DE CONSUMO"/>
    <x v="18"/>
    <x v="0"/>
    <n v="595112.22739999997"/>
    <x v="1"/>
  </r>
  <r>
    <s v="02"/>
    <s v="012"/>
    <s v="04"/>
    <s v="122"/>
    <s v="0001"/>
    <x v="0"/>
    <x v="8"/>
    <x v="475"/>
    <x v="0"/>
    <s v="012-FUNDO ESPECIAL DE MANUTENÇÃO DOS BOMBEIROS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04"/>
    <s v="001"/>
    <s v="04"/>
    <s v="122"/>
    <s v="0001"/>
    <x v="3"/>
    <x v="7"/>
    <x v="476"/>
    <x v="1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4"/>
    <s v="001"/>
    <s v="04"/>
    <s v="122"/>
    <s v="0001"/>
    <x v="3"/>
    <x v="1"/>
    <x v="477"/>
    <x v="1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04"/>
    <s v="001"/>
    <s v="04"/>
    <s v="122"/>
    <s v="0001"/>
    <x v="3"/>
    <x v="6"/>
    <x v="478"/>
    <x v="1"/>
    <s v="001-CHEFIA DE GABINETE"/>
    <s v="4-ADMINISTRAÇÃO"/>
    <s v="122-ADMINISTRAÇÃO GERAL"/>
    <s v="0001-Administração e Coordenação Geral​"/>
    <s v="2.006-Representações Oficiais "/>
    <s v="3.3.90.93.00-INDENIZAÇÕES E RESTITUIÇÕES"/>
    <x v="18"/>
    <x v="0"/>
    <n v="1"/>
    <x v="1"/>
  </r>
  <r>
    <s v="04"/>
    <s v="001"/>
    <s v="04"/>
    <s v="122"/>
    <s v="0001"/>
    <x v="0"/>
    <x v="0"/>
    <x v="14"/>
    <x v="1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92999.45"/>
    <x v="1"/>
  </r>
  <r>
    <s v="04"/>
    <s v="001"/>
    <s v="04"/>
    <s v="122"/>
    <s v="0001"/>
    <x v="0"/>
    <x v="1"/>
    <x v="10"/>
    <x v="1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37407.600000000006"/>
    <x v="1"/>
  </r>
  <r>
    <s v="04"/>
    <s v="001"/>
    <s v="04"/>
    <s v="126"/>
    <s v="0002"/>
    <x v="1"/>
    <x v="1"/>
    <x v="9"/>
    <x v="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60000"/>
    <x v="1"/>
  </r>
  <r>
    <s v="04"/>
    <s v="001"/>
    <s v="04"/>
    <s v="126"/>
    <s v="0002"/>
    <x v="1"/>
    <x v="5"/>
    <x v="8"/>
    <x v="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34027690"/>
    <x v="1"/>
  </r>
  <r>
    <s v="04"/>
    <s v="001"/>
    <s v="04"/>
    <s v="128"/>
    <s v="0002"/>
    <x v="2"/>
    <x v="1"/>
    <x v="479"/>
    <x v="1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04"/>
    <s v="001"/>
    <s v="04"/>
    <s v="131"/>
    <s v="0002"/>
    <x v="4"/>
    <x v="1"/>
    <x v="480"/>
    <x v="1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0391"/>
    <x v="1"/>
  </r>
  <r>
    <s v="05"/>
    <s v="001"/>
    <s v="04"/>
    <s v="122"/>
    <s v="0001"/>
    <x v="4"/>
    <x v="0"/>
    <x v="481"/>
    <x v="2"/>
    <s v="001-CHEFIA DE GABINETE"/>
    <s v="4-ADMINISTRAÇÃO"/>
    <s v="122-ADMINISTRAÇÃO GERAL"/>
    <s v="0001-Administração e Coordenação Geral​"/>
    <s v="2.005-Promoção de Eventos, Comunicação e Participação Social "/>
    <s v="3.3.90.30.00-MATERIAL DE CONSUMO"/>
    <x v="18"/>
    <x v="0"/>
    <n v="1"/>
    <x v="1"/>
  </r>
  <r>
    <s v="05"/>
    <s v="001"/>
    <s v="04"/>
    <s v="122"/>
    <s v="0001"/>
    <x v="4"/>
    <x v="1"/>
    <x v="482"/>
    <x v="2"/>
    <s v="001-CHEFIA DE GABINETE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18"/>
    <x v="0"/>
    <n v="1"/>
    <x v="1"/>
  </r>
  <r>
    <s v="05"/>
    <s v="001"/>
    <s v="04"/>
    <s v="122"/>
    <s v="0001"/>
    <x v="3"/>
    <x v="7"/>
    <x v="483"/>
    <x v="2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5"/>
    <s v="001"/>
    <s v="04"/>
    <s v="122"/>
    <s v="0001"/>
    <x v="3"/>
    <x v="1"/>
    <x v="484"/>
    <x v="2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05"/>
    <s v="001"/>
    <s v="04"/>
    <s v="122"/>
    <s v="0001"/>
    <x v="0"/>
    <x v="0"/>
    <x v="15"/>
    <x v="2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104949.1"/>
    <x v="1"/>
  </r>
  <r>
    <s v="05"/>
    <s v="001"/>
    <s v="04"/>
    <s v="122"/>
    <s v="0001"/>
    <x v="0"/>
    <x v="10"/>
    <x v="485"/>
    <x v="2"/>
    <s v="001-CHEFIA DE GABINETE"/>
    <s v="4-ADMINISTRAÇÃO"/>
    <s v="122-ADMINISTRAÇÃO GERAL"/>
    <s v="0001-Administração e Coordenação Geral​"/>
    <s v="2.011-Manutenção de Equipamentos Públicos "/>
    <s v="3.3.90.36.00-OUTROS SERVIÇOS DE TERCEIROS - PESSOA FÍSICA"/>
    <x v="18"/>
    <x v="0"/>
    <n v="103910"/>
    <x v="1"/>
  </r>
  <r>
    <s v="05"/>
    <s v="001"/>
    <s v="04"/>
    <s v="122"/>
    <s v="0001"/>
    <x v="0"/>
    <x v="1"/>
    <x v="16"/>
    <x v="2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2530553.0163699999"/>
    <x v="1"/>
  </r>
  <r>
    <s v="05"/>
    <s v="001"/>
    <s v="04"/>
    <s v="126"/>
    <s v="0002"/>
    <x v="1"/>
    <x v="5"/>
    <x v="17"/>
    <x v="2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356977.6"/>
    <x v="1"/>
  </r>
  <r>
    <s v="05"/>
    <s v="001"/>
    <s v="04"/>
    <s v="128"/>
    <s v="0002"/>
    <x v="2"/>
    <x v="1"/>
    <x v="486"/>
    <x v="2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05"/>
    <s v="001"/>
    <s v="04"/>
    <s v="131"/>
    <s v="0002"/>
    <x v="4"/>
    <x v="1"/>
    <x v="487"/>
    <x v="2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"/>
    <x v="1"/>
  </r>
  <r>
    <s v="06"/>
    <s v="001"/>
    <s v="04"/>
    <s v="122"/>
    <s v="0001"/>
    <x v="3"/>
    <x v="7"/>
    <x v="488"/>
    <x v="3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6"/>
    <s v="001"/>
    <s v="04"/>
    <s v="122"/>
    <s v="0001"/>
    <x v="3"/>
    <x v="1"/>
    <x v="489"/>
    <x v="3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0"/>
    <x v="1"/>
  </r>
  <r>
    <s v="06"/>
    <s v="001"/>
    <s v="04"/>
    <s v="122"/>
    <s v="0001"/>
    <x v="0"/>
    <x v="11"/>
    <x v="490"/>
    <x v="3"/>
    <s v="001-CHEFIA DE GABINETE"/>
    <s v="4-ADMINISTRAÇÃO"/>
    <s v="122-ADMINISTRAÇÃO GERAL"/>
    <s v="0001-Administração e Coordenação Geral​"/>
    <s v="2.011-Manutenção de Equipamentos Públicos "/>
    <s v="3.3.50.39.00-OUTROS SERVIÇOS DE TERCEIROS - PESSOA JURÍDICA"/>
    <x v="18"/>
    <x v="0"/>
    <n v="0"/>
    <x v="1"/>
  </r>
  <r>
    <s v="06"/>
    <s v="001"/>
    <s v="04"/>
    <s v="122"/>
    <s v="0001"/>
    <x v="0"/>
    <x v="0"/>
    <x v="19"/>
    <x v="3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197429"/>
    <x v="1"/>
  </r>
  <r>
    <s v="06"/>
    <s v="001"/>
    <s v="04"/>
    <s v="122"/>
    <s v="0001"/>
    <x v="0"/>
    <x v="1"/>
    <x v="21"/>
    <x v="3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12924068.060899999"/>
    <x v="1"/>
  </r>
  <r>
    <s v="06"/>
    <s v="001"/>
    <s v="04"/>
    <s v="126"/>
    <s v="0002"/>
    <x v="1"/>
    <x v="1"/>
    <x v="491"/>
    <x v="3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1528594"/>
    <x v="1"/>
  </r>
  <r>
    <s v="06"/>
    <s v="001"/>
    <s v="04"/>
    <s v="128"/>
    <s v="0002"/>
    <x v="2"/>
    <x v="10"/>
    <x v="492"/>
    <x v="3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0"/>
    <x v="1"/>
  </r>
  <r>
    <s v="06"/>
    <s v="001"/>
    <s v="04"/>
    <s v="128"/>
    <s v="0002"/>
    <x v="2"/>
    <x v="1"/>
    <x v="493"/>
    <x v="3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0"/>
    <x v="1"/>
  </r>
  <r>
    <s v="06"/>
    <s v="001"/>
    <s v="04"/>
    <s v="131"/>
    <s v="0002"/>
    <x v="4"/>
    <x v="0"/>
    <x v="494"/>
    <x v="3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039.0999999999999"/>
    <x v="1"/>
  </r>
  <r>
    <s v="06"/>
    <s v="001"/>
    <s v="04"/>
    <s v="131"/>
    <s v="0002"/>
    <x v="4"/>
    <x v="1"/>
    <x v="495"/>
    <x v="3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67236.5"/>
    <x v="1"/>
  </r>
  <r>
    <s v="06"/>
    <s v="011"/>
    <s v="04"/>
    <s v="128"/>
    <s v="0002"/>
    <x v="2"/>
    <x v="1"/>
    <x v="25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0"/>
    <x v="1"/>
  </r>
  <r>
    <s v="07"/>
    <s v="001"/>
    <s v="04"/>
    <s v="122"/>
    <s v="0001"/>
    <x v="3"/>
    <x v="7"/>
    <x v="28"/>
    <x v="4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7"/>
    <s v="001"/>
    <s v="04"/>
    <s v="122"/>
    <s v="0001"/>
    <x v="3"/>
    <x v="1"/>
    <x v="29"/>
    <x v="4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07"/>
    <s v="001"/>
    <s v="04"/>
    <s v="128"/>
    <s v="0002"/>
    <x v="2"/>
    <x v="10"/>
    <x v="496"/>
    <x v="4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07"/>
    <s v="001"/>
    <s v="04"/>
    <s v="128"/>
    <s v="0002"/>
    <x v="2"/>
    <x v="1"/>
    <x v="497"/>
    <x v="4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07"/>
    <s v="001"/>
    <s v="04"/>
    <s v="131"/>
    <s v="0002"/>
    <x v="4"/>
    <x v="0"/>
    <x v="498"/>
    <x v="4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597.75"/>
    <x v="1"/>
  </r>
  <r>
    <s v="07"/>
    <s v="001"/>
    <s v="04"/>
    <s v="131"/>
    <s v="0002"/>
    <x v="4"/>
    <x v="1"/>
    <x v="499"/>
    <x v="4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8313.7999999999993"/>
    <x v="1"/>
  </r>
  <r>
    <s v="07"/>
    <s v="001"/>
    <s v="11"/>
    <s v="122"/>
    <s v="0017"/>
    <x v="0"/>
    <x v="0"/>
    <x v="500"/>
    <x v="4"/>
    <s v="001-CHEFIA DE GABINETE"/>
    <s v="11-TRABALHO"/>
    <s v="122-ADMINISTRAÇÃO GERAL"/>
    <s v="0017-Trabalho, Emprego e Renda​"/>
    <s v="2.011-Manutenção de Equipamentos Públicos "/>
    <s v="3.3.90.30.00-MATERIAL DE CONSUMO"/>
    <x v="18"/>
    <x v="0"/>
    <n v="49392.579400000002"/>
    <x v="1"/>
  </r>
  <r>
    <s v="07"/>
    <s v="001"/>
    <s v="11"/>
    <s v="122"/>
    <s v="0017"/>
    <x v="0"/>
    <x v="1"/>
    <x v="501"/>
    <x v="4"/>
    <s v="001-CHEFIA DE GABINETE"/>
    <s v="11-TRABALHO"/>
    <s v="122-ADMINISTRAÇÃO GERAL"/>
    <s v="0017-Trabalho, Emprego e Renda​"/>
    <s v="2.011-Manutenção de Equipamentos Públicos "/>
    <s v="3.3.90.39.00-OUTROS SERVIÇOS DE TERCEIROS - PESSOA JURÍDICA"/>
    <x v="18"/>
    <x v="0"/>
    <n v="4156.3999999999996"/>
    <x v="1"/>
  </r>
  <r>
    <s v="07"/>
    <s v="001"/>
    <s v="11"/>
    <s v="333"/>
    <s v="0017"/>
    <x v="6"/>
    <x v="1"/>
    <x v="39"/>
    <x v="4"/>
    <s v="001-CHEFIA DE GABINETE"/>
    <s v="11-TRABALHO"/>
    <s v="333-EMPREGABILIDADE"/>
    <s v="0017-Trabalho, Emprego e Renda​"/>
    <s v="2.027-Intermediação Profissional "/>
    <s v="3.3.90.39.00-OUTROS SERVIÇOS DE TERCEIROS - PESSOA JURÍDICA"/>
    <x v="18"/>
    <x v="0"/>
    <n v="15189078.619999999"/>
    <x v="1"/>
  </r>
  <r>
    <s v="07"/>
    <s v="001"/>
    <s v="11"/>
    <s v="334"/>
    <s v="0017"/>
    <x v="7"/>
    <x v="11"/>
    <x v="502"/>
    <x v="4"/>
    <s v="001-CHEFIA DE GABINETE"/>
    <s v="11-TRABALHO"/>
    <s v="334-FOMENTO AO TRABALHO"/>
    <s v="0017-Trabalho, Emprego e Renda​"/>
    <s v="2.004-Qualificação Socioprofissional "/>
    <s v="3.3.50.39.00-OUTROS SERVIÇOS DE TERCEIROS - PESSOA JURÍDICA"/>
    <x v="18"/>
    <x v="0"/>
    <n v="2834440"/>
    <x v="1"/>
  </r>
  <r>
    <s v="07"/>
    <s v="001"/>
    <s v="11"/>
    <s v="334"/>
    <s v="0017"/>
    <x v="7"/>
    <x v="0"/>
    <x v="503"/>
    <x v="4"/>
    <s v="001-CHEFIA DE GABINETE"/>
    <s v="11-TRABALHO"/>
    <s v="334-FOMENTO AO TRABALHO"/>
    <s v="0017-Trabalho, Emprego e Renda​"/>
    <s v="2.004-Qualificação Socioprofissional "/>
    <s v="3.3.90.30.00-MATERIAL DE CONSUMO"/>
    <x v="18"/>
    <x v="0"/>
    <n v="5195.5"/>
    <x v="1"/>
  </r>
  <r>
    <s v="07"/>
    <s v="001"/>
    <s v="11"/>
    <s v="334"/>
    <s v="0017"/>
    <x v="7"/>
    <x v="1"/>
    <x v="504"/>
    <x v="4"/>
    <s v="001-CHEFIA DE GABINETE"/>
    <s v="11-TRABALHO"/>
    <s v="334-FOMENTO AO TRABALHO"/>
    <s v="0017-Trabalho, Emprego e Renda​"/>
    <s v="2.004-Qualificação Socioprofissional "/>
    <s v="3.3.90.39.00-OUTROS SERVIÇOS DE TERCEIROS - PESSOA JURÍDICA"/>
    <x v="18"/>
    <x v="0"/>
    <n v="1"/>
    <x v="1"/>
  </r>
  <r>
    <s v="07"/>
    <s v="001"/>
    <s v="11"/>
    <s v="334"/>
    <s v="0017"/>
    <x v="9"/>
    <x v="15"/>
    <x v="505"/>
    <x v="4"/>
    <s v="001-CHEFIA DE GABINETE"/>
    <s v="11-TRABALHO"/>
    <s v="334-FOMENTO AO TRABALHO"/>
    <s v="0017-Trabalho, Emprego e Renda​"/>
    <s v="2.025-Auxílio para Inclusão no Mercado de Trabalho "/>
    <s v="3.3.90.48.00 - OUTROS AUXILIOS FINANCEIROS A PESSOAS FISICAS"/>
    <x v="18"/>
    <x v="0"/>
    <n v="32967846.781900004"/>
    <x v="1"/>
  </r>
  <r>
    <s v="07"/>
    <s v="001"/>
    <s v="11"/>
    <s v="334"/>
    <s v="0017"/>
    <x v="8"/>
    <x v="0"/>
    <x v="44"/>
    <x v="4"/>
    <s v="001-CHEFIA DE GABINETE"/>
    <s v="11-TRABALHO"/>
    <s v="334-FOMENTO AO TRABALHO"/>
    <s v="0017-Trabalho, Emprego e Renda​"/>
    <s v="2.033-Fortalecimento da Economia Criativa e Solidária "/>
    <s v="3.3.90.30.00-MATERIAL DE CONSUMO"/>
    <x v="18"/>
    <x v="0"/>
    <n v="5195.5"/>
    <x v="1"/>
  </r>
  <r>
    <s v="07"/>
    <s v="001"/>
    <s v="11"/>
    <s v="334"/>
    <s v="0017"/>
    <x v="8"/>
    <x v="1"/>
    <x v="45"/>
    <x v="4"/>
    <s v="001-CHEFIA DE GABINETE"/>
    <s v="11-TRABALHO"/>
    <s v="334-FOMENTO AO TRABALHO"/>
    <s v="0017-Trabalho, Emprego e Renda​"/>
    <s v="2.033-Fortalecimento da Economia Criativa e Solidária "/>
    <s v="3.3.90.39.00-OUTROS SERVIÇOS DE TERCEIROS - PESSOA JURÍDICA"/>
    <x v="18"/>
    <x v="0"/>
    <n v="6235.6391000000003"/>
    <x v="1"/>
  </r>
  <r>
    <s v="07"/>
    <s v="001"/>
    <s v="11"/>
    <s v="334"/>
    <s v="0017"/>
    <x v="8"/>
    <x v="8"/>
    <x v="46"/>
    <x v="4"/>
    <s v="001-CHEFIA DE GABINETE"/>
    <s v="11-TRABALHO"/>
    <s v="334-FOMENTO AO TRABALHO"/>
    <s v="0017-Trabalho, Emprego e Renda​"/>
    <s v="2.033-Fortalecimento da Economia Criativa e Solidária "/>
    <s v="4.4.90.52.00-EQUIPAMENTOS E MATERIAL PERMANENTE"/>
    <x v="18"/>
    <x v="0"/>
    <n v="2078.1999999999998"/>
    <x v="1"/>
  </r>
  <r>
    <s v="07"/>
    <s v="005"/>
    <s v="11"/>
    <s v="333"/>
    <s v="0017"/>
    <x v="6"/>
    <x v="1"/>
    <x v="506"/>
    <x v="4"/>
    <s v="005-FUNDO MUNICIPAL DE ASSISTÊNCIA SOCIAL"/>
    <s v="11-TRABALHO"/>
    <s v="333-EMPREGABILIDADE"/>
    <s v="0017-Trabalho, Emprego e Renda​"/>
    <s v="2.027-Intermediação Profissional "/>
    <s v="3.3.90.39.00-OUTROS SERVIÇOS DE TERCEIROS - PESSOA JURÍDICA"/>
    <x v="18"/>
    <x v="0"/>
    <n v="1"/>
    <x v="1"/>
  </r>
  <r>
    <s v="08"/>
    <s v="001"/>
    <s v="04"/>
    <s v="131"/>
    <s v="0002"/>
    <x v="4"/>
    <x v="0"/>
    <x v="507"/>
    <x v="5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354100"/>
    <x v="1"/>
  </r>
  <r>
    <s v="08"/>
    <s v="001"/>
    <s v="04"/>
    <s v="131"/>
    <s v="0002"/>
    <x v="4"/>
    <x v="1"/>
    <x v="508"/>
    <x v="5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0"/>
    <x v="1"/>
  </r>
  <r>
    <s v="08"/>
    <s v="001"/>
    <s v="12"/>
    <s v="122"/>
    <s v="0001"/>
    <x v="3"/>
    <x v="7"/>
    <x v="65"/>
    <x v="5"/>
    <s v="001-CHEFIA DE GABINETE"/>
    <s v="12-EDUC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08"/>
    <s v="001"/>
    <s v="12"/>
    <s v="122"/>
    <s v="0001"/>
    <x v="3"/>
    <x v="1"/>
    <x v="66"/>
    <x v="5"/>
    <s v="001-CHEFIA DE GABINETE"/>
    <s v="12-EDUC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08"/>
    <s v="001"/>
    <s v="12"/>
    <s v="122"/>
    <s v="0001"/>
    <x v="12"/>
    <x v="1"/>
    <x v="69"/>
    <x v="5"/>
    <s v="001-CHEFIA DE GABINETE"/>
    <s v="12-EDUCAÇÃO"/>
    <s v="122-ADMINISTRAÇÃO GERAL"/>
    <s v="0001-Administração e Coordenação Geral​"/>
    <s v="2.008-Estágio e Aprendizagem"/>
    <s v="3.3.90.39.00-OUTROS SERVIÇOS DE TERCEIROS - PESSOA JURÍDICA"/>
    <x v="18"/>
    <x v="0"/>
    <n v="493440"/>
    <x v="1"/>
  </r>
  <r>
    <s v="08"/>
    <s v="001"/>
    <s v="12"/>
    <s v="122"/>
    <s v="0001"/>
    <x v="12"/>
    <x v="15"/>
    <x v="70"/>
    <x v="5"/>
    <s v="001-CHEFIA DE GABINETE"/>
    <s v="12-EDUCAÇÃO"/>
    <s v="122-ADMINISTRAÇÃO GERAL"/>
    <s v="0001-Administração e Coordenação Geral​"/>
    <s v="2.008-Estágio e Aprendizagem"/>
    <s v="3.3.90.48.00 - OUTROS AUXILIOS FINANCEIROS A PESSOAS FISICAS"/>
    <x v="18"/>
    <x v="0"/>
    <n v="16964195.190000001"/>
    <x v="1"/>
  </r>
  <r>
    <s v="08"/>
    <s v="001"/>
    <s v="12"/>
    <s v="122"/>
    <s v="0001"/>
    <x v="0"/>
    <x v="11"/>
    <x v="509"/>
    <x v="5"/>
    <s v="001-CHEFIA DE GABINETE"/>
    <s v="12-EDUCAÇÃO"/>
    <s v="122-ADMINISTRAÇÃO GERAL"/>
    <s v="0001-Administração e Coordenação Geral​"/>
    <s v="2.011-Manutenção de Equipamentos Públicos "/>
    <s v="3.3.50.39.00-OUTROS SERVIÇOS DE TERCEIROS - PESSOA JURÍDICA"/>
    <x v="18"/>
    <x v="0"/>
    <n v="0"/>
    <x v="1"/>
  </r>
  <r>
    <s v="08"/>
    <s v="001"/>
    <s v="12"/>
    <s v="122"/>
    <s v="0001"/>
    <x v="0"/>
    <x v="0"/>
    <x v="72"/>
    <x v="5"/>
    <s v="001-CHEFIA DE GABINETE"/>
    <s v="12-EDUCAÇÃO"/>
    <s v="122-ADMINISTRAÇÃO GERAL"/>
    <s v="0001-Administração e Coordenação Geral​"/>
    <s v="2.011-Manutenção de Equipamentos Públicos "/>
    <s v="3.3.90.30.00-MATERIAL DE CONSUMO"/>
    <x v="18"/>
    <x v="0"/>
    <n v="768464.32679999992"/>
    <x v="1"/>
  </r>
  <r>
    <s v="08"/>
    <s v="001"/>
    <s v="12"/>
    <s v="122"/>
    <s v="0001"/>
    <x v="0"/>
    <x v="1"/>
    <x v="73"/>
    <x v="5"/>
    <s v="001-CHEFIA DE GABINETE"/>
    <s v="12-EDUC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819006.82"/>
    <x v="1"/>
  </r>
  <r>
    <s v="08"/>
    <s v="001"/>
    <s v="12"/>
    <s v="122"/>
    <s v="0001"/>
    <x v="0"/>
    <x v="8"/>
    <x v="75"/>
    <x v="5"/>
    <s v="001-CHEFIA DE GABINETE"/>
    <s v="12-EDUCAÇÃO"/>
    <s v="122-ADMINISTRAÇÃO GERAL"/>
    <s v="0001-Administração e Coordenação Geral​"/>
    <s v="2.011-Manutenção de Equipamentos Públicos "/>
    <s v="4.4.90.52.00-EQUIPAMENTOS E MATERIAL PERMANENTE"/>
    <x v="18"/>
    <x v="0"/>
    <n v="350801.16"/>
    <x v="1"/>
  </r>
  <r>
    <s v="08"/>
    <s v="001"/>
    <s v="12"/>
    <s v="122"/>
    <s v="0002"/>
    <x v="2"/>
    <x v="10"/>
    <x v="58"/>
    <x v="5"/>
    <s v="001-CHEFIA DE GABINETE"/>
    <s v="12-EDUCAÇÃO"/>
    <s v="122-ADMINISTRAÇÃO GERAL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08"/>
    <s v="001"/>
    <s v="12"/>
    <s v="122"/>
    <s v="0002"/>
    <x v="2"/>
    <x v="1"/>
    <x v="59"/>
    <x v="5"/>
    <s v="001-CHEFIA DE GABINETE"/>
    <s v="12-EDUCAÇÃO"/>
    <s v="122-ADMINISTRAÇÃO GERAL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08"/>
    <s v="001"/>
    <s v="12"/>
    <s v="122"/>
    <s v="0002"/>
    <x v="4"/>
    <x v="14"/>
    <x v="62"/>
    <x v="5"/>
    <s v="001-CHEFIA DE GABINETE"/>
    <s v="12-EDUCAÇÃO"/>
    <s v="122-ADMINISTRAÇÃO GERAL"/>
    <s v="0002-Governo Inteligente, Aberto e Inovador​"/>
    <s v="2.005-Promoção de Eventos, Comunicação e Participação Social "/>
    <s v="3.3.90.31.00-PREMIAÇÕES CULTURAIS, ARTÍSTICAS, CIENTÍFICAS, DESPORTIVAS E OUTRAS"/>
    <x v="18"/>
    <x v="0"/>
    <n v="305495.40000000002"/>
    <x v="1"/>
  </r>
  <r>
    <s v="08"/>
    <s v="001"/>
    <s v="12"/>
    <s v="122"/>
    <s v="0016"/>
    <x v="15"/>
    <x v="11"/>
    <x v="510"/>
    <x v="5"/>
    <s v="001-CHEFIA DE GABINETE"/>
    <s v="12-EDUCAÇÃO"/>
    <s v="122-ADMINISTRAÇÃO GERAL"/>
    <s v="0016-Escola para Todos​"/>
    <s v="2.019-Ações Pedagógicas Complementares"/>
    <s v="3.3.50.39.00-OUTROS SERVIÇOS DE TERCEIROS - PESSOA JURÍDICA"/>
    <x v="18"/>
    <x v="0"/>
    <n v="0"/>
    <x v="1"/>
  </r>
  <r>
    <s v="08"/>
    <s v="001"/>
    <s v="12"/>
    <s v="122"/>
    <s v="0016"/>
    <x v="15"/>
    <x v="1"/>
    <x v="511"/>
    <x v="5"/>
    <s v="001-CHEFIA DE GABINETE"/>
    <s v="12-EDUCAÇÃO"/>
    <s v="122-ADMINISTRAÇÃO GERAL"/>
    <s v="0016-Escola para Todos​"/>
    <s v="2.019-Ações Pedagógicas Complementares"/>
    <s v="3.3.90.39.00-OUTROS SERVIÇOS DE TERCEIROS - PESSOA JURÍDICA"/>
    <x v="18"/>
    <x v="0"/>
    <n v="9197655.4399999995"/>
    <x v="1"/>
  </r>
  <r>
    <s v="08"/>
    <s v="001"/>
    <s v="12"/>
    <s v="122"/>
    <s v="0016"/>
    <x v="18"/>
    <x v="11"/>
    <x v="102"/>
    <x v="5"/>
    <s v="001-CHEFIA DE GABINETE"/>
    <s v="12-EDUCAÇÃO"/>
    <s v="122-ADMINISTRAÇÃO GERAL"/>
    <s v="0016-Escola para Todos​"/>
    <s v="2.023-Gestão Compartilhada de Equipamentos Públicos "/>
    <s v="3.3.50.39.00-OUTROS SERVIÇOS DE TERCEIROS - PESSOA JURÍDICA"/>
    <x v="18"/>
    <x v="0"/>
    <n v="6842871.5199999996"/>
    <x v="1"/>
  </r>
  <r>
    <s v="08"/>
    <s v="001"/>
    <s v="12"/>
    <s v="122"/>
    <s v="0016"/>
    <x v="18"/>
    <x v="17"/>
    <x v="105"/>
    <x v="5"/>
    <s v="001-CHEFIA DE GABINETE"/>
    <s v="12-EDUCAÇÃO"/>
    <s v="122-ADMINISTRAÇÃO GERAL"/>
    <s v="0016-Escola para Todos​"/>
    <s v="2.023-Gestão Compartilhada de Equipamentos Públicos "/>
    <s v="4.4.50.39.00-OUTROS SERVIÇOS DE TERCEIROS - PESSOA JURÍDICA"/>
    <x v="18"/>
    <x v="0"/>
    <n v="1710717.9100000001"/>
    <x v="1"/>
  </r>
  <r>
    <s v="08"/>
    <s v="001"/>
    <s v="12"/>
    <s v="306"/>
    <s v="0016"/>
    <x v="0"/>
    <x v="0"/>
    <x v="82"/>
    <x v="5"/>
    <s v="001-CHEFIA DE GABINETE"/>
    <s v="12-EDUCAÇÃO"/>
    <s v="306-ALIMENTAÇÃO E NUTRIÇÃO"/>
    <s v="0016-Escola para Todos​"/>
    <s v="2.011-Manutenção de Equipamentos Públicos "/>
    <s v="3.3.90.30.00-MATERIAL DE CONSUMO"/>
    <x v="18"/>
    <x v="0"/>
    <n v="1246920"/>
    <x v="1"/>
  </r>
  <r>
    <s v="08"/>
    <s v="001"/>
    <s v="12"/>
    <s v="306"/>
    <s v="0016"/>
    <x v="0"/>
    <x v="1"/>
    <x v="512"/>
    <x v="5"/>
    <s v="001-CHEFIA DE GABINETE"/>
    <s v="12-EDUCAÇÃO"/>
    <s v="306-ALIMENTAÇÃO E NUTRIÇÃO"/>
    <s v="0016-Escola para Todos​"/>
    <s v="2.011-Manutenção de Equipamentos Públicos "/>
    <s v="3.3.90.39.00-OUTROS SERVIÇOS DE TERCEIROS - PESSOA JURÍDICA"/>
    <x v="18"/>
    <x v="0"/>
    <n v="779325"/>
    <x v="1"/>
  </r>
  <r>
    <s v="08"/>
    <s v="001"/>
    <s v="12"/>
    <s v="306"/>
    <s v="0016"/>
    <x v="0"/>
    <x v="8"/>
    <x v="83"/>
    <x v="5"/>
    <s v="001-CHEFIA DE GABINETE"/>
    <s v="12-EDUCAÇÃO"/>
    <s v="306-ALIMENTAÇÃO E NUTRIÇÃO"/>
    <s v="0016-Escola para Todos​"/>
    <s v="2.011-Manutenção de Equipamentos Públicos "/>
    <s v="4.4.90.52.00-EQUIPAMENTOS E MATERIAL PERMANENTE"/>
    <x v="18"/>
    <x v="0"/>
    <n v="519550"/>
    <x v="1"/>
  </r>
  <r>
    <s v="08"/>
    <s v="001"/>
    <s v="12"/>
    <s v="306"/>
    <s v="0016"/>
    <x v="13"/>
    <x v="0"/>
    <x v="84"/>
    <x v="5"/>
    <s v="001-CHEFIA DE GABINETE"/>
    <s v="12-EDUCAÇÃO"/>
    <s v="306-ALIMENTAÇÃO E NUTRIÇÃO"/>
    <s v="0016-Escola para Todos​"/>
    <s v="2.017-Suporte ao Aluno "/>
    <s v="3.3.90.30.00-MATERIAL DE CONSUMO"/>
    <x v="18"/>
    <x v="0"/>
    <n v="171797844.02000001"/>
    <x v="1"/>
  </r>
  <r>
    <s v="08"/>
    <s v="001"/>
    <s v="12"/>
    <s v="361"/>
    <s v="0002"/>
    <x v="4"/>
    <x v="1"/>
    <x v="63"/>
    <x v="5"/>
    <s v="001-CHEFIA DE GABINETE"/>
    <s v="12-EDUCAÇÃO"/>
    <s v="361-ENSINO FUNDAMENTAL"/>
    <s v="0002-Governo Inteligente, Aberto e Inovador​"/>
    <s v="2.005-Promoção de Eventos, Comunicação e Participação Social "/>
    <s v="3.3.90.39.00-OUTROS SERVIÇOS DE TERCEIROS - PESSOA JURÍDICA"/>
    <x v="18"/>
    <x v="0"/>
    <n v="4788641.7273000004"/>
    <x v="1"/>
  </r>
  <r>
    <s v="08"/>
    <s v="001"/>
    <s v="12"/>
    <s v="361"/>
    <s v="0002"/>
    <x v="1"/>
    <x v="5"/>
    <x v="67"/>
    <x v="5"/>
    <s v="001-CHEFIA DE GABINETE"/>
    <s v="12-EDUCAÇÃO"/>
    <s v="361-ENSINO FUNDAMENTAL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24520015"/>
    <x v="1"/>
  </r>
  <r>
    <s v="08"/>
    <s v="001"/>
    <s v="12"/>
    <s v="361"/>
    <s v="0016"/>
    <x v="0"/>
    <x v="29"/>
    <x v="513"/>
    <x v="5"/>
    <s v="001-CHEFIA DE GABINETE"/>
    <s v="12-EDUCAÇÃO"/>
    <s v="361-ENSINO FUNDAMENTAL"/>
    <s v="0016-Escola para Todos​"/>
    <s v="2.011-Manutenção de Equipamentos Públicos "/>
    <e v="#N/A"/>
    <x v="18"/>
    <x v="0"/>
    <n v="1"/>
    <x v="1"/>
  </r>
  <r>
    <s v="08"/>
    <s v="001"/>
    <s v="12"/>
    <s v="361"/>
    <s v="0016"/>
    <x v="0"/>
    <x v="0"/>
    <x v="76"/>
    <x v="5"/>
    <s v="001-CHEFIA DE GABINETE"/>
    <s v="12-EDUCAÇÃO"/>
    <s v="361-ENSINO FUNDAMENTAL"/>
    <s v="0016-Escola para Todos​"/>
    <s v="2.011-Manutenção de Equipamentos Públicos "/>
    <s v="3.3.90.30.00-MATERIAL DE CONSUMO"/>
    <x v="18"/>
    <x v="0"/>
    <n v="11833752.8642"/>
    <x v="1"/>
  </r>
  <r>
    <s v="08"/>
    <s v="001"/>
    <s v="12"/>
    <s v="361"/>
    <s v="0016"/>
    <x v="0"/>
    <x v="1"/>
    <x v="77"/>
    <x v="5"/>
    <s v="001-CHEFIA DE GABINETE"/>
    <s v="12-EDUCAÇÃO"/>
    <s v="361-ENSINO FUNDAMENTAL"/>
    <s v="0016-Escola para Todos​"/>
    <s v="2.011-Manutenção de Equipamentos Públicos "/>
    <s v="3.3.90.39.00-OUTROS SERVIÇOS DE TERCEIROS - PESSOA JURÍDICA"/>
    <x v="18"/>
    <x v="0"/>
    <n v="3712258.5905070002"/>
    <x v="1"/>
  </r>
  <r>
    <s v="08"/>
    <s v="001"/>
    <s v="12"/>
    <s v="361"/>
    <s v="0016"/>
    <x v="0"/>
    <x v="8"/>
    <x v="78"/>
    <x v="5"/>
    <s v="001-CHEFIA DE GABINETE"/>
    <s v="12-EDUCAÇÃO"/>
    <s v="361-ENSINO FUNDAMENTAL"/>
    <s v="0016-Escola para Todos​"/>
    <s v="2.011-Manutenção de Equipamentos Públicos "/>
    <s v="4.4.90.52.00-EQUIPAMENTOS E MATERIAL PERMANENTE"/>
    <x v="18"/>
    <x v="0"/>
    <n v="207822.03909999999"/>
    <x v="1"/>
  </r>
  <r>
    <s v="08"/>
    <s v="001"/>
    <s v="12"/>
    <s v="361"/>
    <s v="0016"/>
    <x v="13"/>
    <x v="16"/>
    <x v="85"/>
    <x v="5"/>
    <s v="001-CHEFIA DE GABINETE"/>
    <s v="12-EDUCAÇÃO"/>
    <s v="361-ENSINO FUNDAMENTAL"/>
    <s v="0016-Escola para Todos​"/>
    <s v="2.017-Suporte ao Aluno "/>
    <s v="3.3.90.32.00-MATERIAL, BEM OU SERVIÇO PARA DISTRIBUIÇÃO GRATUITA"/>
    <x v="18"/>
    <x v="0"/>
    <n v="42172278.25"/>
    <x v="1"/>
  </r>
  <r>
    <s v="08"/>
    <s v="001"/>
    <s v="12"/>
    <s v="361"/>
    <s v="0016"/>
    <x v="14"/>
    <x v="5"/>
    <x v="87"/>
    <x v="5"/>
    <s v="001-CHEFIA DE GABINETE"/>
    <s v="12-EDUCAÇÃO"/>
    <s v="361-ENSINO FUNDAMENTAL"/>
    <s v="0016-Escola para Todos​"/>
    <s v="2.018-Conectividade e Tecnologia na Educação"/>
    <s v="3.3.90.40.00-SERVIÇOS DE TECNOLOGIA DA INFORMAÇÃO E COMUNICAÇÃO - PESSOA JURÍDICA"/>
    <x v="18"/>
    <x v="0"/>
    <n v="74429901.819999993"/>
    <x v="1"/>
  </r>
  <r>
    <s v="08"/>
    <s v="001"/>
    <s v="12"/>
    <s v="361"/>
    <s v="0016"/>
    <x v="14"/>
    <x v="8"/>
    <x v="89"/>
    <x v="5"/>
    <s v="001-CHEFIA DE GABINETE"/>
    <s v="12-EDUCAÇÃO"/>
    <s v="361-ENSINO FUNDAMENTAL"/>
    <s v="0016-Escola para Todos​"/>
    <s v="2.018-Conectividade e Tecnologia na Educação"/>
    <s v="4.4.90.52.00-EQUIPAMENTOS E MATERIAL PERMANENTE"/>
    <x v="18"/>
    <x v="0"/>
    <n v="3606580"/>
    <x v="1"/>
  </r>
  <r>
    <s v="08"/>
    <s v="001"/>
    <s v="12"/>
    <s v="361"/>
    <s v="0016"/>
    <x v="15"/>
    <x v="16"/>
    <x v="92"/>
    <x v="5"/>
    <s v="001-CHEFIA DE GABINETE"/>
    <s v="12-EDUCAÇÃO"/>
    <s v="361-ENSINO FUNDAMENTAL"/>
    <s v="0016-Escola para Todos​"/>
    <s v="2.019-Ações Pedagógicas Complementares"/>
    <s v="3.3.90.32.00-MATERIAL, BEM OU SERVIÇO PARA DISTRIBUIÇÃO GRATUITA"/>
    <x v="18"/>
    <x v="0"/>
    <n v="1"/>
    <x v="1"/>
  </r>
  <r>
    <s v="08"/>
    <s v="001"/>
    <s v="12"/>
    <s v="361"/>
    <s v="0016"/>
    <x v="15"/>
    <x v="1"/>
    <x v="95"/>
    <x v="5"/>
    <s v="001-CHEFIA DE GABINETE"/>
    <s v="12-EDUCAÇÃO"/>
    <s v="361-ENSINO FUNDAMENTAL"/>
    <s v="0016-Escola para Todos​"/>
    <s v="2.019-Ações Pedagógicas Complementares"/>
    <s v="3.3.90.39.00-OUTROS SERVIÇOS DE TERCEIROS - PESSOA JURÍDICA"/>
    <x v="18"/>
    <x v="0"/>
    <n v="27136650.68"/>
    <x v="1"/>
  </r>
  <r>
    <s v="08"/>
    <s v="001"/>
    <s v="12"/>
    <s v="361"/>
    <s v="0016"/>
    <x v="16"/>
    <x v="1"/>
    <x v="98"/>
    <x v="5"/>
    <s v="001-CHEFIA DE GABINETE"/>
    <s v="12-EDUCAÇÃO"/>
    <s v="361-ENSINO FUNDAMENTAL"/>
    <s v="0016-Escola para Todos​"/>
    <s v="2.020-Transporte de Alunos "/>
    <s v="3.3.90.39.00-OUTROS SERVIÇOS DE TERCEIROS - PESSOA JURÍDICA"/>
    <x v="18"/>
    <x v="0"/>
    <n v="15146103"/>
    <x v="1"/>
  </r>
  <r>
    <s v="08"/>
    <s v="001"/>
    <s v="12"/>
    <s v="361"/>
    <s v="0016"/>
    <x v="18"/>
    <x v="11"/>
    <x v="103"/>
    <x v="5"/>
    <s v="001-CHEFIA DE GABINETE"/>
    <s v="12-EDUCAÇÃO"/>
    <s v="361-ENSINO FUNDAMENTAL"/>
    <s v="0016-Escola para Todos​"/>
    <s v="2.023-Gestão Compartilhada de Equipamentos Públicos "/>
    <s v="3.3.50.39.00-OUTROS SERVIÇOS DE TERCEIROS - PESSOA JURÍDICA"/>
    <x v="18"/>
    <x v="0"/>
    <n v="7384243.2800000003"/>
    <x v="1"/>
  </r>
  <r>
    <s v="08"/>
    <s v="001"/>
    <s v="12"/>
    <s v="361"/>
    <s v="0016"/>
    <x v="18"/>
    <x v="17"/>
    <x v="106"/>
    <x v="5"/>
    <s v="001-CHEFIA DE GABINETE"/>
    <s v="12-EDUCAÇÃO"/>
    <s v="361-ENSINO FUNDAMENTAL"/>
    <s v="0016-Escola para Todos​"/>
    <s v="2.023-Gestão Compartilhada de Equipamentos Públicos "/>
    <s v="4.4.50.39.00-OUTROS SERVIÇOS DE TERCEIROS - PESSOA JURÍDICA"/>
    <x v="18"/>
    <x v="0"/>
    <n v="1846062.3399999999"/>
    <x v="1"/>
  </r>
  <r>
    <s v="08"/>
    <s v="001"/>
    <s v="12"/>
    <s v="364"/>
    <s v="0001"/>
    <x v="0"/>
    <x v="0"/>
    <x v="71"/>
    <x v="5"/>
    <s v="001-CHEFIA DE GABINETE"/>
    <s v="12-EDUCAÇÃO"/>
    <s v="364-ENSINO SUPERIOR"/>
    <s v="0001-Administração e Coordenação Geral​"/>
    <s v="2.011-Manutenção de Equipamentos Públicos "/>
    <s v="3.3.90.30.00-MATERIAL DE CONSUMO"/>
    <x v="18"/>
    <x v="0"/>
    <n v="48837.7"/>
    <x v="1"/>
  </r>
  <r>
    <s v="08"/>
    <s v="001"/>
    <s v="12"/>
    <s v="365"/>
    <s v="0002"/>
    <x v="4"/>
    <x v="1"/>
    <x v="64"/>
    <x v="5"/>
    <s v="001-CHEFIA DE GABINETE"/>
    <s v="12-EDUCAÇÃO"/>
    <s v="365-EDUCAÇÃO INFANTIL"/>
    <s v="0002-Governo Inteligente, Aberto e Inovador​"/>
    <s v="2.005-Promoção de Eventos, Comunicação e Participação Social "/>
    <s v="3.3.90.39.00-OUTROS SERVIÇOS DE TERCEIROS - PESSOA JURÍDICA"/>
    <x v="18"/>
    <x v="0"/>
    <n v="4525557.9397"/>
    <x v="1"/>
  </r>
  <r>
    <s v="08"/>
    <s v="001"/>
    <s v="12"/>
    <s v="365"/>
    <s v="0002"/>
    <x v="1"/>
    <x v="5"/>
    <x v="68"/>
    <x v="5"/>
    <s v="001-CHEFIA DE GABINETE"/>
    <s v="12-EDUCAÇÃO"/>
    <s v="365-EDUCAÇÃO INFANTIL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20379986"/>
    <x v="1"/>
  </r>
  <r>
    <s v="08"/>
    <s v="001"/>
    <s v="12"/>
    <s v="365"/>
    <s v="0016"/>
    <x v="0"/>
    <x v="29"/>
    <x v="514"/>
    <x v="5"/>
    <s v="001-CHEFIA DE GABINETE"/>
    <s v="12-EDUCAÇÃO"/>
    <s v="365-EDUCAÇÃO INFANTIL"/>
    <s v="0016-Escola para Todos​"/>
    <s v="2.011-Manutenção de Equipamentos Públicos "/>
    <e v="#N/A"/>
    <x v="18"/>
    <x v="0"/>
    <n v="1"/>
    <x v="1"/>
  </r>
  <r>
    <s v="08"/>
    <s v="001"/>
    <s v="12"/>
    <s v="365"/>
    <s v="0016"/>
    <x v="0"/>
    <x v="0"/>
    <x v="79"/>
    <x v="5"/>
    <s v="001-CHEFIA DE GABINETE"/>
    <s v="12-EDUCAÇÃO"/>
    <s v="365-EDUCAÇÃO INFANTIL"/>
    <s v="0016-Escola para Todos​"/>
    <s v="2.011-Manutenção de Equipamentos Públicos "/>
    <s v="3.3.90.30.00-MATERIAL DE CONSUMO"/>
    <x v="18"/>
    <x v="0"/>
    <n v="8989103.3131999988"/>
    <x v="1"/>
  </r>
  <r>
    <s v="08"/>
    <s v="001"/>
    <s v="12"/>
    <s v="365"/>
    <s v="0016"/>
    <x v="0"/>
    <x v="1"/>
    <x v="80"/>
    <x v="5"/>
    <s v="001-CHEFIA DE GABINETE"/>
    <s v="12-EDUCAÇÃO"/>
    <s v="365-EDUCAÇÃO INFANTIL"/>
    <s v="0016-Escola para Todos​"/>
    <s v="2.011-Manutenção de Equipamentos Públicos "/>
    <s v="3.3.90.39.00-OUTROS SERVIÇOS DE TERCEIROS - PESSOA JURÍDICA"/>
    <x v="18"/>
    <x v="0"/>
    <n v="2326844.7999999998"/>
    <x v="1"/>
  </r>
  <r>
    <s v="08"/>
    <s v="001"/>
    <s v="12"/>
    <s v="365"/>
    <s v="0016"/>
    <x v="0"/>
    <x v="8"/>
    <x v="81"/>
    <x v="5"/>
    <s v="001-CHEFIA DE GABINETE"/>
    <s v="12-EDUCAÇÃO"/>
    <s v="365-EDUCAÇÃO INFANTIL"/>
    <s v="0016-Escola para Todos​"/>
    <s v="2.011-Manutenção de Equipamentos Públicos "/>
    <s v="4.4.90.52.00-EQUIPAMENTOS E MATERIAL PERMANENTE"/>
    <x v="18"/>
    <x v="0"/>
    <n v="623461"/>
    <x v="1"/>
  </r>
  <r>
    <s v="08"/>
    <s v="001"/>
    <s v="12"/>
    <s v="365"/>
    <s v="0016"/>
    <x v="13"/>
    <x v="16"/>
    <x v="86"/>
    <x v="5"/>
    <s v="001-CHEFIA DE GABINETE"/>
    <s v="12-EDUCAÇÃO"/>
    <s v="365-EDUCAÇÃO INFANTIL"/>
    <s v="0016-Escola para Todos​"/>
    <s v="2.017-Suporte ao Aluno "/>
    <s v="3.3.90.32.00-MATERIAL, BEM OU SERVIÇO PARA DISTRIBUIÇÃO GRATUITA"/>
    <x v="18"/>
    <x v="0"/>
    <n v="36881385.920000002"/>
    <x v="1"/>
  </r>
  <r>
    <s v="08"/>
    <s v="001"/>
    <s v="12"/>
    <s v="365"/>
    <s v="0016"/>
    <x v="14"/>
    <x v="5"/>
    <x v="90"/>
    <x v="5"/>
    <s v="001-CHEFIA DE GABINETE"/>
    <s v="12-EDUCAÇÃO"/>
    <s v="365-EDUCAÇÃO INFANTIL"/>
    <s v="0016-Escola para Todos​"/>
    <s v="2.018-Conectividade e Tecnologia na Educação"/>
    <s v="3.3.90.40.00-SERVIÇOS DE TECNOLOGIA DA INFORMAÇÃO E COMUNICAÇÃO - PESSOA JURÍDICA"/>
    <x v="18"/>
    <x v="0"/>
    <n v="24718428"/>
    <x v="1"/>
  </r>
  <r>
    <s v="08"/>
    <s v="001"/>
    <s v="12"/>
    <s v="365"/>
    <s v="0016"/>
    <x v="15"/>
    <x v="16"/>
    <x v="93"/>
    <x v="5"/>
    <s v="001-CHEFIA DE GABINETE"/>
    <s v="12-EDUCAÇÃO"/>
    <s v="365-EDUCAÇÃO INFANTIL"/>
    <s v="0016-Escola para Todos​"/>
    <s v="2.019-Ações Pedagógicas Complementares"/>
    <s v="3.3.90.32.00-MATERIAL, BEM OU SERVIÇO PARA DISTRIBUIÇÃO GRATUITA"/>
    <x v="18"/>
    <x v="0"/>
    <n v="3"/>
    <x v="1"/>
  </r>
  <r>
    <s v="08"/>
    <s v="001"/>
    <s v="12"/>
    <s v="365"/>
    <s v="0016"/>
    <x v="15"/>
    <x v="1"/>
    <x v="515"/>
    <x v="5"/>
    <s v="001-CHEFIA DE GABINETE"/>
    <s v="12-EDUCAÇÃO"/>
    <s v="365-EDUCAÇÃO INFANTIL"/>
    <s v="0016-Escola para Todos​"/>
    <s v="2.019-Ações Pedagógicas Complementares"/>
    <s v="3.3.90.39.00-OUTROS SERVIÇOS DE TERCEIROS - PESSOA JURÍDICA"/>
    <x v="18"/>
    <x v="0"/>
    <n v="20531167.84"/>
    <x v="1"/>
  </r>
  <r>
    <s v="08"/>
    <s v="001"/>
    <s v="12"/>
    <s v="365"/>
    <s v="0016"/>
    <x v="16"/>
    <x v="1"/>
    <x v="99"/>
    <x v="5"/>
    <s v="001-CHEFIA DE GABINETE"/>
    <s v="12-EDUCAÇÃO"/>
    <s v="365-EDUCAÇÃO INFANTIL"/>
    <s v="0016-Escola para Todos​"/>
    <s v="2.020-Transporte de Alunos "/>
    <s v="3.3.90.39.00-OUTROS SERVIÇOS DE TERCEIROS - PESSOA JURÍDICA"/>
    <x v="18"/>
    <x v="0"/>
    <n v="7996843"/>
    <x v="1"/>
  </r>
  <r>
    <s v="08"/>
    <s v="001"/>
    <s v="12"/>
    <s v="365"/>
    <s v="0016"/>
    <x v="17"/>
    <x v="11"/>
    <x v="100"/>
    <x v="5"/>
    <s v="001-CHEFIA DE GABINETE"/>
    <s v="12-EDUCAÇÃO"/>
    <s v="365-EDUCAÇÃO INFANTIL"/>
    <s v="0016-Escola para Todos​"/>
    <s v="2.022-Parcerias para Criação de Vagas"/>
    <s v="3.3.50.39.00-OUTROS SERVIÇOS DE TERCEIROS - PESSOA JURÍDICA"/>
    <x v="18"/>
    <x v="0"/>
    <n v="55391598.060000002"/>
    <x v="1"/>
  </r>
  <r>
    <s v="08"/>
    <s v="001"/>
    <s v="12"/>
    <s v="365"/>
    <s v="0016"/>
    <x v="17"/>
    <x v="17"/>
    <x v="101"/>
    <x v="5"/>
    <s v="001-CHEFIA DE GABINETE"/>
    <s v="12-EDUCAÇÃO"/>
    <s v="365-EDUCAÇÃO INFANTIL"/>
    <s v="0016-Escola para Todos​"/>
    <s v="2.022-Parcerias para Criação de Vagas"/>
    <s v="4.4.50.39.00-OUTROS SERVIÇOS DE TERCEIROS - PESSOA JURÍDICA"/>
    <x v="18"/>
    <x v="0"/>
    <n v="408668.06"/>
    <x v="1"/>
  </r>
  <r>
    <s v="08"/>
    <s v="001"/>
    <s v="12"/>
    <s v="365"/>
    <s v="0016"/>
    <x v="18"/>
    <x v="11"/>
    <x v="104"/>
    <x v="5"/>
    <s v="001-CHEFIA DE GABINETE"/>
    <s v="12-EDUCAÇÃO"/>
    <s v="365-EDUCAÇÃO INFANTIL"/>
    <s v="0016-Escola para Todos​"/>
    <s v="2.023-Gestão Compartilhada de Equipamentos Públicos "/>
    <s v="3.3.50.39.00-OUTROS SERVIÇOS DE TERCEIROS - PESSOA JURÍDICA"/>
    <x v="18"/>
    <x v="0"/>
    <n v="2101640.63"/>
    <x v="1"/>
  </r>
  <r>
    <s v="08"/>
    <s v="001"/>
    <s v="12"/>
    <s v="365"/>
    <s v="0016"/>
    <x v="18"/>
    <x v="17"/>
    <x v="107"/>
    <x v="5"/>
    <s v="001-CHEFIA DE GABINETE"/>
    <s v="12-EDUCAÇÃO"/>
    <s v="365-EDUCAÇÃO INFANTIL"/>
    <s v="0016-Escola para Todos​"/>
    <s v="2.023-Gestão Compartilhada de Equipamentos Públicos "/>
    <s v="4.4.50.39.00-OUTROS SERVIÇOS DE TERCEIROS - PESSOA JURÍDICA"/>
    <x v="18"/>
    <x v="0"/>
    <n v="527911.44000000006"/>
    <x v="1"/>
  </r>
  <r>
    <s v="08"/>
    <s v="001"/>
    <s v="12"/>
    <s v="366"/>
    <s v="0016"/>
    <x v="15"/>
    <x v="11"/>
    <x v="91"/>
    <x v="5"/>
    <s v="001-CHEFIA DE GABINETE"/>
    <s v="12-EDUCAÇÃO"/>
    <s v="366-EDUCAÇÃO DE JOVENS E ADULTOS"/>
    <s v="0016-Escola para Todos​"/>
    <s v="2.019-Ações Pedagógicas Complementares"/>
    <s v="3.3.50.39.00-OUTROS SERVIÇOS DE TERCEIROS - PESSOA JURÍDICA"/>
    <x v="18"/>
    <x v="0"/>
    <n v="3097377"/>
    <x v="1"/>
  </r>
  <r>
    <s v="08"/>
    <s v="001"/>
    <s v="12"/>
    <s v="366"/>
    <s v="0016"/>
    <x v="15"/>
    <x v="15"/>
    <x v="97"/>
    <x v="5"/>
    <s v="001-CHEFIA DE GABINETE"/>
    <s v="12-EDUCAÇÃO"/>
    <s v="366-EDUCAÇÃO DE JOVENS E ADULTOS"/>
    <s v="0016-Escola para Todos​"/>
    <s v="2.019-Ações Pedagógicas Complementares"/>
    <s v="3.3.90.48.00 - OUTROS AUXILIOS FINANCEIROS A PESSOAS FISICAS"/>
    <x v="18"/>
    <x v="0"/>
    <n v="1000000"/>
    <x v="1"/>
  </r>
  <r>
    <s v="08"/>
    <s v="001"/>
    <s v="12"/>
    <s v="366"/>
    <s v="0016"/>
    <x v="15"/>
    <x v="17"/>
    <x v="516"/>
    <x v="5"/>
    <s v="001-CHEFIA DE GABINETE"/>
    <s v="12-EDUCAÇÃO"/>
    <s v="366-EDUCAÇÃO DE JOVENS E ADULTOS"/>
    <s v="0016-Escola para Todos​"/>
    <s v="2.019-Ações Pedagógicas Complementares"/>
    <s v="4.4.50.39.00-OUTROS SERVIÇOS DE TERCEIROS - PESSOA JURÍDICA"/>
    <x v="18"/>
    <x v="0"/>
    <n v="1"/>
    <x v="1"/>
  </r>
  <r>
    <s v="08"/>
    <s v="001"/>
    <s v="12"/>
    <s v="367"/>
    <s v="0016"/>
    <x v="15"/>
    <x v="0"/>
    <x v="517"/>
    <x v="5"/>
    <s v="001-CHEFIA DE GABINETE"/>
    <s v="12-EDUCAÇÃO"/>
    <s v="367-EDUCAÇÃO ESPECIAL"/>
    <s v="0016-Escola para Todos​"/>
    <s v="2.019-Ações Pedagógicas Complementares"/>
    <s v="3.3.90.30.00-MATERIAL DE CONSUMO"/>
    <x v="18"/>
    <x v="0"/>
    <n v="0"/>
    <x v="1"/>
  </r>
  <r>
    <s v="08"/>
    <s v="001"/>
    <s v="12"/>
    <s v="367"/>
    <s v="0016"/>
    <x v="15"/>
    <x v="1"/>
    <x v="94"/>
    <x v="5"/>
    <s v="001-CHEFIA DE GABINETE"/>
    <s v="12-EDUCAÇÃO"/>
    <s v="367-EDUCAÇÃO ESPECIAL"/>
    <s v="0016-Escola para Todos​"/>
    <s v="2.019-Ações Pedagógicas Complementares"/>
    <s v="3.3.90.39.00-OUTROS SERVIÇOS DE TERCEIROS - PESSOA JURÍDICA"/>
    <x v="18"/>
    <x v="0"/>
    <n v="4719458"/>
    <x v="1"/>
  </r>
  <r>
    <s v="08"/>
    <s v="001"/>
    <s v="12"/>
    <s v="367"/>
    <s v="0016"/>
    <x v="15"/>
    <x v="8"/>
    <x v="518"/>
    <x v="5"/>
    <s v="001-CHEFIA DE GABINETE"/>
    <s v="12-EDUCAÇÃO"/>
    <s v="367-EDUCAÇÃO ESPECIAL"/>
    <s v="0016-Escola para Todos​"/>
    <s v="2.019-Ações Pedagógicas Complementares"/>
    <s v="4.4.90.52.00-EQUIPAMENTOS E MATERIAL PERMANENTE"/>
    <x v="18"/>
    <x v="0"/>
    <n v="0"/>
    <x v="1"/>
  </r>
  <r>
    <s v="09"/>
    <s v="001"/>
    <s v="04"/>
    <s v="126"/>
    <s v="0002"/>
    <x v="1"/>
    <x v="1"/>
    <x v="108"/>
    <x v="6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8353350"/>
    <x v="1"/>
  </r>
  <r>
    <s v="09"/>
    <s v="001"/>
    <s v="04"/>
    <s v="131"/>
    <s v="0002"/>
    <x v="4"/>
    <x v="0"/>
    <x v="110"/>
    <x v="6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07820"/>
    <x v="1"/>
  </r>
  <r>
    <s v="09"/>
    <s v="001"/>
    <s v="04"/>
    <s v="131"/>
    <s v="0002"/>
    <x v="4"/>
    <x v="1"/>
    <x v="109"/>
    <x v="6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43949.1"/>
    <x v="1"/>
  </r>
  <r>
    <s v="09"/>
    <s v="001"/>
    <s v="10"/>
    <s v="122"/>
    <s v="0001"/>
    <x v="3"/>
    <x v="7"/>
    <x v="519"/>
    <x v="6"/>
    <s v="001-CHEFIA DE GABINETE"/>
    <s v="10-SAÚDE"/>
    <s v="122-ADMINISTRAÇÃO GERAL"/>
    <s v="0001-Administração e Coordenação Geral​"/>
    <s v="2.006-Representações Oficiais "/>
    <s v="3.3.90.33.00-PASSAGENS E DESPESAS COM LOCOMOÇÃO"/>
    <x v="18"/>
    <x v="0"/>
    <n v="0"/>
    <x v="1"/>
  </r>
  <r>
    <s v="09"/>
    <s v="001"/>
    <s v="10"/>
    <s v="122"/>
    <s v="0001"/>
    <x v="3"/>
    <x v="1"/>
    <x v="140"/>
    <x v="6"/>
    <s v="001-CHEFIA DE GABINETE"/>
    <s v="10-SAÚDE"/>
    <s v="122-ADMINISTRAÇÃO GERAL"/>
    <s v="0001-Administração e Coordenação Geral​"/>
    <s v="2.006-Representações Oficiais "/>
    <s v="3.3.90.39.00-OUTROS SERVIÇOS DE TERCEIROS - PESSOA JURÍDICA"/>
    <x v="18"/>
    <x v="0"/>
    <n v="0"/>
    <x v="1"/>
  </r>
  <r>
    <s v="09"/>
    <s v="001"/>
    <s v="10"/>
    <s v="302"/>
    <s v="0015"/>
    <x v="22"/>
    <x v="1"/>
    <x v="132"/>
    <x v="6"/>
    <s v="001-CHEFIA DE GABINETE"/>
    <s v="10-SAÚDE"/>
    <s v="302-ASSISTÊNCIA HOSPITALAR E AMBULATORIAL"/>
    <s v="0015-Atenção e Cuidado em Saúde​"/>
    <s v="2.026-Residências e Internações Compulsórias"/>
    <s v="3.3.90.39.00-OUTROS SERVIÇOS DE TERCEIROS - PESSOA JURÍDICA"/>
    <x v="18"/>
    <x v="0"/>
    <n v="2214997.52"/>
    <x v="1"/>
  </r>
  <r>
    <s v="09"/>
    <s v="006"/>
    <s v="10"/>
    <s v="302"/>
    <s v="0015"/>
    <x v="20"/>
    <x v="0"/>
    <x v="120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8"/>
    <x v="0"/>
    <n v="6211561.4409999996"/>
    <x v="1"/>
  </r>
  <r>
    <s v="09"/>
    <s v="006"/>
    <s v="10"/>
    <s v="302"/>
    <s v="0015"/>
    <x v="20"/>
    <x v="1"/>
    <x v="115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0"/>
    <n v="28059851.57"/>
    <x v="1"/>
  </r>
  <r>
    <s v="09"/>
    <s v="006"/>
    <s v="10"/>
    <s v="302"/>
    <s v="0015"/>
    <x v="20"/>
    <x v="6"/>
    <x v="127"/>
    <x v="6"/>
    <s v="006-HOSPITAL E MATERNIDADE MUNICIPAL AMADOR AGUIAR"/>
    <s v="10-SAÚDE"/>
    <s v="302-ASSISTÊNCIA HOSPITALAR E AMBULATORIAL"/>
    <s v="0015-Atenção e Cuidado em Saúde​"/>
    <s v="2.014-Manutenção de Equipamentos Públicos - Atenção Hospitalar e Urgência e Emergência "/>
    <s v="3.3.90.93.00-INDENIZAÇÕES E RESTITUIÇÕES"/>
    <x v="18"/>
    <x v="0"/>
    <n v="1554520"/>
    <x v="1"/>
  </r>
  <r>
    <s v="09"/>
    <s v="008"/>
    <s v="10"/>
    <s v="301"/>
    <s v="0015"/>
    <x v="21"/>
    <x v="11"/>
    <x v="520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50.39.00-OUTROS SERVIÇOS DE TERCEIROS - PESSOA JURÍDICA"/>
    <x v="18"/>
    <x v="0"/>
    <n v="0"/>
    <x v="1"/>
  </r>
  <r>
    <s v="09"/>
    <s v="008"/>
    <s v="10"/>
    <s v="301"/>
    <s v="0015"/>
    <x v="21"/>
    <x v="0"/>
    <x v="124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0.00-MATERIAL DE CONSUMO"/>
    <x v="18"/>
    <x v="0"/>
    <n v="3953806.12"/>
    <x v="1"/>
  </r>
  <r>
    <s v="09"/>
    <s v="008"/>
    <s v="10"/>
    <s v="301"/>
    <s v="0015"/>
    <x v="21"/>
    <x v="16"/>
    <x v="521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2.00-MATERIAL, BEM OU SERVIÇO PARA DISTRIBUIÇÃO GRATUITA"/>
    <x v="18"/>
    <x v="0"/>
    <n v="3594974.5000000009"/>
    <x v="1"/>
  </r>
  <r>
    <s v="09"/>
    <s v="008"/>
    <s v="10"/>
    <s v="301"/>
    <s v="0015"/>
    <x v="21"/>
    <x v="1"/>
    <x v="118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3.3.90.39.00-OUTROS SERVIÇOS DE TERCEIROS - PESSOA JURÍDICA"/>
    <x v="18"/>
    <x v="0"/>
    <n v="49021463.021799996"/>
    <x v="1"/>
  </r>
  <r>
    <s v="09"/>
    <s v="008"/>
    <s v="10"/>
    <s v="301"/>
    <s v="0015"/>
    <x v="21"/>
    <x v="4"/>
    <x v="522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s v="4.4.50.52.00-EQUIPAMENTOS E MATERIAL PERMANENTE"/>
    <x v="18"/>
    <x v="0"/>
    <n v="0"/>
    <x v="1"/>
  </r>
  <r>
    <s v="09"/>
    <s v="009"/>
    <s v="10"/>
    <s v="302"/>
    <s v="0015"/>
    <x v="19"/>
    <x v="11"/>
    <x v="11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50.39.00-OUTROS SERVIÇOS DE TERCEIROS - PESSOA JURÍDICA"/>
    <x v="18"/>
    <x v="0"/>
    <n v="10891346"/>
    <x v="1"/>
  </r>
  <r>
    <s v="09"/>
    <s v="009"/>
    <s v="10"/>
    <s v="302"/>
    <s v="0015"/>
    <x v="19"/>
    <x v="0"/>
    <x v="122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0.00-MATERIAL DE CONSUMO"/>
    <x v="18"/>
    <x v="0"/>
    <n v="4321020.0642639995"/>
    <x v="1"/>
  </r>
  <r>
    <s v="09"/>
    <s v="009"/>
    <s v="10"/>
    <s v="302"/>
    <s v="0015"/>
    <x v="19"/>
    <x v="1"/>
    <x v="11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39.00-OUTROS SERVIÇOS DE TERCEIROS - PESSOA JURÍDICA"/>
    <x v="18"/>
    <x v="0"/>
    <n v="22243177.381557003"/>
    <x v="1"/>
  </r>
  <r>
    <s v="09"/>
    <s v="009"/>
    <s v="10"/>
    <s v="302"/>
    <s v="0015"/>
    <x v="19"/>
    <x v="5"/>
    <x v="523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40.00-SERVIÇOS DE TECNOLOGIA DA INFORMAÇÃO E COMUNICAÇÃO - PESSOA JURÍDICA"/>
    <x v="18"/>
    <x v="0"/>
    <n v="0"/>
    <x v="1"/>
  </r>
  <r>
    <s v="09"/>
    <s v="009"/>
    <s v="10"/>
    <s v="302"/>
    <s v="0015"/>
    <x v="19"/>
    <x v="6"/>
    <x v="128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3.3.90.93.00-INDENIZAÇÕES E RESTITUIÇÕES"/>
    <x v="18"/>
    <x v="0"/>
    <n v="726001"/>
    <x v="1"/>
  </r>
  <r>
    <s v="09"/>
    <s v="009"/>
    <s v="10"/>
    <s v="302"/>
    <s v="0015"/>
    <x v="19"/>
    <x v="22"/>
    <x v="524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4.4.50.51.00-OBRAS E INSTALAÇÕES"/>
    <x v="18"/>
    <x v="0"/>
    <n v="0"/>
    <x v="1"/>
  </r>
  <r>
    <s v="09"/>
    <s v="009"/>
    <s v="10"/>
    <s v="302"/>
    <s v="0015"/>
    <x v="19"/>
    <x v="4"/>
    <x v="525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4.4.50.52.00-EQUIPAMENTOS E MATERIAL PERMANENTE"/>
    <x v="18"/>
    <x v="0"/>
    <n v="519549.96090000001"/>
    <x v="1"/>
  </r>
  <r>
    <s v="09"/>
    <s v="009"/>
    <s v="10"/>
    <s v="302"/>
    <s v="0015"/>
    <x v="19"/>
    <x v="8"/>
    <x v="526"/>
    <x v="6"/>
    <s v="009-DIRETORIA GERAL DA ATENÇÃO SECUNDÁRIA EM SAÚDE"/>
    <s v="10-SAÚDE"/>
    <s v="302-ASSISTÊNCIA HOSPITALAR E AMBULATORIAL"/>
    <s v="0015-Atenção e Cuidado em Saúde​"/>
    <s v="2.013-Manutenção de Equipamentos Públicos - Atenção Especializada "/>
    <s v="4.4.90.52.00-EQUIPAMENTOS E MATERIAL PERMANENTE"/>
    <x v="18"/>
    <x v="0"/>
    <n v="0"/>
    <x v="1"/>
  </r>
  <r>
    <s v="09"/>
    <s v="009"/>
    <s v="10"/>
    <s v="302"/>
    <s v="0015"/>
    <x v="18"/>
    <x v="18"/>
    <x v="113"/>
    <x v="6"/>
    <s v="009-DIRETORIA GERAL DA ATENÇÃO SECUNDÁRIA EM SAÚDE"/>
    <s v="10-SAÚDE"/>
    <s v="302-ASSISTÊNCIA HOSPITALAR E AMBULATORIAL"/>
    <s v="0015-Atenção e Cuidado em Saúde​"/>
    <s v="2.023-Gestão Compartilhada de Equipamentos Públicos "/>
    <s v="3.3.50.85.00-CONTRATO DE GESTÃO"/>
    <x v="18"/>
    <x v="0"/>
    <n v="14563114.16"/>
    <x v="1"/>
  </r>
  <r>
    <s v="09"/>
    <s v="010"/>
    <s v="10"/>
    <s v="302"/>
    <s v="0015"/>
    <x v="20"/>
    <x v="0"/>
    <x v="121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8"/>
    <x v="0"/>
    <n v="11184239.447099999"/>
    <x v="1"/>
  </r>
  <r>
    <s v="09"/>
    <s v="010"/>
    <s v="10"/>
    <s v="302"/>
    <s v="0015"/>
    <x v="20"/>
    <x v="1"/>
    <x v="117"/>
    <x v="6"/>
    <s v="010-DIRETORIA GERAL DE URGÊNCIA E EMERGÊNCIA"/>
    <s v="10-SAÚDE"/>
    <s v="302-ASSISTÊNCIA HOSPITALAR E AMBULATORIAL"/>
    <s v="0015-Atenção e Cuidado em Saúde​"/>
    <s v="2.014-Manutenção de Equipamentos Públicos - Atenção Hospitalar e Urgência e Emergência "/>
    <s v="3.3.90.39.00-OUTROS SERVIÇOS DE TERCEIROS - PESSOA JURÍDICA"/>
    <x v="18"/>
    <x v="0"/>
    <n v="56198454.6809"/>
    <x v="1"/>
  </r>
  <r>
    <s v="09"/>
    <s v="010"/>
    <s v="10"/>
    <s v="302"/>
    <s v="0015"/>
    <x v="18"/>
    <x v="18"/>
    <x v="112"/>
    <x v="6"/>
    <s v="010-DIRETORIA GERAL DE URGÊNCIA E EMERGÊNCIA"/>
    <s v="10-SAÚDE"/>
    <s v="302-ASSISTÊNCIA HOSPITALAR E AMBULATORIAL"/>
    <s v="0015-Atenção e Cuidado em Saúde​"/>
    <s v="2.023-Gestão Compartilhada de Equipamentos Públicos "/>
    <s v="3.3.50.85.00-CONTRATO DE GESTÃO"/>
    <x v="18"/>
    <x v="0"/>
    <n v="408734669.25999999"/>
    <x v="1"/>
  </r>
  <r>
    <s v="09"/>
    <s v="012"/>
    <s v="10"/>
    <s v="303"/>
    <s v="0014"/>
    <x v="0"/>
    <x v="0"/>
    <x v="133"/>
    <x v="6"/>
    <s v="012-FUNDO ESPECIAL DE MANUTENÇÃO DOS BOMBEIROS"/>
    <s v="10-SAÚDE"/>
    <s v="303-SUPORTE PROFILÁTICO E TERAPÊUTICO"/>
    <s v="0014-Gestão em Saúde​"/>
    <s v="2.011-Manutenção de Equipamentos Públicos "/>
    <s v="3.3.90.30.00-MATERIAL DE CONSUMO"/>
    <x v="18"/>
    <x v="0"/>
    <n v="27522306.099999998"/>
    <x v="1"/>
  </r>
  <r>
    <s v="09"/>
    <s v="012"/>
    <s v="10"/>
    <s v="303"/>
    <s v="0014"/>
    <x v="0"/>
    <x v="16"/>
    <x v="134"/>
    <x v="6"/>
    <s v="012-FUNDO ESPECIAL DE MANUTENÇÃO DOS BOMBEIROS"/>
    <s v="10-SAÚDE"/>
    <s v="303-SUPORTE PROFILÁTICO E TERAPÊUTICO"/>
    <s v="0014-Gestão em Saúde​"/>
    <s v="2.011-Manutenção de Equipamentos Públicos "/>
    <s v="3.3.90.32.00-MATERIAL, BEM OU SERVIÇO PARA DISTRIBUIÇÃO GRATUITA"/>
    <x v="18"/>
    <x v="0"/>
    <n v="17716924.5"/>
    <x v="1"/>
  </r>
  <r>
    <s v="09"/>
    <s v="012"/>
    <s v="10"/>
    <s v="303"/>
    <s v="0014"/>
    <x v="0"/>
    <x v="1"/>
    <x v="123"/>
    <x v="6"/>
    <s v="012-FUNDO ESPECIAL DE MANUTENÇÃO DOS BOMBEIROS"/>
    <s v="10-SAÚDE"/>
    <s v="303-SUPORTE PROFILÁTICO E TERAPÊUTICO"/>
    <s v="0014-Gestão em Saúde​"/>
    <s v="2.011-Manutenção de Equipamentos Públicos "/>
    <s v="3.3.90.39.00-OUTROS SERVIÇOS DE TERCEIROS - PESSOA JURÍDICA"/>
    <x v="18"/>
    <x v="0"/>
    <n v="457713.11990000005"/>
    <x v="1"/>
  </r>
  <r>
    <s v="09"/>
    <s v="012"/>
    <s v="10"/>
    <s v="303"/>
    <s v="0014"/>
    <x v="0"/>
    <x v="8"/>
    <x v="527"/>
    <x v="6"/>
    <s v="012-FUNDO ESPECIAL DE MANUTENÇÃO DOS BOMBEIROS"/>
    <s v="10-SAÚDE"/>
    <s v="303-SUPORTE PROFILÁTICO E TERAPÊUTICO"/>
    <s v="0014-Gestão em Saúde​"/>
    <s v="2.011-Manutenção de Equipamentos Públicos "/>
    <s v="4.4.90.52.00-EQUIPAMENTOS E MATERIAL PERMANENTE"/>
    <x v="18"/>
    <x v="0"/>
    <n v="103910"/>
    <x v="1"/>
  </r>
  <r>
    <s v="09"/>
    <s v="012"/>
    <s v="10"/>
    <s v="303"/>
    <s v="0015"/>
    <x v="0"/>
    <x v="0"/>
    <x v="137"/>
    <x v="6"/>
    <s v="012-FUNDO ESPECIAL DE MANUTENÇÃO DOS BOMBEIROS"/>
    <s v="10-SAÚDE"/>
    <s v="303-SUPORTE PROFILÁTICO E TERAPÊUTICO"/>
    <s v="0015-Atenção e Cuidado em Saúde​"/>
    <s v="2.011-Manutenção de Equipamentos Públicos "/>
    <s v="3.3.90.30.00-MATERIAL DE CONSUMO"/>
    <x v="18"/>
    <x v="0"/>
    <n v="7279119.8200000003"/>
    <x v="1"/>
  </r>
  <r>
    <s v="09"/>
    <s v="015"/>
    <s v="04"/>
    <s v="128"/>
    <s v="0002"/>
    <x v="2"/>
    <x v="10"/>
    <x v="528"/>
    <x v="6"/>
    <s v="015-DIRETORIA GERAL DA GESTÃO DE SAÚD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2"/>
    <x v="1"/>
  </r>
  <r>
    <s v="09"/>
    <s v="015"/>
    <s v="04"/>
    <s v="128"/>
    <s v="0002"/>
    <x v="2"/>
    <x v="1"/>
    <x v="529"/>
    <x v="6"/>
    <s v="015-DIRETORIA GERAL DA GESTÃO DE SAÚD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2"/>
    <x v="1"/>
  </r>
  <r>
    <s v="09"/>
    <s v="015"/>
    <s v="10"/>
    <s v="122"/>
    <s v="0014"/>
    <x v="0"/>
    <x v="0"/>
    <x v="125"/>
    <x v="6"/>
    <s v="015-DIRETORIA GERAL DA GESTÃO DE SAÚDE"/>
    <s v="10-SAÚDE"/>
    <s v="122-ADMINISTRAÇÃO GERAL"/>
    <s v="0014-Gestão em Saúde​"/>
    <s v="2.011-Manutenção de Equipamentos Públicos "/>
    <s v="3.3.90.30.00-MATERIAL DE CONSUMO"/>
    <x v="18"/>
    <x v="0"/>
    <n v="7462180.9609000012"/>
    <x v="1"/>
  </r>
  <r>
    <s v="09"/>
    <s v="015"/>
    <s v="10"/>
    <s v="122"/>
    <s v="0014"/>
    <x v="0"/>
    <x v="16"/>
    <x v="129"/>
    <x v="6"/>
    <s v="015-DIRETORIA GERAL DA GESTÃO DE SAÚDE"/>
    <s v="10-SAÚDE"/>
    <s v="122-ADMINISTRAÇÃO GERAL"/>
    <s v="0014-Gestão em Saúde​"/>
    <s v="2.011-Manutenção de Equipamentos Públicos "/>
    <s v="3.3.90.32.00-MATERIAL, BEM OU SERVIÇO PARA DISTRIBUIÇÃO GRATUITA"/>
    <x v="18"/>
    <x v="0"/>
    <n v="152099"/>
    <x v="1"/>
  </r>
  <r>
    <s v="09"/>
    <s v="015"/>
    <s v="10"/>
    <s v="122"/>
    <s v="0014"/>
    <x v="0"/>
    <x v="1"/>
    <x v="119"/>
    <x v="6"/>
    <s v="015-DIRETORIA GERAL DA GESTÃO DE SAÚDE"/>
    <s v="10-SAÚDE"/>
    <s v="122-ADMINISTRAÇÃO GERAL"/>
    <s v="0014-Gestão em Saúde​"/>
    <s v="2.011-Manutenção de Equipamentos Públicos "/>
    <s v="3.3.90.39.00-OUTROS SERVIÇOS DE TERCEIROS - PESSOA JURÍDICA"/>
    <x v="18"/>
    <x v="0"/>
    <n v="6111079.4584000008"/>
    <x v="1"/>
  </r>
  <r>
    <s v="09"/>
    <s v="015"/>
    <s v="10"/>
    <s v="122"/>
    <s v="0014"/>
    <x v="0"/>
    <x v="6"/>
    <x v="126"/>
    <x v="6"/>
    <s v="015-DIRETORIA GERAL DA GESTÃO DE SAÚDE"/>
    <s v="10-SAÚDE"/>
    <s v="122-ADMINISTRAÇÃO GERAL"/>
    <s v="0014-Gestão em Saúde​"/>
    <s v="2.011-Manutenção de Equipamentos Públicos "/>
    <s v="3.3.90.93.00-INDENIZAÇÕES E RESTITUIÇÕES"/>
    <x v="18"/>
    <x v="0"/>
    <n v="1039099.9609000001"/>
    <x v="1"/>
  </r>
  <r>
    <s v="09"/>
    <s v="015"/>
    <s v="10"/>
    <s v="128"/>
    <s v="0014"/>
    <x v="12"/>
    <x v="15"/>
    <x v="530"/>
    <x v="6"/>
    <s v="015-DIRETORIA GERAL DA GESTÃO DE SAÚDE"/>
    <s v="10-SAÚDE"/>
    <s v="128-FORMAÇÃO DE RECURSOS HUMANOS"/>
    <s v="0014-Gestão em Saúde​"/>
    <s v="2.008-Estágio e Aprendizagem"/>
    <s v="3.3.90.48.00 - OUTROS AUXILIOS FINANCEIROS A PESSOAS FISICAS"/>
    <x v="18"/>
    <x v="0"/>
    <n v="432364.10667999979"/>
    <x v="1"/>
  </r>
  <r>
    <s v="11"/>
    <s v="001"/>
    <s v="04"/>
    <s v="122"/>
    <s v="0011"/>
    <x v="0"/>
    <x v="0"/>
    <x v="152"/>
    <x v="7"/>
    <s v="001-CHEFIA DE GABINETE"/>
    <s v="4-ADMINISTRAÇÃO"/>
    <s v="122-ADMINISTRAÇÃO GERAL"/>
    <s v="0011-Zeladoria Urbana e Cuidados com a Cidade​"/>
    <s v="2.011-Manutenção de Equipamentos Públicos "/>
    <s v="3.3.90.30.00-MATERIAL DE CONSUMO"/>
    <x v="18"/>
    <x v="0"/>
    <n v="2990932.6000699997"/>
    <x v="1"/>
  </r>
  <r>
    <s v="11"/>
    <s v="001"/>
    <s v="04"/>
    <s v="122"/>
    <s v="0011"/>
    <x v="0"/>
    <x v="1"/>
    <x v="153"/>
    <x v="7"/>
    <s v="001-CHEFIA DE GABINETE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18"/>
    <x v="0"/>
    <n v="36023986.859999999"/>
    <x v="1"/>
  </r>
  <r>
    <s v="11"/>
    <s v="001"/>
    <s v="04"/>
    <s v="122"/>
    <s v="0011"/>
    <x v="0"/>
    <x v="8"/>
    <x v="154"/>
    <x v="7"/>
    <s v="001-CHEFIA DE GABINETE"/>
    <s v="4-ADMINISTRAÇÃO"/>
    <s v="122-ADMINISTRAÇÃO GERAL"/>
    <s v="0011-Zeladoria Urbana e Cuidados com a Cidade​"/>
    <s v="2.011-Manutenção de Equipamentos Públicos "/>
    <s v="4.4.90.52.00-EQUIPAMENTOS E MATERIAL PERMANENTE"/>
    <x v="18"/>
    <x v="0"/>
    <n v="342903.00000000006"/>
    <x v="1"/>
  </r>
  <r>
    <s v="11"/>
    <s v="001"/>
    <s v="04"/>
    <s v="131"/>
    <s v="0002"/>
    <x v="4"/>
    <x v="0"/>
    <x v="531"/>
    <x v="7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597.75"/>
    <x v="1"/>
  </r>
  <r>
    <s v="11"/>
    <s v="001"/>
    <s v="04"/>
    <s v="131"/>
    <s v="0002"/>
    <x v="4"/>
    <x v="1"/>
    <x v="156"/>
    <x v="7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2340.649999999998"/>
    <x v="1"/>
  </r>
  <r>
    <s v="11"/>
    <s v="001"/>
    <s v="15"/>
    <s v="452"/>
    <s v="0011"/>
    <x v="26"/>
    <x v="0"/>
    <x v="165"/>
    <x v="7"/>
    <s v="001-CHEFIA DE GABINETE"/>
    <s v="15-URBANISMO"/>
    <s v="452-SERVIÇOS URBNOS"/>
    <s v="0011-Zeladoria Urbana e Cuidados com a Cidade​"/>
    <s v="2.038-Iluminação Pública "/>
    <s v="3.3.90.30.00-MATERIAL DE CONSUMO"/>
    <x v="18"/>
    <x v="0"/>
    <n v="623460"/>
    <x v="1"/>
  </r>
  <r>
    <s v="11"/>
    <s v="001"/>
    <s v="15"/>
    <s v="452"/>
    <s v="0011"/>
    <x v="26"/>
    <x v="1"/>
    <x v="166"/>
    <x v="7"/>
    <s v="001-CHEFIA DE GABINETE"/>
    <s v="15-URBANISMO"/>
    <s v="452-SERVIÇOS URBNOS"/>
    <s v="0011-Zeladoria Urbana e Cuidados com a Cidade​"/>
    <s v="2.038-Iluminação Pública "/>
    <s v="3.3.90.39.00-OUTROS SERVIÇOS DE TERCEIROS - PESSOA JURÍDICA"/>
    <x v="18"/>
    <x v="0"/>
    <n v="19072894.466047"/>
    <x v="1"/>
  </r>
  <r>
    <s v="11"/>
    <s v="001"/>
    <s v="15"/>
    <s v="452"/>
    <s v="0013"/>
    <x v="24"/>
    <x v="1"/>
    <x v="167"/>
    <x v="7"/>
    <s v="001-CHEFIA DE GABINETE"/>
    <s v="15-URBANISMO"/>
    <s v="452-SERVIÇOS URBNOS"/>
    <s v="0013-Mobilidade Urbana e Infraestrutura Viária​"/>
    <s v="2.034-Manutenção da Infraestrutura Viária"/>
    <s v="3.3.90.39.00-OUTROS SERVIÇOS DE TERCEIROS - PESSOA JURÍDICA"/>
    <x v="18"/>
    <x v="0"/>
    <n v="48539552.719999999"/>
    <x v="1"/>
  </r>
  <r>
    <s v="11"/>
    <s v="001"/>
    <s v="15"/>
    <s v="452"/>
    <s v="0013"/>
    <x v="24"/>
    <x v="8"/>
    <x v="532"/>
    <x v="7"/>
    <s v="001-CHEFIA DE GABINETE"/>
    <s v="15-URBANISMO"/>
    <s v="452-SERVIÇOS URBNOS"/>
    <s v="0013-Mobilidade Urbana e Infraestrutura Viária​"/>
    <s v="2.034-Manutenção da Infraestrutura Viária"/>
    <s v="4.4.90.52.00-EQUIPAMENTOS E MATERIAL PERMANENTE"/>
    <x v="18"/>
    <x v="0"/>
    <n v="0"/>
    <x v="1"/>
  </r>
  <r>
    <s v="11"/>
    <s v="001"/>
    <s v="17"/>
    <s v="452"/>
    <s v="0007"/>
    <x v="27"/>
    <x v="0"/>
    <x v="533"/>
    <x v="7"/>
    <s v="001-CHEFIA DE GABINETE"/>
    <s v="17-SANEAMENTO"/>
    <s v="452-SERVIÇOS URBNOS"/>
    <s v="0007-Meio Ambiente, Sustentabilidade e Bem-Estar Animal​"/>
    <s v="2.039-Limpeza Urbana e Gestão de Resíduos Sólidos "/>
    <s v="3.3.90.30.00-MATERIAL DE CONSUMO"/>
    <x v="18"/>
    <x v="0"/>
    <n v="0"/>
    <x v="1"/>
  </r>
  <r>
    <s v="11"/>
    <s v="001"/>
    <s v="17"/>
    <s v="452"/>
    <s v="0007"/>
    <x v="27"/>
    <x v="1"/>
    <x v="169"/>
    <x v="7"/>
    <s v="001-CHEFIA DE GABINETE"/>
    <s v="17-SANEAMENTO"/>
    <s v="452-SERVIÇOS URBNOS"/>
    <s v="0007-Meio Ambiente, Sustentabilidade e Bem-Estar Animal​"/>
    <s v="2.039-Limpeza Urbana e Gestão de Resíduos Sólidos "/>
    <s v="3.3.90.39.00-OUTROS SERVIÇOS DE TERCEIROS - PESSOA JURÍDICA"/>
    <x v="18"/>
    <x v="0"/>
    <n v="58801481.18"/>
    <x v="1"/>
  </r>
  <r>
    <s v="11"/>
    <s v="001"/>
    <s v="17"/>
    <s v="452"/>
    <s v="0007"/>
    <x v="27"/>
    <x v="12"/>
    <x v="534"/>
    <x v="7"/>
    <s v="001-CHEFIA DE GABINETE"/>
    <s v="17-SANEAMENTO"/>
    <s v="452-SERVIÇOS URBNOS"/>
    <s v="0007-Meio Ambiente, Sustentabilidade e Bem-Estar Animal​"/>
    <s v="2.039-Limpeza Urbana e Gestão de Resíduos Sólidos "/>
    <s v="4.4.90.51.00-OBRAS E INSTALAÇÕES"/>
    <x v="18"/>
    <x v="0"/>
    <n v="1"/>
    <x v="1"/>
  </r>
  <r>
    <s v="11"/>
    <s v="001"/>
    <s v="17"/>
    <s v="452"/>
    <s v="0007"/>
    <x v="27"/>
    <x v="8"/>
    <x v="535"/>
    <x v="7"/>
    <s v="001-CHEFIA DE GABINETE"/>
    <s v="17-SANEAMENTO"/>
    <s v="452-SERVIÇOS URBNOS"/>
    <s v="0007-Meio Ambiente, Sustentabilidade e Bem-Estar Animal​"/>
    <s v="2.039-Limpeza Urbana e Gestão de Resíduos Sólidos "/>
    <s v="4.4.90.52.00-EQUIPAMENTOS E MATERIAL PERMANENTE"/>
    <x v="18"/>
    <x v="0"/>
    <n v="0"/>
    <x v="1"/>
  </r>
  <r>
    <s v="11"/>
    <s v="001"/>
    <s v="18"/>
    <s v="543"/>
    <s v="0007"/>
    <x v="29"/>
    <x v="11"/>
    <x v="536"/>
    <x v="7"/>
    <s v="001-CHEFIA DE GABINETE"/>
    <s v="18-GESTÃO AMBIENTAL"/>
    <s v="543-RECUPERAÇÃO DE ÁREAS DEGRADADAS"/>
    <s v="0007-Meio Ambiente, Sustentabilidade e Bem-Estar Animal​"/>
    <s v="2.037-Ampliação e Manutenção de Áreas Verdes"/>
    <s v="3.3.50.39.00-OUTROS SERVIÇOS DE TERCEIROS - PESSOA JURÍDICA"/>
    <x v="18"/>
    <x v="0"/>
    <n v="0"/>
    <x v="1"/>
  </r>
  <r>
    <s v="11"/>
    <s v="001"/>
    <s v="18"/>
    <s v="543"/>
    <s v="0007"/>
    <x v="29"/>
    <x v="1"/>
    <x v="171"/>
    <x v="7"/>
    <s v="001-CHEFIA DE GABINETE"/>
    <s v="18-GESTÃO AMBIENTAL"/>
    <s v="543-RECUPERAÇÃO DE ÁREAS DEGRADADAS"/>
    <s v="0007-Meio Ambiente, Sustentabilidade e Bem-Estar Animal​"/>
    <s v="2.037-Ampliação e Manutenção de Áreas Verdes"/>
    <s v="3.3.90.39.00-OUTROS SERVIÇOS DE TERCEIROS - PESSOA JURÍDICA"/>
    <x v="18"/>
    <x v="0"/>
    <n v="58470749.880000003"/>
    <x v="1"/>
  </r>
  <r>
    <s v="11"/>
    <s v="001"/>
    <s v="18"/>
    <s v="544"/>
    <s v="0005"/>
    <x v="28"/>
    <x v="1"/>
    <x v="170"/>
    <x v="7"/>
    <s v="001-CHEFIA DE GABINETE"/>
    <s v="18-GESTÃO AMBIENTAL"/>
    <s v="544-RECURSOS HÍDRICOS"/>
    <s v="0005-Resiliência Urbana​"/>
    <s v="2.035-Manutenção e Serviços de Drenagem Urbana "/>
    <s v="3.3.90.39.00-OUTROS SERVIÇOS DE TERCEIROS - PESSOA JURÍDICA"/>
    <x v="18"/>
    <x v="0"/>
    <n v="34137842.25"/>
    <x v="1"/>
  </r>
  <r>
    <s v="11"/>
    <s v="008"/>
    <s v="17"/>
    <s v="452"/>
    <s v="0007"/>
    <x v="27"/>
    <x v="1"/>
    <x v="537"/>
    <x v="7"/>
    <s v="008-DIRETORIA GERAL DE ATENÇÃO PRIMÁRIA EM SAÚDE"/>
    <s v="17-SANEAMENTO"/>
    <s v="452-SERVIÇOS URBNOS"/>
    <s v="0007-Meio Ambiente, Sustentabilidade e Bem-Estar Animal​"/>
    <s v="2.039-Limpeza Urbana e Gestão de Resíduos Sólidos "/>
    <s v="3.3.90.39.00-OUTROS SERVIÇOS DE TERCEIROS - PESSOA JURÍDICA"/>
    <x v="18"/>
    <x v="0"/>
    <n v="137610322.99000001"/>
    <x v="1"/>
  </r>
  <r>
    <s v="11"/>
    <s v="008"/>
    <s v="17"/>
    <s v="452"/>
    <s v="0007"/>
    <x v="27"/>
    <x v="12"/>
    <x v="538"/>
    <x v="7"/>
    <s v="008-DIRETORIA GERAL DE ATENÇÃO PRIMÁRIA EM SAÚDE"/>
    <s v="17-SANEAMENTO"/>
    <s v="452-SERVIÇOS URBNOS"/>
    <s v="0007-Meio Ambiente, Sustentabilidade e Bem-Estar Animal​"/>
    <s v="2.039-Limpeza Urbana e Gestão de Resíduos Sólidos "/>
    <s v="4.4.90.51.00-OBRAS E INSTALAÇÕES"/>
    <x v="18"/>
    <x v="0"/>
    <n v="0"/>
    <x v="1"/>
  </r>
  <r>
    <s v="11"/>
    <s v="014"/>
    <s v="04"/>
    <s v="122"/>
    <s v="0011"/>
    <x v="0"/>
    <x v="0"/>
    <x v="159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0.00-MATERIAL DE CONSUMO"/>
    <x v="18"/>
    <x v="0"/>
    <n v="826510.59000000008"/>
    <x v="1"/>
  </r>
  <r>
    <s v="11"/>
    <s v="014"/>
    <s v="04"/>
    <s v="122"/>
    <s v="0011"/>
    <x v="0"/>
    <x v="1"/>
    <x v="160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3.3.90.39.00-OUTROS SERVIÇOS DE TERCEIROS - PESSOA JURÍDICA"/>
    <x v="18"/>
    <x v="0"/>
    <n v="299828"/>
    <x v="1"/>
  </r>
  <r>
    <s v="11"/>
    <s v="014"/>
    <s v="04"/>
    <s v="122"/>
    <s v="0011"/>
    <x v="0"/>
    <x v="8"/>
    <x v="161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4.4.90.52.00-EQUIPAMENTOS E MATERIAL PERMANENTE"/>
    <x v="18"/>
    <x v="0"/>
    <n v="187038"/>
    <x v="1"/>
  </r>
  <r>
    <s v="11"/>
    <s v="014"/>
    <s v="04"/>
    <s v="122"/>
    <s v="0011"/>
    <x v="0"/>
    <x v="20"/>
    <x v="162"/>
    <x v="7"/>
    <s v="014-FUNDO MUNICIPAL DE MANUTENÇÃO DE VELÓRIOS"/>
    <s v="4-ADMINISTRAÇÃO"/>
    <s v="122-ADMINISTRAÇÃO GERAL"/>
    <s v="0011-Zeladoria Urbana e Cuidados com a Cidade​"/>
    <s v="2.011-Manutenção de Equipamentos Públicos "/>
    <s v="4.5.90.62.00-AQUISIÇÃO DE PRODUTOS PARA REVENDA"/>
    <x v="18"/>
    <x v="0"/>
    <n v="1200001"/>
    <x v="1"/>
  </r>
  <r>
    <s v="11"/>
    <s v="014"/>
    <s v="18"/>
    <s v="543"/>
    <s v="0007"/>
    <x v="29"/>
    <x v="1"/>
    <x v="539"/>
    <x v="7"/>
    <s v="014-FUNDO MUNICIPAL DE MANUTENÇÃO DE VELÓRIOS"/>
    <s v="18-GESTÃO AMBIENTAL"/>
    <s v="543-RECUPERAÇÃO DE ÁREAS DEGRADADAS"/>
    <s v="0007-Meio Ambiente, Sustentabilidade e Bem-Estar Animal​"/>
    <s v="2.037-Ampliação e Manutenção de Áreas Verdes"/>
    <s v="3.3.90.39.00-OUTROS SERVIÇOS DE TERCEIROS - PESSOA JURÍDICA"/>
    <x v="18"/>
    <x v="0"/>
    <n v="0"/>
    <x v="1"/>
  </r>
  <r>
    <s v="12"/>
    <s v="001"/>
    <s v="04"/>
    <s v="122"/>
    <s v="0001"/>
    <x v="3"/>
    <x v="7"/>
    <x v="540"/>
    <x v="8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2"/>
    <s v="001"/>
    <s v="04"/>
    <s v="122"/>
    <s v="0001"/>
    <x v="3"/>
    <x v="1"/>
    <x v="541"/>
    <x v="8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2"/>
    <s v="001"/>
    <s v="04"/>
    <s v="128"/>
    <s v="0002"/>
    <x v="2"/>
    <x v="0"/>
    <x v="542"/>
    <x v="8"/>
    <s v="001-CHEFIA DE GABINETE"/>
    <s v="4-ADMINISTRAÇÃO"/>
    <s v="128-FORMAÇÃO DE RECURSOS HUMANOS"/>
    <s v="0002-Governo Inteligente, Aberto e Inovador​"/>
    <s v="2.003-Qualificação de Servidores e Processos Institucionais"/>
    <s v="3.3.90.30.00-MATERIAL DE CONSUMO"/>
    <x v="18"/>
    <x v="0"/>
    <n v="1"/>
    <x v="1"/>
  </r>
  <r>
    <s v="12"/>
    <s v="001"/>
    <s v="04"/>
    <s v="128"/>
    <s v="0002"/>
    <x v="2"/>
    <x v="10"/>
    <x v="543"/>
    <x v="8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12"/>
    <s v="001"/>
    <s v="04"/>
    <s v="128"/>
    <s v="0002"/>
    <x v="2"/>
    <x v="1"/>
    <x v="544"/>
    <x v="8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2"/>
    <s v="001"/>
    <s v="04"/>
    <s v="131"/>
    <s v="0002"/>
    <x v="4"/>
    <x v="0"/>
    <x v="545"/>
    <x v="8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40954.9541"/>
    <x v="1"/>
  </r>
  <r>
    <s v="12"/>
    <s v="001"/>
    <s v="04"/>
    <s v="131"/>
    <s v="0002"/>
    <x v="4"/>
    <x v="1"/>
    <x v="546"/>
    <x v="8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86209.892400000012"/>
    <x v="1"/>
  </r>
  <r>
    <s v="12"/>
    <s v="001"/>
    <s v="27"/>
    <s v="811"/>
    <s v="0010"/>
    <x v="31"/>
    <x v="11"/>
    <x v="547"/>
    <x v="8"/>
    <s v="001-CHEFIA DE GABINETE"/>
    <s v="27-DESPORTO E LAZER"/>
    <s v="811-DESPORTO DE RENDIMENTO"/>
    <s v="0010-Esporte, Lazer e Bem-Estar​"/>
    <s v="2.030-Apoio ao Esporte de Alto Rendimento"/>
    <s v="3.3.50.39.00-OUTROS SERVIÇOS DE TERCEIROS - PESSOA JURÍDICA"/>
    <x v="18"/>
    <x v="0"/>
    <n v="0"/>
    <x v="1"/>
  </r>
  <r>
    <s v="12"/>
    <s v="001"/>
    <s v="27"/>
    <s v="811"/>
    <s v="0010"/>
    <x v="31"/>
    <x v="0"/>
    <x v="548"/>
    <x v="8"/>
    <s v="001-CHEFIA DE GABINETE"/>
    <s v="27-DESPORTO E LAZER"/>
    <s v="811-DESPORTO DE RENDIMENTO"/>
    <s v="0010-Esporte, Lazer e Bem-Estar​"/>
    <s v="2.030-Apoio ao Esporte de Alto Rendimento"/>
    <s v="3.3.90.30.00-MATERIAL DE CONSUMO"/>
    <x v="18"/>
    <x v="0"/>
    <n v="763290.64789999998"/>
    <x v="1"/>
  </r>
  <r>
    <s v="12"/>
    <s v="001"/>
    <s v="27"/>
    <s v="811"/>
    <s v="0010"/>
    <x v="31"/>
    <x v="1"/>
    <x v="192"/>
    <x v="8"/>
    <s v="001-CHEFIA DE GABINETE"/>
    <s v="27-DESPORTO E LAZER"/>
    <s v="811-DESPORTO DE RENDIMENTO"/>
    <s v="0010-Esporte, Lazer e Bem-Estar​"/>
    <s v="2.030-Apoio ao Esporte de Alto Rendimento"/>
    <s v="3.3.90.39.00-OUTROS SERVIÇOS DE TERCEIROS - PESSOA JURÍDICA"/>
    <x v="18"/>
    <x v="0"/>
    <n v="2376920"/>
    <x v="1"/>
  </r>
  <r>
    <s v="12"/>
    <s v="001"/>
    <s v="27"/>
    <s v="811"/>
    <s v="0010"/>
    <x v="31"/>
    <x v="15"/>
    <x v="549"/>
    <x v="8"/>
    <s v="001-CHEFIA DE GABINETE"/>
    <s v="27-DESPORTO E LAZER"/>
    <s v="811-DESPORTO DE RENDIMENTO"/>
    <s v="0010-Esporte, Lazer e Bem-Estar​"/>
    <s v="2.030-Apoio ao Esporte de Alto Rendimento"/>
    <s v="3.3.90.48.00 - OUTROS AUXILIOS FINANCEIROS A PESSOAS FISICAS"/>
    <x v="18"/>
    <x v="0"/>
    <n v="6442420"/>
    <x v="1"/>
  </r>
  <r>
    <s v="12"/>
    <s v="001"/>
    <s v="27"/>
    <s v="811"/>
    <s v="0010"/>
    <x v="31"/>
    <x v="4"/>
    <x v="550"/>
    <x v="8"/>
    <s v="001-CHEFIA DE GABINETE"/>
    <s v="27-DESPORTO E LAZER"/>
    <s v="811-DESPORTO DE RENDIMENTO"/>
    <s v="0010-Esporte, Lazer e Bem-Estar​"/>
    <s v="2.030-Apoio ao Esporte de Alto Rendimento"/>
    <s v="4.4.50.52.00-EQUIPAMENTOS E MATERIAL PERMANENTE"/>
    <x v="18"/>
    <x v="0"/>
    <n v="0"/>
    <x v="1"/>
  </r>
  <r>
    <s v="12"/>
    <s v="001"/>
    <s v="27"/>
    <s v="811"/>
    <s v="0010"/>
    <x v="31"/>
    <x v="12"/>
    <x v="551"/>
    <x v="8"/>
    <s v="001-CHEFIA DE GABINETE"/>
    <s v="27-DESPORTO E LAZER"/>
    <s v="811-DESPORTO DE RENDIMENTO"/>
    <s v="0010-Esporte, Lazer e Bem-Estar​"/>
    <s v="2.030-Apoio ao Esporte de Alto Rendimento"/>
    <s v="4.4.90.51.00-OBRAS E INSTALAÇÕES"/>
    <x v="18"/>
    <x v="0"/>
    <n v="1"/>
    <x v="1"/>
  </r>
  <r>
    <s v="12"/>
    <s v="001"/>
    <s v="27"/>
    <s v="812"/>
    <s v="0010"/>
    <x v="0"/>
    <x v="0"/>
    <x v="552"/>
    <x v="8"/>
    <s v="001-CHEFIA DE GABINETE"/>
    <s v="27-DESPORTO E LAZER"/>
    <s v="812-DESPORTO COMUNITÁRIO"/>
    <s v="0010-Esporte, Lazer e Bem-Estar​"/>
    <s v="2.011-Manutenção de Equipamentos Públicos "/>
    <s v="3.3.90.30.00-MATERIAL DE CONSUMO"/>
    <x v="18"/>
    <x v="0"/>
    <n v="189236.73560000001"/>
    <x v="1"/>
  </r>
  <r>
    <s v="12"/>
    <s v="001"/>
    <s v="27"/>
    <s v="812"/>
    <s v="0010"/>
    <x v="0"/>
    <x v="1"/>
    <x v="553"/>
    <x v="8"/>
    <s v="001-CHEFIA DE GABINETE"/>
    <s v="27-DESPORTO E LAZER"/>
    <s v="812-DESPORTO COMUNITÁRIO"/>
    <s v="0010-Esporte, Lazer e Bem-Estar​"/>
    <s v="2.011-Manutenção de Equipamentos Públicos "/>
    <s v="3.3.90.39.00-OUTROS SERVIÇOS DE TERCEIROS - PESSOA JURÍDICA"/>
    <x v="18"/>
    <x v="0"/>
    <n v="1700000"/>
    <x v="1"/>
  </r>
  <r>
    <s v="12"/>
    <s v="001"/>
    <s v="27"/>
    <s v="812"/>
    <s v="0010"/>
    <x v="32"/>
    <x v="0"/>
    <x v="554"/>
    <x v="8"/>
    <s v="001-CHEFIA DE GABINETE"/>
    <s v="27-DESPORTO E LAZER"/>
    <s v="812-DESPORTO COMUNITÁRIO"/>
    <s v="0010-Esporte, Lazer e Bem-Estar​"/>
    <s v="2.028-Disseminação de Atividades Culturais e Esportivas Decentralizadas"/>
    <s v="3.3.90.30.00-MATERIAL DE CONSUMO"/>
    <x v="18"/>
    <x v="0"/>
    <n v="0"/>
    <x v="1"/>
  </r>
  <r>
    <s v="12"/>
    <s v="001"/>
    <s v="27"/>
    <s v="812"/>
    <s v="0010"/>
    <x v="32"/>
    <x v="10"/>
    <x v="555"/>
    <x v="8"/>
    <s v="001-CHEFIA DE GABINETE"/>
    <s v="27-DESPORTO E LAZER"/>
    <s v="812-DESPORTO COMUNITÁRIO"/>
    <s v="0010-Esporte, Lazer e Bem-Estar​"/>
    <s v="2.028-Disseminação de Atividades Culturais e Esportivas Decentralizadas"/>
    <s v="3.3.90.36.00-OUTROS SERVIÇOS DE TERCEIROS - PESSOA FÍSICA"/>
    <x v="18"/>
    <x v="0"/>
    <n v="37800"/>
    <x v="1"/>
  </r>
  <r>
    <s v="12"/>
    <s v="001"/>
    <s v="27"/>
    <s v="812"/>
    <s v="0010"/>
    <x v="32"/>
    <x v="1"/>
    <x v="556"/>
    <x v="8"/>
    <s v="001-CHEFIA DE GABINETE"/>
    <s v="27-DESPORTO E LAZER"/>
    <s v="812-DESPORTO COMUNITÁRIO"/>
    <s v="0010-Esporte, Lazer e Bem-Estar​"/>
    <s v="2.028-Disseminação de Atividades Culturais e Esportivas Decentralizadas"/>
    <s v="3.3.90.39.00-OUTROS SERVIÇOS DE TERCEIROS - PESSOA JURÍDICA"/>
    <x v="18"/>
    <x v="0"/>
    <n v="199920"/>
    <x v="1"/>
  </r>
  <r>
    <s v="12"/>
    <s v="001"/>
    <s v="27"/>
    <s v="812"/>
    <s v="0010"/>
    <x v="32"/>
    <x v="8"/>
    <x v="557"/>
    <x v="8"/>
    <s v="001-CHEFIA DE GABINETE"/>
    <s v="27-DESPORTO E LAZER"/>
    <s v="812-DESPORTO COMUNITÁRIO"/>
    <s v="0010-Esporte, Lazer e Bem-Estar​"/>
    <s v="2.028-Disseminação de Atividades Culturais e Esportivas Decentralizadas"/>
    <s v="4.4.90.52.00-EQUIPAMENTOS E MATERIAL PERMANENTE"/>
    <x v="18"/>
    <x v="0"/>
    <n v="0"/>
    <x v="1"/>
  </r>
  <r>
    <s v="12"/>
    <s v="001"/>
    <s v="27"/>
    <s v="812"/>
    <s v="0010"/>
    <x v="31"/>
    <x v="12"/>
    <x v="558"/>
    <x v="8"/>
    <s v="001-CHEFIA DE GABINETE"/>
    <s v="27-DESPORTO E LAZER"/>
    <s v="812-DESPORTO COMUNITÁRIO"/>
    <s v="0010-Esporte, Lazer e Bem-Estar​"/>
    <s v="2.030-Apoio ao Esporte de Alto Rendimento"/>
    <s v="4.4.90.51.00-OBRAS E INSTALAÇÕES"/>
    <x v="18"/>
    <x v="0"/>
    <n v="1"/>
    <x v="1"/>
  </r>
  <r>
    <s v="12"/>
    <s v="001"/>
    <s v="27"/>
    <s v="812"/>
    <s v="0010"/>
    <x v="33"/>
    <x v="11"/>
    <x v="559"/>
    <x v="8"/>
    <s v="001-CHEFIA DE GABINETE"/>
    <s v="27-DESPORTO E LAZER"/>
    <s v="812-DESPORTO COMUNITÁRIO"/>
    <s v="0010-Esporte, Lazer e Bem-Estar​"/>
    <s v="2.031-Esporte Amador "/>
    <s v="3.3.50.39.00-OUTROS SERVIÇOS DE TERCEIROS - PESSOA JURÍDICA"/>
    <x v="18"/>
    <x v="0"/>
    <n v="0"/>
    <x v="1"/>
  </r>
  <r>
    <s v="12"/>
    <s v="001"/>
    <s v="27"/>
    <s v="812"/>
    <s v="0010"/>
    <x v="33"/>
    <x v="0"/>
    <x v="560"/>
    <x v="8"/>
    <s v="001-CHEFIA DE GABINETE"/>
    <s v="27-DESPORTO E LAZER"/>
    <s v="812-DESPORTO COMUNITÁRIO"/>
    <s v="0010-Esporte, Lazer e Bem-Estar​"/>
    <s v="2.031-Esporte Amador "/>
    <s v="3.3.90.30.00-MATERIAL DE CONSUMO"/>
    <x v="18"/>
    <x v="0"/>
    <n v="60952.566899999998"/>
    <x v="1"/>
  </r>
  <r>
    <s v="12"/>
    <s v="001"/>
    <s v="27"/>
    <s v="812"/>
    <s v="0010"/>
    <x v="33"/>
    <x v="14"/>
    <x v="561"/>
    <x v="8"/>
    <s v="001-CHEFIA DE GABINETE"/>
    <s v="27-DESPORTO E LAZER"/>
    <s v="812-DESPORTO COMUNITÁRIO"/>
    <s v="0010-Esporte, Lazer e Bem-Estar​"/>
    <s v="2.031-Esporte Amador "/>
    <s v="3.3.90.31.00-PREMIAÇÕES CULTURAIS, ARTÍSTICAS, CIENTÍFICAS, DESPORTIVAS E OUTRAS"/>
    <x v="18"/>
    <x v="0"/>
    <n v="0"/>
    <x v="1"/>
  </r>
  <r>
    <s v="12"/>
    <s v="001"/>
    <s v="27"/>
    <s v="812"/>
    <s v="0010"/>
    <x v="33"/>
    <x v="1"/>
    <x v="562"/>
    <x v="8"/>
    <s v="001-CHEFIA DE GABINETE"/>
    <s v="27-DESPORTO E LAZER"/>
    <s v="812-DESPORTO COMUNITÁRIO"/>
    <s v="0010-Esporte, Lazer e Bem-Estar​"/>
    <s v="2.031-Esporte Amador "/>
    <s v="3.3.90.39.00-OUTROS SERVIÇOS DE TERCEIROS - PESSOA JURÍDICA"/>
    <x v="18"/>
    <x v="0"/>
    <n v="1"/>
    <x v="1"/>
  </r>
  <r>
    <s v="12"/>
    <s v="001"/>
    <s v="27"/>
    <s v="812"/>
    <s v="0010"/>
    <x v="33"/>
    <x v="4"/>
    <x v="563"/>
    <x v="8"/>
    <s v="001-CHEFIA DE GABINETE"/>
    <s v="27-DESPORTO E LAZER"/>
    <s v="812-DESPORTO COMUNITÁRIO"/>
    <s v="0010-Esporte, Lazer e Bem-Estar​"/>
    <s v="2.031-Esporte Amador "/>
    <s v="4.4.50.52.00-EQUIPAMENTOS E MATERIAL PERMANENTE"/>
    <x v="18"/>
    <x v="0"/>
    <n v="0"/>
    <x v="1"/>
  </r>
  <r>
    <s v="12"/>
    <s v="001"/>
    <s v="27"/>
    <s v="812"/>
    <s v="0010"/>
    <x v="33"/>
    <x v="8"/>
    <x v="564"/>
    <x v="8"/>
    <s v="001-CHEFIA DE GABINETE"/>
    <s v="27-DESPORTO E LAZER"/>
    <s v="812-DESPORTO COMUNITÁRIO"/>
    <s v="0010-Esporte, Lazer e Bem-Estar​"/>
    <s v="2.031-Esporte Amador "/>
    <s v="4.4.90.52.00-EQUIPAMENTOS E MATERIAL PERMANENTE"/>
    <x v="18"/>
    <x v="0"/>
    <n v="0"/>
    <x v="1"/>
  </r>
  <r>
    <s v="12"/>
    <s v="001"/>
    <s v="27"/>
    <s v="812"/>
    <s v="0010"/>
    <x v="30"/>
    <x v="0"/>
    <x v="565"/>
    <x v="8"/>
    <s v="001-CHEFIA DE GABINETE"/>
    <s v="27-DESPORTO E LAZER"/>
    <s v="812-DESPORTO COMUNITÁRIO"/>
    <s v="0010-Esporte, Lazer e Bem-Estar​"/>
    <s v="2.032-Iniciação Esportiva "/>
    <s v="3.3.90.30.00-MATERIAL DE CONSUMO"/>
    <x v="18"/>
    <x v="0"/>
    <n v="173278.19870000001"/>
    <x v="1"/>
  </r>
  <r>
    <s v="12"/>
    <s v="001"/>
    <s v="27"/>
    <s v="812"/>
    <s v="0010"/>
    <x v="30"/>
    <x v="1"/>
    <x v="566"/>
    <x v="8"/>
    <s v="001-CHEFIA DE GABINETE"/>
    <s v="27-DESPORTO E LAZER"/>
    <s v="812-DESPORTO COMUNITÁRIO"/>
    <s v="0010-Esporte, Lazer e Bem-Estar​"/>
    <s v="2.032-Iniciação Esportiva "/>
    <s v="3.3.90.39.00-OUTROS SERVIÇOS DE TERCEIROS - PESSOA JURÍDICA"/>
    <x v="18"/>
    <x v="0"/>
    <n v="1"/>
    <x v="1"/>
  </r>
  <r>
    <s v="12"/>
    <s v="001"/>
    <s v="27"/>
    <s v="812"/>
    <s v="0010"/>
    <x v="50"/>
    <x v="30"/>
    <x v="567"/>
    <x v="8"/>
    <s v="001-CHEFIA DE GABINETE"/>
    <s v="27-DESPORTO E LAZER"/>
    <s v="812-DESPORTO COMUNITÁRIO"/>
    <s v="0010-Esporte, Lazer e Bem-Estar​"/>
    <e v="#N/A"/>
    <e v="#N/A"/>
    <x v="18"/>
    <x v="0"/>
    <n v="702215.46719999996"/>
    <x v="1"/>
  </r>
  <r>
    <s v="13"/>
    <s v="001"/>
    <s v="04"/>
    <s v="122"/>
    <s v="0001"/>
    <x v="3"/>
    <x v="7"/>
    <x v="194"/>
    <x v="9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3"/>
    <s v="001"/>
    <s v="04"/>
    <s v="122"/>
    <s v="0001"/>
    <x v="3"/>
    <x v="1"/>
    <x v="195"/>
    <x v="9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3"/>
    <s v="001"/>
    <s v="04"/>
    <s v="122"/>
    <s v="0001"/>
    <x v="0"/>
    <x v="0"/>
    <x v="196"/>
    <x v="9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389662.5"/>
    <x v="1"/>
  </r>
  <r>
    <s v="13"/>
    <s v="001"/>
    <s v="04"/>
    <s v="122"/>
    <s v="0001"/>
    <x v="0"/>
    <x v="1"/>
    <x v="197"/>
    <x v="9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1268367"/>
    <x v="1"/>
  </r>
  <r>
    <s v="13"/>
    <s v="001"/>
    <s v="04"/>
    <s v="122"/>
    <s v="0001"/>
    <x v="0"/>
    <x v="8"/>
    <x v="198"/>
    <x v="9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62346"/>
    <x v="1"/>
  </r>
  <r>
    <s v="13"/>
    <s v="001"/>
    <s v="04"/>
    <s v="128"/>
    <s v="0002"/>
    <x v="2"/>
    <x v="10"/>
    <x v="568"/>
    <x v="9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13"/>
    <s v="001"/>
    <s v="04"/>
    <s v="128"/>
    <s v="0002"/>
    <x v="2"/>
    <x v="1"/>
    <x v="569"/>
    <x v="9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3"/>
    <s v="001"/>
    <s v="04"/>
    <s v="131"/>
    <s v="0002"/>
    <x v="4"/>
    <x v="0"/>
    <x v="570"/>
    <x v="9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7793.25"/>
    <x v="1"/>
  </r>
  <r>
    <s v="13"/>
    <s v="001"/>
    <s v="04"/>
    <s v="131"/>
    <s v="0002"/>
    <x v="4"/>
    <x v="1"/>
    <x v="571"/>
    <x v="9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0783"/>
    <x v="1"/>
  </r>
  <r>
    <s v="13"/>
    <s v="001"/>
    <s v="16"/>
    <s v="244"/>
    <s v="0012"/>
    <x v="51"/>
    <x v="15"/>
    <x v="572"/>
    <x v="9"/>
    <s v="001-CHEFIA DE GABINETE"/>
    <s v="16-HABITAÇÃO"/>
    <s v="244-ASSISTÊNCIA COMUNITÁRIA"/>
    <s v="0012-Moradia Digna​"/>
    <e v="#N/A"/>
    <s v="3.3.90.48.00 - OUTROS AUXILIOS FINANCEIROS A PESSOAS FISICAS"/>
    <x v="18"/>
    <x v="0"/>
    <n v="10202956.1121"/>
    <x v="1"/>
  </r>
  <r>
    <s v="14"/>
    <s v="001"/>
    <s v="04"/>
    <s v="122"/>
    <s v="0001"/>
    <x v="4"/>
    <x v="1"/>
    <x v="216"/>
    <x v="10"/>
    <s v="001-CHEFIA DE GABINETE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18"/>
    <x v="0"/>
    <n v="1"/>
    <x v="1"/>
  </r>
  <r>
    <s v="14"/>
    <s v="001"/>
    <s v="04"/>
    <s v="122"/>
    <s v="0001"/>
    <x v="3"/>
    <x v="7"/>
    <x v="573"/>
    <x v="10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4"/>
    <s v="001"/>
    <s v="04"/>
    <s v="122"/>
    <s v="0001"/>
    <x v="3"/>
    <x v="1"/>
    <x v="214"/>
    <x v="10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4"/>
    <s v="001"/>
    <s v="04"/>
    <s v="122"/>
    <s v="0001"/>
    <x v="0"/>
    <x v="0"/>
    <x v="217"/>
    <x v="1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316225.77"/>
    <x v="1"/>
  </r>
  <r>
    <s v="14"/>
    <s v="001"/>
    <s v="04"/>
    <s v="122"/>
    <s v="0001"/>
    <x v="0"/>
    <x v="1"/>
    <x v="218"/>
    <x v="1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57150.5"/>
    <x v="1"/>
  </r>
  <r>
    <s v="14"/>
    <s v="001"/>
    <s v="04"/>
    <s v="122"/>
    <s v="0001"/>
    <x v="0"/>
    <x v="6"/>
    <x v="219"/>
    <x v="10"/>
    <s v="001-CHEFIA DE GABINETE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5195.5"/>
    <x v="1"/>
  </r>
  <r>
    <s v="14"/>
    <s v="001"/>
    <s v="04"/>
    <s v="122"/>
    <s v="0001"/>
    <x v="0"/>
    <x v="8"/>
    <x v="220"/>
    <x v="10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202624.5"/>
    <x v="1"/>
  </r>
  <r>
    <s v="14"/>
    <s v="001"/>
    <s v="04"/>
    <s v="126"/>
    <s v="0002"/>
    <x v="1"/>
    <x v="5"/>
    <x v="211"/>
    <x v="10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378090.08"/>
    <x v="1"/>
  </r>
  <r>
    <s v="14"/>
    <s v="001"/>
    <s v="04"/>
    <s v="128"/>
    <s v="0002"/>
    <x v="2"/>
    <x v="1"/>
    <x v="221"/>
    <x v="10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45475"/>
    <x v="1"/>
  </r>
  <r>
    <s v="14"/>
    <s v="001"/>
    <s v="04"/>
    <s v="131"/>
    <s v="0001"/>
    <x v="4"/>
    <x v="0"/>
    <x v="574"/>
    <x v="10"/>
    <s v="001-CHEFIA DE GABINETE"/>
    <s v="4-ADMINISTRAÇÃO"/>
    <s v="131-COMUNICAÇÃO SOCIAL"/>
    <s v="0001-Administração e Coordenação Geral​"/>
    <s v="2.005-Promoção de Eventos, Comunicação e Participação Social "/>
    <s v="3.3.90.30.00-MATERIAL DE CONSUMO"/>
    <x v="18"/>
    <x v="0"/>
    <n v="15586.5"/>
    <x v="1"/>
  </r>
  <r>
    <s v="14"/>
    <s v="001"/>
    <s v="04"/>
    <s v="131"/>
    <s v="0002"/>
    <x v="4"/>
    <x v="0"/>
    <x v="213"/>
    <x v="10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0391"/>
    <x v="1"/>
  </r>
  <r>
    <s v="14"/>
    <s v="001"/>
    <s v="04"/>
    <s v="131"/>
    <s v="0002"/>
    <x v="4"/>
    <x v="1"/>
    <x v="210"/>
    <x v="10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51956"/>
    <x v="1"/>
  </r>
  <r>
    <s v="14"/>
    <s v="001"/>
    <s v="08"/>
    <s v="241"/>
    <s v="0018"/>
    <x v="41"/>
    <x v="11"/>
    <x v="260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3.3.50.39.00-OUTROS SERVIÇOS DE TERCEIROS - PESSOA JURÍDICA"/>
    <x v="18"/>
    <x v="0"/>
    <n v="1167939.0481"/>
    <x v="1"/>
  </r>
  <r>
    <s v="14"/>
    <s v="001"/>
    <s v="08"/>
    <s v="241"/>
    <s v="0018"/>
    <x v="41"/>
    <x v="0"/>
    <x v="261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3.3.90.30.00-MATERIAL DE CONSUMO"/>
    <x v="18"/>
    <x v="0"/>
    <n v="20783"/>
    <x v="1"/>
  </r>
  <r>
    <s v="14"/>
    <s v="001"/>
    <s v="08"/>
    <s v="241"/>
    <s v="0018"/>
    <x v="41"/>
    <x v="10"/>
    <x v="267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3.3.90.36.00-OUTROS SERVIÇOS DE TERCEIROS - PESSOA FÍSICA"/>
    <x v="18"/>
    <x v="0"/>
    <n v="5196.5"/>
    <x v="1"/>
  </r>
  <r>
    <s v="14"/>
    <s v="001"/>
    <s v="08"/>
    <s v="241"/>
    <s v="0018"/>
    <x v="41"/>
    <x v="1"/>
    <x v="262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3.3.90.39.00-OUTROS SERVIÇOS DE TERCEIROS - PESSOA JURÍDICA"/>
    <x v="18"/>
    <x v="0"/>
    <n v="31174"/>
    <x v="1"/>
  </r>
  <r>
    <s v="14"/>
    <s v="001"/>
    <s v="08"/>
    <s v="241"/>
    <s v="0018"/>
    <x v="41"/>
    <x v="4"/>
    <x v="575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4.4.50.52.00-EQUIPAMENTOS E MATERIAL PERMANENTE"/>
    <x v="18"/>
    <x v="0"/>
    <n v="0"/>
    <x v="1"/>
  </r>
  <r>
    <s v="14"/>
    <s v="001"/>
    <s v="08"/>
    <s v="241"/>
    <s v="0018"/>
    <x v="41"/>
    <x v="8"/>
    <x v="263"/>
    <x v="10"/>
    <s v="001-CHEFIA DE GABINETE"/>
    <s v="8-ASSISTÊNCIA SOCIAL"/>
    <s v="241-ASSISTÊNCIA AO IDOSO ASSISTÊNCIA À PESSOA IDOSA"/>
    <s v="0018-Proteção Social e Garantia de Direitos​"/>
    <s v="2.041-Ação Transversal de Garantia de Direitos"/>
    <s v="4.4.90.52.00-EQUIPAMENTOS E MATERIAL PERMANENTE"/>
    <x v="18"/>
    <x v="0"/>
    <n v="31174"/>
    <x v="1"/>
  </r>
  <r>
    <s v="14"/>
    <s v="001"/>
    <s v="08"/>
    <s v="245"/>
    <s v="0018"/>
    <x v="39"/>
    <x v="1"/>
    <x v="576"/>
    <x v="10"/>
    <s v="001-CHEFIA DE GABINETE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18"/>
    <x v="0"/>
    <n v="405612.58999999997"/>
    <x v="1"/>
  </r>
  <r>
    <s v="14"/>
    <s v="001"/>
    <s v="08"/>
    <s v="245"/>
    <s v="0018"/>
    <x v="22"/>
    <x v="1"/>
    <x v="225"/>
    <x v="10"/>
    <s v="001-CHEFIA DE GABINETE"/>
    <s v="8-ASSISTÊNCIA SOCIAL"/>
    <s v="245-SERVIÇOS SOCIOASSISTENCIAIS"/>
    <s v="0018-Proteção Social e Garantia de Direitos​"/>
    <s v="2.026-Residências e Internações Compulsórias"/>
    <s v="3.3.90.39.00-OUTROS SERVIÇOS DE TERCEIROS - PESSOA JURÍDICA"/>
    <x v="18"/>
    <x v="0"/>
    <n v="1819269.73"/>
    <x v="1"/>
  </r>
  <r>
    <s v="14"/>
    <s v="001"/>
    <s v="08"/>
    <s v="245"/>
    <s v="0018"/>
    <x v="41"/>
    <x v="11"/>
    <x v="577"/>
    <x v="10"/>
    <s v="001-CHEFIA DE GABINETE"/>
    <s v="8-ASSISTÊNCIA SOCIAL"/>
    <s v="245-SERVIÇOS SOCIOASSISTENCIAIS"/>
    <s v="0018-Proteção Social e Garantia de Direitos​"/>
    <s v="2.041-Ação Transversal de Garantia de Direitos"/>
    <s v="3.3.50.39.00-OUTROS SERVIÇOS DE TERCEIROS - PESSOA JURÍDICA"/>
    <x v="18"/>
    <x v="0"/>
    <n v="0"/>
    <x v="1"/>
  </r>
  <r>
    <s v="14"/>
    <s v="001"/>
    <s v="08"/>
    <s v="245"/>
    <s v="0018"/>
    <x v="41"/>
    <x v="0"/>
    <x v="264"/>
    <x v="10"/>
    <s v="001-CHEFIA DE GABINETE"/>
    <s v="8-ASSISTÊNCIA SOCIAL"/>
    <s v="245-SERVIÇOS SOCIOASSISTENCIAIS"/>
    <s v="0018-Proteção Social e Garantia de Direitos​"/>
    <s v="2.041-Ação Transversal de Garantia de Direitos"/>
    <s v="3.3.90.30.00-MATERIAL DE CONSUMO"/>
    <x v="18"/>
    <x v="0"/>
    <n v="10391"/>
    <x v="1"/>
  </r>
  <r>
    <s v="14"/>
    <s v="001"/>
    <s v="08"/>
    <s v="245"/>
    <s v="0018"/>
    <x v="41"/>
    <x v="10"/>
    <x v="578"/>
    <x v="10"/>
    <s v="001-CHEFIA DE GABINETE"/>
    <s v="8-ASSISTÊNCIA SOCIAL"/>
    <s v="245-SERVIÇOS SOCIOASSISTENCIAIS"/>
    <s v="0018-Proteção Social e Garantia de Direitos​"/>
    <s v="2.041-Ação Transversal de Garantia de Direitos"/>
    <s v="3.3.90.36.00-OUTROS SERVIÇOS DE TERCEIROS - PESSOA FÍSICA"/>
    <x v="18"/>
    <x v="0"/>
    <n v="5195.5"/>
    <x v="1"/>
  </r>
  <r>
    <s v="14"/>
    <s v="001"/>
    <s v="08"/>
    <s v="245"/>
    <s v="0018"/>
    <x v="41"/>
    <x v="1"/>
    <x v="265"/>
    <x v="10"/>
    <s v="001-CHEFIA DE GABINETE"/>
    <s v="8-ASSISTÊNCIA SOCIAL"/>
    <s v="245-SERVIÇOS SOCIOASSISTENCIAIS"/>
    <s v="0018-Proteção Social e Garantia de Direitos​"/>
    <s v="2.041-Ação Transversal de Garantia de Direitos"/>
    <s v="3.3.90.39.00-OUTROS SERVIÇOS DE TERCEIROS - PESSOA JURÍDICA"/>
    <x v="18"/>
    <x v="0"/>
    <n v="83128"/>
    <x v="1"/>
  </r>
  <r>
    <s v="14"/>
    <s v="001"/>
    <s v="08"/>
    <s v="245"/>
    <s v="0018"/>
    <x v="41"/>
    <x v="22"/>
    <x v="579"/>
    <x v="10"/>
    <s v="001-CHEFIA DE GABINETE"/>
    <s v="8-ASSISTÊNCIA SOCIAL"/>
    <s v="245-SERVIÇOS SOCIOASSISTENCIAIS"/>
    <s v="0018-Proteção Social e Garantia de Direitos​"/>
    <s v="2.041-Ação Transversal de Garantia de Direitos"/>
    <s v="4.4.50.51.00-OBRAS E INSTALAÇÕES"/>
    <x v="18"/>
    <x v="0"/>
    <n v="0"/>
    <x v="1"/>
  </r>
  <r>
    <s v="14"/>
    <s v="001"/>
    <s v="08"/>
    <s v="245"/>
    <s v="0018"/>
    <x v="41"/>
    <x v="4"/>
    <x v="580"/>
    <x v="10"/>
    <s v="001-CHEFIA DE GABINETE"/>
    <s v="8-ASSISTÊNCIA SOCIAL"/>
    <s v="245-SERVIÇOS SOCIOASSISTENCIAIS"/>
    <s v="0018-Proteção Social e Garantia de Direitos​"/>
    <s v="2.041-Ação Transversal de Garantia de Direitos"/>
    <s v="4.4.50.52.00-EQUIPAMENTOS E MATERIAL PERMANENTE"/>
    <x v="18"/>
    <x v="0"/>
    <n v="0"/>
    <x v="1"/>
  </r>
  <r>
    <s v="14"/>
    <s v="001"/>
    <s v="08"/>
    <s v="245"/>
    <s v="0018"/>
    <x v="41"/>
    <x v="8"/>
    <x v="266"/>
    <x v="10"/>
    <s v="001-CHEFIA DE GABINETE"/>
    <s v="8-ASSISTÊNCIA SOCIAL"/>
    <s v="245-SERVIÇOS SOCIOASSISTENCIAIS"/>
    <s v="0018-Proteção Social e Garantia de Direitos​"/>
    <s v="2.041-Ação Transversal de Garantia de Direitos"/>
    <s v="4.4.90.52.00-EQUIPAMENTOS E MATERIAL PERMANENTE"/>
    <x v="18"/>
    <x v="0"/>
    <n v="20782"/>
    <x v="1"/>
  </r>
  <r>
    <s v="14"/>
    <s v="001"/>
    <s v="08"/>
    <s v="246"/>
    <s v="0018"/>
    <x v="6"/>
    <x v="1"/>
    <x v="230"/>
    <x v="10"/>
    <s v="001-CHEFIA DE GABINETE"/>
    <s v="8-ASSISTÊNCIA SOCIAL"/>
    <s v="246-SEGURANÇA DE RENDA"/>
    <s v="0018-Proteção Social e Garantia de Direitos​"/>
    <s v="2.027-Intermediação Profissional "/>
    <s v="3.3.90.39.00-OUTROS SERVIÇOS DE TERCEIROS - PESSOA JURÍDICA"/>
    <x v="18"/>
    <x v="0"/>
    <n v="3212030.92"/>
    <x v="1"/>
  </r>
  <r>
    <s v="14"/>
    <s v="001"/>
    <s v="08"/>
    <s v="246"/>
    <s v="0019"/>
    <x v="38"/>
    <x v="15"/>
    <x v="581"/>
    <x v="10"/>
    <s v="001-CHEFIA DE GABINETE"/>
    <s v="8-ASSISTÊNCIA SOCIAL"/>
    <s v="246-SEGURANÇA DE RENDA"/>
    <s v="0019-Segurança Alimentar e Combate à Pobreza​"/>
    <s v="2.024-Distribuição de Alimentos e Benefícios para as Famílias em Situação de Vulnerabilidade"/>
    <s v="3.3.90.48.00 - OUTROS AUXILIOS FINANCEIROS A PESSOAS FISICAS"/>
    <x v="18"/>
    <x v="0"/>
    <n v="60000000"/>
    <x v="1"/>
  </r>
  <r>
    <s v="14"/>
    <s v="005"/>
    <s v="04"/>
    <s v="128"/>
    <s v="0002"/>
    <x v="2"/>
    <x v="1"/>
    <x v="212"/>
    <x v="10"/>
    <s v="005-FUNDO MUNICIPAL DE ASSISTÊNCIA SOCIAL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45474"/>
    <x v="1"/>
  </r>
  <r>
    <s v="14"/>
    <s v="005"/>
    <s v="04"/>
    <s v="131"/>
    <s v="0002"/>
    <x v="4"/>
    <x v="0"/>
    <x v="582"/>
    <x v="10"/>
    <s v="005-FUNDO MUNICIPAL DE ASSISTÊNCIA SOCIAL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59329.35939999999"/>
    <x v="1"/>
  </r>
  <r>
    <s v="14"/>
    <s v="005"/>
    <s v="04"/>
    <s v="131"/>
    <s v="0002"/>
    <x v="4"/>
    <x v="1"/>
    <x v="583"/>
    <x v="10"/>
    <s v="005-FUNDO MUNICIPAL DE ASSISTÊNCIA SOCIAL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318658.71879999997"/>
    <x v="1"/>
  </r>
  <r>
    <s v="14"/>
    <s v="005"/>
    <s v="08"/>
    <s v="122"/>
    <s v="0018"/>
    <x v="0"/>
    <x v="0"/>
    <x v="235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0.00-MATERIAL DE CONSUMO"/>
    <x v="18"/>
    <x v="0"/>
    <n v="12988.75"/>
    <x v="1"/>
  </r>
  <r>
    <s v="14"/>
    <s v="005"/>
    <s v="08"/>
    <s v="122"/>
    <s v="0018"/>
    <x v="0"/>
    <x v="1"/>
    <x v="236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3.3.90.39.00-OUTROS SERVIÇOS DE TERCEIROS - PESSOA JURÍDICA"/>
    <x v="18"/>
    <x v="0"/>
    <n v="12988.75"/>
    <x v="1"/>
  </r>
  <r>
    <s v="14"/>
    <s v="005"/>
    <s v="08"/>
    <s v="122"/>
    <s v="0018"/>
    <x v="0"/>
    <x v="8"/>
    <x v="259"/>
    <x v="10"/>
    <s v="005-FUNDO MUNICIPAL DE ASSISTÊNCIA SOCIAL"/>
    <s v="8-ASSISTÊNCIA SOCIAL"/>
    <s v="122-ADMINISTRAÇÃO GERAL"/>
    <s v="0018-Proteção Social e Garantia de Direitos​"/>
    <s v="2.011-Manutenção de Equipamentos Públicos "/>
    <s v="4.4.90.52.00-EQUIPAMENTOS E MATERIAL PERMANENTE"/>
    <x v="18"/>
    <x v="0"/>
    <n v="12988.75"/>
    <x v="1"/>
  </r>
  <r>
    <s v="14"/>
    <s v="005"/>
    <s v="08"/>
    <s v="241"/>
    <s v="0018"/>
    <x v="39"/>
    <x v="8"/>
    <x v="584"/>
    <x v="10"/>
    <s v="005-FUNDO MUNICIPAL DE ASSISTÊNCIA SOCIAL"/>
    <s v="8-ASSISTÊNCIA SOCIAL"/>
    <s v="241-ASSISTÊNCIA AO IDOSO ASSISTÊNCIA À PESSOA IDOSA"/>
    <s v="0018-Proteção Social e Garantia de Direitos​"/>
    <s v="2.015-Manutenção de Equipamentos Públicos - Proteção Básica "/>
    <s v="4.4.90.52.00-EQUIPAMENTOS E MATERIAL PERMANENTE"/>
    <x v="18"/>
    <x v="0"/>
    <n v="0"/>
    <x v="1"/>
  </r>
  <r>
    <s v="14"/>
    <s v="005"/>
    <s v="08"/>
    <s v="245"/>
    <s v="0018"/>
    <x v="4"/>
    <x v="0"/>
    <x v="229"/>
    <x v="10"/>
    <s v="005-FUNDO MUNICIPAL DE ASSISTÊNCIA SOCIAL"/>
    <s v="8-ASSISTÊNCIA SOCIAL"/>
    <s v="245-SERVIÇOS SOCIOASSISTENCIAIS"/>
    <s v="0018-Proteção Social e Garantia de Direitos​"/>
    <s v="2.005-Promoção de Eventos, Comunicação e Participação Social "/>
    <s v="3.3.90.30.00-MATERIAL DE CONSUMO"/>
    <x v="18"/>
    <x v="0"/>
    <n v="633851"/>
    <x v="1"/>
  </r>
  <r>
    <s v="14"/>
    <s v="005"/>
    <s v="08"/>
    <s v="245"/>
    <s v="0018"/>
    <x v="4"/>
    <x v="1"/>
    <x v="228"/>
    <x v="10"/>
    <s v="005-FUNDO MUNICIPAL DE ASSISTÊNCIA SOCIAL"/>
    <s v="8-ASSISTÊNCIA SOCIAL"/>
    <s v="245-SERVIÇOS SOCIOASSISTENCIAIS"/>
    <s v="0018-Proteção Social e Garantia de Direitos​"/>
    <s v="2.005-Promoção de Eventos, Comunicação e Participação Social "/>
    <s v="3.3.90.39.00-OUTROS SERVIÇOS DE TERCEIROS - PESSOA JURÍDICA"/>
    <x v="18"/>
    <x v="0"/>
    <n v="519553"/>
    <x v="1"/>
  </r>
  <r>
    <s v="14"/>
    <s v="005"/>
    <s v="08"/>
    <s v="245"/>
    <s v="0018"/>
    <x v="39"/>
    <x v="11"/>
    <x v="223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50.39.00-OUTROS SERVIÇOS DE TERCEIROS - PESSOA JURÍDICA"/>
    <x v="18"/>
    <x v="0"/>
    <n v="4601000"/>
    <x v="1"/>
  </r>
  <r>
    <s v="14"/>
    <s v="005"/>
    <s v="08"/>
    <s v="245"/>
    <s v="0018"/>
    <x v="39"/>
    <x v="0"/>
    <x v="237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18"/>
    <x v="0"/>
    <n v="684762.95079999999"/>
    <x v="1"/>
  </r>
  <r>
    <s v="14"/>
    <s v="005"/>
    <s v="08"/>
    <s v="245"/>
    <s v="0018"/>
    <x v="39"/>
    <x v="1"/>
    <x v="238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18"/>
    <x v="0"/>
    <n v="609033.41"/>
    <x v="1"/>
  </r>
  <r>
    <s v="14"/>
    <s v="005"/>
    <s v="08"/>
    <s v="245"/>
    <s v="0018"/>
    <x v="39"/>
    <x v="6"/>
    <x v="239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3.3.90.93.00-INDENIZAÇÕES E RESTITUIÇÕES"/>
    <x v="18"/>
    <x v="0"/>
    <n v="36368.5"/>
    <x v="1"/>
  </r>
  <r>
    <s v="14"/>
    <s v="005"/>
    <s v="08"/>
    <s v="245"/>
    <s v="0018"/>
    <x v="39"/>
    <x v="4"/>
    <x v="232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4.4.50.52.00-EQUIPAMENTOS E MATERIAL PERMANENTE"/>
    <x v="18"/>
    <x v="0"/>
    <n v="1"/>
    <x v="1"/>
  </r>
  <r>
    <s v="14"/>
    <s v="005"/>
    <s v="08"/>
    <s v="245"/>
    <s v="0018"/>
    <x v="39"/>
    <x v="8"/>
    <x v="240"/>
    <x v="10"/>
    <s v="005-FUNDO MUNICIPAL DE ASSISTÊNCIA SOCIAL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18"/>
    <x v="0"/>
    <n v="207820"/>
    <x v="1"/>
  </r>
  <r>
    <s v="14"/>
    <s v="005"/>
    <s v="08"/>
    <s v="245"/>
    <s v="0018"/>
    <x v="40"/>
    <x v="11"/>
    <x v="224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50.39.00-OUTROS SERVIÇOS DE TERCEIROS - PESSOA JURÍDICA"/>
    <x v="18"/>
    <x v="0"/>
    <n v="20670361.530000001"/>
    <x v="1"/>
  </r>
  <r>
    <s v="14"/>
    <s v="005"/>
    <s v="08"/>
    <s v="245"/>
    <s v="0018"/>
    <x v="40"/>
    <x v="3"/>
    <x v="226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71.70.00-RATEIO PELA PARTICIPAÇÃO EM CONSÓRCIO PÚBLICO"/>
    <x v="18"/>
    <x v="0"/>
    <n v="81049.8"/>
    <x v="1"/>
  </r>
  <r>
    <s v="14"/>
    <s v="005"/>
    <s v="08"/>
    <s v="245"/>
    <s v="0018"/>
    <x v="40"/>
    <x v="0"/>
    <x v="242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8"/>
    <x v="0"/>
    <n v="2370682.8199999998"/>
    <x v="1"/>
  </r>
  <r>
    <s v="14"/>
    <s v="005"/>
    <s v="08"/>
    <s v="245"/>
    <s v="0018"/>
    <x v="40"/>
    <x v="1"/>
    <x v="24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18"/>
    <x v="0"/>
    <n v="727348.50080000004"/>
    <x v="1"/>
  </r>
  <r>
    <s v="14"/>
    <s v="005"/>
    <s v="08"/>
    <s v="245"/>
    <s v="0018"/>
    <x v="40"/>
    <x v="15"/>
    <x v="585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48.00 - OUTROS AUXILIOS FINANCEIROS A PESSOAS FISICAS"/>
    <x v="18"/>
    <x v="0"/>
    <n v="1436588.9608999998"/>
    <x v="1"/>
  </r>
  <r>
    <s v="14"/>
    <s v="005"/>
    <s v="08"/>
    <s v="245"/>
    <s v="0018"/>
    <x v="40"/>
    <x v="6"/>
    <x v="246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93.00-INDENIZAÇÕES E RESTITUIÇÕES"/>
    <x v="18"/>
    <x v="0"/>
    <n v="83128"/>
    <x v="1"/>
  </r>
  <r>
    <s v="14"/>
    <s v="005"/>
    <s v="08"/>
    <s v="245"/>
    <s v="0018"/>
    <x v="40"/>
    <x v="4"/>
    <x v="233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50.52.00-EQUIPAMENTOS E MATERIAL PERMANENTE"/>
    <x v="18"/>
    <x v="0"/>
    <n v="920852.96999999974"/>
    <x v="1"/>
  </r>
  <r>
    <s v="14"/>
    <s v="005"/>
    <s v="08"/>
    <s v="245"/>
    <s v="0018"/>
    <x v="40"/>
    <x v="21"/>
    <x v="227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71.70.00-RATEIO PELA PARTICIPAÇÃO EM CONSÓRCIO PÚBLICO"/>
    <x v="18"/>
    <x v="0"/>
    <n v="9351.9"/>
    <x v="1"/>
  </r>
  <r>
    <s v="14"/>
    <s v="005"/>
    <s v="08"/>
    <s v="245"/>
    <s v="0018"/>
    <x v="40"/>
    <x v="8"/>
    <x v="241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18"/>
    <x v="0"/>
    <n v="311729.96090000001"/>
    <x v="1"/>
  </r>
  <r>
    <s v="14"/>
    <s v="005"/>
    <s v="08"/>
    <s v="246"/>
    <s v="0018"/>
    <x v="38"/>
    <x v="0"/>
    <x v="247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3.3.90.30.00-MATERIAL DE CONSUMO"/>
    <x v="18"/>
    <x v="0"/>
    <n v="102369.0147"/>
    <x v="1"/>
  </r>
  <r>
    <s v="14"/>
    <s v="005"/>
    <s v="08"/>
    <s v="246"/>
    <s v="0018"/>
    <x v="38"/>
    <x v="1"/>
    <x v="248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3.3.90.39.00-OUTROS SERVIÇOS DE TERCEIROS - PESSOA JURÍDICA"/>
    <x v="18"/>
    <x v="0"/>
    <n v="773194.08270000003"/>
    <x v="1"/>
  </r>
  <r>
    <s v="14"/>
    <s v="005"/>
    <s v="08"/>
    <s v="246"/>
    <s v="0018"/>
    <x v="38"/>
    <x v="6"/>
    <x v="586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3.3.90.93.00-INDENIZAÇÕES E RESTITUIÇÕES"/>
    <x v="18"/>
    <x v="0"/>
    <n v="10391"/>
    <x v="1"/>
  </r>
  <r>
    <s v="14"/>
    <s v="005"/>
    <s v="08"/>
    <s v="246"/>
    <s v="0018"/>
    <x v="38"/>
    <x v="8"/>
    <x v="249"/>
    <x v="10"/>
    <s v="005-FUNDO MUNICIPAL DE ASSISTÊNCIA SOCIAL"/>
    <s v="8-ASSISTÊNCIA SOCIAL"/>
    <s v="246-SEGURANÇA DE RENDA"/>
    <s v="0018-Proteção Social e Garantia de Direitos​"/>
    <s v="2.024-Distribuição de Alimentos e Benefícios para as Famílias em Situação de Vulnerabilidade"/>
    <s v="4.4.90.52.00-EQUIPAMENTOS E MATERIAL PERMANENTE"/>
    <x v="18"/>
    <x v="0"/>
    <n v="181842.5"/>
    <x v="1"/>
  </r>
  <r>
    <s v="14"/>
    <s v="007"/>
    <s v="08"/>
    <s v="245"/>
    <s v="0018"/>
    <x v="4"/>
    <x v="0"/>
    <x v="250"/>
    <x v="10"/>
    <s v="007-DEPARTAMENTO DE PROTEÇÃO SOCIAL BÁSICA"/>
    <s v="8-ASSISTÊNCIA SOCIAL"/>
    <s v="245-SERVIÇOS SOCIOASSISTENCIAIS"/>
    <s v="0018-Proteção Social e Garantia de Direitos​"/>
    <s v="2.005-Promoção de Eventos, Comunicação e Participação Social "/>
    <s v="3.3.90.30.00-MATERIAL DE CONSUMO"/>
    <x v="18"/>
    <x v="0"/>
    <n v="62346"/>
    <x v="1"/>
  </r>
  <r>
    <s v="14"/>
    <s v="007"/>
    <s v="08"/>
    <s v="245"/>
    <s v="0018"/>
    <x v="4"/>
    <x v="1"/>
    <x v="251"/>
    <x v="10"/>
    <s v="007-DEPARTAMENTO DE PROTEÇÃO SOCIAL BÁSICA"/>
    <s v="8-ASSISTÊNCIA SOCIAL"/>
    <s v="245-SERVIÇOS SOCIOASSISTENCIAIS"/>
    <s v="0018-Proteção Social e Garantia de Direitos​"/>
    <s v="2.005-Promoção de Eventos, Comunicação e Participação Social "/>
    <s v="3.3.90.39.00-OUTROS SERVIÇOS DE TERCEIROS - PESSOA JURÍDICA"/>
    <x v="18"/>
    <x v="0"/>
    <n v="5196.5"/>
    <x v="1"/>
  </r>
  <r>
    <s v="14"/>
    <s v="007"/>
    <s v="08"/>
    <s v="245"/>
    <s v="0018"/>
    <x v="39"/>
    <x v="0"/>
    <x v="252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0.00-MATERIAL DE CONSUMO"/>
    <x v="18"/>
    <x v="0"/>
    <n v="108998.26"/>
    <x v="1"/>
  </r>
  <r>
    <s v="14"/>
    <s v="007"/>
    <s v="08"/>
    <s v="245"/>
    <s v="0018"/>
    <x v="39"/>
    <x v="1"/>
    <x v="253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39.00-OUTROS SERVIÇOS DE TERCEIROS - PESSOA JURÍDICA"/>
    <x v="18"/>
    <x v="0"/>
    <n v="1"/>
    <x v="1"/>
  </r>
  <r>
    <s v="14"/>
    <s v="007"/>
    <s v="08"/>
    <s v="245"/>
    <s v="0018"/>
    <x v="39"/>
    <x v="6"/>
    <x v="587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3.3.90.93.00-INDENIZAÇÕES E RESTITUIÇÕES"/>
    <x v="18"/>
    <x v="0"/>
    <n v="5195.5"/>
    <x v="1"/>
  </r>
  <r>
    <s v="14"/>
    <s v="007"/>
    <s v="08"/>
    <s v="245"/>
    <s v="0018"/>
    <x v="39"/>
    <x v="8"/>
    <x v="254"/>
    <x v="10"/>
    <s v="007-DEPARTAMENTO DE PROTEÇÃO SOCIAL BÁSICA"/>
    <s v="8-ASSISTÊNCIA SOCIAL"/>
    <s v="245-SERVIÇOS SOCIOASSISTENCIAIS"/>
    <s v="0018-Proteção Social e Garantia de Direitos​"/>
    <s v="2.015-Manutenção de Equipamentos Públicos - Proteção Básica "/>
    <s v="4.4.90.52.00-EQUIPAMENTOS E MATERIAL PERMANENTE"/>
    <x v="18"/>
    <x v="0"/>
    <n v="62345.921799999996"/>
    <x v="1"/>
  </r>
  <r>
    <s v="14"/>
    <s v="008"/>
    <s v="08"/>
    <s v="245"/>
    <s v="0018"/>
    <x v="4"/>
    <x v="1"/>
    <x v="588"/>
    <x v="10"/>
    <s v="008-DIRETORIA GERAL DE ATENÇÃO PRIMÁRIA EM SAÚDE"/>
    <s v="8-ASSISTÊNCIA SOCIAL"/>
    <s v="245-SERVIÇOS SOCIOASSISTENCIAIS"/>
    <s v="0018-Proteção Social e Garantia de Direitos​"/>
    <s v="2.005-Promoção de Eventos, Comunicação e Participação Social "/>
    <s v="3.3.90.39.00-OUTROS SERVIÇOS DE TERCEIROS - PESSOA JURÍDICA"/>
    <x v="18"/>
    <x v="0"/>
    <n v="157014.20550000001"/>
    <x v="1"/>
  </r>
  <r>
    <s v="14"/>
    <s v="008"/>
    <s v="08"/>
    <s v="245"/>
    <s v="0018"/>
    <x v="40"/>
    <x v="0"/>
    <x v="256"/>
    <x v="10"/>
    <s v="008-DIRETORIA GERAL DE ATENÇÃO PRIMÁRIA EM SAÚDE"/>
    <s v="8-ASSISTÊNCIA SOCIAL"/>
    <s v="245-SERVIÇOS SOCIOASSISTENCIAIS"/>
    <s v="0018-Proteção Social e Garantia de Direitos​"/>
    <s v="2.016-Manutenção de Equipamentos Públicos - Proteção Especial "/>
    <s v="3.3.90.30.00-MATERIAL DE CONSUMO"/>
    <x v="18"/>
    <x v="0"/>
    <n v="409637.05"/>
    <x v="1"/>
  </r>
  <r>
    <s v="14"/>
    <s v="008"/>
    <s v="08"/>
    <s v="245"/>
    <s v="0018"/>
    <x v="40"/>
    <x v="15"/>
    <x v="589"/>
    <x v="10"/>
    <s v="008-DIRETORIA GERAL DE ATENÇÃO PRIMÁRIA EM SAÚDE"/>
    <s v="8-ASSISTÊNCIA SOCIAL"/>
    <s v="245-SERVIÇOS SOCIOASSISTENCIAIS"/>
    <s v="0018-Proteção Social e Garantia de Direitos​"/>
    <s v="2.016-Manutenção de Equipamentos Públicos - Proteção Especial "/>
    <s v="3.3.90.48.00 - OUTROS AUXILIOS FINANCEIROS A PESSOAS FISICAS"/>
    <x v="18"/>
    <x v="0"/>
    <n v="171109.96090000001"/>
    <x v="1"/>
  </r>
  <r>
    <s v="14"/>
    <s v="008"/>
    <s v="08"/>
    <s v="245"/>
    <s v="0018"/>
    <x v="40"/>
    <x v="6"/>
    <x v="590"/>
    <x v="10"/>
    <s v="008-DIRETORIA GERAL DE ATENÇÃO PRIMÁRIA EM SAÚDE"/>
    <s v="8-ASSISTÊNCIA SOCIAL"/>
    <s v="245-SERVIÇOS SOCIOASSISTENCIAIS"/>
    <s v="0018-Proteção Social e Garantia de Direitos​"/>
    <s v="2.016-Manutenção de Equipamentos Públicos - Proteção Especial "/>
    <s v="3.3.90.93.00-INDENIZAÇÕES E RESTITUIÇÕES"/>
    <x v="18"/>
    <x v="0"/>
    <n v="10391"/>
    <x v="1"/>
  </r>
  <r>
    <s v="14"/>
    <s v="008"/>
    <s v="08"/>
    <s v="245"/>
    <s v="0018"/>
    <x v="40"/>
    <x v="8"/>
    <x v="258"/>
    <x v="10"/>
    <s v="008-DIRETORIA GERAL DE ATENÇÃO PRIMÁRIA EM SAÚDE"/>
    <s v="8-ASSISTÊNCIA SOCIAL"/>
    <s v="245-SERVIÇOS SOCIOASSISTENCIAIS"/>
    <s v="0018-Proteção Social e Garantia de Direitos​"/>
    <s v="2.016-Manutenção de Equipamentos Públicos - Proteção Especial "/>
    <s v="4.4.90.52.00-EQUIPAMENTOS E MATERIAL PERMANENTE"/>
    <x v="18"/>
    <x v="0"/>
    <n v="259775"/>
    <x v="1"/>
  </r>
  <r>
    <s v="15"/>
    <s v="001"/>
    <s v="04"/>
    <s v="122"/>
    <s v="0001"/>
    <x v="3"/>
    <x v="7"/>
    <x v="591"/>
    <x v="11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5"/>
    <s v="001"/>
    <s v="04"/>
    <s v="122"/>
    <s v="0001"/>
    <x v="3"/>
    <x v="1"/>
    <x v="592"/>
    <x v="11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5"/>
    <s v="001"/>
    <s v="04"/>
    <s v="128"/>
    <s v="0002"/>
    <x v="2"/>
    <x v="10"/>
    <x v="593"/>
    <x v="11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15"/>
    <s v="001"/>
    <s v="04"/>
    <s v="128"/>
    <s v="0002"/>
    <x v="2"/>
    <x v="1"/>
    <x v="594"/>
    <x v="11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5"/>
    <s v="001"/>
    <s v="04"/>
    <s v="131"/>
    <s v="0002"/>
    <x v="4"/>
    <x v="11"/>
    <x v="595"/>
    <x v="11"/>
    <s v="001-CHEFIA DE GABINETE"/>
    <s v="4-ADMINISTRAÇÃO"/>
    <s v="131-COMUNICAÇÃO SOCIAL"/>
    <s v="0002-Governo Inteligente, Aberto e Inovador​"/>
    <s v="2.005-Promoção de Eventos, Comunicação e Participação Social "/>
    <s v="3.3.50.39.00-OUTROS SERVIÇOS DE TERCEIROS - PESSOA JURÍDICA"/>
    <x v="18"/>
    <x v="0"/>
    <n v="0"/>
    <x v="1"/>
  </r>
  <r>
    <s v="15"/>
    <s v="001"/>
    <s v="04"/>
    <s v="131"/>
    <s v="0002"/>
    <x v="4"/>
    <x v="0"/>
    <x v="596"/>
    <x v="11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311730"/>
    <x v="1"/>
  </r>
  <r>
    <s v="15"/>
    <s v="001"/>
    <s v="04"/>
    <s v="131"/>
    <s v="0002"/>
    <x v="4"/>
    <x v="1"/>
    <x v="597"/>
    <x v="11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979845.9299999997"/>
    <x v="1"/>
  </r>
  <r>
    <s v="15"/>
    <s v="001"/>
    <s v="13"/>
    <s v="334"/>
    <s v="0009"/>
    <x v="8"/>
    <x v="0"/>
    <x v="598"/>
    <x v="11"/>
    <s v="001-CHEFIA DE GABINETE"/>
    <s v="13-CULTURA"/>
    <s v="334-FOMENTO AO TRABALHO"/>
    <s v="0009-Cultura, Economia Criativa e Patrimônio Histórico​"/>
    <s v="2.033-Fortalecimento da Economia Criativa e Solidária "/>
    <s v="3.3.90.30.00-MATERIAL DE CONSUMO"/>
    <x v="18"/>
    <x v="0"/>
    <n v="48639.231899999999"/>
    <x v="1"/>
  </r>
  <r>
    <s v="15"/>
    <s v="001"/>
    <s v="13"/>
    <s v="391"/>
    <s v="0009"/>
    <x v="48"/>
    <x v="29"/>
    <x v="599"/>
    <x v="11"/>
    <s v="001-CHEFIA DE GABINETE"/>
    <s v="13-CULTURA"/>
    <s v="391-PATRIMÔNIO HISTÓRICO, ARTÍSTICO E ARQUEOLÓGICO"/>
    <s v="0009-Cultura, Economia Criativa e Patrimônio Histórico​"/>
    <s v="2.029-Valorização do Patrimônio Histórico-Cultural"/>
    <e v="#N/A"/>
    <x v="18"/>
    <x v="0"/>
    <n v="1"/>
    <x v="1"/>
  </r>
  <r>
    <s v="15"/>
    <s v="001"/>
    <s v="13"/>
    <s v="391"/>
    <s v="0009"/>
    <x v="48"/>
    <x v="1"/>
    <x v="600"/>
    <x v="11"/>
    <s v="001-CHEFIA DE GABINETE"/>
    <s v="13-CULTURA"/>
    <s v="391-PATRIMÔNIO HISTÓRICO, ARTÍSTICO E ARQUEOLÓGICO"/>
    <s v="0009-Cultura, Economia Criativa e Patrimônio Histórico​"/>
    <s v="2.029-Valorização do Patrimônio Histórico-Cultural"/>
    <s v="3.3.90.39.00-OUTROS SERVIÇOS DE TERCEIROS - PESSOA JURÍDICA"/>
    <x v="18"/>
    <x v="0"/>
    <n v="4548.1062000000093"/>
    <x v="1"/>
  </r>
  <r>
    <s v="15"/>
    <s v="001"/>
    <s v="13"/>
    <s v="392"/>
    <s v="0009"/>
    <x v="0"/>
    <x v="0"/>
    <x v="601"/>
    <x v="11"/>
    <s v="001-CHEFIA DE GABINETE"/>
    <s v="13-CULTURA"/>
    <s v="392-DIFUSÃO CULTURAL"/>
    <s v="0009-Cultura, Economia Criativa e Patrimônio Histórico​"/>
    <s v="2.011-Manutenção de Equipamentos Públicos "/>
    <s v="3.3.90.30.00-MATERIAL DE CONSUMO"/>
    <x v="18"/>
    <x v="0"/>
    <n v="94558.1"/>
    <x v="1"/>
  </r>
  <r>
    <s v="15"/>
    <s v="001"/>
    <s v="13"/>
    <s v="392"/>
    <s v="0009"/>
    <x v="0"/>
    <x v="1"/>
    <x v="274"/>
    <x v="11"/>
    <s v="001-CHEFIA DE GABINETE"/>
    <s v="13-CULTURA"/>
    <s v="392-DIFUSÃO CULTURAL"/>
    <s v="0009-Cultura, Economia Criativa e Patrimônio Histórico​"/>
    <s v="2.011-Manutenção de Equipamentos Públicos "/>
    <s v="3.3.90.39.00-OUTROS SERVIÇOS DE TERCEIROS - PESSOA JURÍDICA"/>
    <x v="18"/>
    <x v="0"/>
    <n v="113463.3"/>
    <x v="1"/>
  </r>
  <r>
    <s v="15"/>
    <s v="001"/>
    <s v="13"/>
    <s v="392"/>
    <s v="0009"/>
    <x v="18"/>
    <x v="11"/>
    <x v="272"/>
    <x v="11"/>
    <s v="001-CHEFIA DE GABINETE"/>
    <s v="13-CULTURA"/>
    <s v="392-DIFUSÃO CULTURAL"/>
    <s v="0009-Cultura, Economia Criativa e Patrimônio Histórico​"/>
    <s v="2.023-Gestão Compartilhada de Equipamentos Públicos "/>
    <s v="3.3.50.39.00-OUTROS SERVIÇOS DE TERCEIROS - PESSOA JURÍDICA"/>
    <x v="18"/>
    <x v="0"/>
    <n v="8934520.6199999992"/>
    <x v="1"/>
  </r>
  <r>
    <s v="15"/>
    <s v="001"/>
    <s v="13"/>
    <s v="392"/>
    <s v="0009"/>
    <x v="18"/>
    <x v="22"/>
    <x v="602"/>
    <x v="11"/>
    <s v="001-CHEFIA DE GABINETE"/>
    <s v="13-CULTURA"/>
    <s v="392-DIFUSÃO CULTURAL"/>
    <s v="0009-Cultura, Economia Criativa e Patrimônio Histórico​"/>
    <s v="2.023-Gestão Compartilhada de Equipamentos Públicos "/>
    <s v="4.4.50.51.00-OBRAS E INSTALAÇÕES"/>
    <x v="18"/>
    <x v="0"/>
    <n v="2679.07"/>
    <x v="1"/>
  </r>
  <r>
    <s v="15"/>
    <s v="001"/>
    <s v="13"/>
    <s v="392"/>
    <s v="0009"/>
    <x v="18"/>
    <x v="4"/>
    <x v="273"/>
    <x v="11"/>
    <s v="001-CHEFIA DE GABINETE"/>
    <s v="13-CULTURA"/>
    <s v="392-DIFUSÃO CULTURAL"/>
    <s v="0009-Cultura, Economia Criativa e Patrimônio Histórico​"/>
    <s v="2.023-Gestão Compartilhada de Equipamentos Públicos "/>
    <s v="4.4.50.52.00-EQUIPAMENTOS E MATERIAL PERMANENTE"/>
    <x v="18"/>
    <x v="0"/>
    <n v="162696.95000000001"/>
    <x v="1"/>
  </r>
  <r>
    <s v="15"/>
    <s v="001"/>
    <s v="13"/>
    <s v="392"/>
    <s v="0009"/>
    <x v="32"/>
    <x v="11"/>
    <x v="603"/>
    <x v="11"/>
    <s v="001-CHEFIA DE GABINETE"/>
    <s v="13-CULTURA"/>
    <s v="392-DIFUSÃO CULTURAL"/>
    <s v="0009-Cultura, Economia Criativa e Patrimônio Histórico​"/>
    <s v="2.028-Disseminação de Atividades Culturais e Esportivas Decentralizadas"/>
    <s v="3.3.50.39.00-OUTROS SERVIÇOS DE TERCEIROS - PESSOA JURÍDICA"/>
    <x v="18"/>
    <x v="0"/>
    <n v="0"/>
    <x v="1"/>
  </r>
  <r>
    <s v="15"/>
    <s v="001"/>
    <s v="13"/>
    <s v="392"/>
    <s v="0009"/>
    <x v="32"/>
    <x v="10"/>
    <x v="270"/>
    <x v="11"/>
    <s v="001-CHEFIA DE GABINETE"/>
    <s v="13-CULTURA"/>
    <s v="392-DIFUSÃO CULTURAL"/>
    <s v="0009-Cultura, Economia Criativa e Patrimônio Histórico​"/>
    <s v="2.028-Disseminação de Atividades Culturais e Esportivas Decentralizadas"/>
    <s v="3.3.90.36.00-OUTROS SERVIÇOS DE TERCEIROS - PESSOA FÍSICA"/>
    <x v="18"/>
    <x v="0"/>
    <n v="677103.8"/>
    <x v="1"/>
  </r>
  <r>
    <s v="15"/>
    <s v="001"/>
    <s v="13"/>
    <s v="392"/>
    <s v="0009"/>
    <x v="32"/>
    <x v="1"/>
    <x v="269"/>
    <x v="11"/>
    <s v="001-CHEFIA DE GABINETE"/>
    <s v="13-CULTURA"/>
    <s v="392-DIFUSÃO CULTURAL"/>
    <s v="0009-Cultura, Economia Criativa e Patrimônio Histórico​"/>
    <s v="2.028-Disseminação de Atividades Culturais e Esportivas Decentralizadas"/>
    <s v="3.3.90.39.00-OUTROS SERVIÇOS DE TERCEIROS - PESSOA JURÍDICA"/>
    <x v="18"/>
    <x v="0"/>
    <n v="224391"/>
    <x v="1"/>
  </r>
  <r>
    <s v="15"/>
    <s v="002"/>
    <s v="13"/>
    <s v="391"/>
    <s v="0009"/>
    <x v="48"/>
    <x v="1"/>
    <x v="604"/>
    <x v="11"/>
    <s v="002-RECURSOS SOB A SUPERVISÃO DA SECRETARIA DE ADMINISTRAÇÃO"/>
    <s v="13-CULTURA"/>
    <s v="391-PATRIMÔNIO HISTÓRICO, ARTÍSTICO E ARQUEOLÓGICO"/>
    <s v="0009-Cultura, Economia Criativa e Patrimônio Histórico​"/>
    <s v="2.029-Valorização do Patrimônio Histórico-Cultural"/>
    <s v="3.3.90.39.00-OUTROS SERVIÇOS DE TERCEIROS - PESSOA JURÍDICA"/>
    <x v="18"/>
    <x v="0"/>
    <n v="176964.96"/>
    <x v="1"/>
  </r>
  <r>
    <s v="15"/>
    <s v="002"/>
    <s v="13"/>
    <s v="392"/>
    <s v="0009"/>
    <x v="0"/>
    <x v="0"/>
    <x v="605"/>
    <x v="11"/>
    <s v="002-RECURSOS SOB A SUPERVISÃO DA SECRETARIA DE ADMINISTRAÇÃO"/>
    <s v="13-CULTURA"/>
    <s v="392-DIFUSÃO CULTURAL"/>
    <s v="0009-Cultura, Economia Criativa e Patrimônio Histórico​"/>
    <s v="2.011-Manutenção de Equipamentos Públicos "/>
    <s v="3.3.90.30.00-MATERIAL DE CONSUMO"/>
    <x v="18"/>
    <x v="0"/>
    <n v="4156.3999999999996"/>
    <x v="1"/>
  </r>
  <r>
    <s v="15"/>
    <s v="002"/>
    <s v="13"/>
    <s v="392"/>
    <s v="0009"/>
    <x v="32"/>
    <x v="10"/>
    <x v="606"/>
    <x v="11"/>
    <s v="002-RECURSOS SOB A SUPERVISÃO DA SECRETARIA DE ADMINISTRAÇÃO"/>
    <s v="13-CULTURA"/>
    <s v="392-DIFUSÃO CULTURAL"/>
    <s v="0009-Cultura, Economia Criativa e Patrimônio Histórico​"/>
    <s v="2.028-Disseminação de Atividades Culturais e Esportivas Decentralizadas"/>
    <s v="3.3.90.36.00-OUTROS SERVIÇOS DE TERCEIROS - PESSOA FÍSICA"/>
    <x v="18"/>
    <x v="0"/>
    <n v="555341.76089999999"/>
    <x v="1"/>
  </r>
  <r>
    <s v="15"/>
    <s v="002"/>
    <s v="13"/>
    <s v="392"/>
    <s v="0009"/>
    <x v="32"/>
    <x v="1"/>
    <x v="607"/>
    <x v="11"/>
    <s v="002-RECURSOS SOB A SUPERVISÃO DA SECRETARIA DE ADMINISTRAÇÃO"/>
    <s v="13-CULTURA"/>
    <s v="392-DIFUSÃO CULTURAL"/>
    <s v="0009-Cultura, Economia Criativa e Patrimônio Histórico​"/>
    <s v="2.028-Disseminação de Atividades Culturais e Esportivas Decentralizadas"/>
    <s v="3.3.90.39.00-OUTROS SERVIÇOS DE TERCEIROS - PESSOA JURÍDICA"/>
    <x v="18"/>
    <x v="0"/>
    <n v="1"/>
    <x v="1"/>
  </r>
  <r>
    <s v="16"/>
    <s v="001"/>
    <s v="04"/>
    <s v="122"/>
    <s v="0001"/>
    <x v="3"/>
    <x v="10"/>
    <x v="608"/>
    <x v="12"/>
    <s v="001-CHEFIA DE GABINETE"/>
    <s v="4-ADMINISTRAÇÃO"/>
    <s v="122-ADMINISTRAÇÃO GERAL"/>
    <s v="0001-Administração e Coordenação Geral​"/>
    <s v="2.006-Representações Oficiais "/>
    <s v="3.3.90.36.00-OUTROS SERVIÇOS DE TERCEIROS - PESSOA FÍSICA"/>
    <x v="18"/>
    <x v="0"/>
    <n v="1"/>
    <x v="1"/>
  </r>
  <r>
    <s v="16"/>
    <s v="001"/>
    <s v="04"/>
    <s v="122"/>
    <s v="0001"/>
    <x v="3"/>
    <x v="1"/>
    <x v="609"/>
    <x v="12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6"/>
    <s v="001"/>
    <s v="04"/>
    <s v="128"/>
    <s v="0002"/>
    <x v="2"/>
    <x v="10"/>
    <x v="610"/>
    <x v="12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16"/>
    <s v="001"/>
    <s v="04"/>
    <s v="128"/>
    <s v="0002"/>
    <x v="2"/>
    <x v="1"/>
    <x v="611"/>
    <x v="12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6"/>
    <s v="001"/>
    <s v="04"/>
    <s v="131"/>
    <s v="0002"/>
    <x v="4"/>
    <x v="0"/>
    <x v="612"/>
    <x v="12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"/>
    <x v="1"/>
  </r>
  <r>
    <s v="16"/>
    <s v="001"/>
    <s v="04"/>
    <s v="131"/>
    <s v="0002"/>
    <x v="4"/>
    <x v="1"/>
    <x v="613"/>
    <x v="12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2261.340899999999"/>
    <x v="1"/>
  </r>
  <r>
    <s v="16"/>
    <s v="001"/>
    <s v="23"/>
    <s v="334"/>
    <s v="0008"/>
    <x v="0"/>
    <x v="0"/>
    <x v="278"/>
    <x v="12"/>
    <s v="001-CHEFIA DE GABINETE"/>
    <s v="23-COMÉRCIO E SERVIÇOS"/>
    <s v="334-FOMENTO AO TRABALHO"/>
    <s v="0008-Empreendedorismo, Negócios e Turismo​"/>
    <s v="2.011-Manutenção de Equipamentos Públicos "/>
    <s v="3.3.90.30.00-MATERIAL DE CONSUMO"/>
    <x v="18"/>
    <x v="0"/>
    <n v="41564"/>
    <x v="1"/>
  </r>
  <r>
    <s v="16"/>
    <s v="001"/>
    <s v="23"/>
    <s v="334"/>
    <s v="0008"/>
    <x v="0"/>
    <x v="14"/>
    <x v="614"/>
    <x v="12"/>
    <s v="001-CHEFIA DE GABINETE"/>
    <s v="23-COMÉRCIO E SERVIÇOS"/>
    <s v="334-FOMENTO AO TRABALHO"/>
    <s v="0008-Empreendedorismo, Negócios e Turismo​"/>
    <s v="2.011-Manutenção de Equipamentos Públicos "/>
    <s v="3.3.90.31.00-PREMIAÇÕES CULTURAIS, ARTÍSTICAS, CIENTÍFICAS, DESPORTIVAS E OUTRAS"/>
    <x v="18"/>
    <x v="0"/>
    <n v="103910"/>
    <x v="1"/>
  </r>
  <r>
    <s v="16"/>
    <s v="001"/>
    <s v="23"/>
    <s v="334"/>
    <s v="0008"/>
    <x v="0"/>
    <x v="1"/>
    <x v="280"/>
    <x v="12"/>
    <s v="001-CHEFIA DE GABINETE"/>
    <s v="23-COMÉRCIO E SERVIÇOS"/>
    <s v="334-FOMENTO AO TRABALHO"/>
    <s v="0008-Empreendedorismo, Negócios e Turismo​"/>
    <s v="2.011-Manutenção de Equipamentos Públicos "/>
    <s v="3.3.90.39.00-OUTROS SERVIÇOS DE TERCEIROS - PESSOA JURÍDICA"/>
    <x v="18"/>
    <x v="0"/>
    <n v="26372.358"/>
    <x v="1"/>
  </r>
  <r>
    <s v="17"/>
    <s v="001"/>
    <s v="04"/>
    <s v="122"/>
    <s v="0001"/>
    <x v="3"/>
    <x v="7"/>
    <x v="287"/>
    <x v="13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7"/>
    <s v="001"/>
    <s v="04"/>
    <s v="122"/>
    <s v="0001"/>
    <x v="3"/>
    <x v="1"/>
    <x v="288"/>
    <x v="13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7"/>
    <s v="001"/>
    <s v="04"/>
    <s v="128"/>
    <s v="0002"/>
    <x v="2"/>
    <x v="10"/>
    <x v="289"/>
    <x v="13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17"/>
    <s v="001"/>
    <s v="04"/>
    <s v="128"/>
    <s v="0002"/>
    <x v="2"/>
    <x v="1"/>
    <x v="290"/>
    <x v="13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7"/>
    <s v="001"/>
    <s v="04"/>
    <s v="131"/>
    <s v="0002"/>
    <x v="4"/>
    <x v="0"/>
    <x v="284"/>
    <x v="13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51955"/>
    <x v="1"/>
  </r>
  <r>
    <s v="17"/>
    <s v="001"/>
    <s v="04"/>
    <s v="131"/>
    <s v="0002"/>
    <x v="4"/>
    <x v="1"/>
    <x v="292"/>
    <x v="13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01956"/>
    <x v="1"/>
  </r>
  <r>
    <s v="17"/>
    <s v="001"/>
    <s v="18"/>
    <s v="422"/>
    <s v="0007"/>
    <x v="42"/>
    <x v="0"/>
    <x v="294"/>
    <x v="13"/>
    <s v="001-CHEFIA DE GABINETE"/>
    <s v="18-GESTÃO AMBIENTAL"/>
    <s v="422-DIREITOS INDIVIDUAIS, COLETIVOS E DIFUSOS"/>
    <s v="0007-Meio Ambiente, Sustentabilidade e Bem-Estar Animal​"/>
    <s v="2.021-Educação Cidadã"/>
    <s v="3.3.90.30.00-MATERIAL DE CONSUMO"/>
    <x v="18"/>
    <x v="0"/>
    <n v="10390.9609"/>
    <x v="1"/>
  </r>
  <r>
    <s v="17"/>
    <s v="001"/>
    <s v="18"/>
    <s v="422"/>
    <s v="0007"/>
    <x v="42"/>
    <x v="1"/>
    <x v="295"/>
    <x v="13"/>
    <s v="001-CHEFIA DE GABINETE"/>
    <s v="18-GESTÃO AMBIENTAL"/>
    <s v="422-DIREITOS INDIVIDUAIS, COLETIVOS E DIFUSOS"/>
    <s v="0007-Meio Ambiente, Sustentabilidade e Bem-Estar Animal​"/>
    <s v="2.021-Educação Cidadã"/>
    <s v="3.3.90.39.00-OUTROS SERVIÇOS DE TERCEIROS - PESSOA JURÍDICA"/>
    <x v="18"/>
    <x v="0"/>
    <n v="31173.960899999998"/>
    <x v="1"/>
  </r>
  <r>
    <s v="17"/>
    <s v="001"/>
    <s v="18"/>
    <s v="541"/>
    <s v="0007"/>
    <x v="0"/>
    <x v="11"/>
    <x v="615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3.3.50.39.00-OUTROS SERVIÇOS DE TERCEIROS - PESSOA JURÍDICA"/>
    <x v="18"/>
    <x v="0"/>
    <n v="0"/>
    <x v="1"/>
  </r>
  <r>
    <s v="17"/>
    <s v="001"/>
    <s v="18"/>
    <s v="541"/>
    <s v="0007"/>
    <x v="0"/>
    <x v="18"/>
    <x v="616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3.3.50.85.00-CONTRATO DE GESTÃO"/>
    <x v="18"/>
    <x v="0"/>
    <n v="8028989.0999999996"/>
    <x v="1"/>
  </r>
  <r>
    <s v="17"/>
    <s v="001"/>
    <s v="18"/>
    <s v="541"/>
    <s v="0007"/>
    <x v="0"/>
    <x v="0"/>
    <x v="617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3.3.90.30.00-MATERIAL DE CONSUMO"/>
    <x v="18"/>
    <x v="0"/>
    <n v="644242"/>
    <x v="1"/>
  </r>
  <r>
    <s v="17"/>
    <s v="001"/>
    <s v="18"/>
    <s v="541"/>
    <s v="0007"/>
    <x v="0"/>
    <x v="1"/>
    <x v="618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3.3.90.39.00-OUTROS SERVIÇOS DE TERCEIROS - PESSOA JURÍDICA"/>
    <x v="18"/>
    <x v="0"/>
    <n v="4909140.5"/>
    <x v="1"/>
  </r>
  <r>
    <s v="17"/>
    <s v="001"/>
    <s v="18"/>
    <s v="541"/>
    <s v="0007"/>
    <x v="0"/>
    <x v="6"/>
    <x v="619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3.3.90.93.00-INDENIZAÇÕES E RESTITUIÇÕES"/>
    <x v="18"/>
    <x v="0"/>
    <n v="62346"/>
    <x v="1"/>
  </r>
  <r>
    <s v="17"/>
    <s v="001"/>
    <s v="18"/>
    <s v="541"/>
    <s v="0007"/>
    <x v="0"/>
    <x v="8"/>
    <x v="620"/>
    <x v="13"/>
    <s v="001-CHEFIA DE GABINETE"/>
    <s v="18-GESTÃO AMBIENTAL"/>
    <s v="541-PRESERVAÇÃO E CONSERVAÇÃO AMBIENTAL"/>
    <s v="0007-Meio Ambiente, Sustentabilidade e Bem-Estar Animal​"/>
    <s v="2.011-Manutenção de Equipamentos Públicos "/>
    <s v="4.4.90.52.00-EQUIPAMENTOS E MATERIAL PERMANENTE"/>
    <x v="18"/>
    <x v="0"/>
    <n v="33251.199999999997"/>
    <x v="1"/>
  </r>
  <r>
    <s v="17"/>
    <s v="003"/>
    <s v="18"/>
    <s v="422"/>
    <s v="0007"/>
    <x v="42"/>
    <x v="24"/>
    <x v="621"/>
    <x v="13"/>
    <s v="003-FUNDO MUNICIPAL DE MEIO AMBIENTE"/>
    <s v="18-GESTÃO AMBIENTAL"/>
    <s v="422-DIREITOS INDIVIDUAIS, COLETIVOS E DIFUSOS"/>
    <s v="0007-Meio Ambiente, Sustentabilidade e Bem-Estar Animal​"/>
    <s v="2.021-Educação Cidadã"/>
    <s v="3.3.90.35.00-SERVIÇOS DE CONSULTORIA"/>
    <x v="18"/>
    <x v="0"/>
    <n v="1"/>
    <x v="1"/>
  </r>
  <r>
    <s v="18"/>
    <s v="001"/>
    <s v="04"/>
    <s v="122"/>
    <s v="0001"/>
    <x v="0"/>
    <x v="1"/>
    <x v="308"/>
    <x v="15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5598002"/>
    <x v="1"/>
  </r>
  <r>
    <s v="18"/>
    <s v="001"/>
    <s v="04"/>
    <s v="122"/>
    <s v="0001"/>
    <x v="0"/>
    <x v="6"/>
    <x v="309"/>
    <x v="15"/>
    <s v="001-CHEFIA DE GABINETE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1558650"/>
    <x v="1"/>
  </r>
  <r>
    <s v="18"/>
    <s v="001"/>
    <s v="04"/>
    <s v="453"/>
    <s v="0013"/>
    <x v="45"/>
    <x v="6"/>
    <x v="312"/>
    <x v="15"/>
    <s v="001-CHEFIA DE GABINETE"/>
    <s v="4-ADMINISTRAÇÃO"/>
    <s v="453-TRANSPORTES COLETIVOS URBANOS"/>
    <s v="0013-Mobilidade Urbana e Infraestrutura Viária​"/>
    <s v="2.010-Manutenção do Transporte Coletivo "/>
    <s v="3.3.90.93.00-INDENIZAÇÕES E RESTITUIÇÕES"/>
    <x v="18"/>
    <x v="0"/>
    <n v="45414279.851516001"/>
    <x v="1"/>
  </r>
  <r>
    <s v="18"/>
    <s v="002"/>
    <s v="04"/>
    <s v="122"/>
    <s v="0001"/>
    <x v="43"/>
    <x v="10"/>
    <x v="304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36.00-OUTROS SERVIÇOS DE TERCEIROS - PESSOA FÍSICA"/>
    <x v="18"/>
    <x v="0"/>
    <n v="7570917.5999999996"/>
    <x v="1"/>
  </r>
  <r>
    <s v="18"/>
    <s v="002"/>
    <s v="04"/>
    <s v="122"/>
    <s v="0001"/>
    <x v="43"/>
    <x v="1"/>
    <x v="305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39.00-OUTROS SERVIÇOS DE TERCEIROS - PESSOA JURÍDICA"/>
    <x v="18"/>
    <x v="0"/>
    <n v="15714539.440000001"/>
    <x v="1"/>
  </r>
  <r>
    <s v="18"/>
    <s v="002"/>
    <s v="04"/>
    <s v="122"/>
    <s v="0001"/>
    <x v="43"/>
    <x v="6"/>
    <x v="306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93.00-INDENIZAÇÕES E RESTITUIÇÕES"/>
    <x v="18"/>
    <x v="0"/>
    <n v="100000"/>
    <x v="1"/>
  </r>
  <r>
    <s v="18"/>
    <s v="002"/>
    <s v="04"/>
    <s v="122"/>
    <s v="0001"/>
    <x v="0"/>
    <x v="1"/>
    <x v="297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11469391.6753"/>
    <x v="1"/>
  </r>
  <r>
    <s v="18"/>
    <s v="002"/>
    <s v="04"/>
    <s v="122"/>
    <s v="0001"/>
    <x v="0"/>
    <x v="5"/>
    <x v="299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40.00-SERVIÇOS DE TECNOLOGIA DA INFORMAÇÃO E COMUNICAÇÃO - PESSOA JURÍDICA"/>
    <x v="18"/>
    <x v="0"/>
    <n v="4943460.96"/>
    <x v="1"/>
  </r>
  <r>
    <s v="18"/>
    <s v="002"/>
    <s v="04"/>
    <s v="122"/>
    <s v="0001"/>
    <x v="0"/>
    <x v="31"/>
    <x v="622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e v="#N/A"/>
    <x v="18"/>
    <x v="0"/>
    <n v="1"/>
    <x v="1"/>
  </r>
  <r>
    <s v="18"/>
    <s v="002"/>
    <s v="04"/>
    <s v="126"/>
    <s v="0002"/>
    <x v="1"/>
    <x v="5"/>
    <x v="301"/>
    <x v="14"/>
    <s v="002-RECURSOS SOB A SUPERVISÃO DA SECRETARIA DE ADMINISTRAÇÃO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8106306"/>
    <x v="1"/>
  </r>
  <r>
    <s v="18"/>
    <s v="002"/>
    <s v="04"/>
    <s v="128"/>
    <s v="0001"/>
    <x v="12"/>
    <x v="1"/>
    <x v="303"/>
    <x v="14"/>
    <s v="002-RECURSOS SOB A SUPERVISÃO DA SECRETARIA DE ADMINISTRAÇÃO"/>
    <s v="4-ADMINISTRAÇÃO"/>
    <s v="128-FORMAÇÃO DE RECURSOS HUMANOS"/>
    <s v="0001-Administração e Coordenação Geral​"/>
    <s v="2.008-Estágio e Aprendizagem"/>
    <s v="3.3.90.39.00-OUTROS SERVIÇOS DE TERCEIROS - PESSOA JURÍDICA"/>
    <x v="18"/>
    <x v="0"/>
    <n v="998693.92"/>
    <x v="1"/>
  </r>
  <r>
    <s v="18"/>
    <s v="002"/>
    <s v="04"/>
    <s v="128"/>
    <s v="0001"/>
    <x v="12"/>
    <x v="15"/>
    <x v="302"/>
    <x v="14"/>
    <s v="002-RECURSOS SOB A SUPERVISÃO DA SECRETARIA DE ADMINISTRAÇÃO"/>
    <s v="4-ADMINISTRAÇÃO"/>
    <s v="128-FORMAÇÃO DE RECURSOS HUMANOS"/>
    <s v="0001-Administração e Coordenação Geral​"/>
    <s v="2.008-Estágio e Aprendizagem"/>
    <s v="3.3.90.48.00 - OUTROS AUXILIOS FINANCEIROS A PESSOAS FISICAS"/>
    <x v="18"/>
    <x v="0"/>
    <n v="24120489.91"/>
    <x v="1"/>
  </r>
  <r>
    <s v="18"/>
    <s v="003"/>
    <s v="04"/>
    <s v="126"/>
    <s v="0002"/>
    <x v="1"/>
    <x v="0"/>
    <x v="316"/>
    <x v="16"/>
    <s v="003-FUNDO MUNICIPAL DE MEIO AMBIENTE"/>
    <s v="4-ADMINISTRAÇÃO"/>
    <s v="126-TECNOLOGIA DA INFORMATIZAÇÃO"/>
    <s v="0002-Governo Inteligente, Aberto e Inovador​"/>
    <s v="2.007-Ampliação e Manutenção de Sistemas de Inteligência, Fiscalização e Tecnologia"/>
    <s v="3.3.90.30.00-MATERIAL DE CONSUMO"/>
    <x v="18"/>
    <x v="0"/>
    <n v="207820"/>
    <x v="1"/>
  </r>
  <r>
    <s v="18"/>
    <s v="003"/>
    <s v="04"/>
    <s v="126"/>
    <s v="0002"/>
    <x v="1"/>
    <x v="1"/>
    <x v="313"/>
    <x v="16"/>
    <s v="003-FUNDO MUNICIPAL DE MEIO AMBIEN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311730"/>
    <x v="1"/>
  </r>
  <r>
    <s v="18"/>
    <s v="003"/>
    <s v="04"/>
    <s v="126"/>
    <s v="0002"/>
    <x v="1"/>
    <x v="5"/>
    <x v="314"/>
    <x v="16"/>
    <s v="003-FUNDO MUNICIPAL DE MEIO AMBIEN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96906225.609999999"/>
    <x v="1"/>
  </r>
  <r>
    <s v="18"/>
    <s v="003"/>
    <s v="04"/>
    <s v="126"/>
    <s v="0002"/>
    <x v="1"/>
    <x v="32"/>
    <x v="623"/>
    <x v="16"/>
    <s v="003-FUNDO MUNICIPAL DE MEIO AMBIENTE"/>
    <s v="4-ADMINISTRAÇÃO"/>
    <s v="126-TECNOLOGIA DA INFORMATIZAÇÃO"/>
    <s v="0002-Governo Inteligente, Aberto e Inovador​"/>
    <s v="2.007-Ampliação e Manutenção de Sistemas de Inteligência, Fiscalização e Tecnologia"/>
    <e v="#N/A"/>
    <x v="18"/>
    <x v="0"/>
    <n v="1"/>
    <x v="1"/>
  </r>
  <r>
    <s v="18"/>
    <s v="003"/>
    <s v="04"/>
    <s v="126"/>
    <s v="0002"/>
    <x v="1"/>
    <x v="8"/>
    <x v="315"/>
    <x v="16"/>
    <s v="003-FUNDO MUNICIPAL DE MEIO AMBIENTE"/>
    <s v="4-ADMINISTRAÇÃO"/>
    <s v="126-TECNOLOGIA DA INFORMATIZAÇÃO"/>
    <s v="0002-Governo Inteligente, Aberto e Inovador​"/>
    <s v="2.007-Ampliação e Manutenção de Sistemas de Inteligência, Fiscalização e Tecnologia"/>
    <s v="4.4.90.52.00-EQUIPAMENTOS E MATERIAL PERMANENTE"/>
    <x v="18"/>
    <x v="0"/>
    <n v="2297631.9034000002"/>
    <x v="1"/>
  </r>
  <r>
    <s v="19"/>
    <s v="001"/>
    <s v="04"/>
    <s v="122"/>
    <s v="0001"/>
    <x v="46"/>
    <x v="1"/>
    <x v="323"/>
    <x v="17"/>
    <s v="001-CHEFIA DE GABINETE"/>
    <s v="4-ADMINISTRAÇÃO"/>
    <s v="122-ADMINISTRAÇÃO GERAL"/>
    <s v="0001-Administração e Coordenação Geral​"/>
    <s v="2.002-Abastecimento de Frota "/>
    <s v="3.3.90.39.00-OUTROS SERVIÇOS DE TERCEIROS - PESSOA JURÍDICA"/>
    <x v="18"/>
    <x v="0"/>
    <n v="7960576.7000000002"/>
    <x v="1"/>
  </r>
  <r>
    <s v="19"/>
    <s v="001"/>
    <s v="04"/>
    <s v="122"/>
    <s v="0001"/>
    <x v="3"/>
    <x v="7"/>
    <x v="319"/>
    <x v="17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19"/>
    <s v="001"/>
    <s v="04"/>
    <s v="122"/>
    <s v="0001"/>
    <x v="3"/>
    <x v="1"/>
    <x v="320"/>
    <x v="17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19"/>
    <s v="001"/>
    <s v="04"/>
    <s v="128"/>
    <s v="0002"/>
    <x v="2"/>
    <x v="1"/>
    <x v="322"/>
    <x v="17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19"/>
    <s v="001"/>
    <s v="04"/>
    <s v="131"/>
    <s v="0002"/>
    <x v="4"/>
    <x v="0"/>
    <x v="318"/>
    <x v="17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2988.75"/>
    <x v="1"/>
  </r>
  <r>
    <s v="19"/>
    <s v="001"/>
    <s v="04"/>
    <s v="131"/>
    <s v="0002"/>
    <x v="4"/>
    <x v="1"/>
    <x v="317"/>
    <x v="17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39486.800000000003"/>
    <x v="1"/>
  </r>
  <r>
    <s v="19"/>
    <s v="001"/>
    <s v="15"/>
    <s v="126"/>
    <s v="0013"/>
    <x v="1"/>
    <x v="1"/>
    <x v="336"/>
    <x v="17"/>
    <s v="001-CHEFIA DE GABINETE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13287008.24"/>
    <x v="1"/>
  </r>
  <r>
    <s v="19"/>
    <s v="001"/>
    <s v="15"/>
    <s v="422"/>
    <s v="0013"/>
    <x v="42"/>
    <x v="0"/>
    <x v="343"/>
    <x v="17"/>
    <s v="001-CHEFIA DE GABINETE"/>
    <s v="15-URBANISMO"/>
    <s v="422-DIREITOS INDIVIDUAIS, COLETIVOS E DIFUSOS"/>
    <s v="0013-Mobilidade Urbana e Infraestrutura Viária​"/>
    <s v="2.021-Educação Cidadã"/>
    <s v="3.3.90.30.00-MATERIAL DE CONSUMO"/>
    <x v="18"/>
    <x v="0"/>
    <n v="5195.5"/>
    <x v="1"/>
  </r>
  <r>
    <s v="19"/>
    <s v="001"/>
    <s v="15"/>
    <s v="422"/>
    <s v="0013"/>
    <x v="42"/>
    <x v="1"/>
    <x v="342"/>
    <x v="17"/>
    <s v="001-CHEFIA DE GABINETE"/>
    <s v="15-URBANISMO"/>
    <s v="422-DIREITOS INDIVIDUAIS, COLETIVOS E DIFUSOS"/>
    <s v="0013-Mobilidade Urbana e Infraestrutura Viária​"/>
    <s v="2.021-Educação Cidadã"/>
    <s v="3.3.90.39.00-OUTROS SERVIÇOS DE TERCEIROS - PESSOA JURÍDICA"/>
    <x v="18"/>
    <x v="0"/>
    <n v="10391.9609"/>
    <x v="1"/>
  </r>
  <r>
    <s v="19"/>
    <s v="001"/>
    <s v="15"/>
    <s v="451"/>
    <s v="0013"/>
    <x v="0"/>
    <x v="0"/>
    <x v="338"/>
    <x v="17"/>
    <s v="001-CHEFIA DE GABINETE"/>
    <s v="15-URBANISMO"/>
    <s v="451-INFRA-ESTRUTURA URBANA"/>
    <s v="0013-Mobilidade Urbana e Infraestrutura Viária​"/>
    <s v="2.011-Manutenção de Equipamentos Públicos "/>
    <s v="3.3.90.30.00-MATERIAL DE CONSUMO"/>
    <x v="18"/>
    <x v="0"/>
    <n v="52664.588000000003"/>
    <x v="1"/>
  </r>
  <r>
    <s v="19"/>
    <s v="001"/>
    <s v="15"/>
    <s v="451"/>
    <s v="0013"/>
    <x v="0"/>
    <x v="10"/>
    <x v="341"/>
    <x v="17"/>
    <s v="001-CHEFIA DE GABINETE"/>
    <s v="15-URBANISMO"/>
    <s v="451-INFRA-ESTRUTURA URBANA"/>
    <s v="0013-Mobilidade Urbana e Infraestrutura Viária​"/>
    <s v="2.011-Manutenção de Equipamentos Públicos "/>
    <s v="3.3.90.36.00-OUTROS SERVIÇOS DE TERCEIROS - PESSOA FÍSICA"/>
    <x v="18"/>
    <x v="0"/>
    <n v="9601"/>
    <x v="1"/>
  </r>
  <r>
    <s v="19"/>
    <s v="001"/>
    <s v="15"/>
    <s v="451"/>
    <s v="0013"/>
    <x v="0"/>
    <x v="1"/>
    <x v="339"/>
    <x v="17"/>
    <s v="001-CHEFIA DE GABINETE"/>
    <s v="15-URBANISMO"/>
    <s v="451-INFRA-ESTRUTURA URBANA"/>
    <s v="0013-Mobilidade Urbana e Infraestrutura Viária​"/>
    <s v="2.011-Manutenção de Equipamentos Públicos "/>
    <s v="3.3.90.39.00-OUTROS SERVIÇOS DE TERCEIROS - PESSOA JURÍDICA"/>
    <x v="18"/>
    <x v="0"/>
    <n v="877237.88"/>
    <x v="1"/>
  </r>
  <r>
    <s v="19"/>
    <s v="001"/>
    <s v="15"/>
    <s v="451"/>
    <s v="0013"/>
    <x v="0"/>
    <x v="8"/>
    <x v="340"/>
    <x v="17"/>
    <s v="001-CHEFIA DE GABINETE"/>
    <s v="15-URBANISMO"/>
    <s v="451-INFRA-ESTRUTURA URBANA"/>
    <s v="0013-Mobilidade Urbana e Infraestrutura Viária​"/>
    <s v="2.011-Manutenção de Equipamentos Públicos "/>
    <s v="4.4.90.52.00-EQUIPAMENTOS E MATERIAL PERMANENTE"/>
    <x v="18"/>
    <x v="0"/>
    <n v="21198.679100000001"/>
    <x v="1"/>
  </r>
  <r>
    <s v="19"/>
    <s v="001"/>
    <s v="15"/>
    <s v="451"/>
    <s v="0013"/>
    <x v="24"/>
    <x v="1"/>
    <x v="335"/>
    <x v="17"/>
    <s v="001-CHEFIA DE GABINETE"/>
    <s v="15-URBANISMO"/>
    <s v="451-INFRA-ESTRUTURA URBANA"/>
    <s v="0013-Mobilidade Urbana e Infraestrutura Viária​"/>
    <s v="2.034-Manutenção da Infraestrutura Viária"/>
    <s v="3.3.90.39.00-OUTROS SERVIÇOS DE TERCEIROS - PESSOA JURÍDICA"/>
    <x v="18"/>
    <x v="0"/>
    <n v="22168876.800000001"/>
    <x v="1"/>
  </r>
  <r>
    <s v="19"/>
    <s v="001"/>
    <s v="15"/>
    <s v="451"/>
    <s v="0013"/>
    <x v="47"/>
    <x v="1"/>
    <x v="331"/>
    <x v="17"/>
    <s v="001-CHEFIA DE GABINETE"/>
    <s v="15-URBANISMO"/>
    <s v="451-INFRA-ESTRUTURA URBANA"/>
    <s v="0013-Mobilidade Urbana e Infraestrutura Viária​"/>
    <n v="0"/>
    <s v="3.3.90.39.00-OUTROS SERVIÇOS DE TERCEIROS - PESSOA JURÍDICA"/>
    <x v="18"/>
    <x v="0"/>
    <n v="1440000"/>
    <x v="1"/>
  </r>
  <r>
    <s v="19"/>
    <s v="001"/>
    <s v="15"/>
    <s v="453"/>
    <s v="0013"/>
    <x v="45"/>
    <x v="1"/>
    <x v="332"/>
    <x v="17"/>
    <s v="001-CHEFIA DE GABINETE"/>
    <s v="15-URBANISMO"/>
    <s v="453-TRANSPORTES COLETIVOS URBANOS"/>
    <s v="0013-Mobilidade Urbana e Infraestrutura Viária​"/>
    <s v="2.010-Manutenção do Transporte Coletivo "/>
    <s v="3.3.90.39.00-OUTROS SERVIÇOS DE TERCEIROS - PESSOA JURÍDICA"/>
    <x v="18"/>
    <x v="0"/>
    <n v="2805085.45"/>
    <x v="1"/>
  </r>
  <r>
    <s v="19"/>
    <s v="005"/>
    <s v="04"/>
    <s v="122"/>
    <s v="0001"/>
    <x v="46"/>
    <x v="1"/>
    <x v="324"/>
    <x v="17"/>
    <s v="005-FUNDO MUNICIPAL DE ASSISTÊNCIA SOCIAL"/>
    <s v="4-ADMINISTRAÇÃO"/>
    <s v="122-ADMINISTRAÇÃO GERAL"/>
    <s v="0001-Administração e Coordenação Geral​"/>
    <s v="2.002-Abastecimento de Frota "/>
    <s v="3.3.90.39.00-OUTROS SERVIÇOS DE TERCEIROS - PESSOA JURÍDICA"/>
    <x v="18"/>
    <x v="0"/>
    <n v="1"/>
    <x v="1"/>
  </r>
  <r>
    <s v="19"/>
    <s v="005"/>
    <s v="15"/>
    <s v="126"/>
    <s v="0013"/>
    <x v="1"/>
    <x v="1"/>
    <x v="337"/>
    <x v="17"/>
    <s v="005-FUNDO MUNICIPAL DE ASSISTÊNCIA SOCIAL"/>
    <s v="15-URBANISMO"/>
    <s v="126-TECNOLOGIA DA INFORMATIZAÇÃO"/>
    <s v="0013-Mobilidade Urbana e Infraestrutura Viária​"/>
    <s v="2.007-Ampliação e Manutenção de Sistemas de Inteligência, Fiscalização e Tecnologia"/>
    <s v="3.3.90.39.00-OUTROS SERVIÇOS DE TERCEIROS - PESSOA JURÍDICA"/>
    <x v="18"/>
    <x v="0"/>
    <n v="17709710.859999999"/>
    <x v="1"/>
  </r>
  <r>
    <s v="19"/>
    <s v="005"/>
    <s v="15"/>
    <s v="451"/>
    <s v="0013"/>
    <x v="0"/>
    <x v="1"/>
    <x v="624"/>
    <x v="17"/>
    <s v="005-FUNDO MUNICIPAL DE ASSISTÊNCIA SOCIAL"/>
    <s v="15-URBANISMO"/>
    <s v="451-INFRA-ESTRUTURA URBANA"/>
    <s v="0013-Mobilidade Urbana e Infraestrutura Viária​"/>
    <s v="2.011-Manutenção de Equipamentos Públicos "/>
    <s v="3.3.90.39.00-OUTROS SERVIÇOS DE TERCEIROS - PESSOA JURÍDICA"/>
    <x v="18"/>
    <x v="0"/>
    <n v="160000"/>
    <x v="1"/>
  </r>
  <r>
    <s v="19"/>
    <s v="005"/>
    <s v="15"/>
    <s v="451"/>
    <s v="0013"/>
    <x v="24"/>
    <x v="1"/>
    <x v="334"/>
    <x v="17"/>
    <s v="005-FUNDO MUNICIPAL DE ASSISTÊNCIA SOCIAL"/>
    <s v="15-URBANISMO"/>
    <s v="451-INFRA-ESTRUTURA URBANA"/>
    <s v="0013-Mobilidade Urbana e Infraestrutura Viária​"/>
    <s v="2.034-Manutenção da Infraestrutura Viária"/>
    <s v="3.3.90.39.00-OUTROS SERVIÇOS DE TERCEIROS - PESSOA JURÍDICA"/>
    <x v="18"/>
    <x v="0"/>
    <n v="7300000"/>
    <x v="1"/>
  </r>
  <r>
    <s v="20"/>
    <s v="001"/>
    <s v="04"/>
    <s v="122"/>
    <s v="0001"/>
    <x v="3"/>
    <x v="7"/>
    <x v="625"/>
    <x v="18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20"/>
    <s v="001"/>
    <s v="04"/>
    <s v="122"/>
    <s v="0001"/>
    <x v="3"/>
    <x v="1"/>
    <x v="626"/>
    <x v="18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20"/>
    <s v="001"/>
    <s v="04"/>
    <s v="128"/>
    <s v="0002"/>
    <x v="2"/>
    <x v="1"/>
    <x v="627"/>
    <x v="18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20"/>
    <s v="001"/>
    <s v="04"/>
    <s v="131"/>
    <s v="0002"/>
    <x v="4"/>
    <x v="0"/>
    <x v="628"/>
    <x v="18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"/>
    <x v="1"/>
  </r>
  <r>
    <s v="20"/>
    <s v="001"/>
    <s v="04"/>
    <s v="131"/>
    <s v="0002"/>
    <x v="4"/>
    <x v="1"/>
    <x v="629"/>
    <x v="18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"/>
    <x v="1"/>
  </r>
  <r>
    <s v="20"/>
    <s v="001"/>
    <s v="06"/>
    <s v="126"/>
    <s v="0006"/>
    <x v="1"/>
    <x v="1"/>
    <x v="344"/>
    <x v="18"/>
    <s v="001-CHEFIA DE GABINETE"/>
    <s v="6-SEGURANÇA PÚBLICA"/>
    <s v="126-TECNOLOGIA DA INFORMATIZAÇÃO"/>
    <s v="0006-Segurança Pública e Fiscalização Inteligente​"/>
    <s v="2.007-Ampliação e Manutenção de Sistemas de Inteligência, Fiscalização e Tecnologia"/>
    <s v="3.3.90.39.00-OUTROS SERVIÇOS DE TERCEIROS - PESSOA JURÍDICA"/>
    <x v="18"/>
    <x v="0"/>
    <n v="32343397.300000001"/>
    <x v="1"/>
  </r>
  <r>
    <s v="20"/>
    <s v="001"/>
    <s v="06"/>
    <s v="181"/>
    <s v="0006"/>
    <x v="0"/>
    <x v="0"/>
    <x v="630"/>
    <x v="18"/>
    <s v="001-CHEFIA DE GABINETE"/>
    <s v="6-SEGURANÇA PÚBLICA"/>
    <s v="181-POLICIAMENTO"/>
    <s v="0006-Segurança Pública e Fiscalização Inteligente​"/>
    <s v="2.011-Manutenção de Equipamentos Públicos "/>
    <s v="3.3.90.30.00-MATERIAL DE CONSUMO"/>
    <x v="18"/>
    <x v="0"/>
    <n v="879566.97699999996"/>
    <x v="1"/>
  </r>
  <r>
    <s v="20"/>
    <s v="001"/>
    <s v="06"/>
    <s v="181"/>
    <s v="0006"/>
    <x v="0"/>
    <x v="1"/>
    <x v="345"/>
    <x v="18"/>
    <s v="001-CHEFIA DE GABINETE"/>
    <s v="6-SEGURANÇA PÚBLICA"/>
    <s v="181-POLICIAMENTO"/>
    <s v="0006-Segurança Pública e Fiscalização Inteligente​"/>
    <s v="2.011-Manutenção de Equipamentos Públicos "/>
    <s v="3.3.90.39.00-OUTROS SERVIÇOS DE TERCEIROS - PESSOA JURÍDICA"/>
    <x v="18"/>
    <x v="0"/>
    <n v="3868577.3174000001"/>
    <x v="1"/>
  </r>
  <r>
    <s v="20"/>
    <s v="001"/>
    <s v="06"/>
    <s v="181"/>
    <s v="0006"/>
    <x v="0"/>
    <x v="8"/>
    <x v="631"/>
    <x v="18"/>
    <s v="001-CHEFIA DE GABINETE"/>
    <s v="6-SEGURANÇA PÚBLICA"/>
    <s v="181-POLICIAMENTO"/>
    <s v="0006-Segurança Pública e Fiscalização Inteligente​"/>
    <s v="2.011-Manutenção de Equipamentos Públicos "/>
    <s v="4.4.90.52.00-EQUIPAMENTOS E MATERIAL PERMANENTE"/>
    <x v="18"/>
    <x v="0"/>
    <n v="159608.29999999999"/>
    <x v="1"/>
  </r>
  <r>
    <s v="21"/>
    <s v="001"/>
    <s v="09"/>
    <s v="272"/>
    <s v="0001"/>
    <x v="0"/>
    <x v="25"/>
    <x v="632"/>
    <x v="30"/>
    <s v="001-CHEFIA DE GABINETE"/>
    <e v="#N/A"/>
    <e v="#N/A"/>
    <s v="0001-Administração e Coordenação Geral​"/>
    <s v="2.011-Manutenção de Equipamentos Públicos "/>
    <e v="#N/A"/>
    <x v="18"/>
    <x v="0"/>
    <n v="70000"/>
    <x v="1"/>
  </r>
  <r>
    <s v="21"/>
    <s v="001"/>
    <s v="09"/>
    <s v="272"/>
    <s v="0001"/>
    <x v="0"/>
    <x v="0"/>
    <x v="633"/>
    <x v="30"/>
    <s v="001-CHEFIA DE GABINETE"/>
    <e v="#N/A"/>
    <e v="#N/A"/>
    <s v="0001-Administração e Coordenação Geral​"/>
    <s v="2.011-Manutenção de Equipamentos Públicos "/>
    <s v="3.3.90.30.00-MATERIAL DE CONSUMO"/>
    <x v="18"/>
    <x v="0"/>
    <n v="300000"/>
    <x v="1"/>
  </r>
  <r>
    <s v="21"/>
    <s v="001"/>
    <s v="09"/>
    <s v="272"/>
    <s v="0001"/>
    <x v="0"/>
    <x v="7"/>
    <x v="634"/>
    <x v="30"/>
    <s v="001-CHEFIA DE GABINETE"/>
    <e v="#N/A"/>
    <e v="#N/A"/>
    <s v="0001-Administração e Coordenação Geral​"/>
    <s v="2.011-Manutenção de Equipamentos Públicos "/>
    <s v="3.3.90.33.00-PASSAGENS E DESPESAS COM LOCOMOÇÃO"/>
    <x v="18"/>
    <x v="0"/>
    <n v="20000"/>
    <x v="1"/>
  </r>
  <r>
    <s v="21"/>
    <s v="001"/>
    <s v="09"/>
    <s v="272"/>
    <s v="0001"/>
    <x v="0"/>
    <x v="24"/>
    <x v="635"/>
    <x v="30"/>
    <s v="001-CHEFIA DE GABINETE"/>
    <e v="#N/A"/>
    <e v="#N/A"/>
    <s v="0001-Administração e Coordenação Geral​"/>
    <s v="2.011-Manutenção de Equipamentos Públicos "/>
    <s v="3.3.90.35.00-SERVIÇOS DE CONSULTORIA"/>
    <x v="18"/>
    <x v="0"/>
    <n v="890000"/>
    <x v="1"/>
  </r>
  <r>
    <s v="21"/>
    <s v="001"/>
    <s v="09"/>
    <s v="272"/>
    <s v="0001"/>
    <x v="0"/>
    <x v="10"/>
    <x v="636"/>
    <x v="30"/>
    <s v="001-CHEFIA DE GABINETE"/>
    <e v="#N/A"/>
    <e v="#N/A"/>
    <s v="0001-Administração e Coordenação Geral​"/>
    <s v="2.011-Manutenção de Equipamentos Públicos "/>
    <s v="3.3.90.36.00-OUTROS SERVIÇOS DE TERCEIROS - PESSOA FÍSICA"/>
    <x v="18"/>
    <x v="0"/>
    <n v="100000"/>
    <x v="1"/>
  </r>
  <r>
    <s v="21"/>
    <s v="001"/>
    <s v="09"/>
    <s v="272"/>
    <s v="0001"/>
    <x v="0"/>
    <x v="1"/>
    <x v="637"/>
    <x v="30"/>
    <s v="001-CHEFIA DE GABINETE"/>
    <e v="#N/A"/>
    <e v="#N/A"/>
    <s v="0001-Administração e Coordenação Geral​"/>
    <s v="2.011-Manutenção de Equipamentos Públicos "/>
    <s v="3.3.90.39.00-OUTROS SERVIÇOS DE TERCEIROS - PESSOA JURÍDICA"/>
    <x v="18"/>
    <x v="0"/>
    <n v="7560000"/>
    <x v="1"/>
  </r>
  <r>
    <s v="21"/>
    <s v="001"/>
    <s v="09"/>
    <s v="272"/>
    <s v="0001"/>
    <x v="0"/>
    <x v="5"/>
    <x v="638"/>
    <x v="30"/>
    <s v="001-CHEFIA DE GABINETE"/>
    <e v="#N/A"/>
    <e v="#N/A"/>
    <s v="0001-Administração e Coordenação Geral​"/>
    <s v="2.011-Manutenção de Equipamentos Públicos "/>
    <s v="3.3.90.40.00-SERVIÇOS DE TECNOLOGIA DA INFORMAÇÃO E COMUNICAÇÃO - PESSOA JURÍDICA"/>
    <x v="18"/>
    <x v="0"/>
    <n v="6000000"/>
    <x v="1"/>
  </r>
  <r>
    <s v="21"/>
    <s v="001"/>
    <s v="09"/>
    <s v="272"/>
    <s v="0001"/>
    <x v="0"/>
    <x v="9"/>
    <x v="639"/>
    <x v="30"/>
    <s v="001-CHEFIA DE GABINETE"/>
    <e v="#N/A"/>
    <e v="#N/A"/>
    <s v="0001-Administração e Coordenação Geral​"/>
    <s v="2.011-Manutenção de Equipamentos Públicos "/>
    <s v="3.3.90.92.00-DESPESAS DE EXERCÍCIOS ANTERIORES"/>
    <x v="18"/>
    <x v="0"/>
    <n v="1000"/>
    <x v="1"/>
  </r>
  <r>
    <s v="21"/>
    <s v="001"/>
    <s v="09"/>
    <s v="272"/>
    <s v="0001"/>
    <x v="0"/>
    <x v="8"/>
    <x v="640"/>
    <x v="30"/>
    <s v="001-CHEFIA DE GABINETE"/>
    <e v="#N/A"/>
    <e v="#N/A"/>
    <s v="0001-Administração e Coordenação Geral​"/>
    <s v="2.011-Manutenção de Equipamentos Públicos "/>
    <s v="4.4.90.52.00-EQUIPAMENTOS E MATERIAL PERMANENTE"/>
    <x v="18"/>
    <x v="0"/>
    <n v="500000"/>
    <x v="1"/>
  </r>
  <r>
    <s v="21"/>
    <s v="001"/>
    <s v="09"/>
    <s v="272"/>
    <s v="0002"/>
    <x v="2"/>
    <x v="25"/>
    <x v="641"/>
    <x v="30"/>
    <s v="001-CHEFIA DE GABINETE"/>
    <e v="#N/A"/>
    <e v="#N/A"/>
    <s v="0002-Governo Inteligente, Aberto e Inovador​"/>
    <s v="2.003-Qualificação de Servidores e Processos Institucionais"/>
    <e v="#N/A"/>
    <x v="18"/>
    <x v="0"/>
    <n v="20000"/>
    <x v="1"/>
  </r>
  <r>
    <s v="21"/>
    <s v="001"/>
    <s v="09"/>
    <s v="272"/>
    <s v="0002"/>
    <x v="2"/>
    <x v="1"/>
    <x v="642"/>
    <x v="30"/>
    <s v="001-CHEFIA DE GABINETE"/>
    <e v="#N/A"/>
    <e v="#N/A"/>
    <s v="0002-Governo Inteligente, Aberto e Inovador​"/>
    <s v="2.003-Qualificação de Servidores e Processos Institucionais"/>
    <s v="3.3.90.39.00-OUTROS SERVIÇOS DE TERCEIROS - PESSOA JURÍDICA"/>
    <x v="18"/>
    <x v="0"/>
    <n v="300000"/>
    <x v="1"/>
  </r>
  <r>
    <s v="21"/>
    <s v="001"/>
    <s v="09"/>
    <s v="272"/>
    <s v="0002"/>
    <x v="2"/>
    <x v="6"/>
    <x v="643"/>
    <x v="30"/>
    <s v="001-CHEFIA DE GABINETE"/>
    <e v="#N/A"/>
    <e v="#N/A"/>
    <s v="0002-Governo Inteligente, Aberto e Inovador​"/>
    <s v="2.003-Qualificação de Servidores e Processos Institucionais"/>
    <s v="3.3.90.93.00-INDENIZAÇÕES E RESTITUIÇÕES"/>
    <x v="18"/>
    <x v="0"/>
    <n v="15000"/>
    <x v="1"/>
  </r>
  <r>
    <s v="21"/>
    <s v="003"/>
    <s v="09"/>
    <s v="272"/>
    <s v="0020"/>
    <x v="52"/>
    <x v="33"/>
    <x v="644"/>
    <x v="30"/>
    <s v="003-FUNDO MUNICIPAL DE MEIO AMBIENTE"/>
    <e v="#N/A"/>
    <e v="#N/A"/>
    <e v="#N/A"/>
    <e v="#N/A"/>
    <e v="#N/A"/>
    <x v="18"/>
    <x v="0"/>
    <n v="270000000"/>
    <x v="1"/>
  </r>
  <r>
    <s v="21"/>
    <s v="003"/>
    <s v="09"/>
    <s v="272"/>
    <s v="0020"/>
    <x v="52"/>
    <x v="34"/>
    <x v="645"/>
    <x v="30"/>
    <s v="003-FUNDO MUNICIPAL DE MEIO AMBIENTE"/>
    <e v="#N/A"/>
    <e v="#N/A"/>
    <e v="#N/A"/>
    <e v="#N/A"/>
    <e v="#N/A"/>
    <x v="18"/>
    <x v="0"/>
    <n v="7500000"/>
    <x v="1"/>
  </r>
  <r>
    <s v="21"/>
    <s v="003"/>
    <s v="09"/>
    <s v="272"/>
    <s v="0020"/>
    <x v="52"/>
    <x v="35"/>
    <x v="646"/>
    <x v="30"/>
    <s v="003-FUNDO MUNICIPAL DE MEIO AMBIENTE"/>
    <e v="#N/A"/>
    <e v="#N/A"/>
    <e v="#N/A"/>
    <e v="#N/A"/>
    <e v="#N/A"/>
    <x v="18"/>
    <x v="0"/>
    <n v="1000000"/>
    <x v="1"/>
  </r>
  <r>
    <s v="21"/>
    <s v="003"/>
    <s v="09"/>
    <s v="272"/>
    <s v="0020"/>
    <x v="52"/>
    <x v="6"/>
    <x v="647"/>
    <x v="30"/>
    <s v="003-FUNDO MUNICIPAL DE MEIO AMBIENTE"/>
    <e v="#N/A"/>
    <e v="#N/A"/>
    <e v="#N/A"/>
    <e v="#N/A"/>
    <s v="3.3.90.93.00-INDENIZAÇÕES E RESTITUIÇÕES"/>
    <x v="18"/>
    <x v="0"/>
    <n v="1000000"/>
    <x v="1"/>
  </r>
  <r>
    <s v="21"/>
    <s v="005"/>
    <s v="09"/>
    <s v="272"/>
    <s v="0020"/>
    <x v="52"/>
    <x v="33"/>
    <x v="648"/>
    <x v="30"/>
    <s v="005-FUNDO MUNICIPAL DE ASSISTÊNCIA SOCIAL"/>
    <e v="#N/A"/>
    <e v="#N/A"/>
    <e v="#N/A"/>
    <e v="#N/A"/>
    <e v="#N/A"/>
    <x v="18"/>
    <x v="0"/>
    <n v="150000000"/>
    <x v="1"/>
  </r>
  <r>
    <s v="21"/>
    <s v="005"/>
    <s v="09"/>
    <s v="272"/>
    <s v="0020"/>
    <x v="52"/>
    <x v="34"/>
    <x v="649"/>
    <x v="30"/>
    <s v="005-FUNDO MUNICIPAL DE ASSISTÊNCIA SOCIAL"/>
    <e v="#N/A"/>
    <e v="#N/A"/>
    <e v="#N/A"/>
    <e v="#N/A"/>
    <e v="#N/A"/>
    <x v="18"/>
    <x v="0"/>
    <n v="70000000"/>
    <x v="1"/>
  </r>
  <r>
    <s v="21"/>
    <s v="005"/>
    <s v="09"/>
    <s v="272"/>
    <s v="0020"/>
    <x v="52"/>
    <x v="35"/>
    <x v="650"/>
    <x v="30"/>
    <s v="005-FUNDO MUNICIPAL DE ASSISTÊNCIA SOCIAL"/>
    <e v="#N/A"/>
    <e v="#N/A"/>
    <e v="#N/A"/>
    <e v="#N/A"/>
    <e v="#N/A"/>
    <x v="18"/>
    <x v="0"/>
    <n v="1000000"/>
    <x v="1"/>
  </r>
  <r>
    <s v="21"/>
    <s v="005"/>
    <s v="09"/>
    <s v="272"/>
    <s v="0020"/>
    <x v="52"/>
    <x v="6"/>
    <x v="651"/>
    <x v="30"/>
    <s v="005-FUNDO MUNICIPAL DE ASSISTÊNCIA SOCIAL"/>
    <e v="#N/A"/>
    <e v="#N/A"/>
    <e v="#N/A"/>
    <e v="#N/A"/>
    <s v="3.3.90.93.00-INDENIZAÇÕES E RESTITUIÇÕES"/>
    <x v="18"/>
    <x v="0"/>
    <n v="1000000"/>
    <x v="1"/>
  </r>
  <r>
    <s v="21"/>
    <s v="006"/>
    <s v="04"/>
    <s v="241"/>
    <s v="0018"/>
    <x v="53"/>
    <x v="15"/>
    <x v="652"/>
    <x v="30"/>
    <s v="006-HOSPITAL E MATERNIDADE MUNICIPAL AMADOR AGUIAR"/>
    <s v="4-ADMINISTRAÇÃO"/>
    <s v="241-ASSISTÊNCIA AO IDOSO ASSISTÊNCIA À PESSOA IDOSA"/>
    <s v="0018-Proteção Social e Garantia de Direitos​"/>
    <e v="#N/A"/>
    <s v="3.3.90.48.00 - OUTROS AUXILIOS FINANCEIROS A PESSOAS FISICAS"/>
    <x v="18"/>
    <x v="0"/>
    <n v="45000000"/>
    <x v="1"/>
  </r>
  <r>
    <s v="22"/>
    <s v="001"/>
    <s v="04"/>
    <s v="122"/>
    <s v="0001"/>
    <x v="0"/>
    <x v="26"/>
    <x v="653"/>
    <x v="31"/>
    <s v="001-CHEFIA DE GABINETE"/>
    <s v="4-ADMINISTRAÇÃO"/>
    <s v="122-ADMINISTRAÇÃO GERAL"/>
    <s v="0001-Administração e Coordenação Geral​"/>
    <s v="2.011-Manutenção de Equipamentos Públicos "/>
    <e v="#N/A"/>
    <x v="18"/>
    <x v="0"/>
    <n v="1760000"/>
    <x v="1"/>
  </r>
  <r>
    <s v="22"/>
    <s v="001"/>
    <s v="04"/>
    <s v="122"/>
    <s v="0001"/>
    <x v="0"/>
    <x v="36"/>
    <x v="654"/>
    <x v="31"/>
    <s v="001-CHEFIA DE GABINETE"/>
    <s v="4-ADMINISTRAÇÃO"/>
    <s v="122-ADMINISTRAÇÃO GERAL"/>
    <s v="0001-Administração e Coordenação Geral​"/>
    <s v="2.011-Manutenção de Equipamentos Públicos "/>
    <e v="#N/A"/>
    <x v="18"/>
    <x v="0"/>
    <n v="1505396"/>
    <x v="1"/>
  </r>
  <r>
    <s v="22"/>
    <s v="001"/>
    <s v="04"/>
    <s v="126"/>
    <s v="0002"/>
    <x v="1"/>
    <x v="5"/>
    <x v="655"/>
    <x v="3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41204"/>
    <x v="1"/>
  </r>
  <r>
    <s v="22"/>
    <s v="001"/>
    <s v="04"/>
    <s v="128"/>
    <s v="0001"/>
    <x v="12"/>
    <x v="10"/>
    <x v="656"/>
    <x v="31"/>
    <s v="001-CHEFIA DE GABINETE"/>
    <s v="4-ADMINISTRAÇÃO"/>
    <s v="128-FORMAÇÃO DE RECURSOS HUMANOS"/>
    <s v="0001-Administração e Coordenação Geral​"/>
    <s v="2.008-Estágio e Aprendizagem"/>
    <s v="3.3.90.36.00-OUTROS SERVIÇOS DE TERCEIROS - PESSOA FÍSICA"/>
    <x v="18"/>
    <x v="0"/>
    <n v="100000"/>
    <x v="1"/>
  </r>
  <r>
    <s v="22"/>
    <s v="001"/>
    <s v="04"/>
    <s v="128"/>
    <s v="0002"/>
    <x v="2"/>
    <x v="1"/>
    <x v="657"/>
    <x v="31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800000"/>
    <x v="1"/>
  </r>
  <r>
    <s v="22"/>
    <s v="002"/>
    <s v="04"/>
    <s v="361"/>
    <s v="0002"/>
    <x v="2"/>
    <x v="1"/>
    <x v="658"/>
    <x v="31"/>
    <s v="002-RECURSOS SOB A SUPERVISÃO DA SECRETARIA DE ADMINISTRAÇÃO"/>
    <s v="4-ADMINISTRAÇÃO"/>
    <s v="361-ENSINO FUNDAMENTAL"/>
    <s v="0002-Governo Inteligente, Aberto e Inovador​"/>
    <s v="2.003-Qualificação de Servidores e Processos Institucionais"/>
    <s v="3.3.90.39.00-OUTROS SERVIÇOS DE TERCEIROS - PESSOA JURÍDICA"/>
    <x v="18"/>
    <x v="0"/>
    <n v="367500"/>
    <x v="1"/>
  </r>
  <r>
    <s v="22"/>
    <s v="002"/>
    <s v="12"/>
    <s v="122"/>
    <s v="0001"/>
    <x v="0"/>
    <x v="0"/>
    <x v="659"/>
    <x v="31"/>
    <s v="002-RECURSOS SOB A SUPERVISÃO DA SECRETARIA DE ADMINISTRAÇÃO"/>
    <s v="12-EDUCAÇÃO"/>
    <s v="122-ADMINISTRAÇÃO GERAL"/>
    <s v="0001-Administração e Coordenação Geral​"/>
    <s v="2.011-Manutenção de Equipamentos Públicos "/>
    <s v="3.3.90.30.00-MATERIAL DE CONSUMO"/>
    <x v="18"/>
    <x v="0"/>
    <n v="210000"/>
    <x v="1"/>
  </r>
  <r>
    <s v="22"/>
    <s v="002"/>
    <s v="12"/>
    <s v="126"/>
    <s v="0002"/>
    <x v="1"/>
    <x v="5"/>
    <x v="660"/>
    <x v="31"/>
    <s v="002-RECURSOS SOB A SUPERVISÃO DA SECRETARIA DE ADMINISTRAÇÃO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1"/>
  </r>
  <r>
    <s v="22"/>
    <s v="002"/>
    <s v="12"/>
    <s v="361"/>
    <s v="0001"/>
    <x v="12"/>
    <x v="10"/>
    <x v="661"/>
    <x v="31"/>
    <s v="002-RECURSOS SOB A SUPERVISÃO DA SECRETARIA DE ADMINISTRAÇÃO"/>
    <s v="12-EDUCAÇÃO"/>
    <s v="361-ENSINO FUNDAMENTAL"/>
    <s v="0001-Administração e Coordenação Geral​"/>
    <s v="2.008-Estágio e Aprendizagem"/>
    <s v="3.3.90.36.00-OUTROS SERVIÇOS DE TERCEIROS - PESSOA FÍSICA"/>
    <x v="18"/>
    <x v="0"/>
    <n v="105000"/>
    <x v="1"/>
  </r>
  <r>
    <s v="22"/>
    <s v="002"/>
    <s v="12"/>
    <s v="361"/>
    <s v="0016"/>
    <x v="0"/>
    <x v="27"/>
    <x v="662"/>
    <x v="31"/>
    <s v="002-RECURSOS SOB A SUPERVISÃO DA SECRETARIA DE ADMINISTRAÇÃO"/>
    <s v="12-EDUCAÇÃO"/>
    <s v="361-ENSINO FUNDAMENTAL"/>
    <s v="0016-Escola para Todos​"/>
    <s v="2.011-Manutenção de Equipamentos Públicos "/>
    <e v="#N/A"/>
    <x v="18"/>
    <x v="0"/>
    <n v="178530.45"/>
    <x v="1"/>
  </r>
  <r>
    <s v="22"/>
    <s v="002"/>
    <s v="12"/>
    <s v="361"/>
    <s v="0016"/>
    <x v="16"/>
    <x v="8"/>
    <x v="663"/>
    <x v="31"/>
    <s v="002-RECURSOS SOB A SUPERVISÃO DA SECRETARIA DE ADMINISTRAÇÃO"/>
    <s v="12-EDUCAÇÃO"/>
    <s v="361-ENSINO FUNDAMENTAL"/>
    <s v="0016-Escola para Todos​"/>
    <s v="2.020-Transporte de Alunos "/>
    <s v="4.4.90.52.00-EQUIPAMENTOS E MATERIAL PERMANENTE"/>
    <x v="18"/>
    <x v="0"/>
    <n v="105000"/>
    <x v="1"/>
  </r>
  <r>
    <s v="22"/>
    <s v="004"/>
    <s v="04"/>
    <s v="362"/>
    <s v="0002"/>
    <x v="2"/>
    <x v="1"/>
    <x v="664"/>
    <x v="31"/>
    <e v="#N/A"/>
    <s v="4-ADMINISTRAÇÃO"/>
    <e v="#N/A"/>
    <s v="0002-Governo Inteligente, Aberto e Inovador​"/>
    <s v="2.003-Qualificação de Servidores e Processos Institucionais"/>
    <s v="3.3.90.39.00-OUTROS SERVIÇOS DE TERCEIROS - PESSOA JURÍDICA"/>
    <x v="18"/>
    <x v="0"/>
    <n v="300000"/>
    <x v="1"/>
  </r>
  <r>
    <s v="22"/>
    <s v="004"/>
    <s v="12"/>
    <s v="122"/>
    <s v="0001"/>
    <x v="0"/>
    <x v="0"/>
    <x v="665"/>
    <x v="31"/>
    <e v="#N/A"/>
    <s v="12-EDUCAÇÃO"/>
    <s v="122-ADMINISTRAÇÃO GERAL"/>
    <s v="0001-Administração e Coordenação Geral​"/>
    <s v="2.011-Manutenção de Equipamentos Públicos "/>
    <s v="3.3.90.30.00-MATERIAL DE CONSUMO"/>
    <x v="18"/>
    <x v="0"/>
    <n v="200000"/>
    <x v="1"/>
  </r>
  <r>
    <s v="22"/>
    <s v="004"/>
    <s v="12"/>
    <s v="126"/>
    <s v="0002"/>
    <x v="1"/>
    <x v="5"/>
    <x v="666"/>
    <x v="31"/>
    <e v="#N/A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1"/>
  </r>
  <r>
    <s v="22"/>
    <s v="004"/>
    <s v="12"/>
    <s v="362"/>
    <s v="0001"/>
    <x v="12"/>
    <x v="10"/>
    <x v="667"/>
    <x v="31"/>
    <e v="#N/A"/>
    <s v="12-EDUCAÇÃO"/>
    <e v="#N/A"/>
    <s v="0001-Administração e Coordenação Geral​"/>
    <s v="2.008-Estágio e Aprendizagem"/>
    <s v="3.3.90.36.00-OUTROS SERVIÇOS DE TERCEIROS - PESSOA FÍSICA"/>
    <x v="18"/>
    <x v="0"/>
    <n v="12210.45"/>
    <x v="1"/>
  </r>
  <r>
    <s v="22"/>
    <s v="004"/>
    <s v="12"/>
    <s v="362"/>
    <s v="0001"/>
    <x v="0"/>
    <x v="0"/>
    <x v="668"/>
    <x v="31"/>
    <e v="#N/A"/>
    <s v="12-EDUCAÇÃO"/>
    <e v="#N/A"/>
    <s v="0001-Administração e Coordenação Geral​"/>
    <s v="2.011-Manutenção de Equipamentos Públicos "/>
    <s v="3.3.90.30.00-MATERIAL DE CONSUMO"/>
    <x v="18"/>
    <x v="0"/>
    <n v="210000"/>
    <x v="1"/>
  </r>
  <r>
    <s v="22"/>
    <s v="004"/>
    <s v="12"/>
    <s v="362"/>
    <s v="0016"/>
    <x v="16"/>
    <x v="8"/>
    <x v="669"/>
    <x v="31"/>
    <e v="#N/A"/>
    <s v="12-EDUCAÇÃO"/>
    <e v="#N/A"/>
    <s v="0016-Escola para Todos​"/>
    <s v="2.020-Transporte de Alunos "/>
    <s v="4.4.90.52.00-EQUIPAMENTOS E MATERIAL PERMANENTE"/>
    <x v="18"/>
    <x v="0"/>
    <n v="262500"/>
    <x v="1"/>
  </r>
  <r>
    <s v="22"/>
    <s v="006"/>
    <s v="12"/>
    <s v="364"/>
    <s v="0001"/>
    <x v="0"/>
    <x v="1"/>
    <x v="670"/>
    <x v="31"/>
    <s v="006-HOSPITAL E MATERNIDADE MUNICIPAL AMADOR AGUIAR"/>
    <s v="12-EDUCAÇÃO"/>
    <s v="364-ENSINO SUPERIOR"/>
    <s v="0001-Administração e Coordenação Geral​"/>
    <s v="2.011-Manutenção de Equipamentos Públicos "/>
    <s v="3.3.90.39.00-OUTROS SERVIÇOS DE TERCEIROS - PESSOA JURÍDICA"/>
    <x v="18"/>
    <x v="0"/>
    <n v="1080.45"/>
    <x v="1"/>
  </r>
  <r>
    <s v="22"/>
    <s v="007"/>
    <s v="04"/>
    <s v="128"/>
    <s v="0002"/>
    <x v="2"/>
    <x v="1"/>
    <x v="671"/>
    <x v="31"/>
    <s v="007-DEPARTAMENTO DE PROTEÇÃO SOCIAL BÁSICA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076.25"/>
    <x v="1"/>
  </r>
  <r>
    <s v="22"/>
    <s v="007"/>
    <s v="13"/>
    <s v="126"/>
    <s v="0002"/>
    <x v="1"/>
    <x v="5"/>
    <x v="672"/>
    <x v="31"/>
    <s v="007-DEPARTAMENTO DE PROTEÇÃO SOCIAL BÁSICA"/>
    <s v="13-CULTURA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1"/>
  </r>
  <r>
    <s v="22"/>
    <s v="007"/>
    <s v="13"/>
    <s v="128"/>
    <s v="0001"/>
    <x v="12"/>
    <x v="10"/>
    <x v="673"/>
    <x v="31"/>
    <s v="007-DEPARTAMENTO DE PROTEÇÃO SOCIAL BÁSICA"/>
    <s v="13-CULTURA"/>
    <s v="128-FORMAÇÃO DE RECURSOS HUMANOS"/>
    <s v="0001-Administração e Coordenação Geral​"/>
    <s v="2.008-Estágio e Aprendizagem"/>
    <s v="3.3.90.36.00-OUTROS SERVIÇOS DE TERCEIROS - PESSOA FÍSICA"/>
    <x v="18"/>
    <x v="0"/>
    <n v="12210.45"/>
    <x v="1"/>
  </r>
  <r>
    <s v="22"/>
    <s v="007"/>
    <s v="13"/>
    <s v="392"/>
    <s v="0009"/>
    <x v="0"/>
    <x v="9"/>
    <x v="674"/>
    <x v="31"/>
    <s v="007-DEPARTAMENTO DE PROTEÇÃO SOCIAL BÁSICA"/>
    <s v="13-CULTURA"/>
    <s v="392-DIFUSÃO CULTURAL"/>
    <s v="0009-Cultura, Economia Criativa e Patrimônio Histórico​"/>
    <s v="2.011-Manutenção de Equipamentos Públicos "/>
    <s v="3.3.90.92.00-DESPESAS DE EXERCÍCIOS ANTERIORES"/>
    <x v="18"/>
    <x v="0"/>
    <n v="0"/>
    <x v="1"/>
  </r>
  <r>
    <s v="22"/>
    <s v="008"/>
    <s v="12"/>
    <s v="365"/>
    <s v="0001"/>
    <x v="12"/>
    <x v="10"/>
    <x v="675"/>
    <x v="31"/>
    <s v="008-DIRETORIA GERAL DE ATENÇÃO PRIMÁRIA EM SAÚDE"/>
    <s v="12-EDUCAÇÃO"/>
    <s v="365-EDUCAÇÃO INFANTIL"/>
    <s v="0001-Administração e Coordenação Geral​"/>
    <s v="2.008-Estágio e Aprendizagem"/>
    <s v="3.3.90.36.00-OUTROS SERVIÇOS DE TERCEIROS - PESSOA FÍSICA"/>
    <x v="18"/>
    <x v="0"/>
    <n v="1.0499999999992724"/>
    <x v="1"/>
  </r>
  <r>
    <s v="22"/>
    <s v="016"/>
    <s v="12"/>
    <s v="126"/>
    <s v="0002"/>
    <x v="1"/>
    <x v="5"/>
    <x v="676"/>
    <x v="31"/>
    <e v="#N/A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210"/>
    <x v="1"/>
  </r>
  <r>
    <s v="22"/>
    <s v="016"/>
    <s v="12"/>
    <s v="365"/>
    <s v="0001"/>
    <x v="12"/>
    <x v="10"/>
    <x v="677"/>
    <x v="31"/>
    <e v="#N/A"/>
    <s v="12-EDUCAÇÃO"/>
    <s v="365-EDUCAÇÃO INFANTIL"/>
    <s v="0001-Administração e Coordenação Geral​"/>
    <s v="2.008-Estágio e Aprendizagem"/>
    <s v="3.3.90.36.00-OUTROS SERVIÇOS DE TERCEIROS - PESSOA FÍSICA"/>
    <x v="18"/>
    <x v="0"/>
    <n v="31122"/>
    <x v="1"/>
  </r>
  <r>
    <s v="22"/>
    <s v="016"/>
    <s v="12"/>
    <s v="365"/>
    <s v="0002"/>
    <x v="2"/>
    <x v="1"/>
    <x v="678"/>
    <x v="31"/>
    <e v="#N/A"/>
    <s v="12-EDUCAÇÃO"/>
    <s v="365-EDUCAÇÃO INFANTIL"/>
    <s v="0002-Governo Inteligente, Aberto e Inovador​"/>
    <s v="2.003-Qualificação de Servidores e Processos Institucionais"/>
    <s v="3.3.90.39.00-OUTROS SERVIÇOS DE TERCEIROS - PESSOA JURÍDICA"/>
    <x v="18"/>
    <x v="0"/>
    <n v="21000"/>
    <x v="1"/>
  </r>
  <r>
    <s v="22"/>
    <s v="016"/>
    <s v="12"/>
    <s v="365"/>
    <s v="0016"/>
    <x v="0"/>
    <x v="7"/>
    <x v="679"/>
    <x v="31"/>
    <e v="#N/A"/>
    <s v="12-EDUCAÇÃO"/>
    <s v="365-EDUCAÇÃO INFANTIL"/>
    <s v="0016-Escola para Todos​"/>
    <s v="2.011-Manutenção de Equipamentos Públicos "/>
    <s v="3.3.90.33.00-PASSAGENS E DESPESAS COM LOCOMOÇÃO"/>
    <x v="18"/>
    <x v="0"/>
    <n v="8400"/>
    <x v="1"/>
  </r>
  <r>
    <s v="22"/>
    <s v="016"/>
    <s v="12"/>
    <s v="365"/>
    <s v="0016"/>
    <x v="0"/>
    <x v="26"/>
    <x v="680"/>
    <x v="31"/>
    <e v="#N/A"/>
    <s v="12-EDUCAÇÃO"/>
    <s v="365-EDUCAÇÃO INFANTIL"/>
    <s v="0016-Escola para Todos​"/>
    <s v="2.011-Manutenção de Equipamentos Públicos "/>
    <e v="#N/A"/>
    <x v="18"/>
    <x v="0"/>
    <n v="210"/>
    <x v="1"/>
  </r>
  <r>
    <s v="22"/>
    <s v="016"/>
    <s v="12"/>
    <s v="365"/>
    <s v="0016"/>
    <x v="13"/>
    <x v="0"/>
    <x v="681"/>
    <x v="31"/>
    <e v="#N/A"/>
    <s v="12-EDUCAÇÃO"/>
    <s v="365-EDUCAÇÃO INFANTIL"/>
    <s v="0016-Escola para Todos​"/>
    <s v="2.017-Suporte ao Aluno "/>
    <s v="3.3.90.30.00-MATERIAL DE CONSUMO"/>
    <x v="18"/>
    <x v="0"/>
    <n v="2100"/>
    <x v="1"/>
  </r>
  <r>
    <s v="22"/>
    <s v="016"/>
    <s v="12"/>
    <s v="365"/>
    <s v="0016"/>
    <x v="16"/>
    <x v="8"/>
    <x v="682"/>
    <x v="31"/>
    <e v="#N/A"/>
    <s v="12-EDUCAÇÃO"/>
    <s v="365-EDUCAÇÃO INFANTIL"/>
    <s v="0016-Escola para Todos​"/>
    <s v="2.020-Transporte de Alunos "/>
    <s v="4.4.90.52.00-EQUIPAMENTOS E MATERIAL PERMANENTE"/>
    <x v="18"/>
    <x v="0"/>
    <n v="210"/>
    <x v="1"/>
  </r>
  <r>
    <s v="23"/>
    <s v="001"/>
    <s v="04"/>
    <s v="122"/>
    <s v="0001"/>
    <x v="4"/>
    <x v="0"/>
    <x v="683"/>
    <x v="19"/>
    <s v="001-CHEFIA DE GABINETE"/>
    <s v="4-ADMINISTRAÇÃO"/>
    <s v="122-ADMINISTRAÇÃO GERAL"/>
    <s v="0001-Administração e Coordenação Geral​"/>
    <s v="2.005-Promoção de Eventos, Comunicação e Participação Social "/>
    <s v="3.3.90.30.00-MATERIAL DE CONSUMO"/>
    <x v="18"/>
    <x v="0"/>
    <n v="200000"/>
    <x v="1"/>
  </r>
  <r>
    <s v="23"/>
    <s v="001"/>
    <s v="04"/>
    <s v="122"/>
    <s v="0001"/>
    <x v="4"/>
    <x v="1"/>
    <x v="348"/>
    <x v="19"/>
    <s v="001-CHEFIA DE GABINETE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18"/>
    <x v="0"/>
    <n v="28018000"/>
    <x v="1"/>
  </r>
  <r>
    <s v="23"/>
    <s v="001"/>
    <s v="04"/>
    <s v="122"/>
    <s v="0001"/>
    <x v="3"/>
    <x v="7"/>
    <x v="684"/>
    <x v="19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23"/>
    <s v="001"/>
    <s v="04"/>
    <s v="122"/>
    <s v="0001"/>
    <x v="3"/>
    <x v="1"/>
    <x v="349"/>
    <x v="19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23"/>
    <s v="001"/>
    <s v="04"/>
    <s v="122"/>
    <s v="0001"/>
    <x v="0"/>
    <x v="0"/>
    <x v="685"/>
    <x v="19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31173"/>
    <x v="1"/>
  </r>
  <r>
    <s v="23"/>
    <s v="001"/>
    <s v="04"/>
    <s v="122"/>
    <s v="0001"/>
    <x v="0"/>
    <x v="1"/>
    <x v="350"/>
    <x v="19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404988"/>
    <x v="1"/>
  </r>
  <r>
    <s v="23"/>
    <s v="001"/>
    <s v="04"/>
    <s v="128"/>
    <s v="0002"/>
    <x v="2"/>
    <x v="1"/>
    <x v="686"/>
    <x v="19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23"/>
    <s v="001"/>
    <s v="04"/>
    <s v="131"/>
    <s v="0002"/>
    <x v="4"/>
    <x v="0"/>
    <x v="687"/>
    <x v="19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38993"/>
    <x v="1"/>
  </r>
  <r>
    <s v="23"/>
    <s v="001"/>
    <s v="04"/>
    <s v="131"/>
    <s v="0002"/>
    <x v="4"/>
    <x v="1"/>
    <x v="353"/>
    <x v="19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9490947.9217999987"/>
    <x v="1"/>
  </r>
  <r>
    <s v="24"/>
    <s v="001"/>
    <s v="04"/>
    <s v="122"/>
    <s v="0001"/>
    <x v="3"/>
    <x v="7"/>
    <x v="688"/>
    <x v="20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24"/>
    <s v="001"/>
    <s v="04"/>
    <s v="122"/>
    <s v="0001"/>
    <x v="3"/>
    <x v="1"/>
    <x v="689"/>
    <x v="20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24"/>
    <s v="001"/>
    <s v="04"/>
    <s v="122"/>
    <s v="0001"/>
    <x v="0"/>
    <x v="0"/>
    <x v="690"/>
    <x v="20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103910"/>
    <x v="1"/>
  </r>
  <r>
    <s v="24"/>
    <s v="001"/>
    <s v="04"/>
    <s v="122"/>
    <s v="0001"/>
    <x v="0"/>
    <x v="1"/>
    <x v="691"/>
    <x v="20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101898.2904"/>
    <x v="1"/>
  </r>
  <r>
    <s v="24"/>
    <s v="001"/>
    <s v="04"/>
    <s v="122"/>
    <s v="0001"/>
    <x v="0"/>
    <x v="12"/>
    <x v="692"/>
    <x v="20"/>
    <s v="001-CHEFIA DE GABINETE"/>
    <s v="4-ADMINISTRAÇÃO"/>
    <s v="122-ADMINISTRAÇÃO GERAL"/>
    <s v="0001-Administração e Coordenação Geral​"/>
    <s v="2.011-Manutenção de Equipamentos Públicos "/>
    <s v="4.4.90.51.00-OBRAS E INSTALAÇÕES"/>
    <x v="18"/>
    <x v="0"/>
    <n v="0"/>
    <x v="1"/>
  </r>
  <r>
    <s v="24"/>
    <s v="001"/>
    <s v="04"/>
    <s v="122"/>
    <s v="0001"/>
    <x v="0"/>
    <x v="8"/>
    <x v="693"/>
    <x v="20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62346"/>
    <x v="1"/>
  </r>
  <r>
    <s v="24"/>
    <s v="001"/>
    <s v="04"/>
    <s v="126"/>
    <s v="0002"/>
    <x v="1"/>
    <x v="5"/>
    <x v="694"/>
    <x v="20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20782"/>
    <x v="1"/>
  </r>
  <r>
    <s v="24"/>
    <s v="001"/>
    <s v="04"/>
    <s v="128"/>
    <s v="0002"/>
    <x v="2"/>
    <x v="0"/>
    <x v="695"/>
    <x v="20"/>
    <s v="001-CHEFIA DE GABINETE"/>
    <s v="4-ADMINISTRAÇÃO"/>
    <s v="128-FORMAÇÃO DE RECURSOS HUMANOS"/>
    <s v="0002-Governo Inteligente, Aberto e Inovador​"/>
    <s v="2.003-Qualificação de Servidores e Processos Institucionais"/>
    <s v="3.3.90.30.00-MATERIAL DE CONSUMO"/>
    <x v="18"/>
    <x v="0"/>
    <n v="1"/>
    <x v="1"/>
  </r>
  <r>
    <s v="24"/>
    <s v="001"/>
    <s v="04"/>
    <s v="128"/>
    <s v="0002"/>
    <x v="2"/>
    <x v="10"/>
    <x v="696"/>
    <x v="20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24"/>
    <s v="001"/>
    <s v="04"/>
    <s v="128"/>
    <s v="0002"/>
    <x v="2"/>
    <x v="1"/>
    <x v="697"/>
    <x v="20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3"/>
    <x v="1"/>
  </r>
  <r>
    <s v="24"/>
    <s v="001"/>
    <s v="04"/>
    <s v="131"/>
    <s v="0002"/>
    <x v="4"/>
    <x v="0"/>
    <x v="698"/>
    <x v="20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59775"/>
    <x v="1"/>
  </r>
  <r>
    <s v="24"/>
    <s v="001"/>
    <s v="04"/>
    <s v="131"/>
    <s v="0002"/>
    <x v="4"/>
    <x v="14"/>
    <x v="699"/>
    <x v="20"/>
    <s v="001-CHEFIA DE GABINETE"/>
    <s v="4-ADMINISTRAÇÃO"/>
    <s v="131-COMUNICAÇÃO SOCIAL"/>
    <s v="0002-Governo Inteligente, Aberto e Inovador​"/>
    <s v="2.005-Promoção de Eventos, Comunicação e Participação Social "/>
    <s v="3.3.90.31.00-PREMIAÇÕES CULTURAIS, ARTÍSTICAS, CIENTÍFICAS, DESPORTIVAS E OUTRAS"/>
    <x v="18"/>
    <x v="0"/>
    <n v="207820"/>
    <x v="1"/>
  </r>
  <r>
    <s v="24"/>
    <s v="001"/>
    <s v="04"/>
    <s v="131"/>
    <s v="0002"/>
    <x v="4"/>
    <x v="1"/>
    <x v="700"/>
    <x v="20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204302"/>
    <x v="1"/>
  </r>
  <r>
    <s v="27"/>
    <s v="001"/>
    <s v="04"/>
    <s v="122"/>
    <s v="0001"/>
    <x v="3"/>
    <x v="7"/>
    <x v="701"/>
    <x v="21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27"/>
    <s v="001"/>
    <s v="04"/>
    <s v="122"/>
    <s v="0001"/>
    <x v="3"/>
    <x v="1"/>
    <x v="702"/>
    <x v="21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27"/>
    <s v="001"/>
    <s v="04"/>
    <s v="122"/>
    <s v="0001"/>
    <x v="0"/>
    <x v="0"/>
    <x v="364"/>
    <x v="21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57463.23"/>
    <x v="1"/>
  </r>
  <r>
    <s v="27"/>
    <s v="001"/>
    <s v="04"/>
    <s v="122"/>
    <s v="0001"/>
    <x v="0"/>
    <x v="1"/>
    <x v="365"/>
    <x v="21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30785.64"/>
    <x v="1"/>
  </r>
  <r>
    <s v="27"/>
    <s v="001"/>
    <s v="04"/>
    <s v="122"/>
    <s v="0001"/>
    <x v="0"/>
    <x v="8"/>
    <x v="366"/>
    <x v="21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68184.702900000004"/>
    <x v="1"/>
  </r>
  <r>
    <s v="27"/>
    <s v="001"/>
    <s v="04"/>
    <s v="126"/>
    <s v="0002"/>
    <x v="1"/>
    <x v="1"/>
    <x v="703"/>
    <x v="2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3366.6840000000002"/>
    <x v="1"/>
  </r>
  <r>
    <s v="27"/>
    <s v="001"/>
    <s v="04"/>
    <s v="126"/>
    <s v="0002"/>
    <x v="1"/>
    <x v="5"/>
    <x v="704"/>
    <x v="2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3505660"/>
    <x v="1"/>
  </r>
  <r>
    <s v="27"/>
    <s v="001"/>
    <s v="04"/>
    <s v="128"/>
    <s v="0002"/>
    <x v="2"/>
    <x v="1"/>
    <x v="369"/>
    <x v="21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27"/>
    <s v="001"/>
    <s v="04"/>
    <s v="131"/>
    <s v="0002"/>
    <x v="4"/>
    <x v="1"/>
    <x v="371"/>
    <x v="21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8977.3426"/>
    <x v="1"/>
  </r>
  <r>
    <s v="28"/>
    <s v="001"/>
    <s v="04"/>
    <s v="122"/>
    <s v="0001"/>
    <x v="3"/>
    <x v="7"/>
    <x v="376"/>
    <x v="22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269997"/>
    <x v="1"/>
  </r>
  <r>
    <s v="28"/>
    <s v="001"/>
    <s v="04"/>
    <s v="122"/>
    <s v="0001"/>
    <x v="3"/>
    <x v="1"/>
    <x v="377"/>
    <x v="22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269997"/>
    <x v="1"/>
  </r>
  <r>
    <s v="28"/>
    <s v="001"/>
    <s v="04"/>
    <s v="122"/>
    <s v="0001"/>
    <x v="0"/>
    <x v="0"/>
    <x v="378"/>
    <x v="22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353519"/>
    <x v="1"/>
  </r>
  <r>
    <s v="28"/>
    <s v="001"/>
    <s v="04"/>
    <s v="122"/>
    <s v="0001"/>
    <x v="0"/>
    <x v="1"/>
    <x v="379"/>
    <x v="22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357450.65"/>
    <x v="1"/>
  </r>
  <r>
    <s v="28"/>
    <s v="001"/>
    <s v="04"/>
    <s v="126"/>
    <s v="0002"/>
    <x v="1"/>
    <x v="1"/>
    <x v="380"/>
    <x v="22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1"/>
    <x v="1"/>
  </r>
  <r>
    <s v="28"/>
    <s v="001"/>
    <s v="04"/>
    <s v="126"/>
    <s v="0002"/>
    <x v="1"/>
    <x v="5"/>
    <x v="381"/>
    <x v="22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679599"/>
    <x v="1"/>
  </r>
  <r>
    <s v="28"/>
    <s v="001"/>
    <s v="04"/>
    <s v="128"/>
    <s v="0002"/>
    <x v="2"/>
    <x v="10"/>
    <x v="382"/>
    <x v="22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28"/>
    <s v="001"/>
    <s v="04"/>
    <s v="128"/>
    <s v="0002"/>
    <x v="2"/>
    <x v="1"/>
    <x v="383"/>
    <x v="22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28"/>
    <s v="001"/>
    <s v="04"/>
    <s v="131"/>
    <s v="0002"/>
    <x v="4"/>
    <x v="0"/>
    <x v="384"/>
    <x v="22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519.54999999999995"/>
    <x v="1"/>
  </r>
  <r>
    <s v="28"/>
    <s v="001"/>
    <s v="04"/>
    <s v="131"/>
    <s v="0002"/>
    <x v="4"/>
    <x v="1"/>
    <x v="385"/>
    <x v="22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6235.6"/>
    <x v="1"/>
  </r>
  <r>
    <s v="28"/>
    <s v="007"/>
    <s v="04"/>
    <s v="131"/>
    <s v="0002"/>
    <x v="4"/>
    <x v="0"/>
    <x v="705"/>
    <x v="22"/>
    <s v="007-DEPARTAMENTO DE PROTEÇÃO SOCIAL BÁSICA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039.0999999999999"/>
    <x v="1"/>
  </r>
  <r>
    <s v="28"/>
    <s v="007"/>
    <s v="04"/>
    <s v="131"/>
    <s v="0002"/>
    <x v="4"/>
    <x v="1"/>
    <x v="706"/>
    <x v="22"/>
    <s v="007-DEPARTAMENTO DE PROTEÇÃO SOCIAL BÁSICA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8313.7999999999993"/>
    <x v="1"/>
  </r>
  <r>
    <s v="29"/>
    <s v="001"/>
    <s v="04"/>
    <s v="122"/>
    <s v="0001"/>
    <x v="3"/>
    <x v="7"/>
    <x v="707"/>
    <x v="32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29"/>
    <s v="001"/>
    <s v="04"/>
    <s v="122"/>
    <s v="0001"/>
    <x v="3"/>
    <x v="1"/>
    <x v="708"/>
    <x v="32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29"/>
    <s v="001"/>
    <s v="04"/>
    <s v="128"/>
    <s v="0002"/>
    <x v="2"/>
    <x v="10"/>
    <x v="709"/>
    <x v="32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29"/>
    <s v="001"/>
    <s v="04"/>
    <s v="128"/>
    <s v="0002"/>
    <x v="2"/>
    <x v="1"/>
    <x v="710"/>
    <x v="32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29"/>
    <s v="001"/>
    <s v="04"/>
    <s v="131"/>
    <s v="0002"/>
    <x v="4"/>
    <x v="0"/>
    <x v="711"/>
    <x v="32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3117.3"/>
    <x v="1"/>
  </r>
  <r>
    <s v="29"/>
    <s v="001"/>
    <s v="04"/>
    <s v="131"/>
    <s v="0002"/>
    <x v="4"/>
    <x v="1"/>
    <x v="712"/>
    <x v="32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7274.7"/>
    <x v="1"/>
  </r>
  <r>
    <s v="29"/>
    <s v="001"/>
    <s v="14"/>
    <s v="243"/>
    <s v="0018"/>
    <x v="0"/>
    <x v="0"/>
    <x v="713"/>
    <x v="32"/>
    <s v="001-CHEFIA DE GABINETE"/>
    <s v="14-DIREITOS DA CIDADANIA"/>
    <e v="#N/A"/>
    <s v="0018-Proteção Social e Garantia de Direitos​"/>
    <s v="2.011-Manutenção de Equipamentos Públicos "/>
    <s v="3.3.90.30.00-MATERIAL DE CONSUMO"/>
    <x v="18"/>
    <x v="0"/>
    <n v="67541.5"/>
    <x v="1"/>
  </r>
  <r>
    <s v="29"/>
    <s v="001"/>
    <s v="14"/>
    <s v="243"/>
    <s v="0018"/>
    <x v="0"/>
    <x v="1"/>
    <x v="714"/>
    <x v="32"/>
    <s v="001-CHEFIA DE GABINETE"/>
    <s v="14-DIREITOS DA CIDADANIA"/>
    <e v="#N/A"/>
    <s v="0018-Proteção Social e Garantia de Direitos​"/>
    <s v="2.011-Manutenção de Equipamentos Públicos "/>
    <s v="3.3.90.39.00-OUTROS SERVIÇOS DE TERCEIROS - PESSOA JURÍDICA"/>
    <x v="18"/>
    <x v="0"/>
    <n v="36173"/>
    <x v="1"/>
  </r>
  <r>
    <s v="29"/>
    <s v="001"/>
    <s v="14"/>
    <s v="243"/>
    <s v="0018"/>
    <x v="0"/>
    <x v="8"/>
    <x v="715"/>
    <x v="32"/>
    <s v="001-CHEFIA DE GABINETE"/>
    <s v="14-DIREITOS DA CIDADANIA"/>
    <e v="#N/A"/>
    <s v="0018-Proteção Social e Garantia de Direitos​"/>
    <s v="2.011-Manutenção de Equipamentos Públicos "/>
    <s v="4.4.90.52.00-EQUIPAMENTOS E MATERIAL PERMANENTE"/>
    <x v="18"/>
    <x v="0"/>
    <n v="44517.122199999998"/>
    <x v="1"/>
  </r>
  <r>
    <s v="29"/>
    <s v="001"/>
    <s v="14"/>
    <s v="243"/>
    <s v="0018"/>
    <x v="41"/>
    <x v="11"/>
    <x v="716"/>
    <x v="32"/>
    <s v="001-CHEFIA DE GABINETE"/>
    <s v="14-DIREITOS DA CIDADANIA"/>
    <e v="#N/A"/>
    <s v="0018-Proteção Social e Garantia de Direitos​"/>
    <s v="2.041-Ação Transversal de Garantia de Direitos"/>
    <s v="3.3.50.39.00-OUTROS SERVIÇOS DE TERCEIROS - PESSOA JURÍDICA"/>
    <x v="18"/>
    <x v="0"/>
    <n v="0"/>
    <x v="1"/>
  </r>
  <r>
    <s v="29"/>
    <s v="002"/>
    <s v="14"/>
    <s v="243"/>
    <s v="0018"/>
    <x v="41"/>
    <x v="11"/>
    <x v="717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3.3.50.39.00-OUTROS SERVIÇOS DE TERCEIROS - PESSOA JURÍDICA"/>
    <x v="18"/>
    <x v="0"/>
    <n v="13451278.24"/>
    <x v="1"/>
  </r>
  <r>
    <s v="29"/>
    <s v="002"/>
    <s v="14"/>
    <s v="243"/>
    <s v="0018"/>
    <x v="41"/>
    <x v="17"/>
    <x v="718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4.4.50.39.00-OUTROS SERVIÇOS DE TERCEIROS - PESSOA JURÍDICA"/>
    <x v="18"/>
    <x v="0"/>
    <n v="1"/>
    <x v="1"/>
  </r>
  <r>
    <s v="29"/>
    <s v="002"/>
    <s v="14"/>
    <s v="243"/>
    <s v="0018"/>
    <x v="41"/>
    <x v="4"/>
    <x v="719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4.4.50.52.00-EQUIPAMENTOS E MATERIAL PERMANENTE"/>
    <x v="18"/>
    <x v="0"/>
    <n v="1"/>
    <x v="1"/>
  </r>
  <r>
    <s v="30"/>
    <s v="001"/>
    <s v="04"/>
    <s v="122"/>
    <s v="0001"/>
    <x v="3"/>
    <x v="7"/>
    <x v="389"/>
    <x v="23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0"/>
    <s v="001"/>
    <s v="04"/>
    <s v="122"/>
    <s v="0001"/>
    <x v="3"/>
    <x v="1"/>
    <x v="720"/>
    <x v="23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30"/>
    <s v="001"/>
    <s v="04"/>
    <s v="122"/>
    <s v="0001"/>
    <x v="0"/>
    <x v="0"/>
    <x v="390"/>
    <x v="23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41567"/>
    <x v="1"/>
  </r>
  <r>
    <s v="30"/>
    <s v="001"/>
    <s v="04"/>
    <s v="122"/>
    <s v="0001"/>
    <x v="0"/>
    <x v="1"/>
    <x v="721"/>
    <x v="23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5"/>
    <x v="1"/>
  </r>
  <r>
    <s v="30"/>
    <s v="001"/>
    <s v="04"/>
    <s v="122"/>
    <s v="0001"/>
    <x v="0"/>
    <x v="8"/>
    <x v="722"/>
    <x v="23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4"/>
    <x v="1"/>
  </r>
  <r>
    <s v="30"/>
    <s v="001"/>
    <s v="04"/>
    <s v="128"/>
    <s v="0002"/>
    <x v="2"/>
    <x v="10"/>
    <x v="723"/>
    <x v="23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2"/>
    <x v="1"/>
  </r>
  <r>
    <s v="30"/>
    <s v="001"/>
    <s v="04"/>
    <s v="128"/>
    <s v="0002"/>
    <x v="2"/>
    <x v="1"/>
    <x v="724"/>
    <x v="23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2"/>
    <x v="1"/>
  </r>
  <r>
    <s v="30"/>
    <s v="001"/>
    <s v="04"/>
    <s v="131"/>
    <s v="0002"/>
    <x v="4"/>
    <x v="0"/>
    <x v="725"/>
    <x v="23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5195.5"/>
    <x v="1"/>
  </r>
  <r>
    <s v="30"/>
    <s v="001"/>
    <s v="04"/>
    <s v="131"/>
    <s v="0002"/>
    <x v="4"/>
    <x v="10"/>
    <x v="726"/>
    <x v="23"/>
    <s v="001-CHEFIA DE GABINETE"/>
    <s v="4-ADMINISTRAÇÃO"/>
    <s v="131-COMUNICAÇÃO SOCIAL"/>
    <s v="0002-Governo Inteligente, Aberto e Inovador​"/>
    <s v="2.005-Promoção de Eventos, Comunicação e Participação Social "/>
    <s v="3.3.90.36.00-OUTROS SERVIÇOS DE TERCEIROS - PESSOA FÍSICA"/>
    <x v="18"/>
    <x v="0"/>
    <n v="7793.25"/>
    <x v="1"/>
  </r>
  <r>
    <s v="30"/>
    <s v="001"/>
    <s v="04"/>
    <s v="131"/>
    <s v="0002"/>
    <x v="4"/>
    <x v="1"/>
    <x v="727"/>
    <x v="23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3380.75"/>
    <x v="1"/>
  </r>
  <r>
    <s v="30"/>
    <s v="001"/>
    <s v="14"/>
    <s v="242"/>
    <s v="0010"/>
    <x v="41"/>
    <x v="11"/>
    <x v="728"/>
    <x v="23"/>
    <s v="001-CHEFIA DE GABINETE"/>
    <s v="14-DIREITOS DA CIDADANIA"/>
    <s v="242-ASSISTÊNCIA AO PORTADOR DE DEFICIÊNCIA ASSISTÊNCIA À PESSOA COM DEFICIÊNCIA"/>
    <s v="0010-Esporte, Lazer e Bem-Estar​"/>
    <s v="2.041-Ação Transversal de Garantia de Direitos"/>
    <s v="3.3.50.39.00-OUTROS SERVIÇOS DE TERCEIROS - PESSOA JURÍDICA"/>
    <x v="18"/>
    <x v="0"/>
    <n v="2"/>
    <x v="1"/>
  </r>
  <r>
    <s v="30"/>
    <s v="001"/>
    <s v="14"/>
    <s v="242"/>
    <s v="0016"/>
    <x v="41"/>
    <x v="1"/>
    <x v="729"/>
    <x v="23"/>
    <s v="001-CHEFIA DE GABINETE"/>
    <s v="14-DIREITOS DA CIDADANIA"/>
    <s v="242-ASSISTÊNCIA AO PORTADOR DE DEFICIÊNCIA ASSISTÊNCIA À PESSOA COM DEFICIÊNCIA"/>
    <s v="0016-Escola para Todos​"/>
    <s v="2.041-Ação Transversal de Garantia de Direitos"/>
    <s v="3.3.90.39.00-OUTROS SERVIÇOS DE TERCEIROS - PESSOA JURÍDICA"/>
    <x v="18"/>
    <x v="0"/>
    <n v="1"/>
    <x v="1"/>
  </r>
  <r>
    <s v="30"/>
    <s v="001"/>
    <s v="14"/>
    <s v="242"/>
    <s v="0018"/>
    <x v="41"/>
    <x v="11"/>
    <x v="391"/>
    <x v="23"/>
    <s v="001-CHEFIA DE GABINETE"/>
    <s v="14-DIREITOS DA CIDADANIA"/>
    <s v="242-ASSISTÊNCIA AO PORTADOR DE DEFICIÊNCIA ASSISTÊNCIA À PESSOA COM DEFICIÊNCIA"/>
    <s v="0018-Proteção Social e Garantia de Direitos​"/>
    <s v="2.041-Ação Transversal de Garantia de Direitos"/>
    <s v="3.3.50.39.00-OUTROS SERVIÇOS DE TERCEIROS - PESSOA JURÍDICA"/>
    <x v="18"/>
    <x v="0"/>
    <n v="3354154"/>
    <x v="1"/>
  </r>
  <r>
    <s v="30"/>
    <s v="001"/>
    <s v="14"/>
    <s v="242"/>
    <s v="0018"/>
    <x v="41"/>
    <x v="10"/>
    <x v="730"/>
    <x v="23"/>
    <s v="001-CHEFIA DE GABINETE"/>
    <s v="14-DIREITOS DA CIDADANIA"/>
    <s v="242-ASSISTÊNCIA AO PORTADOR DE DEFICIÊNCIA ASSISTÊNCIA À PESSOA COM DEFICIÊNCIA"/>
    <s v="0018-Proteção Social e Garantia de Direitos​"/>
    <s v="2.041-Ação Transversal de Garantia de Direitos"/>
    <s v="3.3.90.36.00-OUTROS SERVIÇOS DE TERCEIROS - PESSOA FÍSICA"/>
    <x v="18"/>
    <x v="0"/>
    <n v="1"/>
    <x v="1"/>
  </r>
  <r>
    <s v="30"/>
    <s v="001"/>
    <s v="14"/>
    <s v="242"/>
    <s v="0018"/>
    <x v="41"/>
    <x v="1"/>
    <x v="731"/>
    <x v="23"/>
    <s v="001-CHEFIA DE GABINETE"/>
    <s v="14-DIREITOS DA CIDADANIA"/>
    <s v="242-ASSISTÊNCIA AO PORTADOR DE DEFICIÊNCIA ASSISTÊNCIA À PESSOA COM DEFICIÊNCIA"/>
    <s v="0018-Proteção Social e Garantia de Direitos​"/>
    <s v="2.041-Ação Transversal de Garantia de Direitos"/>
    <s v="3.3.90.39.00-OUTROS SERVIÇOS DE TERCEIROS - PESSOA JURÍDICA"/>
    <x v="18"/>
    <x v="0"/>
    <n v="2"/>
    <x v="1"/>
  </r>
  <r>
    <s v="30"/>
    <s v="001"/>
    <s v="14"/>
    <s v="242"/>
    <s v="0018"/>
    <x v="41"/>
    <x v="5"/>
    <x v="732"/>
    <x v="23"/>
    <s v="001-CHEFIA DE GABINETE"/>
    <s v="14-DIREITOS DA CIDADANIA"/>
    <s v="242-ASSISTÊNCIA AO PORTADOR DE DEFICIÊNCIA ASSISTÊNCIA À PESSOA COM DEFICIÊNCIA"/>
    <s v="0018-Proteção Social e Garantia de Direitos​"/>
    <s v="2.041-Ação Transversal de Garantia de Direitos"/>
    <s v="3.3.90.40.00-SERVIÇOS DE TECNOLOGIA DA INFORMAÇÃO E COMUNICAÇÃO - PESSOA JURÍDICA"/>
    <x v="18"/>
    <x v="0"/>
    <n v="1"/>
    <x v="1"/>
  </r>
  <r>
    <s v="30"/>
    <s v="001"/>
    <s v="14"/>
    <s v="242"/>
    <s v="0018"/>
    <x v="41"/>
    <x v="4"/>
    <x v="392"/>
    <x v="23"/>
    <s v="001-CHEFIA DE GABINETE"/>
    <s v="14-DIREITOS DA CIDADANIA"/>
    <s v="242-ASSISTÊNCIA AO PORTADOR DE DEFICIÊNCIA ASSISTÊNCIA À PESSOA COM DEFICIÊNCIA"/>
    <s v="0018-Proteção Social e Garantia de Direitos​"/>
    <s v="2.041-Ação Transversal de Garantia de Direitos"/>
    <s v="4.4.50.52.00-EQUIPAMENTOS E MATERIAL PERMANENTE"/>
    <x v="18"/>
    <x v="0"/>
    <n v="0"/>
    <x v="1"/>
  </r>
  <r>
    <s v="30"/>
    <s v="002"/>
    <s v="14"/>
    <s v="242"/>
    <s v="0018"/>
    <x v="41"/>
    <x v="0"/>
    <x v="733"/>
    <x v="23"/>
    <s v="002-RECURSOS SOB A SUPERVISÃO DA SECRETARIA DE ADMINISTRAÇÃO"/>
    <s v="14-DIREITOS DA CIDADANIA"/>
    <s v="242-ASSISTÊNCIA AO PORTADOR DE DEFICIÊNCIA ASSISTÊNCIA À PESSOA COM DEFICIÊNCIA"/>
    <s v="0018-Proteção Social e Garantia de Direitos​"/>
    <s v="2.041-Ação Transversal de Garantia de Direitos"/>
    <s v="3.3.90.30.00-MATERIAL DE CONSUMO"/>
    <x v="18"/>
    <x v="0"/>
    <n v="1"/>
    <x v="1"/>
  </r>
  <r>
    <s v="30"/>
    <s v="002"/>
    <s v="14"/>
    <s v="242"/>
    <s v="0018"/>
    <x v="41"/>
    <x v="1"/>
    <x v="734"/>
    <x v="23"/>
    <s v="002-RECURSOS SOB A SUPERVISÃO DA SECRETARIA DE ADMINISTRAÇÃO"/>
    <s v="14-DIREITOS DA CIDADANIA"/>
    <s v="242-ASSISTÊNCIA AO PORTADOR DE DEFICIÊNCIA ASSISTÊNCIA À PESSOA COM DEFICIÊNCIA"/>
    <s v="0018-Proteção Social e Garantia de Direitos​"/>
    <s v="2.041-Ação Transversal de Garantia de Direitos"/>
    <s v="3.3.90.39.00-OUTROS SERVIÇOS DE TERCEIROS - PESSOA JURÍDICA"/>
    <x v="18"/>
    <x v="0"/>
    <n v="1"/>
    <x v="1"/>
  </r>
  <r>
    <s v="30"/>
    <s v="002"/>
    <s v="14"/>
    <s v="242"/>
    <s v="0018"/>
    <x v="41"/>
    <x v="12"/>
    <x v="735"/>
    <x v="23"/>
    <s v="002-RECURSOS SOB A SUPERVISÃO DA SECRETARIA DE ADMINISTRAÇÃO"/>
    <s v="14-DIREITOS DA CIDADANIA"/>
    <s v="242-ASSISTÊNCIA AO PORTADOR DE DEFICIÊNCIA ASSISTÊNCIA À PESSOA COM DEFICIÊNCIA"/>
    <s v="0018-Proteção Social e Garantia de Direitos​"/>
    <s v="2.041-Ação Transversal de Garantia de Direitos"/>
    <s v="4.4.90.51.00-OBRAS E INSTALAÇÕES"/>
    <x v="18"/>
    <x v="0"/>
    <n v="1"/>
    <x v="1"/>
  </r>
  <r>
    <s v="30"/>
    <s v="002"/>
    <s v="14"/>
    <s v="242"/>
    <s v="0018"/>
    <x v="41"/>
    <x v="8"/>
    <x v="736"/>
    <x v="23"/>
    <s v="002-RECURSOS SOB A SUPERVISÃO DA SECRETARIA DE ADMINISTRAÇÃO"/>
    <s v="14-DIREITOS DA CIDADANIA"/>
    <s v="242-ASSISTÊNCIA AO PORTADOR DE DEFICIÊNCIA ASSISTÊNCIA À PESSOA COM DEFICIÊNCIA"/>
    <s v="0018-Proteção Social e Garantia de Direitos​"/>
    <s v="2.041-Ação Transversal de Garantia de Direitos"/>
    <s v="4.4.90.52.00-EQUIPAMENTOS E MATERIAL PERMANENTE"/>
    <x v="18"/>
    <x v="0"/>
    <n v="1"/>
    <x v="1"/>
  </r>
  <r>
    <s v="31"/>
    <s v="001"/>
    <s v="04"/>
    <s v="122"/>
    <s v="0001"/>
    <x v="3"/>
    <x v="7"/>
    <x v="399"/>
    <x v="24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1"/>
    <s v="001"/>
    <s v="04"/>
    <s v="122"/>
    <s v="0001"/>
    <x v="3"/>
    <x v="1"/>
    <x v="737"/>
    <x v="24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31"/>
    <s v="001"/>
    <s v="04"/>
    <s v="128"/>
    <s v="0002"/>
    <x v="2"/>
    <x v="1"/>
    <x v="738"/>
    <x v="24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31"/>
    <s v="001"/>
    <s v="04"/>
    <s v="131"/>
    <s v="0002"/>
    <x v="4"/>
    <x v="0"/>
    <x v="739"/>
    <x v="24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078.1999999999998"/>
    <x v="1"/>
  </r>
  <r>
    <s v="31"/>
    <s v="001"/>
    <s v="04"/>
    <s v="131"/>
    <s v="0002"/>
    <x v="4"/>
    <x v="1"/>
    <x v="740"/>
    <x v="24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6626.599999999999"/>
    <x v="1"/>
  </r>
  <r>
    <s v="31"/>
    <s v="001"/>
    <s v="14"/>
    <s v="391"/>
    <s v="0009"/>
    <x v="48"/>
    <x v="5"/>
    <x v="409"/>
    <x v="24"/>
    <s v="001-CHEFIA DE GABINETE"/>
    <s v="14-DIREITOS DA CIDADANIA"/>
    <s v="391-PATRIMÔNIO HISTÓRICO, ARTÍSTICO E ARQUEOLÓGICO"/>
    <s v="0009-Cultura, Economia Criativa e Patrimônio Histórico​"/>
    <s v="2.029-Valorização do Patrimônio Histórico-Cultural"/>
    <s v="3.3.90.40.00-SERVIÇOS DE TECNOLOGIA DA INFORMAÇÃO E COMUNICAÇÃO - PESSOA JURÍDICA"/>
    <x v="18"/>
    <x v="0"/>
    <n v="40975.869400000003"/>
    <x v="1"/>
  </r>
  <r>
    <s v="31"/>
    <s v="001"/>
    <s v="14"/>
    <s v="422"/>
    <s v="0018"/>
    <x v="0"/>
    <x v="0"/>
    <x v="741"/>
    <x v="24"/>
    <s v="001-CHEFIA DE GABINETE"/>
    <s v="14-DIREITOS DA CIDADANIA"/>
    <s v="422-DIREITOS INDIVIDUAIS, COLETIVOS E DIFUSOS"/>
    <s v="0018-Proteção Social e Garantia de Direitos​"/>
    <s v="2.011-Manutenção de Equipamentos Públicos "/>
    <s v="3.3.90.30.00-MATERIAL DE CONSUMO"/>
    <x v="18"/>
    <x v="0"/>
    <n v="148591.29999999999"/>
    <x v="1"/>
  </r>
  <r>
    <s v="31"/>
    <s v="001"/>
    <s v="14"/>
    <s v="422"/>
    <s v="0018"/>
    <x v="0"/>
    <x v="1"/>
    <x v="742"/>
    <x v="24"/>
    <s v="001-CHEFIA DE GABINETE"/>
    <s v="14-DIREITOS DA CIDADANIA"/>
    <s v="422-DIREITOS INDIVIDUAIS, COLETIVOS E DIFUSOS"/>
    <s v="0018-Proteção Social e Garantia de Direitos​"/>
    <s v="2.011-Manutenção de Equipamentos Públicos "/>
    <s v="3.3.90.39.00-OUTROS SERVIÇOS DE TERCEIROS - PESSOA JURÍDICA"/>
    <x v="18"/>
    <x v="0"/>
    <n v="45564"/>
    <x v="1"/>
  </r>
  <r>
    <s v="31"/>
    <s v="001"/>
    <s v="14"/>
    <s v="422"/>
    <s v="0018"/>
    <x v="0"/>
    <x v="8"/>
    <x v="743"/>
    <x v="24"/>
    <s v="001-CHEFIA DE GABINETE"/>
    <s v="14-DIREITOS DA CIDADANIA"/>
    <s v="422-DIREITOS INDIVIDUAIS, COLETIVOS E DIFUSOS"/>
    <s v="0018-Proteção Social e Garantia de Direitos​"/>
    <s v="2.011-Manutenção de Equipamentos Públicos "/>
    <s v="4.4.90.52.00-EQUIPAMENTOS E MATERIAL PERMANENTE"/>
    <x v="18"/>
    <x v="0"/>
    <n v="16286.8534"/>
    <x v="1"/>
  </r>
  <r>
    <s v="32"/>
    <s v="001"/>
    <s v="04"/>
    <s v="122"/>
    <s v="0001"/>
    <x v="3"/>
    <x v="7"/>
    <x v="744"/>
    <x v="25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2"/>
    <s v="001"/>
    <s v="04"/>
    <s v="122"/>
    <s v="0001"/>
    <x v="3"/>
    <x v="1"/>
    <x v="410"/>
    <x v="25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32"/>
    <s v="001"/>
    <s v="04"/>
    <s v="128"/>
    <s v="0002"/>
    <x v="2"/>
    <x v="10"/>
    <x v="745"/>
    <x v="25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32"/>
    <s v="001"/>
    <s v="04"/>
    <s v="131"/>
    <s v="0002"/>
    <x v="4"/>
    <x v="0"/>
    <x v="746"/>
    <x v="25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2992.6080000000002"/>
    <x v="1"/>
  </r>
  <r>
    <s v="32"/>
    <s v="001"/>
    <s v="04"/>
    <s v="131"/>
    <s v="0002"/>
    <x v="4"/>
    <x v="1"/>
    <x v="412"/>
    <x v="25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13509.3"/>
    <x v="1"/>
  </r>
  <r>
    <s v="32"/>
    <s v="001"/>
    <s v="14"/>
    <s v="334"/>
    <s v="0017"/>
    <x v="7"/>
    <x v="1"/>
    <x v="416"/>
    <x v="25"/>
    <s v="001-CHEFIA DE GABINETE"/>
    <s v="14-DIREITOS DA CIDADANIA"/>
    <s v="334-FOMENTO AO TRABALHO"/>
    <s v="0017-Trabalho, Emprego e Renda​"/>
    <s v="2.004-Qualificação Socioprofissional "/>
    <s v="3.3.90.39.00-OUTROS SERVIÇOS DE TERCEIROS - PESSOA JURÍDICA"/>
    <x v="18"/>
    <x v="0"/>
    <n v="489264.99399999995"/>
    <x v="1"/>
  </r>
  <r>
    <s v="32"/>
    <s v="001"/>
    <s v="14"/>
    <s v="422"/>
    <s v="0018"/>
    <x v="0"/>
    <x v="11"/>
    <x v="418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3.3.50.39.00-OUTROS SERVIÇOS DE TERCEIROS - PESSOA JURÍDICA"/>
    <x v="18"/>
    <x v="0"/>
    <n v="1171600.1100000001"/>
    <x v="1"/>
  </r>
  <r>
    <s v="32"/>
    <s v="001"/>
    <s v="14"/>
    <s v="422"/>
    <s v="0018"/>
    <x v="0"/>
    <x v="3"/>
    <x v="413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3.3.71.70.00-RATEIO PELA PARTICIPAÇÃO EM CONSÓRCIO PÚBLICO"/>
    <x v="18"/>
    <x v="0"/>
    <n v="234633.435168"/>
    <x v="1"/>
  </r>
  <r>
    <s v="32"/>
    <s v="001"/>
    <s v="14"/>
    <s v="422"/>
    <s v="0018"/>
    <x v="0"/>
    <x v="0"/>
    <x v="415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3.3.90.30.00-MATERIAL DE CONSUMO"/>
    <x v="18"/>
    <x v="0"/>
    <n v="41566"/>
    <x v="1"/>
  </r>
  <r>
    <s v="32"/>
    <s v="001"/>
    <s v="14"/>
    <s v="422"/>
    <s v="0018"/>
    <x v="0"/>
    <x v="1"/>
    <x v="417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3.3.90.39.00-OUTROS SERVIÇOS DE TERCEIROS - PESSOA JURÍDICA"/>
    <x v="18"/>
    <x v="0"/>
    <n v="72739"/>
    <x v="1"/>
  </r>
  <r>
    <s v="32"/>
    <s v="001"/>
    <s v="14"/>
    <s v="422"/>
    <s v="0018"/>
    <x v="0"/>
    <x v="21"/>
    <x v="414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4.4.71.70.00-RATEIO PELA PARTICIPAÇÃO EM CONSÓRCIO PÚBLICO"/>
    <x v="18"/>
    <x v="0"/>
    <n v="31995.468431999998"/>
    <x v="1"/>
  </r>
  <r>
    <s v="32"/>
    <s v="001"/>
    <s v="14"/>
    <s v="422"/>
    <s v="0018"/>
    <x v="0"/>
    <x v="8"/>
    <x v="747"/>
    <x v="25"/>
    <s v="001-CHEFIA DE GABINETE"/>
    <s v="14-DIREITOS DA CIDADANIA"/>
    <s v="422-DIREITOS INDIVIDUAIS, COLETIVOS E DIFUSOS"/>
    <s v="0018-Proteção Social e Garantia de Direitos​"/>
    <s v="2.011-Manutenção de Equipamentos Públicos "/>
    <s v="4.4.90.52.00-EQUIPAMENTOS E MATERIAL PERMANENTE"/>
    <x v="18"/>
    <x v="0"/>
    <n v="0"/>
    <x v="1"/>
  </r>
  <r>
    <s v="32"/>
    <s v="002"/>
    <s v="14"/>
    <s v="422"/>
    <s v="0018"/>
    <x v="0"/>
    <x v="0"/>
    <x v="748"/>
    <x v="25"/>
    <s v="002-RECURSOS SOB A SUPERVISÃO DA SECRETARIA DE ADMINISTRAÇÃO"/>
    <s v="14-DIREITOS DA CIDADANIA"/>
    <s v="422-DIREITOS INDIVIDUAIS, COLETIVOS E DIFUSOS"/>
    <s v="0018-Proteção Social e Garantia de Direitos​"/>
    <s v="2.011-Manutenção de Equipamentos Públicos "/>
    <s v="3.3.90.30.00-MATERIAL DE CONSUMO"/>
    <x v="18"/>
    <x v="0"/>
    <n v="1"/>
    <x v="1"/>
  </r>
  <r>
    <s v="32"/>
    <s v="002"/>
    <s v="14"/>
    <s v="422"/>
    <s v="0018"/>
    <x v="0"/>
    <x v="1"/>
    <x v="749"/>
    <x v="25"/>
    <s v="002-RECURSOS SOB A SUPERVISÃO DA SECRETARIA DE ADMINISTRAÇÃO"/>
    <s v="14-DIREITOS DA CIDADANIA"/>
    <s v="422-DIREITOS INDIVIDUAIS, COLETIVOS E DIFUSOS"/>
    <s v="0018-Proteção Social e Garantia de Direitos​"/>
    <s v="2.011-Manutenção de Equipamentos Públicos "/>
    <s v="3.3.90.39.00-OUTROS SERVIÇOS DE TERCEIROS - PESSOA JURÍDICA"/>
    <x v="18"/>
    <x v="0"/>
    <n v="1"/>
    <x v="1"/>
  </r>
  <r>
    <s v="32"/>
    <s v="002"/>
    <s v="14"/>
    <s v="422"/>
    <s v="0018"/>
    <x v="0"/>
    <x v="8"/>
    <x v="750"/>
    <x v="25"/>
    <s v="002-RECURSOS SOB A SUPERVISÃO DA SECRETARIA DE ADMINISTRAÇÃO"/>
    <s v="14-DIREITOS DA CIDADANIA"/>
    <s v="422-DIREITOS INDIVIDUAIS, COLETIVOS E DIFUSOS"/>
    <s v="0018-Proteção Social e Garantia de Direitos​"/>
    <s v="2.011-Manutenção de Equipamentos Públicos "/>
    <s v="4.4.90.52.00-EQUIPAMENTOS E MATERIAL PERMANENTE"/>
    <x v="18"/>
    <x v="0"/>
    <n v="1"/>
    <x v="1"/>
  </r>
  <r>
    <s v="33"/>
    <s v="001"/>
    <s v="04"/>
    <s v="122"/>
    <s v="0001"/>
    <x v="3"/>
    <x v="7"/>
    <x v="751"/>
    <x v="26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3"/>
    <s v="001"/>
    <s v="04"/>
    <s v="122"/>
    <s v="0001"/>
    <x v="3"/>
    <x v="1"/>
    <x v="752"/>
    <x v="26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2"/>
    <x v="1"/>
  </r>
  <r>
    <s v="33"/>
    <s v="001"/>
    <s v="04"/>
    <s v="122"/>
    <s v="0001"/>
    <x v="0"/>
    <x v="0"/>
    <x v="420"/>
    <x v="26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39485.800000000003"/>
    <x v="1"/>
  </r>
  <r>
    <s v="33"/>
    <s v="001"/>
    <s v="04"/>
    <s v="122"/>
    <s v="0001"/>
    <x v="0"/>
    <x v="1"/>
    <x v="421"/>
    <x v="26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10392"/>
    <x v="1"/>
  </r>
  <r>
    <s v="33"/>
    <s v="001"/>
    <s v="04"/>
    <s v="122"/>
    <s v="0001"/>
    <x v="0"/>
    <x v="8"/>
    <x v="422"/>
    <x v="26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6754.15"/>
    <x v="1"/>
  </r>
  <r>
    <s v="33"/>
    <s v="001"/>
    <s v="04"/>
    <s v="126"/>
    <s v="0002"/>
    <x v="1"/>
    <x v="1"/>
    <x v="423"/>
    <x v="26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348000"/>
    <x v="1"/>
  </r>
  <r>
    <s v="33"/>
    <s v="001"/>
    <s v="04"/>
    <s v="126"/>
    <s v="0002"/>
    <x v="1"/>
    <x v="5"/>
    <x v="424"/>
    <x v="26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"/>
    <x v="1"/>
  </r>
  <r>
    <s v="33"/>
    <s v="001"/>
    <s v="04"/>
    <s v="128"/>
    <s v="0002"/>
    <x v="2"/>
    <x v="1"/>
    <x v="425"/>
    <x v="26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5002"/>
    <x v="1"/>
  </r>
  <r>
    <s v="33"/>
    <s v="001"/>
    <s v="04"/>
    <s v="131"/>
    <s v="0002"/>
    <x v="4"/>
    <x v="1"/>
    <x v="426"/>
    <x v="26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250168"/>
    <x v="1"/>
  </r>
  <r>
    <s v="34"/>
    <s v="001"/>
    <s v="04"/>
    <s v="122"/>
    <s v="0001"/>
    <x v="3"/>
    <x v="7"/>
    <x v="429"/>
    <x v="27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4"/>
    <s v="001"/>
    <s v="04"/>
    <s v="122"/>
    <s v="0001"/>
    <x v="3"/>
    <x v="1"/>
    <x v="430"/>
    <x v="27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1"/>
  </r>
  <r>
    <s v="34"/>
    <s v="001"/>
    <s v="04"/>
    <s v="126"/>
    <s v="0002"/>
    <x v="1"/>
    <x v="0"/>
    <x v="753"/>
    <x v="27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0.00-MATERIAL DE CONSUMO"/>
    <x v="18"/>
    <x v="0"/>
    <n v="0"/>
    <x v="1"/>
  </r>
  <r>
    <s v="34"/>
    <s v="001"/>
    <s v="04"/>
    <s v="126"/>
    <s v="0002"/>
    <x v="1"/>
    <x v="1"/>
    <x v="754"/>
    <x v="27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39.00-OUTROS SERVIÇOS DE TERCEIROS - PESSOA JURÍDICA"/>
    <x v="18"/>
    <x v="0"/>
    <n v="0"/>
    <x v="1"/>
  </r>
  <r>
    <s v="34"/>
    <s v="001"/>
    <s v="04"/>
    <s v="126"/>
    <s v="0002"/>
    <x v="1"/>
    <x v="8"/>
    <x v="755"/>
    <x v="27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4.4.90.52.00-EQUIPAMENTOS E MATERIAL PERMANENTE"/>
    <x v="18"/>
    <x v="0"/>
    <n v="0"/>
    <x v="1"/>
  </r>
  <r>
    <s v="34"/>
    <s v="001"/>
    <s v="04"/>
    <s v="128"/>
    <s v="0002"/>
    <x v="2"/>
    <x v="10"/>
    <x v="431"/>
    <x v="27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1"/>
  </r>
  <r>
    <s v="34"/>
    <s v="001"/>
    <s v="04"/>
    <s v="131"/>
    <s v="0002"/>
    <x v="4"/>
    <x v="0"/>
    <x v="428"/>
    <x v="27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15586.5"/>
    <x v="1"/>
  </r>
  <r>
    <s v="34"/>
    <s v="001"/>
    <s v="04"/>
    <s v="131"/>
    <s v="0002"/>
    <x v="4"/>
    <x v="1"/>
    <x v="427"/>
    <x v="27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46760.5"/>
    <x v="1"/>
  </r>
  <r>
    <s v="34"/>
    <s v="001"/>
    <s v="15"/>
    <s v="182"/>
    <s v="0005"/>
    <x v="0"/>
    <x v="0"/>
    <x v="433"/>
    <x v="27"/>
    <s v="001-CHEFIA DE GABINETE"/>
    <s v="15-URBANISMO"/>
    <s v="182-DEFESA CIVIL"/>
    <s v="0005-Resiliência Urbana​"/>
    <s v="2.011-Manutenção de Equipamentos Públicos "/>
    <s v="3.3.90.30.00-MATERIAL DE CONSUMO"/>
    <x v="18"/>
    <x v="0"/>
    <n v="93519"/>
    <x v="1"/>
  </r>
  <r>
    <s v="34"/>
    <s v="001"/>
    <s v="15"/>
    <s v="182"/>
    <s v="0005"/>
    <x v="0"/>
    <x v="1"/>
    <x v="434"/>
    <x v="27"/>
    <s v="001-CHEFIA DE GABINETE"/>
    <s v="15-URBANISMO"/>
    <s v="182-DEFESA CIVIL"/>
    <s v="0005-Resiliência Urbana​"/>
    <s v="2.011-Manutenção de Equipamentos Públicos "/>
    <s v="3.3.90.39.00-OUTROS SERVIÇOS DE TERCEIROS - PESSOA JURÍDICA"/>
    <x v="18"/>
    <x v="0"/>
    <n v="18508.3"/>
    <x v="1"/>
  </r>
  <r>
    <s v="34"/>
    <s v="001"/>
    <s v="15"/>
    <s v="182"/>
    <s v="0005"/>
    <x v="0"/>
    <x v="8"/>
    <x v="435"/>
    <x v="27"/>
    <s v="001-CHEFIA DE GABINETE"/>
    <s v="15-URBANISMO"/>
    <s v="182-DEFESA CIVIL"/>
    <s v="0005-Resiliência Urbana​"/>
    <s v="2.011-Manutenção de Equipamentos Públicos "/>
    <s v="4.4.90.52.00-EQUIPAMENTOS E MATERIAL PERMANENTE"/>
    <x v="18"/>
    <x v="0"/>
    <n v="0"/>
    <x v="1"/>
  </r>
  <r>
    <s v="35"/>
    <s v="001"/>
    <s v="04"/>
    <s v="122"/>
    <s v="0001"/>
    <x v="3"/>
    <x v="7"/>
    <x v="756"/>
    <x v="33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5"/>
    <s v="001"/>
    <s v="04"/>
    <s v="122"/>
    <s v="0001"/>
    <x v="3"/>
    <x v="1"/>
    <x v="757"/>
    <x v="33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2"/>
    <x v="1"/>
  </r>
  <r>
    <s v="35"/>
    <s v="001"/>
    <s v="04"/>
    <s v="122"/>
    <s v="0001"/>
    <x v="0"/>
    <x v="0"/>
    <x v="758"/>
    <x v="33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20782"/>
    <x v="1"/>
  </r>
  <r>
    <s v="35"/>
    <s v="001"/>
    <s v="04"/>
    <s v="122"/>
    <s v="0001"/>
    <x v="0"/>
    <x v="1"/>
    <x v="759"/>
    <x v="33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2079.1999999999998"/>
    <x v="1"/>
  </r>
  <r>
    <s v="35"/>
    <s v="001"/>
    <s v="04"/>
    <s v="122"/>
    <s v="0001"/>
    <x v="0"/>
    <x v="8"/>
    <x v="760"/>
    <x v="33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5"/>
    <x v="1"/>
  </r>
  <r>
    <s v="35"/>
    <s v="001"/>
    <s v="04"/>
    <s v="128"/>
    <s v="0002"/>
    <x v="2"/>
    <x v="1"/>
    <x v="761"/>
    <x v="33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35"/>
    <s v="001"/>
    <s v="04"/>
    <s v="131"/>
    <s v="0002"/>
    <x v="4"/>
    <x v="1"/>
    <x v="762"/>
    <x v="33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6235.6"/>
    <x v="1"/>
  </r>
  <r>
    <s v="36"/>
    <s v="001"/>
    <s v="04"/>
    <s v="122"/>
    <s v="0001"/>
    <x v="3"/>
    <x v="7"/>
    <x v="436"/>
    <x v="28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1"/>
  </r>
  <r>
    <s v="36"/>
    <s v="001"/>
    <s v="04"/>
    <s v="122"/>
    <s v="0001"/>
    <x v="3"/>
    <x v="1"/>
    <x v="437"/>
    <x v="28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2"/>
    <x v="1"/>
  </r>
  <r>
    <s v="36"/>
    <s v="001"/>
    <s v="04"/>
    <s v="128"/>
    <s v="0002"/>
    <x v="2"/>
    <x v="1"/>
    <x v="438"/>
    <x v="28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1"/>
  </r>
  <r>
    <s v="36"/>
    <s v="001"/>
    <s v="04"/>
    <s v="131"/>
    <s v="0002"/>
    <x v="4"/>
    <x v="0"/>
    <x v="439"/>
    <x v="28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67541.5"/>
    <x v="1"/>
  </r>
  <r>
    <s v="36"/>
    <s v="001"/>
    <s v="04"/>
    <s v="131"/>
    <s v="0002"/>
    <x v="4"/>
    <x v="1"/>
    <x v="440"/>
    <x v="28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312116.27909999999"/>
    <x v="1"/>
  </r>
  <r>
    <s v="36"/>
    <s v="001"/>
    <s v="08"/>
    <s v="244"/>
    <s v="0019"/>
    <x v="0"/>
    <x v="0"/>
    <x v="442"/>
    <x v="28"/>
    <s v="001-CHEFIA DE GABINETE"/>
    <s v="8-ASSISTÊNCIA SOCIAL"/>
    <s v="244-ASSISTÊNCIA COMUNITÁRIA"/>
    <s v="0019-Segurança Alimentar e Combate à Pobreza​"/>
    <s v="2.011-Manutenção de Equipamentos Públicos "/>
    <s v="3.3.90.30.00-MATERIAL DE CONSUMO"/>
    <x v="18"/>
    <x v="0"/>
    <n v="159146.47779999999"/>
    <x v="1"/>
  </r>
  <r>
    <s v="36"/>
    <s v="001"/>
    <s v="08"/>
    <s v="244"/>
    <s v="0019"/>
    <x v="0"/>
    <x v="1"/>
    <x v="443"/>
    <x v="28"/>
    <s v="001-CHEFIA DE GABINETE"/>
    <s v="8-ASSISTÊNCIA SOCIAL"/>
    <s v="244-ASSISTÊNCIA COMUNITÁRIA"/>
    <s v="0019-Segurança Alimentar e Combate à Pobreza​"/>
    <s v="2.011-Manutenção de Equipamentos Públicos "/>
    <s v="3.3.90.39.00-OUTROS SERVIÇOS DE TERCEIROS - PESSOA JURÍDICA"/>
    <x v="18"/>
    <x v="0"/>
    <n v="122192.55"/>
    <x v="1"/>
  </r>
  <r>
    <s v="36"/>
    <s v="001"/>
    <s v="08"/>
    <s v="244"/>
    <s v="0019"/>
    <x v="0"/>
    <x v="6"/>
    <x v="444"/>
    <x v="28"/>
    <s v="001-CHEFIA DE GABINETE"/>
    <s v="8-ASSISTÊNCIA SOCIAL"/>
    <s v="244-ASSISTÊNCIA COMUNITÁRIA"/>
    <s v="0019-Segurança Alimentar e Combate à Pobreza​"/>
    <s v="2.011-Manutenção de Equipamentos Públicos "/>
    <s v="3.3.90.93.00-INDENIZAÇÕES E RESTITUIÇÕES"/>
    <x v="18"/>
    <x v="0"/>
    <n v="10391"/>
    <x v="1"/>
  </r>
  <r>
    <s v="36"/>
    <s v="001"/>
    <s v="08"/>
    <s v="244"/>
    <s v="0019"/>
    <x v="0"/>
    <x v="8"/>
    <x v="445"/>
    <x v="28"/>
    <s v="001-CHEFIA DE GABINETE"/>
    <s v="8-ASSISTÊNCIA SOCIAL"/>
    <s v="244-ASSISTÊNCIA COMUNITÁRIA"/>
    <s v="0019-Segurança Alimentar e Combate à Pobreza​"/>
    <s v="2.011-Manutenção de Equipamentos Públicos "/>
    <s v="4.4.90.52.00-EQUIPAMENTOS E MATERIAL PERMANENTE"/>
    <x v="18"/>
    <x v="0"/>
    <n v="5196.3436000000002"/>
    <x v="1"/>
  </r>
  <r>
    <s v="36"/>
    <s v="001"/>
    <s v="08"/>
    <s v="244"/>
    <s v="0019"/>
    <x v="38"/>
    <x v="0"/>
    <x v="446"/>
    <x v="28"/>
    <s v="001-CHEFIA DE GABINETE"/>
    <s v="8-ASSISTÊNCIA SOCIAL"/>
    <s v="244-ASSISTÊNCIA COMUNITÁRIA"/>
    <s v="0019-Segurança Alimentar e Combate à Pobreza​"/>
    <s v="2.024-Distribuição de Alimentos e Benefícios para as Famílias em Situação de Vulnerabilidade"/>
    <s v="3.3.90.30.00-MATERIAL DE CONSUMO"/>
    <x v="18"/>
    <x v="0"/>
    <n v="120535.6"/>
    <x v="1"/>
  </r>
  <r>
    <s v="36"/>
    <s v="001"/>
    <s v="08"/>
    <s v="244"/>
    <s v="0019"/>
    <x v="38"/>
    <x v="16"/>
    <x v="447"/>
    <x v="28"/>
    <s v="001-CHEFIA DE GABINETE"/>
    <s v="8-ASSISTÊNCIA SOCIAL"/>
    <s v="244-ASSISTÊNCIA COMUNITÁRIA"/>
    <s v="0019-Segurança Alimentar e Combate à Pobreza​"/>
    <s v="2.024-Distribuição de Alimentos e Benefícios para as Famílias em Situação de Vulnerabilidade"/>
    <s v="3.3.90.32.00-MATERIAL, BEM OU SERVIÇO PARA DISTRIBUIÇÃO GRATUITA"/>
    <x v="18"/>
    <x v="0"/>
    <n v="72737"/>
    <x v="1"/>
  </r>
  <r>
    <s v="36"/>
    <s v="001"/>
    <s v="14"/>
    <s v="244"/>
    <s v="0018"/>
    <x v="41"/>
    <x v="11"/>
    <x v="763"/>
    <x v="28"/>
    <s v="001-CHEFIA DE GABINETE"/>
    <s v="14-DIREITOS DA CIDADANIA"/>
    <s v="244-ASSISTÊNCIA COMUNITÁRIA"/>
    <s v="0018-Proteção Social e Garantia de Direitos​"/>
    <s v="2.041-Ação Transversal de Garantia de Direitos"/>
    <s v="3.3.50.39.00-OUTROS SERVIÇOS DE TERCEIROS - PESSOA JURÍDICA"/>
    <x v="18"/>
    <x v="0"/>
    <n v="222000"/>
    <x v="1"/>
  </r>
  <r>
    <s v="36"/>
    <s v="001"/>
    <s v="14"/>
    <s v="244"/>
    <s v="0018"/>
    <x v="41"/>
    <x v="0"/>
    <x v="764"/>
    <x v="28"/>
    <s v="001-CHEFIA DE GABINETE"/>
    <s v="14-DIREITOS DA CIDADANIA"/>
    <s v="244-ASSISTÊNCIA COMUNITÁRIA"/>
    <s v="0018-Proteção Social e Garantia de Direitos​"/>
    <s v="2.041-Ação Transversal de Garantia de Direitos"/>
    <s v="3.3.90.30.00-MATERIAL DE CONSUMO"/>
    <x v="18"/>
    <x v="0"/>
    <n v="0"/>
    <x v="1"/>
  </r>
  <r>
    <s v="36"/>
    <s v="001"/>
    <s v="14"/>
    <s v="244"/>
    <s v="0018"/>
    <x v="41"/>
    <x v="1"/>
    <x v="765"/>
    <x v="28"/>
    <s v="001-CHEFIA DE GABINETE"/>
    <s v="14-DIREITOS DA CIDADANIA"/>
    <s v="244-ASSISTÊNCIA COMUNITÁRIA"/>
    <s v="0018-Proteção Social e Garantia de Direitos​"/>
    <s v="2.041-Ação Transversal de Garantia de Direitos"/>
    <s v="3.3.90.39.00-OUTROS SERVIÇOS DE TERCEIROS - PESSOA JURÍDICA"/>
    <x v="18"/>
    <x v="0"/>
    <n v="0"/>
    <x v="1"/>
  </r>
  <r>
    <s v="36"/>
    <s v="001"/>
    <s v="14"/>
    <s v="244"/>
    <s v="0018"/>
    <x v="41"/>
    <x v="17"/>
    <x v="766"/>
    <x v="28"/>
    <s v="001-CHEFIA DE GABINETE"/>
    <s v="14-DIREITOS DA CIDADANIA"/>
    <s v="244-ASSISTÊNCIA COMUNITÁRIA"/>
    <s v="0018-Proteção Social e Garantia de Direitos​"/>
    <s v="2.041-Ação Transversal de Garantia de Direitos"/>
    <s v="4.4.50.39.00-OUTROS SERVIÇOS DE TERCEIROS - PESSOA JURÍDICA"/>
    <x v="18"/>
    <x v="0"/>
    <n v="68000"/>
    <x v="1"/>
  </r>
  <r>
    <s v="36"/>
    <s v="001"/>
    <s v="14"/>
    <s v="244"/>
    <s v="0018"/>
    <x v="41"/>
    <x v="8"/>
    <x v="767"/>
    <x v="28"/>
    <s v="001-CHEFIA DE GABINETE"/>
    <s v="14-DIREITOS DA CIDADANIA"/>
    <s v="244-ASSISTÊNCIA COMUNITÁRIA"/>
    <s v="0018-Proteção Social e Garantia de Direitos​"/>
    <s v="2.041-Ação Transversal de Garantia de Direitos"/>
    <s v="4.4.90.52.00-EQUIPAMENTOS E MATERIAL PERMANENTE"/>
    <x v="18"/>
    <x v="0"/>
    <n v="0"/>
    <x v="1"/>
  </r>
  <r>
    <s v="77"/>
    <s v="777"/>
    <s v="99"/>
    <s v="999"/>
    <s v="9999"/>
    <x v="54"/>
    <x v="37"/>
    <x v="768"/>
    <x v="34"/>
    <e v="#N/A"/>
    <e v="#N/A"/>
    <e v="#N/A"/>
    <e v="#N/A"/>
    <e v="#N/A"/>
    <e v="#N/A"/>
    <x v="18"/>
    <x v="0"/>
    <n v="60640307"/>
    <x v="1"/>
  </r>
  <r>
    <s v="99"/>
    <s v="999"/>
    <s v="99"/>
    <s v="999"/>
    <s v="9999"/>
    <x v="54"/>
    <x v="37"/>
    <x v="769"/>
    <x v="35"/>
    <e v="#N/A"/>
    <e v="#N/A"/>
    <e v="#N/A"/>
    <e v="#N/A"/>
    <e v="#N/A"/>
    <e v="#N/A"/>
    <x v="18"/>
    <x v="0"/>
    <n v="51000000.009999998"/>
    <x v="1"/>
  </r>
  <r>
    <s v="02"/>
    <s v="001"/>
    <s v="04"/>
    <s v="122"/>
    <s v="0001"/>
    <x v="0"/>
    <x v="4"/>
    <x v="4"/>
    <x v="0"/>
    <s v="001-CHEFIA DE GABINETE"/>
    <s v="4-ADMINISTRAÇÃO"/>
    <s v="122-ADMINISTRAÇÃO GERAL"/>
    <s v="0001-Administração e Coordenação Geral​"/>
    <s v="2.011-Manutenção de Equipamentos Públicos "/>
    <s v="4.4.50.52.00-EQUIPAMENTOS E MATERIAL PERMANENTE"/>
    <x v="18"/>
    <x v="0"/>
    <n v="0"/>
    <x v="1"/>
  </r>
  <r>
    <s v="02"/>
    <s v="012"/>
    <s v="04"/>
    <s v="122"/>
    <s v="0001"/>
    <x v="0"/>
    <x v="1"/>
    <x v="6"/>
    <x v="0"/>
    <s v="012-FUNDO ESPECIAL DE MANUTENÇÃO DOS BOMBEIROS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0"/>
    <x v="1"/>
  </r>
  <r>
    <s v="02"/>
    <s v="012"/>
    <s v="04"/>
    <s v="122"/>
    <s v="0001"/>
    <x v="0"/>
    <x v="4"/>
    <x v="7"/>
    <x v="0"/>
    <s v="012-FUNDO ESPECIAL DE MANUTENÇÃO DOS BOMBEIROS"/>
    <s v="4-ADMINISTRAÇÃO"/>
    <s v="122-ADMINISTRAÇÃO GERAL"/>
    <s v="0001-Administração e Coordenação Geral​"/>
    <s v="2.011-Manutenção de Equipamentos Públicos "/>
    <s v="4.4.50.52.00-EQUIPAMENTOS E MATERIAL PERMANENTE"/>
    <x v="18"/>
    <x v="0"/>
    <n v="0"/>
    <x v="1"/>
  </r>
  <r>
    <s v="04"/>
    <s v="001"/>
    <s v="04"/>
    <s v="122"/>
    <s v="0001"/>
    <x v="0"/>
    <x v="6"/>
    <x v="11"/>
    <x v="1"/>
    <s v="001-CHEFIA DE GABINETE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0"/>
    <x v="1"/>
  </r>
  <r>
    <s v="04"/>
    <s v="001"/>
    <s v="04"/>
    <s v="122"/>
    <s v="0002"/>
    <x v="0"/>
    <x v="7"/>
    <x v="12"/>
    <x v="1"/>
    <s v="001-CHEFIA DE GABINETE"/>
    <s v="4-ADMINISTRAÇÃO"/>
    <s v="122-ADMINISTRAÇÃO GERAL"/>
    <s v="0002-Governo Inteligente, Aberto e Inovador​"/>
    <s v="2.011-Manutenção de Equipamentos Públicos "/>
    <s v="3.3.90.33.00-PASSAGENS E DESPESAS COM LOCOMOÇÃO"/>
    <x v="18"/>
    <x v="0"/>
    <n v="0"/>
    <x v="1"/>
  </r>
  <r>
    <s v="04"/>
    <s v="001"/>
    <s v="04"/>
    <s v="122"/>
    <s v="0001"/>
    <x v="0"/>
    <x v="8"/>
    <x v="13"/>
    <x v="1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05"/>
    <s v="001"/>
    <s v="04"/>
    <s v="122"/>
    <s v="0001"/>
    <x v="0"/>
    <x v="8"/>
    <x v="18"/>
    <x v="2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06"/>
    <s v="001"/>
    <s v="04"/>
    <s v="122"/>
    <s v="0001"/>
    <x v="0"/>
    <x v="8"/>
    <x v="20"/>
    <x v="3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06"/>
    <s v="001"/>
    <s v="04"/>
    <s v="122"/>
    <s v="0001"/>
    <x v="0"/>
    <x v="9"/>
    <x v="22"/>
    <x v="3"/>
    <s v="001-CHEFIA DE GABINETE"/>
    <s v="4-ADMINISTRAÇÃO"/>
    <s v="122-ADMINISTRAÇÃO GERAL"/>
    <s v="0001-Administração e Coordenação Geral​"/>
    <s v="2.011-Manutenção de Equipamentos Públicos "/>
    <s v="3.3.90.92.00-DESPESAS DE EXERCÍCIOS ANTERIORES"/>
    <x v="18"/>
    <x v="0"/>
    <n v="0"/>
    <x v="1"/>
  </r>
  <r>
    <s v="06"/>
    <s v="001"/>
    <s v="04"/>
    <s v="122"/>
    <s v="0001"/>
    <x v="0"/>
    <x v="6"/>
    <x v="23"/>
    <x v="3"/>
    <s v="001-CHEFIA DE GABINETE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0"/>
    <x v="1"/>
  </r>
  <r>
    <s v="06"/>
    <s v="011"/>
    <s v="04"/>
    <s v="128"/>
    <s v="0002"/>
    <x v="2"/>
    <x v="0"/>
    <x v="24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30.00-MATERIAL DE CONSUMO"/>
    <x v="18"/>
    <x v="0"/>
    <n v="0"/>
    <x v="1"/>
  </r>
  <r>
    <s v="06"/>
    <s v="011"/>
    <s v="04"/>
    <s v="128"/>
    <s v="0002"/>
    <x v="2"/>
    <x v="5"/>
    <x v="26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3.3.90.40.00-SERVIÇOS DE TECNOLOGIA DA INFORMAÇÃO E COMUNICAÇÃO - PESSOA JURÍDICA"/>
    <x v="18"/>
    <x v="0"/>
    <n v="0"/>
    <x v="1"/>
  </r>
  <r>
    <s v="06"/>
    <s v="011"/>
    <s v="04"/>
    <s v="128"/>
    <s v="0002"/>
    <x v="2"/>
    <x v="8"/>
    <x v="27"/>
    <x v="3"/>
    <s v="011-FUNDO MUNICIPAL DE VALORIZAÇÃO DOS SERVIDORES"/>
    <s v="4-ADMINISTRAÇÃO"/>
    <s v="128-FORMAÇÃO DE RECURSOS HUMANOS"/>
    <s v="0002-Governo Inteligente, Aberto e Inovador​"/>
    <s v="2.003-Qualificação de Servidores e Processos Institucionais"/>
    <s v="4.4.90.52.00-EQUIPAMENTOS E MATERIAL PERMANENTE"/>
    <x v="18"/>
    <x v="0"/>
    <n v="0"/>
    <x v="1"/>
  </r>
  <r>
    <s v="07"/>
    <s v="001"/>
    <s v="04"/>
    <s v="122"/>
    <s v="0002"/>
    <x v="2"/>
    <x v="10"/>
    <x v="30"/>
    <x v="4"/>
    <s v="001-CHEFIA DE GABINETE"/>
    <s v="4-ADMINISTRAÇÃO"/>
    <s v="122-ADMINISTRAÇÃO GERAL"/>
    <s v="0002-Governo Inteligente, Aberto e Inovador​"/>
    <s v="2.003-Qualificação de Servidores e Processos Institucionais"/>
    <s v="3.3.90.36.00-OUTROS SERVIÇOS DE TERCEIROS - PESSOA FÍSICA"/>
    <x v="18"/>
    <x v="0"/>
    <n v="0"/>
    <x v="1"/>
  </r>
  <r>
    <s v="07"/>
    <s v="001"/>
    <s v="04"/>
    <s v="122"/>
    <s v="0002"/>
    <x v="2"/>
    <x v="1"/>
    <x v="31"/>
    <x v="4"/>
    <s v="001-CHEFIA DE GABINETE"/>
    <s v="4-ADMINISTRAÇÃO"/>
    <s v="122-ADMINISTRAÇÃO GERAL"/>
    <s v="0002-Governo Inteligente, Aberto e Inovador​"/>
    <s v="2.003-Qualificação de Servidores e Processos Institucionais"/>
    <s v="3.3.90.39.00-OUTROS SERVIÇOS DE TERCEIROS - PESSOA JURÍDICA"/>
    <x v="18"/>
    <x v="0"/>
    <n v="0"/>
    <x v="1"/>
  </r>
  <r>
    <s v="07"/>
    <s v="001"/>
    <s v="04"/>
    <s v="122"/>
    <s v="0002"/>
    <x v="4"/>
    <x v="0"/>
    <x v="32"/>
    <x v="4"/>
    <s v="001-CHEFIA DE GABINETE"/>
    <s v="4-ADMINISTRAÇÃO"/>
    <s v="122-ADMINISTRAÇÃO GERAL"/>
    <s v="0002-Governo Inteligente, Aberto e Inovador​"/>
    <s v="2.005-Promoção de Eventos, Comunicação e Participação Social "/>
    <s v="3.3.90.30.00-MATERIAL DE CONSUMO"/>
    <x v="18"/>
    <x v="0"/>
    <n v="0"/>
    <x v="1"/>
  </r>
  <r>
    <s v="07"/>
    <s v="001"/>
    <s v="04"/>
    <s v="122"/>
    <s v="0002"/>
    <x v="4"/>
    <x v="1"/>
    <x v="33"/>
    <x v="4"/>
    <s v="001-CHEFIA DE GABINETE"/>
    <s v="4-ADMINISTRAÇÃO"/>
    <s v="122-ADMINISTRAÇÃO GERAL"/>
    <s v="0002-Governo Inteligente, Aberto e Inovador​"/>
    <s v="2.005-Promoção de Eventos, Comunicação e Participação Social "/>
    <s v="3.3.90.39.00-OUTROS SERVIÇOS DE TERCEIROS - PESSOA JURÍDICA"/>
    <x v="18"/>
    <x v="0"/>
    <n v="0"/>
    <x v="1"/>
  </r>
  <r>
    <s v="07"/>
    <s v="001"/>
    <s v="11"/>
    <s v="334"/>
    <s v="0017"/>
    <x v="0"/>
    <x v="0"/>
    <x v="35"/>
    <x v="4"/>
    <s v="001-CHEFIA DE GABINETE"/>
    <s v="11-TRABALHO"/>
    <s v="334-FOMENTO AO TRABALHO"/>
    <s v="0017-Trabalho, Emprego e Renda​"/>
    <s v="2.011-Manutenção de Equipamentos Públicos "/>
    <s v="3.3.90.30.00-MATERIAL DE CONSUMO"/>
    <x v="18"/>
    <x v="0"/>
    <n v="0"/>
    <x v="1"/>
  </r>
  <r>
    <s v="07"/>
    <s v="001"/>
    <s v="11"/>
    <s v="334"/>
    <s v="0017"/>
    <x v="0"/>
    <x v="1"/>
    <x v="36"/>
    <x v="4"/>
    <s v="001-CHEFIA DE GABINETE"/>
    <s v="11-TRABALHO"/>
    <s v="334-FOMENTO AO TRABALHO"/>
    <s v="0017-Trabalho, Emprego e Renda​"/>
    <s v="2.011-Manutenção de Equipamentos Públicos "/>
    <s v="3.3.90.39.00-OUTROS SERVIÇOS DE TERCEIROS - PESSOA JURÍDICA"/>
    <x v="18"/>
    <x v="0"/>
    <n v="0"/>
    <x v="1"/>
  </r>
  <r>
    <s v="07"/>
    <s v="001"/>
    <s v="11"/>
    <s v="334"/>
    <s v="0017"/>
    <x v="0"/>
    <x v="8"/>
    <x v="37"/>
    <x v="4"/>
    <s v="001-CHEFIA DE GABINETE"/>
    <s v="11-TRABALHO"/>
    <s v="334-FOMENTO AO TRABALHO"/>
    <s v="0017-Trabalho, Emprego e Renda​"/>
    <s v="2.011-Manutenção de Equipamentos Públicos "/>
    <s v="4.4.90.52.00-EQUIPAMENTOS E MATERIAL PERMANENTE"/>
    <x v="18"/>
    <x v="0"/>
    <n v="0"/>
    <x v="1"/>
  </r>
  <r>
    <s v="07"/>
    <s v="001"/>
    <s v="11"/>
    <s v="333"/>
    <s v="0017"/>
    <x v="6"/>
    <x v="0"/>
    <x v="38"/>
    <x v="4"/>
    <s v="001-CHEFIA DE GABINETE"/>
    <s v="11-TRABALHO"/>
    <s v="333-EMPREGABILIDADE"/>
    <s v="0017-Trabalho, Emprego e Renda​"/>
    <s v="2.027-Intermediação Profissional "/>
    <s v="3.3.90.30.00-MATERIAL DE CONSUMO"/>
    <x v="18"/>
    <x v="0"/>
    <n v="0"/>
    <x v="1"/>
  </r>
  <r>
    <s v="07"/>
    <s v="001"/>
    <s v="11"/>
    <s v="333"/>
    <s v="0017"/>
    <x v="6"/>
    <x v="8"/>
    <x v="40"/>
    <x v="4"/>
    <s v="001-CHEFIA DE GABINETE"/>
    <s v="11-TRABALHO"/>
    <s v="333-EMPREGABILIDADE"/>
    <s v="0017-Trabalho, Emprego e Renda​"/>
    <s v="2.027-Intermediação Profissional "/>
    <s v="4.4.90.52.00-EQUIPAMENTOS E MATERIAL PERMANENTE"/>
    <x v="18"/>
    <x v="0"/>
    <n v="0"/>
    <x v="1"/>
  </r>
  <r>
    <s v="07"/>
    <s v="001"/>
    <s v="11"/>
    <s v="333"/>
    <s v="0017"/>
    <x v="7"/>
    <x v="11"/>
    <x v="41"/>
    <x v="4"/>
    <s v="001-CHEFIA DE GABINETE"/>
    <s v="11-TRABALHO"/>
    <s v="333-EMPREGABILIDADE"/>
    <s v="0017-Trabalho, Emprego e Renda​"/>
    <s v="2.004-Qualificação Socioprofissional "/>
    <s v="3.3.50.39.00-OUTROS SERVIÇOS DE TERCEIROS - PESSOA JURÍDICA"/>
    <x v="18"/>
    <x v="0"/>
    <n v="0"/>
    <x v="1"/>
  </r>
  <r>
    <s v="07"/>
    <s v="001"/>
    <s v="11"/>
    <s v="333"/>
    <s v="0017"/>
    <x v="7"/>
    <x v="0"/>
    <x v="42"/>
    <x v="4"/>
    <s v="001-CHEFIA DE GABINETE"/>
    <s v="11-TRABALHO"/>
    <s v="333-EMPREGABILIDADE"/>
    <s v="0017-Trabalho, Emprego e Renda​"/>
    <s v="2.004-Qualificação Socioprofissional "/>
    <s v="3.3.90.30.00-MATERIAL DE CONSUMO"/>
    <x v="18"/>
    <x v="0"/>
    <n v="0"/>
    <x v="1"/>
  </r>
  <r>
    <s v="07"/>
    <s v="001"/>
    <s v="11"/>
    <s v="333"/>
    <s v="0017"/>
    <x v="7"/>
    <x v="1"/>
    <x v="43"/>
    <x v="4"/>
    <s v="001-CHEFIA DE GABINETE"/>
    <s v="11-TRABALHO"/>
    <s v="333-EMPREGABILIDADE"/>
    <s v="0017-Trabalho, Emprego e Renda​"/>
    <s v="2.004-Qualificação Socioprofissional "/>
    <s v="3.3.90.39.00-OUTROS SERVIÇOS DE TERCEIROS - PESSOA JURÍDICA"/>
    <x v="18"/>
    <x v="0"/>
    <n v="0"/>
    <x v="1"/>
  </r>
  <r>
    <s v="07"/>
    <s v="001"/>
    <s v="11"/>
    <s v="334"/>
    <s v="0017"/>
    <x v="6"/>
    <x v="0"/>
    <x v="47"/>
    <x v="4"/>
    <s v="001-CHEFIA DE GABINETE"/>
    <s v="11-TRABALHO"/>
    <s v="334-FOMENTO AO TRABALHO"/>
    <s v="0017-Trabalho, Emprego e Renda​"/>
    <s v="2.027-Intermediação Profissional "/>
    <s v="3.3.90.30.00-MATERIAL DE CONSUMO"/>
    <x v="18"/>
    <x v="0"/>
    <n v="0"/>
    <x v="1"/>
  </r>
  <r>
    <s v="07"/>
    <s v="001"/>
    <s v="11"/>
    <s v="334"/>
    <s v="0017"/>
    <x v="6"/>
    <x v="1"/>
    <x v="48"/>
    <x v="4"/>
    <s v="001-CHEFIA DE GABINETE"/>
    <s v="11-TRABALHO"/>
    <s v="334-FOMENTO AO TRABALHO"/>
    <s v="0017-Trabalho, Emprego e Renda​"/>
    <s v="2.027-Intermediação Profissional "/>
    <s v="3.3.90.39.00-OUTROS SERVIÇOS DE TERCEIROS - PESSOA JURÍDICA"/>
    <x v="18"/>
    <x v="0"/>
    <n v="0"/>
    <x v="1"/>
  </r>
  <r>
    <s v="07"/>
    <s v="001"/>
    <s v="11"/>
    <s v="334"/>
    <s v="0017"/>
    <x v="6"/>
    <x v="8"/>
    <x v="49"/>
    <x v="4"/>
    <s v="001-CHEFIA DE GABINETE"/>
    <s v="11-TRABALHO"/>
    <s v="334-FOMENTO AO TRABALHO"/>
    <s v="0017-Trabalho, Emprego e Renda​"/>
    <s v="2.027-Intermediação Profissional "/>
    <s v="4.4.90.52.00-EQUIPAMENTOS E MATERIAL PERMANENTE"/>
    <x v="18"/>
    <x v="0"/>
    <n v="0"/>
    <x v="1"/>
  </r>
  <r>
    <s v="07"/>
    <s v="001"/>
    <s v="11"/>
    <s v="334"/>
    <s v="0017"/>
    <x v="9"/>
    <x v="0"/>
    <x v="50"/>
    <x v="4"/>
    <s v="001-CHEFIA DE GABINETE"/>
    <s v="11-TRABALHO"/>
    <s v="334-FOMENTO AO TRABALHO"/>
    <s v="0017-Trabalho, Emprego e Renda​"/>
    <s v="2.025-Auxílio para Inclusão no Mercado de Trabalho "/>
    <s v="3.3.90.30.00-MATERIAL DE CONSUMO"/>
    <x v="18"/>
    <x v="0"/>
    <n v="0"/>
    <x v="1"/>
  </r>
  <r>
    <s v="07"/>
    <s v="001"/>
    <s v="11"/>
    <s v="334"/>
    <s v="0017"/>
    <x v="9"/>
    <x v="1"/>
    <x v="51"/>
    <x v="4"/>
    <s v="001-CHEFIA DE GABINETE"/>
    <s v="11-TRABALHO"/>
    <s v="334-FOMENTO AO TRABALHO"/>
    <s v="0017-Trabalho, Emprego e Renda​"/>
    <s v="2.025-Auxílio para Inclusão no Mercado de Trabalho "/>
    <s v="3.3.90.39.00-OUTROS SERVIÇOS DE TERCEIROS - PESSOA JURÍDICA"/>
    <x v="18"/>
    <x v="0"/>
    <n v="0"/>
    <x v="1"/>
  </r>
  <r>
    <s v="08"/>
    <s v="001"/>
    <s v="12"/>
    <s v="122"/>
    <s v="0002"/>
    <x v="4"/>
    <x v="0"/>
    <x v="60"/>
    <x v="5"/>
    <s v="001-CHEFIA DE GABINETE"/>
    <s v="12-EDUCAÇÃO"/>
    <s v="122-ADMINISTRAÇÃO GERAL"/>
    <s v="0002-Governo Inteligente, Aberto e Inovador​"/>
    <s v="2.005-Promoção de Eventos, Comunicação e Participação Social "/>
    <s v="3.3.90.30.00-MATERIAL DE CONSUMO"/>
    <x v="18"/>
    <x v="0"/>
    <n v="0"/>
    <x v="1"/>
  </r>
  <r>
    <s v="08"/>
    <s v="001"/>
    <s v="12"/>
    <s v="122"/>
    <s v="0002"/>
    <x v="4"/>
    <x v="1"/>
    <x v="61"/>
    <x v="5"/>
    <s v="001-CHEFIA DE GABINETE"/>
    <s v="12-EDUCAÇÃO"/>
    <s v="122-ADMINISTRAÇÃO GERAL"/>
    <s v="0002-Governo Inteligente, Aberto e Inovador​"/>
    <s v="2.005-Promoção de Eventos, Comunicação e Participação Social "/>
    <s v="3.3.90.39.00-OUTROS SERVIÇOS DE TERCEIROS - PESSOA JURÍDICA"/>
    <x v="18"/>
    <x v="0"/>
    <n v="0"/>
    <x v="1"/>
  </r>
  <r>
    <s v="08"/>
    <s v="001"/>
    <s v="12"/>
    <s v="122"/>
    <s v="0001"/>
    <x v="0"/>
    <x v="6"/>
    <x v="74"/>
    <x v="5"/>
    <s v="001-CHEFIA DE GABINETE"/>
    <s v="12-EDUCAÇÃO"/>
    <s v="122-ADMINISTRAÇÃO GERAL"/>
    <s v="0001-Administração e Coordenação Geral​"/>
    <s v="2.011-Manutenção de Equipamentos Públicos "/>
    <s v="3.3.90.93.00-INDENIZAÇÕES E RESTITUIÇÕES"/>
    <x v="18"/>
    <x v="0"/>
    <n v="0"/>
    <x v="1"/>
  </r>
  <r>
    <s v="08"/>
    <s v="001"/>
    <s v="12"/>
    <s v="361"/>
    <s v="0016"/>
    <x v="14"/>
    <x v="0"/>
    <x v="88"/>
    <x v="5"/>
    <s v="001-CHEFIA DE GABINETE"/>
    <s v="12-EDUCAÇÃO"/>
    <s v="361-ENSINO FUNDAMENTAL"/>
    <s v="0016-Escola para Todos​"/>
    <s v="2.018-Conectividade e Tecnologia na Educação"/>
    <s v="3.3.90.30.00-MATERIAL DE CONSUMO"/>
    <x v="18"/>
    <x v="0"/>
    <n v="0"/>
    <x v="1"/>
  </r>
  <r>
    <s v="08"/>
    <s v="001"/>
    <s v="12"/>
    <s v="366"/>
    <s v="0016"/>
    <x v="15"/>
    <x v="1"/>
    <x v="96"/>
    <x v="5"/>
    <s v="001-CHEFIA DE GABINETE"/>
    <s v="12-EDUCAÇÃO"/>
    <s v="366-EDUCAÇÃO DE JOVENS E ADULTOS"/>
    <s v="0016-Escola para Todos​"/>
    <s v="2.019-Ações Pedagógicas Complementares"/>
    <s v="3.3.90.39.00-OUTROS SERVIÇOS DE TERCEIROS - PESSOA JURÍDICA"/>
    <x v="18"/>
    <x v="0"/>
    <n v="0"/>
    <x v="1"/>
  </r>
  <r>
    <s v="09"/>
    <s v="001"/>
    <s v="04"/>
    <s v="128"/>
    <s v="0002"/>
    <x v="2"/>
    <x v="10"/>
    <x v="111"/>
    <x v="6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0"/>
    <x v="1"/>
  </r>
  <r>
    <s v="09"/>
    <s v="010"/>
    <s v="10"/>
    <s v="302"/>
    <s v="0002"/>
    <x v="20"/>
    <x v="0"/>
    <x v="130"/>
    <x v="6"/>
    <s v="010-DIRETORIA GERAL DE URGÊNCIA E EMERGÊNCIA"/>
    <s v="10-SAÚDE"/>
    <s v="302-ASSISTÊNCIA HOSPITALAR E AMBULATORIAL"/>
    <s v="0002-Governo Inteligente, Aberto e Inovador​"/>
    <s v="2.014-Manutenção de Equipamentos Públicos - Atenção Hospitalar e Urgência e Emergência "/>
    <s v="3.3.90.30.00-MATERIAL DE CONSUMO"/>
    <x v="18"/>
    <x v="0"/>
    <n v="0"/>
    <x v="1"/>
  </r>
  <r>
    <s v="09"/>
    <s v="008"/>
    <s v="10"/>
    <s v="301"/>
    <s v="0015"/>
    <x v="21"/>
    <x v="19"/>
    <x v="131"/>
    <x v="6"/>
    <s v="008-DIRETORIA GERAL DE ATENÇÃO PRIMÁRIA EM SAÚDE"/>
    <s v="10-SAÚDE"/>
    <s v="301-ATENÇÃO BÁSICA"/>
    <s v="0015-Atenção e Cuidado em Saúde​"/>
    <s v="2.012-Manutenção de Equipamentos Públicos - Atenção Primária "/>
    <n v="0"/>
    <x v="18"/>
    <x v="0"/>
    <n v="0"/>
    <x v="1"/>
  </r>
  <r>
    <s v="09"/>
    <s v="008"/>
    <s v="10"/>
    <s v="301"/>
    <s v="0014"/>
    <x v="21"/>
    <x v="1"/>
    <x v="135"/>
    <x v="6"/>
    <s v="008-DIRETORIA GERAL DE ATENÇÃO PRIMÁRIA EM SAÚDE"/>
    <s v="10-SAÚDE"/>
    <s v="301-ATENÇÃO BÁSICA"/>
    <s v="0014-Gestão em Saúde​"/>
    <s v="2.012-Manutenção de Equipamentos Públicos - Atenção Primária "/>
    <s v="3.3.90.39.00-OUTROS SERVIÇOS DE TERCEIROS - PESSOA JURÍDICA"/>
    <x v="18"/>
    <x v="0"/>
    <n v="0"/>
    <x v="1"/>
  </r>
  <r>
    <s v="09"/>
    <s v="012"/>
    <s v="10"/>
    <s v="303"/>
    <s v="0015"/>
    <x v="0"/>
    <x v="16"/>
    <x v="136"/>
    <x v="6"/>
    <s v="012-FUNDO ESPECIAL DE MANUTENÇÃO DOS BOMBEIROS"/>
    <s v="10-SAÚDE"/>
    <s v="303-SUPORTE PROFILÁTICO E TERAPÊUTICO"/>
    <s v="0015-Atenção e Cuidado em Saúde​"/>
    <s v="2.011-Manutenção de Equipamentos Públicos "/>
    <s v="3.3.90.32.00-MATERIAL, BEM OU SERVIÇO PARA DISTRIBUIÇÃO GRATUITA"/>
    <x v="18"/>
    <x v="0"/>
    <n v="0"/>
    <x v="1"/>
  </r>
  <r>
    <s v="09"/>
    <s v="015"/>
    <s v="10"/>
    <s v="302"/>
    <s v="0015"/>
    <x v="20"/>
    <x v="0"/>
    <x v="141"/>
    <x v="6"/>
    <s v="015-DIRETORIA GERAL DA GESTÃO DE SAÚDE"/>
    <s v="10-SAÚDE"/>
    <s v="302-ASSISTÊNCIA HOSPITALAR E AMBULATORIAL"/>
    <s v="0015-Atenção e Cuidado em Saúde​"/>
    <s v="2.014-Manutenção de Equipamentos Públicos - Atenção Hospitalar e Urgência e Emergência "/>
    <s v="3.3.90.30.00-MATERIAL DE CONSUMO"/>
    <x v="18"/>
    <x v="0"/>
    <n v="0"/>
    <x v="1"/>
  </r>
  <r>
    <s v="09"/>
    <s v="015"/>
    <s v="10"/>
    <s v="122"/>
    <s v="0014"/>
    <x v="0"/>
    <x v="9"/>
    <x v="146"/>
    <x v="6"/>
    <s v="015-DIRETORIA GERAL DA GESTÃO DE SAÚDE"/>
    <s v="10-SAÚDE"/>
    <s v="122-ADMINISTRAÇÃO GERAL"/>
    <s v="0014-Gestão em Saúde​"/>
    <s v="2.011-Manutenção de Equipamentos Públicos "/>
    <s v="3.3.90.92.00-DESPESAS DE EXERCÍCIOS ANTERIORES"/>
    <x v="18"/>
    <x v="0"/>
    <n v="0"/>
    <x v="1"/>
  </r>
  <r>
    <s v="11"/>
    <s v="001"/>
    <s v="04"/>
    <s v="121"/>
    <s v="0011"/>
    <x v="0"/>
    <x v="8"/>
    <x v="155"/>
    <x v="7"/>
    <s v="001-CHEFIA DE GABINETE"/>
    <s v="4-ADMINISTRAÇÃO"/>
    <s v="121-PLANEJAMENTO E ORÇAMENTO"/>
    <s v="0011-Zeladoria Urbana e Cuidados com a Cidade​"/>
    <s v="2.011-Manutenção de Equipamentos Públicos "/>
    <s v="4.4.90.52.00-EQUIPAMENTOS E MATERIAL PERMANENTE"/>
    <x v="18"/>
    <x v="0"/>
    <n v="0"/>
    <x v="1"/>
  </r>
  <r>
    <s v="11"/>
    <s v="001"/>
    <s v="04"/>
    <s v="452"/>
    <s v="0011"/>
    <x v="24"/>
    <x v="1"/>
    <x v="158"/>
    <x v="7"/>
    <s v="001-CHEFIA DE GABINETE"/>
    <s v="4-ADMINISTRAÇÃO"/>
    <s v="452-SERVIÇOS URBNOS"/>
    <s v="0011-Zeladoria Urbana e Cuidados com a Cidade​"/>
    <s v="2.034-Manutenção da Infraestrutura Viária"/>
    <s v="3.3.90.39.00-OUTROS SERVIÇOS DE TERCEIROS - PESSOA JURÍDICA"/>
    <x v="18"/>
    <x v="0"/>
    <n v="0"/>
    <x v="1"/>
  </r>
  <r>
    <s v="11"/>
    <s v="001"/>
    <s v="04"/>
    <s v="121"/>
    <s v="0011"/>
    <x v="0"/>
    <x v="6"/>
    <x v="163"/>
    <x v="7"/>
    <s v="001-CHEFIA DE GABINETE"/>
    <s v="4-ADMINISTRAÇÃO"/>
    <s v="121-PLANEJAMENTO E ORÇAMENTO"/>
    <s v="0011-Zeladoria Urbana e Cuidados com a Cidade​"/>
    <s v="2.011-Manutenção de Equipamentos Públicos "/>
    <s v="3.3.90.93.00-INDENIZAÇÕES E RESTITUIÇÕES"/>
    <x v="18"/>
    <x v="0"/>
    <n v="0"/>
    <x v="1"/>
  </r>
  <r>
    <s v="11"/>
    <s v="001"/>
    <s v="15"/>
    <s v="451"/>
    <s v="0011"/>
    <x v="0"/>
    <x v="12"/>
    <x v="168"/>
    <x v="7"/>
    <s v="001-CHEFIA DE GABINETE"/>
    <s v="15-URBANISMO"/>
    <s v="451-INFRA-ESTRUTURA URBANA"/>
    <s v="0011-Zeladoria Urbana e Cuidados com a Cidade​"/>
    <s v="2.011-Manutenção de Equipamentos Públicos "/>
    <s v="4.4.90.51.00-OBRAS E INSTALAÇÕES"/>
    <x v="18"/>
    <x v="0"/>
    <n v="0"/>
    <x v="1"/>
  </r>
  <r>
    <s v="12"/>
    <s v="001"/>
    <s v="04"/>
    <s v="122"/>
    <s v="0002"/>
    <x v="30"/>
    <x v="11"/>
    <x v="173"/>
    <x v="8"/>
    <s v="001-CHEFIA DE GABINETE"/>
    <s v="4-ADMINISTRAÇÃO"/>
    <s v="122-ADMINISTRAÇÃO GERAL"/>
    <s v="0002-Governo Inteligente, Aberto e Inovador​"/>
    <s v="2.032-Iniciação Esportiva "/>
    <s v="3.3.50.39.00-OUTROS SERVIÇOS DE TERCEIROS - PESSOA JURÍDICA"/>
    <x v="18"/>
    <x v="0"/>
    <n v="0"/>
    <x v="1"/>
  </r>
  <r>
    <s v="12"/>
    <s v="001"/>
    <s v="04"/>
    <s v="122"/>
    <s v="0001"/>
    <x v="0"/>
    <x v="0"/>
    <x v="174"/>
    <x v="8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0"/>
    <x v="1"/>
  </r>
  <r>
    <s v="12"/>
    <s v="001"/>
    <s v="04"/>
    <s v="811"/>
    <s v="0010"/>
    <x v="31"/>
    <x v="7"/>
    <x v="175"/>
    <x v="8"/>
    <s v="001-CHEFIA DE GABINETE"/>
    <s v="4-ADMINISTRAÇÃO"/>
    <s v="811-DESPORTO DE RENDIMENTO"/>
    <s v="0010-Esporte, Lazer e Bem-Estar​"/>
    <s v="2.030-Apoio ao Esporte de Alto Rendimento"/>
    <s v="3.3.90.33.00-PASSAGENS E DESPESAS COM LOCOMOÇÃO"/>
    <x v="18"/>
    <x v="0"/>
    <n v="0"/>
    <x v="1"/>
  </r>
  <r>
    <s v="12"/>
    <s v="001"/>
    <s v="04"/>
    <s v="131"/>
    <s v="0010"/>
    <x v="4"/>
    <x v="1"/>
    <x v="176"/>
    <x v="8"/>
    <s v="001-CHEFIA DE GABINETE"/>
    <s v="4-ADMINISTRAÇÃO"/>
    <s v="131-COMUNICAÇÃO SOCIAL"/>
    <s v="0010-Esporte, Lazer e Bem-Estar​"/>
    <s v="2.005-Promoção de Eventos, Comunicação e Participação Social "/>
    <s v="3.3.90.39.00-OUTROS SERVIÇOS DE TERCEIROS - PESSOA JURÍDICA"/>
    <x v="18"/>
    <x v="0"/>
    <n v="0"/>
    <x v="1"/>
  </r>
  <r>
    <s v="12"/>
    <s v="001"/>
    <s v="04"/>
    <s v="122"/>
    <s v="0004"/>
    <x v="0"/>
    <x v="1"/>
    <x v="177"/>
    <x v="8"/>
    <s v="001-CHEFIA DE GABINETE"/>
    <s v="4-ADMINISTRAÇÃO"/>
    <s v="122-ADMINISTRAÇÃO GERAL"/>
    <s v="0004-Planejamento e Gestão de Políticas Públicas "/>
    <s v="2.011-Manutenção de Equipamentos Públicos "/>
    <s v="3.3.90.39.00-OUTROS SERVIÇOS DE TERCEIROS - PESSOA JURÍDICA"/>
    <x v="18"/>
    <x v="0"/>
    <n v="0"/>
    <x v="1"/>
  </r>
  <r>
    <s v="12"/>
    <s v="001"/>
    <s v="04"/>
    <s v="121"/>
    <s v="0001"/>
    <x v="0"/>
    <x v="1"/>
    <x v="179"/>
    <x v="8"/>
    <s v="001-CHEFIA DE GABINETE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0"/>
    <n v="0"/>
    <x v="1"/>
  </r>
  <r>
    <s v="12"/>
    <s v="001"/>
    <s v="04"/>
    <s v="122"/>
    <s v="0001"/>
    <x v="0"/>
    <x v="1"/>
    <x v="180"/>
    <x v="8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0"/>
    <x v="1"/>
  </r>
  <r>
    <s v="12"/>
    <s v="001"/>
    <s v="04"/>
    <s v="131"/>
    <s v="0001"/>
    <x v="3"/>
    <x v="1"/>
    <x v="181"/>
    <x v="8"/>
    <s v="001-CHEFIA DE GABINETE"/>
    <s v="4-ADMINISTRAÇÃO"/>
    <s v="131-COMUNICAÇÃO SOCIAL"/>
    <s v="0001-Administração e Coordenação Geral​"/>
    <s v="2.006-Representações Oficiais "/>
    <s v="3.3.90.39.00-OUTROS SERVIÇOS DE TERCEIROS - PESSOA JURÍDICA"/>
    <x v="18"/>
    <x v="0"/>
    <n v="0"/>
    <x v="1"/>
  </r>
  <r>
    <s v="12"/>
    <s v="001"/>
    <s v="04"/>
    <s v="121"/>
    <s v="0001"/>
    <x v="30"/>
    <x v="9"/>
    <x v="182"/>
    <x v="8"/>
    <s v="001-CHEFIA DE GABINETE"/>
    <s v="4-ADMINISTRAÇÃO"/>
    <s v="121-PLANEJAMENTO E ORÇAMENTO"/>
    <s v="0001-Administração e Coordenação Geral​"/>
    <s v="2.032-Iniciação Esportiva "/>
    <s v="3.3.90.92.00-DESPESAS DE EXERCÍCIOS ANTERIORES"/>
    <x v="18"/>
    <x v="0"/>
    <n v="0"/>
    <x v="1"/>
  </r>
  <r>
    <s v="12"/>
    <s v="001"/>
    <s v="04"/>
    <s v="122"/>
    <s v="0001"/>
    <x v="3"/>
    <x v="6"/>
    <x v="184"/>
    <x v="8"/>
    <s v="001-CHEFIA DE GABINETE"/>
    <s v="4-ADMINISTRAÇÃO"/>
    <s v="122-ADMINISTRAÇÃO GERAL"/>
    <s v="0001-Administração e Coordenação Geral​"/>
    <s v="2.006-Representações Oficiais "/>
    <s v="3.3.90.93.00-INDENIZAÇÕES E RESTITUIÇÕES"/>
    <x v="18"/>
    <x v="0"/>
    <n v="0"/>
    <x v="1"/>
  </r>
  <r>
    <s v="12"/>
    <s v="001"/>
    <s v="04"/>
    <s v="121"/>
    <s v="0010"/>
    <x v="31"/>
    <x v="8"/>
    <x v="186"/>
    <x v="8"/>
    <s v="001-CHEFIA DE GABINETE"/>
    <s v="4-ADMINISTRAÇÃO"/>
    <s v="121-PLANEJAMENTO E ORÇAMENTO"/>
    <s v="0010-Esporte, Lazer e Bem-Estar​"/>
    <s v="2.030-Apoio ao Esporte de Alto Rendimento"/>
    <s v="4.4.90.52.00-EQUIPAMENTOS E MATERIAL PERMANENTE"/>
    <x v="18"/>
    <x v="0"/>
    <n v="0"/>
    <x v="1"/>
  </r>
  <r>
    <s v="12"/>
    <s v="001"/>
    <s v="04"/>
    <s v="122"/>
    <s v="0002"/>
    <x v="32"/>
    <x v="1"/>
    <x v="187"/>
    <x v="8"/>
    <s v="001-CHEFIA DE GABINETE"/>
    <s v="4-ADMINISTRAÇÃO"/>
    <s v="122-ADMINISTRAÇÃO GERAL"/>
    <s v="0002-Governo Inteligente, Aberto e Inovador​"/>
    <s v="2.028-Disseminação de Atividades Culturais e Esportivas Decentralizadas"/>
    <s v="3.3.90.39.00-OUTROS SERVIÇOS DE TERCEIROS - PESSOA JURÍDICA"/>
    <x v="18"/>
    <x v="0"/>
    <n v="0"/>
    <x v="1"/>
  </r>
  <r>
    <s v="12"/>
    <s v="001"/>
    <s v="27"/>
    <s v="811"/>
    <s v="0010"/>
    <x v="33"/>
    <x v="14"/>
    <x v="188"/>
    <x v="8"/>
    <s v="001-CHEFIA DE GABINETE"/>
    <s v="27-DESPORTO E LAZER"/>
    <s v="811-DESPORTO DE RENDIMENTO"/>
    <s v="0010-Esporte, Lazer e Bem-Estar​"/>
    <s v="2.031-Esporte Amador "/>
    <s v="3.3.90.31.00-PREMIAÇÕES CULTURAIS, ARTÍSTICAS, CIENTÍFICAS, DESPORTIVAS E OUTRAS"/>
    <x v="18"/>
    <x v="0"/>
    <n v="0"/>
    <x v="1"/>
  </r>
  <r>
    <s v="12"/>
    <s v="001"/>
    <s v="27"/>
    <s v="812"/>
    <s v="0010"/>
    <x v="30"/>
    <x v="10"/>
    <x v="189"/>
    <x v="8"/>
    <s v="001-CHEFIA DE GABINETE"/>
    <s v="27-DESPORTO E LAZER"/>
    <s v="812-DESPORTO COMUNITÁRIO"/>
    <s v="0010-Esporte, Lazer e Bem-Estar​"/>
    <s v="2.032-Iniciação Esportiva "/>
    <s v="3.3.90.36.00-OUTROS SERVIÇOS DE TERCEIROS - PESSOA FÍSICA"/>
    <x v="18"/>
    <x v="0"/>
    <n v="0"/>
    <x v="1"/>
  </r>
  <r>
    <s v="12"/>
    <s v="001"/>
    <s v="27"/>
    <s v="812"/>
    <s v="0010"/>
    <x v="31"/>
    <x v="1"/>
    <x v="190"/>
    <x v="8"/>
    <s v="001-CHEFIA DE GABINETE"/>
    <s v="27-DESPORTO E LAZER"/>
    <s v="812-DESPORTO COMUNITÁRIO"/>
    <s v="0010-Esporte, Lazer e Bem-Estar​"/>
    <s v="2.030-Apoio ao Esporte de Alto Rendimento"/>
    <s v="3.3.90.39.00-OUTROS SERVIÇOS DE TERCEIROS - PESSOA JURÍDICA"/>
    <x v="18"/>
    <x v="0"/>
    <n v="0"/>
    <x v="1"/>
  </r>
  <r>
    <s v="12"/>
    <s v="001"/>
    <s v="27"/>
    <s v="812"/>
    <s v="0010"/>
    <x v="3"/>
    <x v="1"/>
    <x v="191"/>
    <x v="8"/>
    <s v="001-CHEFIA DE GABINETE"/>
    <s v="27-DESPORTO E LAZER"/>
    <s v="812-DESPORTO COMUNITÁRIO"/>
    <s v="0010-Esporte, Lazer e Bem-Estar​"/>
    <s v="2.006-Representações Oficiais "/>
    <s v="3.3.90.39.00-OUTROS SERVIÇOS DE TERCEIROS - PESSOA JURÍDICA"/>
    <x v="18"/>
    <x v="0"/>
    <n v="0"/>
    <x v="1"/>
  </r>
  <r>
    <s v="12"/>
    <s v="001"/>
    <s v="27"/>
    <s v="812"/>
    <s v="0001"/>
    <x v="30"/>
    <x v="1"/>
    <x v="193"/>
    <x v="8"/>
    <s v="001-CHEFIA DE GABINETE"/>
    <s v="27-DESPORTO E LAZER"/>
    <s v="812-DESPORTO COMUNITÁRIO"/>
    <s v="0001-Administração e Coordenação Geral​"/>
    <s v="2.032-Iniciação Esportiva "/>
    <s v="3.3.90.39.00-OUTROS SERVIÇOS DE TERCEIROS - PESSOA JURÍDICA"/>
    <x v="18"/>
    <x v="0"/>
    <n v="0"/>
    <x v="1"/>
  </r>
  <r>
    <s v="13"/>
    <s v="001"/>
    <s v="04"/>
    <s v="122"/>
    <s v="0001"/>
    <x v="2"/>
    <x v="10"/>
    <x v="199"/>
    <x v="9"/>
    <s v="001-CHEFIA DE GABINETE"/>
    <s v="4-ADMINISTRAÇÃO"/>
    <s v="122-ADMINISTRAÇÃO GERAL"/>
    <s v="0001-Administração e Coordenação Geral​"/>
    <s v="2.003-Qualificação de Servidores e Processos Institucionais"/>
    <s v="3.3.90.36.00-OUTROS SERVIÇOS DE TERCEIROS - PESSOA FÍSICA"/>
    <x v="18"/>
    <x v="0"/>
    <n v="0"/>
    <x v="1"/>
  </r>
  <r>
    <s v="13"/>
    <s v="001"/>
    <s v="04"/>
    <s v="122"/>
    <s v="0001"/>
    <x v="2"/>
    <x v="1"/>
    <x v="200"/>
    <x v="9"/>
    <s v="001-CHEFIA DE GABINETE"/>
    <s v="4-ADMINISTRAÇÃO"/>
    <s v="122-ADMINISTRAÇÃO GERAL"/>
    <s v="0001-Administração e Coordenação Geral​"/>
    <s v="2.003-Qualificação de Servidores e Processos Institucionais"/>
    <s v="3.3.90.39.00-OUTROS SERVIÇOS DE TERCEIROS - PESSOA JURÍDICA"/>
    <x v="18"/>
    <x v="0"/>
    <n v="0"/>
    <x v="1"/>
  </r>
  <r>
    <s v="13"/>
    <s v="001"/>
    <s v="04"/>
    <s v="122"/>
    <s v="0001"/>
    <x v="4"/>
    <x v="6"/>
    <x v="201"/>
    <x v="9"/>
    <s v="001-CHEFIA DE GABINETE"/>
    <s v="4-ADMINISTRAÇÃO"/>
    <s v="122-ADMINISTRAÇÃO GERAL"/>
    <s v="0001-Administração e Coordenação Geral​"/>
    <s v="2.005-Promoção de Eventos, Comunicação e Participação Social "/>
    <s v="3.3.90.93.00-INDENIZAÇÕES E RESTITUIÇÕES"/>
    <x v="18"/>
    <x v="0"/>
    <n v="0"/>
    <x v="1"/>
  </r>
  <r>
    <s v="13"/>
    <s v="008"/>
    <s v="04"/>
    <s v="122"/>
    <s v="0001"/>
    <x v="4"/>
    <x v="6"/>
    <x v="202"/>
    <x v="9"/>
    <s v="008-DIRETORIA GERAL DE ATENÇÃO PRIMÁRIA EM SAÚDE"/>
    <s v="4-ADMINISTRAÇÃO"/>
    <s v="122-ADMINISTRAÇÃO GERAL"/>
    <s v="0001-Administração e Coordenação Geral​"/>
    <s v="2.005-Promoção de Eventos, Comunicação e Participação Social "/>
    <s v="3.3.90.93.00-INDENIZAÇÕES E RESTITUIÇÕES"/>
    <x v="18"/>
    <x v="0"/>
    <n v="0"/>
    <x v="1"/>
  </r>
  <r>
    <s v="13"/>
    <s v="001"/>
    <s v="04"/>
    <s v="122"/>
    <s v="0001"/>
    <x v="4"/>
    <x v="1"/>
    <x v="203"/>
    <x v="9"/>
    <s v="001-CHEFIA DE GABINETE"/>
    <s v="4-ADMINISTRAÇÃO"/>
    <s v="122-ADMINISTRAÇÃO GERAL"/>
    <s v="0001-Administração e Coordenação Geral​"/>
    <s v="2.005-Promoção de Eventos, Comunicação e Participação Social "/>
    <s v="3.3.90.39.00-OUTROS SERVIÇOS DE TERCEIROS - PESSOA JURÍDICA"/>
    <x v="18"/>
    <x v="0"/>
    <n v="0"/>
    <x v="1"/>
  </r>
  <r>
    <s v="14"/>
    <s v="001"/>
    <s v="08"/>
    <s v="246"/>
    <s v="0019"/>
    <x v="38"/>
    <x v="1"/>
    <x v="222"/>
    <x v="10"/>
    <s v="001-CHEFIA DE GABINETE"/>
    <s v="8-ASSISTÊNCIA SOCIAL"/>
    <s v="246-SEGURANÇA DE RENDA"/>
    <s v="0019-Segurança Alimentar e Combate à Pobreza​"/>
    <s v="2.024-Distribuição de Alimentos e Benefícios para as Famílias em Situação de Vulnerabilidade"/>
    <s v="3.3.90.39.00-OUTROS SERVIÇOS DE TERCEIROS - PESSOA JURÍDICA"/>
    <x v="18"/>
    <x v="0"/>
    <n v="0"/>
    <x v="1"/>
  </r>
  <r>
    <s v="14"/>
    <s v="005"/>
    <s v="08"/>
    <s v="245"/>
    <s v="0018"/>
    <x v="0"/>
    <x v="1"/>
    <x v="244"/>
    <x v="10"/>
    <s v="005-FUNDO MUNICIPAL DE ASSISTÊNCIA SOCIAL"/>
    <s v="8-ASSISTÊNCIA SOCIAL"/>
    <s v="245-SERVIÇOS SOCIOASSISTENCIAIS"/>
    <s v="0018-Proteção Social e Garantia de Direitos​"/>
    <s v="2.011-Manutenção de Equipamentos Públicos "/>
    <s v="3.3.90.39.00-OUTROS SERVIÇOS DE TERCEIROS - PESSOA JURÍDICA"/>
    <x v="18"/>
    <x v="0"/>
    <n v="0"/>
    <x v="1"/>
  </r>
  <r>
    <s v="14"/>
    <s v="005"/>
    <s v="08"/>
    <s v="245"/>
    <s v="0018"/>
    <x v="40"/>
    <x v="10"/>
    <x v="245"/>
    <x v="10"/>
    <s v="005-FUNDO MUNICIPAL DE ASSISTÊNCIA SOCIAL"/>
    <s v="8-ASSISTÊNCIA SOCIAL"/>
    <s v="245-SERVIÇOS SOCIOASSISTENCIAIS"/>
    <s v="0018-Proteção Social e Garantia de Direitos​"/>
    <s v="2.016-Manutenção de Equipamentos Públicos - Proteção Especial "/>
    <s v="3.3.90.36.00-OUTROS SERVIÇOS DE TERCEIROS - PESSOA FÍSICA"/>
    <x v="18"/>
    <x v="0"/>
    <n v="0"/>
    <x v="1"/>
  </r>
  <r>
    <s v="14"/>
    <s v="008"/>
    <s v="08"/>
    <s v="245"/>
    <s v="0018"/>
    <x v="40"/>
    <x v="1"/>
    <x v="257"/>
    <x v="10"/>
    <s v="008-DIRETORIA GERAL DE ATENÇÃO PRIMÁRIA EM SAÚDE"/>
    <s v="8-ASSISTÊNCIA SOCIAL"/>
    <s v="245-SERVIÇOS SOCIOASSISTENCIAIS"/>
    <s v="0018-Proteção Social e Garantia de Direitos​"/>
    <s v="2.016-Manutenção de Equipamentos Públicos - Proteção Especial "/>
    <s v="3.3.90.39.00-OUTROS SERVIÇOS DE TERCEIROS - PESSOA JURÍDICA"/>
    <x v="18"/>
    <x v="0"/>
    <n v="0"/>
    <x v="1"/>
  </r>
  <r>
    <s v="15"/>
    <s v="001"/>
    <s v="13"/>
    <s v="131"/>
    <s v="0009"/>
    <x v="4"/>
    <x v="1"/>
    <x v="268"/>
    <x v="11"/>
    <s v="001-CHEFIA DE GABINETE"/>
    <s v="13-CULTURA"/>
    <s v="131-COMUNICAÇÃO SOCIAL"/>
    <s v="0009-Cultura, Economia Criativa e Patrimônio Histórico​"/>
    <s v="2.005-Promoção de Eventos, Comunicação e Participação Social "/>
    <s v="3.3.90.39.00-OUTROS SERVIÇOS DE TERCEIROS - PESSOA JURÍDICA"/>
    <x v="18"/>
    <x v="0"/>
    <n v="0"/>
    <x v="1"/>
  </r>
  <r>
    <s v="15"/>
    <s v="001"/>
    <s v="13"/>
    <s v="392"/>
    <s v="0001"/>
    <x v="0"/>
    <x v="0"/>
    <x v="277"/>
    <x v="11"/>
    <s v="001-CHEFIA DE GABINETE"/>
    <s v="13-CULTURA"/>
    <s v="392-DIFUSÃO CULTURAL"/>
    <s v="0001-Administração e Coordenação Geral​"/>
    <s v="2.011-Manutenção de Equipamentos Públicos "/>
    <s v="3.3.90.30.00-MATERIAL DE CONSUMO"/>
    <x v="18"/>
    <x v="0"/>
    <n v="0"/>
    <x v="1"/>
  </r>
  <r>
    <s v="16"/>
    <s v="001"/>
    <s v="23"/>
    <s v="131"/>
    <s v="0002"/>
    <x v="4"/>
    <x v="1"/>
    <x v="279"/>
    <x v="12"/>
    <s v="001-CHEFIA DE GABINETE"/>
    <s v="23-COMÉRCIO E SERVIÇOS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0"/>
    <x v="1"/>
  </r>
  <r>
    <s v="17"/>
    <s v="001"/>
    <s v="04"/>
    <s v="122"/>
    <s v="0007"/>
    <x v="0"/>
    <x v="0"/>
    <x v="281"/>
    <x v="13"/>
    <s v="001-CHEFIA DE GABINETE"/>
    <s v="4-ADMINISTRAÇÃO"/>
    <s v="122-ADMINISTRAÇÃO GERAL"/>
    <s v="0007-Meio Ambiente, Sustentabilidade e Bem-Estar Animal​"/>
    <s v="2.011-Manutenção de Equipamentos Públicos "/>
    <s v="3.3.90.30.00-MATERIAL DE CONSUMO"/>
    <x v="18"/>
    <x v="0"/>
    <n v="0"/>
    <x v="1"/>
  </r>
  <r>
    <s v="17"/>
    <s v="001"/>
    <s v="04"/>
    <s v="541"/>
    <s v="0007"/>
    <x v="0"/>
    <x v="18"/>
    <x v="282"/>
    <x v="13"/>
    <s v="001-CHEFIA DE GABINETE"/>
    <s v="4-ADMINISTRAÇÃO"/>
    <s v="541-PRESERVAÇÃO E CONSERVAÇÃO AMBIENTAL"/>
    <s v="0007-Meio Ambiente, Sustentabilidade e Bem-Estar Animal​"/>
    <s v="2.011-Manutenção de Equipamentos Públicos "/>
    <s v="3.3.50.85.00-CONTRATO DE GESTÃO"/>
    <x v="18"/>
    <x v="0"/>
    <n v="0"/>
    <x v="1"/>
  </r>
  <r>
    <s v="17"/>
    <s v="001"/>
    <s v="04"/>
    <s v="541"/>
    <s v="0007"/>
    <x v="0"/>
    <x v="1"/>
    <x v="283"/>
    <x v="13"/>
    <s v="001-CHEFIA DE GABINETE"/>
    <s v="4-ADMINISTRAÇÃO"/>
    <s v="541-PRESERVAÇÃO E CONSERVAÇÃO AMBIENTAL"/>
    <s v="0007-Meio Ambiente, Sustentabilidade e Bem-Estar Animal​"/>
    <s v="2.011-Manutenção de Equipamentos Públicos "/>
    <s v="3.3.90.39.00-OUTROS SERVIÇOS DE TERCEIROS - PESSOA JURÍDICA"/>
    <x v="18"/>
    <x v="0"/>
    <n v="0"/>
    <x v="1"/>
  </r>
  <r>
    <s v="17"/>
    <s v="001"/>
    <s v="04"/>
    <s v="122"/>
    <s v="0007"/>
    <x v="0"/>
    <x v="1"/>
    <x v="286"/>
    <x v="13"/>
    <s v="001-CHEFIA DE GABINETE"/>
    <s v="4-ADMINISTRAÇÃO"/>
    <s v="122-ADMINISTRAÇÃO GERAL"/>
    <s v="0007-Meio Ambiente, Sustentabilidade e Bem-Estar Animal​"/>
    <s v="2.011-Manutenção de Equipamentos Públicos "/>
    <s v="3.3.90.39.00-OUTROS SERVIÇOS DE TERCEIROS - PESSOA JURÍDICA"/>
    <x v="18"/>
    <x v="0"/>
    <n v="0"/>
    <x v="1"/>
  </r>
  <r>
    <s v="17"/>
    <s v="001"/>
    <s v="18"/>
    <s v="122"/>
    <s v="0001"/>
    <x v="0"/>
    <x v="6"/>
    <x v="293"/>
    <x v="13"/>
    <s v="001-CHEFIA DE GABINETE"/>
    <s v="18-GESTÃO AMBIENTAL"/>
    <s v="122-ADMINISTRAÇÃO GERAL"/>
    <s v="0001-Administração e Coordenação Geral​"/>
    <s v="2.011-Manutenção de Equipamentos Públicos "/>
    <s v="3.3.90.93.00-INDENIZAÇÕES E RESTITUIÇÕES"/>
    <x v="18"/>
    <x v="0"/>
    <n v="0"/>
    <x v="1"/>
  </r>
  <r>
    <s v="18"/>
    <s v="002"/>
    <s v="04"/>
    <s v="122"/>
    <s v="0001"/>
    <x v="0"/>
    <x v="9"/>
    <x v="298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92.00-DESPESAS DE EXERCÍCIOS ANTERIORES"/>
    <x v="18"/>
    <x v="0"/>
    <n v="0"/>
    <x v="1"/>
  </r>
  <r>
    <s v="18"/>
    <s v="002"/>
    <s v="04"/>
    <s v="122"/>
    <s v="0001"/>
    <x v="0"/>
    <x v="6"/>
    <x v="300"/>
    <x v="14"/>
    <s v="002-RECURSOS SOB A SUPERVISÃO DA SECRETARIA DE ADMINISTRAÇÃO"/>
    <s v="4-ADMINISTRAÇÃO"/>
    <s v="122-ADMINISTRAÇÃO GERAL"/>
    <s v="0001-Administração e Coordenação Geral​"/>
    <s v="2.011-Manutenção de Equipamentos Públicos "/>
    <s v="3.3.90.93.00-INDENIZAÇÕES E RESTITUIÇÕES"/>
    <x v="18"/>
    <x v="0"/>
    <n v="0"/>
    <x v="1"/>
  </r>
  <r>
    <s v="18"/>
    <s v="002"/>
    <s v="04"/>
    <s v="122"/>
    <s v="0001"/>
    <x v="43"/>
    <x v="9"/>
    <x v="307"/>
    <x v="14"/>
    <s v="002-RECURSOS SOB A SUPERVISÃO DA SECRETARIA DE ADMINISTRAÇÃO"/>
    <s v="4-ADMINISTRAÇÃO"/>
    <s v="122-ADMINISTRAÇÃO GERAL"/>
    <s v="0001-Administração e Coordenação Geral​"/>
    <s v="2.009-Locação de Imóveis"/>
    <s v="3.3.90.92.00-DESPESAS DE EXERCÍCIOS ANTERIORES"/>
    <x v="18"/>
    <x v="0"/>
    <n v="0"/>
    <x v="1"/>
  </r>
  <r>
    <s v="18"/>
    <s v="001"/>
    <s v="04"/>
    <s v="122"/>
    <s v="0001"/>
    <x v="0"/>
    <x v="23"/>
    <x v="311"/>
    <x v="15"/>
    <s v="001-CHEFIA DE GABINETE"/>
    <s v="4-ADMINISTRAÇÃO"/>
    <s v="122-ADMINISTRAÇÃO GERAL"/>
    <s v="0001-Administração e Coordenação Geral​"/>
    <s v="2.011-Manutenção de Equipamentos Públicos "/>
    <s v="3.3.90.91.00-SENTENÇAS JUDICIAIS"/>
    <x v="18"/>
    <x v="0"/>
    <n v="0"/>
    <x v="1"/>
  </r>
  <r>
    <s v="23"/>
    <s v="001"/>
    <s v="04"/>
    <s v="122"/>
    <s v="0001"/>
    <x v="4"/>
    <x v="8"/>
    <x v="347"/>
    <x v="19"/>
    <s v="001-CHEFIA DE GABINETE"/>
    <s v="4-ADMINISTRAÇÃO"/>
    <s v="122-ADMINISTRAÇÃO GERAL"/>
    <s v="0001-Administração e Coordenação Geral​"/>
    <s v="2.005-Promoção de Eventos, Comunicação e Participação Social "/>
    <s v="4.4.90.52.00-EQUIPAMENTOS E MATERIAL PERMANENTE"/>
    <x v="18"/>
    <x v="0"/>
    <n v="0"/>
    <x v="1"/>
  </r>
  <r>
    <s v="23"/>
    <s v="001"/>
    <s v="04"/>
    <s v="128"/>
    <s v="0002"/>
    <x v="2"/>
    <x v="8"/>
    <x v="351"/>
    <x v="19"/>
    <s v="001-CHEFIA DE GABINETE"/>
    <s v="4-ADMINISTRAÇÃO"/>
    <s v="128-FORMAÇÃO DE RECURSOS HUMANOS"/>
    <s v="0002-Governo Inteligente, Aberto e Inovador​"/>
    <s v="2.003-Qualificação de Servidores e Processos Institucionais"/>
    <s v="4.4.90.52.00-EQUIPAMENTOS E MATERIAL PERMANENTE"/>
    <x v="18"/>
    <x v="0"/>
    <n v="0"/>
    <x v="1"/>
  </r>
  <r>
    <s v="23"/>
    <s v="001"/>
    <s v="04"/>
    <s v="131"/>
    <s v="0002"/>
    <x v="4"/>
    <x v="8"/>
    <x v="352"/>
    <x v="19"/>
    <s v="001-CHEFIA DE GABINETE"/>
    <s v="4-ADMINISTRAÇÃO"/>
    <s v="131-COMUNICAÇÃO SOCIAL"/>
    <s v="0002-Governo Inteligente, Aberto e Inovador​"/>
    <s v="2.005-Promoção de Eventos, Comunicação e Participação Social "/>
    <s v="4.4.90.52.00-EQUIPAMENTOS E MATERIAL PERMANENTE"/>
    <x v="18"/>
    <x v="0"/>
    <n v="0"/>
    <x v="1"/>
  </r>
  <r>
    <s v="24"/>
    <s v="001"/>
    <s v="04"/>
    <s v="121"/>
    <s v="0001"/>
    <x v="0"/>
    <x v="1"/>
    <x v="355"/>
    <x v="20"/>
    <s v="001-CHEFIA DE GABINETE"/>
    <s v="4-ADMINISTRAÇÃO"/>
    <s v="121-PLANEJAMENTO E ORÇAMENTO"/>
    <s v="0001-Administração e Coordenação Geral​"/>
    <s v="2.011-Manutenção de Equipamentos Públicos "/>
    <s v="3.3.90.39.00-OUTROS SERVIÇOS DE TERCEIROS - PESSOA JURÍDICA"/>
    <x v="18"/>
    <x v="0"/>
    <n v="0"/>
    <x v="1"/>
  </r>
  <r>
    <s v="24"/>
    <s v="001"/>
    <s v="04"/>
    <s v="121"/>
    <s v="0001"/>
    <x v="0"/>
    <x v="0"/>
    <x v="356"/>
    <x v="20"/>
    <s v="001-CHEFIA DE GABINETE"/>
    <s v="4-ADMINISTRAÇÃO"/>
    <s v="121-PLANEJAMENTO E ORÇAMENTO"/>
    <s v="0001-Administração e Coordenação Geral​"/>
    <s v="2.011-Manutenção de Equipamentos Públicos "/>
    <s v="3.3.90.30.00-MATERIAL DE CONSUMO"/>
    <x v="18"/>
    <x v="0"/>
    <n v="0"/>
    <x v="1"/>
  </r>
  <r>
    <s v="24"/>
    <s v="001"/>
    <s v="04"/>
    <s v="121"/>
    <s v="0001"/>
    <x v="0"/>
    <x v="8"/>
    <x v="357"/>
    <x v="20"/>
    <s v="001-CHEFIA DE GABINETE"/>
    <s v="4-ADMINISTRAÇÃO"/>
    <s v="121-PLANEJAMENTO E ORÇAMENTO"/>
    <s v="0001-Administração e Coordenação Geral​"/>
    <s v="2.011-Manutenção de Equipamentos Públicos "/>
    <s v="4.4.90.52.00-EQUIPAMENTOS E MATERIAL PERMANENTE"/>
    <x v="18"/>
    <x v="0"/>
    <n v="0"/>
    <x v="1"/>
  </r>
  <r>
    <s v="24"/>
    <s v="001"/>
    <s v="04"/>
    <s v="121"/>
    <s v="0001"/>
    <x v="1"/>
    <x v="5"/>
    <x v="358"/>
    <x v="20"/>
    <s v="001-CHEFIA DE GABINETE"/>
    <s v="4-ADMINISTRAÇÃO"/>
    <s v="121-PLANEJAMENTO E ORÇAMENTO"/>
    <s v="0001-Administração e Coordenação Geral​"/>
    <s v="2.007-Ampliação e Manutenção de Sistemas de Inteligência, Fiscalização e Tecnologia"/>
    <s v="3.3.90.40.00-SERVIÇOS DE TECNOLOGIA DA INFORMAÇÃO E COMUNICAÇÃO - PESSOA JURÍDICA"/>
    <x v="18"/>
    <x v="0"/>
    <n v="0"/>
    <x v="1"/>
  </r>
  <r>
    <s v="24"/>
    <s v="001"/>
    <s v="04"/>
    <s v="121"/>
    <s v="0001"/>
    <x v="4"/>
    <x v="14"/>
    <x v="359"/>
    <x v="20"/>
    <s v="001-CHEFIA DE GABINETE"/>
    <s v="4-ADMINISTRAÇÃO"/>
    <s v="121-PLANEJAMENTO E ORÇAMENTO"/>
    <s v="0001-Administração e Coordenação Geral​"/>
    <s v="2.005-Promoção de Eventos, Comunicação e Participação Social "/>
    <s v="3.3.90.31.00-PREMIAÇÕES CULTURAIS, ARTÍSTICAS, CIENTÍFICAS, DESPORTIVAS E OUTRAS"/>
    <x v="18"/>
    <x v="0"/>
    <n v="0"/>
    <x v="1"/>
  </r>
  <r>
    <s v="24"/>
    <s v="001"/>
    <s v="04"/>
    <s v="121"/>
    <s v="0001"/>
    <x v="4"/>
    <x v="0"/>
    <x v="360"/>
    <x v="20"/>
    <s v="001-CHEFIA DE GABINETE"/>
    <s v="4-ADMINISTRAÇÃO"/>
    <s v="121-PLANEJAMENTO E ORÇAMENTO"/>
    <s v="0001-Administração e Coordenação Geral​"/>
    <s v="2.005-Promoção de Eventos, Comunicação e Participação Social "/>
    <s v="3.3.90.30.00-MATERIAL DE CONSUMO"/>
    <x v="18"/>
    <x v="0"/>
    <n v="0"/>
    <x v="1"/>
  </r>
  <r>
    <s v="24"/>
    <s v="001"/>
    <s v="04"/>
    <s v="121"/>
    <s v="0001"/>
    <x v="4"/>
    <x v="1"/>
    <x v="361"/>
    <x v="20"/>
    <s v="001-CHEFIA DE GABINETE"/>
    <s v="4-ADMINISTRAÇÃO"/>
    <s v="121-PLANEJAMENTO E ORÇAMENTO"/>
    <s v="0001-Administração e Coordenação Geral​"/>
    <s v="2.005-Promoção de Eventos, Comunicação e Participação Social "/>
    <s v="3.3.90.39.00-OUTROS SERVIÇOS DE TERCEIROS - PESSOA JURÍDICA"/>
    <x v="18"/>
    <x v="0"/>
    <n v="0"/>
    <x v="1"/>
  </r>
  <r>
    <s v="24"/>
    <s v="001"/>
    <s v="04"/>
    <s v="121"/>
    <s v="0001"/>
    <x v="0"/>
    <x v="12"/>
    <x v="362"/>
    <x v="20"/>
    <s v="001-CHEFIA DE GABINETE"/>
    <s v="4-ADMINISTRAÇÃO"/>
    <s v="121-PLANEJAMENTO E ORÇAMENTO"/>
    <s v="0001-Administração e Coordenação Geral​"/>
    <s v="2.011-Manutenção de Equipamentos Públicos "/>
    <s v="4.4.90.51.00-OBRAS E INSTALAÇÕES"/>
    <x v="18"/>
    <x v="0"/>
    <n v="0"/>
    <x v="1"/>
  </r>
  <r>
    <s v="27"/>
    <s v="001"/>
    <s v="04"/>
    <s v="126"/>
    <s v="0001"/>
    <x v="1"/>
    <x v="1"/>
    <x v="367"/>
    <x v="21"/>
    <s v="001-CHEFIA DE GABINETE"/>
    <s v="4-ADMINISTRAÇÃO"/>
    <s v="126-TECNOLOGIA DA INFORMATIZAÇÃO"/>
    <s v="0001-Administração e Coordenação Geral​"/>
    <s v="2.007-Ampliação e Manutenção de Sistemas de Inteligência, Fiscalização e Tecnologia"/>
    <s v="3.3.90.39.00-OUTROS SERVIÇOS DE TERCEIROS - PESSOA JURÍDICA"/>
    <x v="18"/>
    <x v="0"/>
    <n v="0"/>
    <x v="1"/>
  </r>
  <r>
    <s v="27"/>
    <s v="001"/>
    <s v="04"/>
    <s v="126"/>
    <s v="0001"/>
    <x v="1"/>
    <x v="5"/>
    <x v="368"/>
    <x v="21"/>
    <s v="001-CHEFIA DE GABINETE"/>
    <s v="4-ADMINISTRAÇÃO"/>
    <s v="126-TECNOLOGIA DA INFORMATIZAÇÃO"/>
    <s v="0001-Administração e Coordenação Geral​"/>
    <s v="2.007-Ampliação e Manutenção de Sistemas de Inteligência, Fiscalização e Tecnologia"/>
    <s v="3.3.90.40.00-SERVIÇOS DE TECNOLOGIA DA INFORMAÇÃO E COMUNICAÇÃO - PESSOA JURÍDICA"/>
    <x v="18"/>
    <x v="0"/>
    <n v="0"/>
    <x v="1"/>
  </r>
  <r>
    <s v="27"/>
    <s v="001"/>
    <s v="04"/>
    <s v="131"/>
    <s v="0002"/>
    <x v="4"/>
    <x v="0"/>
    <x v="370"/>
    <x v="21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0"/>
    <x v="1"/>
  </r>
  <r>
    <s v="27"/>
    <s v="001"/>
    <s v="04"/>
    <s v="131"/>
    <s v="0002"/>
    <x v="4"/>
    <x v="8"/>
    <x v="372"/>
    <x v="21"/>
    <s v="001-CHEFIA DE GABINETE"/>
    <s v="4-ADMINISTRAÇÃO"/>
    <s v="131-COMUNICAÇÃO SOCIAL"/>
    <s v="0002-Governo Inteligente, Aberto e Inovador​"/>
    <s v="2.005-Promoção de Eventos, Comunicação e Participação Social "/>
    <s v="4.4.90.52.00-EQUIPAMENTOS E MATERIAL PERMANENTE"/>
    <x v="18"/>
    <x v="0"/>
    <n v="0"/>
    <x v="1"/>
  </r>
  <r>
    <s v="28"/>
    <s v="001"/>
    <s v="04"/>
    <s v="122"/>
    <s v="0001"/>
    <x v="0"/>
    <x v="8"/>
    <x v="386"/>
    <x v="22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28"/>
    <s v="007"/>
    <s v="04"/>
    <s v="131"/>
    <s v="0001"/>
    <x v="4"/>
    <x v="1"/>
    <x v="387"/>
    <x v="22"/>
    <s v="007-DEPARTAMENTO DE PROTEÇÃO SOCIAL BÁSICA"/>
    <s v="4-ADMINISTRAÇÃO"/>
    <s v="131-COMUNICAÇÃO SOCIAL"/>
    <s v="0001-Administração e Coordenação Geral​"/>
    <s v="2.005-Promoção de Eventos, Comunicação e Participação Social "/>
    <s v="3.3.90.39.00-OUTROS SERVIÇOS DE TERCEIROS - PESSOA JURÍDICA"/>
    <x v="18"/>
    <x v="0"/>
    <n v="0"/>
    <x v="1"/>
  </r>
  <r>
    <s v="28"/>
    <s v="007"/>
    <s v="04"/>
    <s v="122"/>
    <s v="0001"/>
    <x v="4"/>
    <x v="0"/>
    <x v="388"/>
    <x v="22"/>
    <s v="007-DEPARTAMENTO DE PROTEÇÃO SOCIAL BÁSICA"/>
    <s v="4-ADMINISTRAÇÃO"/>
    <s v="122-ADMINISTRAÇÃO GERAL"/>
    <s v="0001-Administração e Coordenação Geral​"/>
    <s v="2.005-Promoção de Eventos, Comunicação e Participação Social "/>
    <s v="3.3.90.30.00-MATERIAL DE CONSUMO"/>
    <x v="18"/>
    <x v="0"/>
    <n v="0"/>
    <x v="1"/>
  </r>
  <r>
    <s v="31"/>
    <s v="001"/>
    <s v="04"/>
    <s v="122"/>
    <s v="0001"/>
    <x v="0"/>
    <x v="0"/>
    <x v="393"/>
    <x v="24"/>
    <s v="001-CHEFIA DE GABINETE"/>
    <s v="4-ADMINISTRAÇÃO"/>
    <s v="122-ADMINISTRAÇÃO GERAL"/>
    <s v="0001-Administração e Coordenação Geral​"/>
    <s v="2.011-Manutenção de Equipamentos Públicos "/>
    <s v="3.3.90.30.00-MATERIAL DE CONSUMO"/>
    <x v="18"/>
    <x v="0"/>
    <n v="0"/>
    <x v="1"/>
  </r>
  <r>
    <s v="31"/>
    <s v="001"/>
    <s v="04"/>
    <s v="422"/>
    <s v="0018"/>
    <x v="4"/>
    <x v="1"/>
    <x v="394"/>
    <x v="24"/>
    <s v="001-CHEFIA DE GABINETE"/>
    <s v="4-ADMINISTRAÇÃO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18"/>
    <x v="0"/>
    <n v="0"/>
    <x v="1"/>
  </r>
  <r>
    <s v="31"/>
    <s v="001"/>
    <s v="04"/>
    <s v="122"/>
    <s v="0001"/>
    <x v="0"/>
    <x v="8"/>
    <x v="395"/>
    <x v="24"/>
    <s v="001-CHEFIA DE GABINETE"/>
    <s v="4-ADMINISTRAÇÃO"/>
    <s v="122-ADMINISTRAÇÃO GERAL"/>
    <s v="0001-Administração e Coordenação Geral​"/>
    <s v="2.011-Manutenção de Equipamentos Públicos "/>
    <s v="4.4.90.52.00-EQUIPAMENTOS E MATERIAL PERMANENTE"/>
    <x v="18"/>
    <x v="0"/>
    <n v="0"/>
    <x v="1"/>
  </r>
  <r>
    <s v="31"/>
    <s v="001"/>
    <s v="04"/>
    <s v="122"/>
    <s v="0001"/>
    <x v="0"/>
    <x v="1"/>
    <x v="396"/>
    <x v="24"/>
    <s v="001-CHEFIA DE GABINETE"/>
    <s v="4-ADMINISTRAÇÃO"/>
    <s v="122-ADMINISTRAÇÃO GERAL"/>
    <s v="0001-Administração e Coordenação Geral​"/>
    <s v="2.011-Manutenção de Equipamentos Públicos "/>
    <s v="3.3.90.39.00-OUTROS SERVIÇOS DE TERCEIROS - PESSOA JURÍDICA"/>
    <x v="18"/>
    <x v="0"/>
    <n v="0"/>
    <x v="1"/>
  </r>
  <r>
    <s v="31"/>
    <s v="001"/>
    <s v="04"/>
    <s v="128"/>
    <s v="0001"/>
    <x v="2"/>
    <x v="1"/>
    <x v="397"/>
    <x v="24"/>
    <s v="001-CHEFIA DE GABINETE"/>
    <s v="4-ADMINISTRAÇÃO"/>
    <s v="128-FORMAÇÃO DE RECURSOS HUMANOS"/>
    <s v="0001-Administração e Coordenação Geral​"/>
    <s v="2.003-Qualificação de Servidores e Processos Institucionais"/>
    <s v="3.3.90.39.00-OUTROS SERVIÇOS DE TERCEIROS - PESSOA JURÍDICA"/>
    <x v="18"/>
    <x v="0"/>
    <n v="0"/>
    <x v="1"/>
  </r>
  <r>
    <s v="31"/>
    <s v="001"/>
    <s v="04"/>
    <s v="422"/>
    <s v="0002"/>
    <x v="2"/>
    <x v="24"/>
    <x v="398"/>
    <x v="24"/>
    <s v="001-CHEFIA DE GABINETE"/>
    <s v="4-ADMINISTRAÇÃO"/>
    <s v="422-DIREITOS INDIVIDUAIS, COLETIVOS E DIFUSOS"/>
    <s v="0002-Governo Inteligente, Aberto e Inovador​"/>
    <s v="2.003-Qualificação de Servidores e Processos Institucionais"/>
    <s v="3.3.90.35.00-SERVIÇOS DE CONSULTORIA"/>
    <x v="18"/>
    <x v="0"/>
    <n v="0"/>
    <x v="1"/>
  </r>
  <r>
    <s v="31"/>
    <s v="001"/>
    <s v="14"/>
    <s v="391"/>
    <s v="0009"/>
    <x v="48"/>
    <x v="8"/>
    <x v="400"/>
    <x v="24"/>
    <s v="001-CHEFIA DE GABINETE"/>
    <s v="14-DIREITOS DA CIDADANIA"/>
    <s v="391-PATRIMÔNIO HISTÓRICO, ARTÍSTICO E ARQUEOLÓGICO"/>
    <s v="0009-Cultura, Economia Criativa e Patrimônio Histórico​"/>
    <s v="2.029-Valorização do Patrimônio Histórico-Cultural"/>
    <s v="4.4.90.52.00-EQUIPAMENTOS E MATERIAL PERMANENTE"/>
    <x v="18"/>
    <x v="0"/>
    <n v="0"/>
    <x v="1"/>
  </r>
  <r>
    <s v="31"/>
    <s v="001"/>
    <s v="14"/>
    <s v="131"/>
    <s v="0002"/>
    <x v="4"/>
    <x v="1"/>
    <x v="402"/>
    <x v="24"/>
    <s v="001-CHEFIA DE GABINETE"/>
    <s v="14-DIREITOS DA CIDADANIA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0"/>
    <x v="1"/>
  </r>
  <r>
    <s v="31"/>
    <s v="001"/>
    <s v="14"/>
    <s v="422"/>
    <s v="0009"/>
    <x v="48"/>
    <x v="14"/>
    <x v="403"/>
    <x v="24"/>
    <s v="001-CHEFIA DE GABINETE"/>
    <s v="14-DIREITOS DA CIDADANIA"/>
    <s v="422-DIREITOS INDIVIDUAIS, COLETIVOS E DIFUSOS"/>
    <s v="0009-Cultura, Economia Criativa e Patrimônio Histórico​"/>
    <s v="2.029-Valorização do Patrimônio Histórico-Cultural"/>
    <s v="3.3.90.31.00-PREMIAÇÕES CULTURAIS, ARTÍSTICAS, CIENTÍFICAS, DESPORTIVAS E OUTRAS"/>
    <x v="18"/>
    <x v="0"/>
    <n v="0"/>
    <x v="1"/>
  </r>
  <r>
    <s v="31"/>
    <s v="001"/>
    <s v="14"/>
    <s v="422"/>
    <s v="0018"/>
    <x v="4"/>
    <x v="10"/>
    <x v="404"/>
    <x v="24"/>
    <s v="001-CHEFIA DE GABINETE"/>
    <s v="14-DIREITOS DA CIDADANIA"/>
    <s v="422-DIREITOS INDIVIDUAIS, COLETIVOS E DIFUSOS"/>
    <s v="0018-Proteção Social e Garantia de Direitos​"/>
    <s v="2.005-Promoção de Eventos, Comunicação e Participação Social "/>
    <s v="3.3.90.36.00-OUTROS SERVIÇOS DE TERCEIROS - PESSOA FÍSICA"/>
    <x v="18"/>
    <x v="0"/>
    <n v="0"/>
    <x v="1"/>
  </r>
  <r>
    <s v="31"/>
    <s v="001"/>
    <s v="14"/>
    <s v="422"/>
    <s v="0018"/>
    <x v="4"/>
    <x v="1"/>
    <x v="405"/>
    <x v="24"/>
    <s v="001-CHEFIA DE GABINETE"/>
    <s v="14-DIREITOS DA CIDADANIA"/>
    <s v="422-DIREITOS INDIVIDUAIS, COLETIVOS E DIFUSOS"/>
    <s v="0018-Proteção Social e Garantia de Direitos​"/>
    <s v="2.005-Promoção de Eventos, Comunicação e Participação Social "/>
    <s v="3.3.90.39.00-OUTROS SERVIÇOS DE TERCEIROS - PESSOA JURÍDICA"/>
    <x v="18"/>
    <x v="0"/>
    <n v="0"/>
    <x v="1"/>
  </r>
  <r>
    <s v="31"/>
    <s v="001"/>
    <s v="14"/>
    <s v="422"/>
    <s v="0018"/>
    <x v="4"/>
    <x v="0"/>
    <x v="406"/>
    <x v="24"/>
    <s v="001-CHEFIA DE GABINETE"/>
    <s v="14-DIREITOS DA CIDADANIA"/>
    <s v="422-DIREITOS INDIVIDUAIS, COLETIVOS E DIFUSOS"/>
    <s v="0018-Proteção Social e Garantia de Direitos​"/>
    <s v="2.005-Promoção de Eventos, Comunicação e Participação Social "/>
    <s v="3.3.90.30.00-MATERIAL DE CONSUMO"/>
    <x v="18"/>
    <x v="0"/>
    <n v="0"/>
    <x v="1"/>
  </r>
  <r>
    <s v="31"/>
    <s v="001"/>
    <s v="14"/>
    <s v="422"/>
    <s v="0002"/>
    <x v="0"/>
    <x v="7"/>
    <x v="407"/>
    <x v="24"/>
    <s v="001-CHEFIA DE GABINETE"/>
    <s v="14-DIREITOS DA CIDADANIA"/>
    <s v="422-DIREITOS INDIVIDUAIS, COLETIVOS E DIFUSOS"/>
    <s v="0002-Governo Inteligente, Aberto e Inovador​"/>
    <s v="2.011-Manutenção de Equipamentos Públicos "/>
    <s v="3.3.90.33.00-PASSAGENS E DESPESAS COM LOCOMOÇÃO"/>
    <x v="18"/>
    <x v="0"/>
    <n v="0"/>
    <x v="1"/>
  </r>
  <r>
    <s v="31"/>
    <s v="001"/>
    <s v="14"/>
    <s v="422"/>
    <s v="0002"/>
    <x v="0"/>
    <x v="1"/>
    <x v="408"/>
    <x v="24"/>
    <s v="001-CHEFIA DE GABINETE"/>
    <s v="14-DIREITOS DA CIDADANIA"/>
    <s v="422-DIREITOS INDIVIDUAIS, COLETIVOS E DIFUSOS"/>
    <s v="0002-Governo Inteligente, Aberto e Inovador​"/>
    <s v="2.011-Manutenção de Equipamentos Públicos "/>
    <s v="3.3.90.39.00-OUTROS SERVIÇOS DE TERCEIROS - PESSOA JURÍDICA"/>
    <x v="18"/>
    <x v="0"/>
    <n v="0"/>
    <x v="1"/>
  </r>
  <r>
    <s v="32"/>
    <s v="001"/>
    <s v="04"/>
    <s v="131"/>
    <s v="0001"/>
    <x v="4"/>
    <x v="1"/>
    <x v="411"/>
    <x v="25"/>
    <s v="001-CHEFIA DE GABINETE"/>
    <s v="4-ADMINISTRAÇÃO"/>
    <s v="131-COMUNICAÇÃO SOCIAL"/>
    <s v="0001-Administração e Coordenação Geral​"/>
    <s v="2.005-Promoção de Eventos, Comunicação e Participação Social "/>
    <s v="3.3.90.39.00-OUTROS SERVIÇOS DE TERCEIROS - PESSOA JURÍDICA"/>
    <x v="18"/>
    <x v="0"/>
    <n v="0"/>
    <x v="1"/>
  </r>
  <r>
    <s v="33"/>
    <s v="001"/>
    <s v="04"/>
    <s v="122"/>
    <s v="0001"/>
    <x v="3"/>
    <x v="6"/>
    <x v="419"/>
    <x v="26"/>
    <s v="001-CHEFIA DE GABINETE"/>
    <s v="4-ADMINISTRAÇÃO"/>
    <s v="122-ADMINISTRAÇÃO GERAL"/>
    <s v="0001-Administração e Coordenação Geral​"/>
    <s v="2.006-Representações Oficiais "/>
    <s v="3.3.90.93.00-INDENIZAÇÕES E RESTITUIÇÕES"/>
    <x v="18"/>
    <x v="0"/>
    <n v="0"/>
    <x v="1"/>
  </r>
  <r>
    <s v="01"/>
    <s v="001"/>
    <s v="01"/>
    <s v="031"/>
    <s v="0003"/>
    <x v="10"/>
    <x v="1"/>
    <x v="770"/>
    <x v="29"/>
    <s v="001-CHEFIA DE GABINETE"/>
    <e v="#N/A"/>
    <e v="#N/A"/>
    <e v="#N/A"/>
    <s v="1.003-Implantação de Novas Unidades"/>
    <s v="3.3.90.39.00-OUTROS SERVIÇOS DE TERCEIROS - PESSOA JURÍDICA"/>
    <x v="18"/>
    <x v="0"/>
    <n v="2000000"/>
    <x v="1"/>
  </r>
  <r>
    <s v="01"/>
    <s v="001"/>
    <s v="01"/>
    <s v="031"/>
    <s v="0003"/>
    <x v="10"/>
    <x v="9"/>
    <x v="771"/>
    <x v="29"/>
    <s v="001-CHEFIA DE GABINETE"/>
    <e v="#N/A"/>
    <e v="#N/A"/>
    <e v="#N/A"/>
    <s v="1.003-Implantação de Novas Unidades"/>
    <s v="3.3.90.92.00-DESPESAS DE EXERCÍCIOS ANTERIORES"/>
    <x v="18"/>
    <x v="0"/>
    <n v="1"/>
    <x v="1"/>
  </r>
  <r>
    <s v="01"/>
    <s v="001"/>
    <s v="01"/>
    <s v="031"/>
    <s v="0003"/>
    <x v="10"/>
    <x v="6"/>
    <x v="772"/>
    <x v="29"/>
    <s v="001-CHEFIA DE GABINETE"/>
    <e v="#N/A"/>
    <e v="#N/A"/>
    <e v="#N/A"/>
    <s v="1.003-Implantação de Novas Unidades"/>
    <s v="3.3.90.93.00-INDENIZAÇÕES E RESTITUIÇÕES"/>
    <x v="18"/>
    <x v="0"/>
    <n v="1"/>
    <x v="1"/>
  </r>
  <r>
    <s v="01"/>
    <s v="001"/>
    <s v="01"/>
    <s v="031"/>
    <s v="0003"/>
    <x v="10"/>
    <x v="12"/>
    <x v="773"/>
    <x v="29"/>
    <s v="001-CHEFIA DE GABINETE"/>
    <e v="#N/A"/>
    <e v="#N/A"/>
    <e v="#N/A"/>
    <s v="1.003-Implantação de Novas Unidades"/>
    <s v="4.4.90.51.00-OBRAS E INSTALAÇÕES"/>
    <x v="18"/>
    <x v="0"/>
    <n v="1000000"/>
    <x v="1"/>
  </r>
  <r>
    <s v="01"/>
    <s v="001"/>
    <s v="01"/>
    <s v="031"/>
    <s v="0003"/>
    <x v="10"/>
    <x v="8"/>
    <x v="774"/>
    <x v="29"/>
    <s v="001-CHEFIA DE GABINETE"/>
    <e v="#N/A"/>
    <e v="#N/A"/>
    <e v="#N/A"/>
    <s v="1.003-Implantação de Novas Unidades"/>
    <s v="4.4.90.52.00-EQUIPAMENTOS E MATERIAL PERMANENTE"/>
    <x v="18"/>
    <x v="0"/>
    <n v="3500000"/>
    <x v="1"/>
  </r>
  <r>
    <s v="01"/>
    <s v="001"/>
    <s v="01"/>
    <s v="031"/>
    <s v="0003"/>
    <x v="10"/>
    <x v="28"/>
    <x v="775"/>
    <x v="29"/>
    <s v="001-CHEFIA DE GABINETE"/>
    <e v="#N/A"/>
    <e v="#N/A"/>
    <e v="#N/A"/>
    <s v="1.003-Implantação de Novas Unidades"/>
    <e v="#N/A"/>
    <x v="18"/>
    <x v="0"/>
    <n v="1"/>
    <x v="1"/>
  </r>
  <r>
    <s v="01"/>
    <s v="001"/>
    <s v="01"/>
    <s v="122"/>
    <s v="0003"/>
    <x v="11"/>
    <x v="38"/>
    <x v="776"/>
    <x v="29"/>
    <s v="001-CHEFIA DE GABINETE"/>
    <e v="#N/A"/>
    <s v="122-ADMINISTRAÇÃO GERAL"/>
    <e v="#N/A"/>
    <s v="2.001-Remuneração, Benefícios e Encargos"/>
    <e v="#N/A"/>
    <x v="18"/>
    <x v="0"/>
    <n v="72722107"/>
    <x v="1"/>
  </r>
  <r>
    <s v="01"/>
    <s v="001"/>
    <s v="01"/>
    <s v="122"/>
    <s v="0003"/>
    <x v="11"/>
    <x v="39"/>
    <x v="777"/>
    <x v="29"/>
    <s v="001-CHEFIA DE GABINETE"/>
    <e v="#N/A"/>
    <s v="122-ADMINISTRAÇÃO GERAL"/>
    <e v="#N/A"/>
    <s v="2.001-Remuneração, Benefícios e Encargos"/>
    <e v="#N/A"/>
    <x v="18"/>
    <x v="0"/>
    <n v="8654868"/>
    <x v="1"/>
  </r>
  <r>
    <s v="01"/>
    <s v="001"/>
    <s v="01"/>
    <s v="122"/>
    <s v="0003"/>
    <x v="11"/>
    <x v="40"/>
    <x v="778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35"/>
    <x v="779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41"/>
    <x v="780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42"/>
    <x v="781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43"/>
    <x v="782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44"/>
    <x v="783"/>
    <x v="29"/>
    <s v="001-CHEFIA DE GABINETE"/>
    <e v="#N/A"/>
    <s v="122-ADMINISTRAÇÃO GERAL"/>
    <e v="#N/A"/>
    <s v="2.001-Remuneração, Benefícios e Encargos"/>
    <e v="#N/A"/>
    <x v="18"/>
    <x v="0"/>
    <n v="4840368"/>
    <x v="1"/>
  </r>
  <r>
    <s v="01"/>
    <s v="001"/>
    <s v="01"/>
    <s v="122"/>
    <s v="0003"/>
    <x v="11"/>
    <x v="45"/>
    <x v="784"/>
    <x v="29"/>
    <s v="001-CHEFIA DE GABINETE"/>
    <e v="#N/A"/>
    <s v="122-ADMINISTRAÇÃO GERAL"/>
    <e v="#N/A"/>
    <s v="2.001-Remuneração, Benefícios e Encargos"/>
    <e v="#N/A"/>
    <x v="18"/>
    <x v="0"/>
    <n v="1050"/>
    <x v="1"/>
  </r>
  <r>
    <s v="01"/>
    <s v="001"/>
    <s v="01"/>
    <s v="122"/>
    <s v="0003"/>
    <x v="11"/>
    <x v="46"/>
    <x v="785"/>
    <x v="29"/>
    <s v="001-CHEFIA DE GABINETE"/>
    <e v="#N/A"/>
    <s v="122-ADMINISTRAÇÃO GERAL"/>
    <e v="#N/A"/>
    <s v="2.001-Remuneração, Benefícios e Encargos"/>
    <e v="#N/A"/>
    <x v="18"/>
    <x v="0"/>
    <n v="7002773"/>
    <x v="1"/>
  </r>
  <r>
    <s v="01"/>
    <s v="001"/>
    <s v="01"/>
    <s v="122"/>
    <s v="0003"/>
    <x v="11"/>
    <x v="1"/>
    <x v="786"/>
    <x v="29"/>
    <s v="001-CHEFIA DE GABINETE"/>
    <e v="#N/A"/>
    <s v="122-ADMINISTRAÇÃO GERAL"/>
    <e v="#N/A"/>
    <s v="2.001-Remuneração, Benefícios e Encargos"/>
    <s v="3.3.90.39.00-OUTROS SERVIÇOS DE TERCEIROS - PESSOA JURÍDICA"/>
    <x v="18"/>
    <x v="0"/>
    <n v="1"/>
    <x v="1"/>
  </r>
  <r>
    <s v="01"/>
    <s v="001"/>
    <s v="01"/>
    <s v="122"/>
    <s v="0003"/>
    <x v="11"/>
    <x v="47"/>
    <x v="787"/>
    <x v="29"/>
    <s v="001-CHEFIA DE GABINETE"/>
    <e v="#N/A"/>
    <s v="122-ADMINISTRAÇÃO GERAL"/>
    <e v="#N/A"/>
    <s v="2.001-Remuneração, Benefícios e Encargos"/>
    <e v="#N/A"/>
    <x v="18"/>
    <x v="0"/>
    <n v="4480278"/>
    <x v="1"/>
  </r>
  <r>
    <s v="01"/>
    <s v="001"/>
    <s v="01"/>
    <s v="122"/>
    <s v="0003"/>
    <x v="11"/>
    <x v="27"/>
    <x v="788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48"/>
    <x v="789"/>
    <x v="29"/>
    <s v="001-CHEFIA DE GABINETE"/>
    <e v="#N/A"/>
    <s v="122-ADMINISTRAÇÃO GERAL"/>
    <e v="#N/A"/>
    <s v="2.001-Remuneração, Benefícios e Encargos"/>
    <e v="#N/A"/>
    <x v="18"/>
    <x v="0"/>
    <n v="1"/>
    <x v="1"/>
  </r>
  <r>
    <s v="01"/>
    <s v="001"/>
    <s v="01"/>
    <s v="122"/>
    <s v="0003"/>
    <x v="11"/>
    <x v="9"/>
    <x v="790"/>
    <x v="29"/>
    <s v="001-CHEFIA DE GABINETE"/>
    <e v="#N/A"/>
    <s v="122-ADMINISTRAÇÃO GERAL"/>
    <e v="#N/A"/>
    <s v="2.001-Remuneração, Benefícios e Encargos"/>
    <s v="3.3.90.92.00-DESPESAS DE EXERCÍCIOS ANTERIORES"/>
    <x v="18"/>
    <x v="0"/>
    <n v="1"/>
    <x v="1"/>
  </r>
  <r>
    <s v="02"/>
    <s v="001"/>
    <s v="04"/>
    <s v="121"/>
    <s v="0004"/>
    <x v="23"/>
    <x v="49"/>
    <x v="791"/>
    <x v="0"/>
    <s v="001-CHEFIA DE GABINETE"/>
    <s v="4-ADMINISTRAÇÃO"/>
    <s v="121-PLANEJAMENTO E ORÇAMENTO"/>
    <s v="0004-Planejamento e Gestão de Políticas Públicas "/>
    <s v="1.001-Estudos, Pesquisas, Planos e Projetos "/>
    <e v="#N/A"/>
    <x v="18"/>
    <x v="0"/>
    <n v="1"/>
    <x v="1"/>
  </r>
  <r>
    <s v="02"/>
    <s v="001"/>
    <s v="04"/>
    <s v="122"/>
    <s v="0001"/>
    <x v="5"/>
    <x v="1"/>
    <x v="792"/>
    <x v="0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02"/>
    <s v="001"/>
    <s v="04"/>
    <s v="122"/>
    <s v="0001"/>
    <x v="11"/>
    <x v="38"/>
    <x v="793"/>
    <x v="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093550.9900000002"/>
    <x v="1"/>
  </r>
  <r>
    <s v="02"/>
    <s v="001"/>
    <s v="04"/>
    <s v="122"/>
    <s v="0001"/>
    <x v="11"/>
    <x v="39"/>
    <x v="794"/>
    <x v="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81039.1200000001"/>
    <x v="1"/>
  </r>
  <r>
    <s v="02"/>
    <s v="001"/>
    <s v="04"/>
    <s v="122"/>
    <s v="0001"/>
    <x v="11"/>
    <x v="44"/>
    <x v="795"/>
    <x v="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41793.05"/>
    <x v="1"/>
  </r>
  <r>
    <s v="02"/>
    <s v="001"/>
    <s v="04"/>
    <s v="122"/>
    <s v="0001"/>
    <x v="11"/>
    <x v="47"/>
    <x v="796"/>
    <x v="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15"/>
    <x v="1"/>
  </r>
  <r>
    <s v="02"/>
    <s v="001"/>
    <s v="04"/>
    <s v="122"/>
    <s v="0001"/>
    <x v="11"/>
    <x v="48"/>
    <x v="797"/>
    <x v="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1243.360000000001"/>
    <x v="1"/>
  </r>
  <r>
    <s v="04"/>
    <s v="001"/>
    <s v="04"/>
    <s v="122"/>
    <s v="0001"/>
    <x v="5"/>
    <x v="1"/>
    <x v="798"/>
    <x v="1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0"/>
    <x v="1"/>
  </r>
  <r>
    <s v="04"/>
    <s v="001"/>
    <s v="04"/>
    <s v="122"/>
    <s v="0001"/>
    <x v="11"/>
    <x v="38"/>
    <x v="799"/>
    <x v="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4224156.579999998"/>
    <x v="1"/>
  </r>
  <r>
    <s v="04"/>
    <s v="001"/>
    <s v="04"/>
    <s v="122"/>
    <s v="0001"/>
    <x v="11"/>
    <x v="39"/>
    <x v="800"/>
    <x v="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990685.01"/>
    <x v="1"/>
  </r>
  <r>
    <s v="04"/>
    <s v="001"/>
    <s v="04"/>
    <s v="122"/>
    <s v="0001"/>
    <x v="11"/>
    <x v="44"/>
    <x v="801"/>
    <x v="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143956.64"/>
    <x v="1"/>
  </r>
  <r>
    <s v="04"/>
    <s v="001"/>
    <s v="04"/>
    <s v="122"/>
    <s v="0001"/>
    <x v="11"/>
    <x v="47"/>
    <x v="802"/>
    <x v="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.88"/>
    <x v="1"/>
  </r>
  <r>
    <s v="04"/>
    <s v="001"/>
    <s v="04"/>
    <s v="122"/>
    <s v="0001"/>
    <x v="11"/>
    <x v="48"/>
    <x v="803"/>
    <x v="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5270.9"/>
    <x v="1"/>
  </r>
  <r>
    <s v="05"/>
    <s v="001"/>
    <s v="04"/>
    <s v="121"/>
    <s v="0004"/>
    <x v="23"/>
    <x v="24"/>
    <x v="804"/>
    <x v="2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05"/>
    <s v="001"/>
    <s v="04"/>
    <s v="122"/>
    <s v="0001"/>
    <x v="5"/>
    <x v="1"/>
    <x v="805"/>
    <x v="2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05"/>
    <s v="001"/>
    <s v="04"/>
    <s v="122"/>
    <s v="0001"/>
    <x v="11"/>
    <x v="38"/>
    <x v="806"/>
    <x v="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3139360.670000002"/>
    <x v="1"/>
  </r>
  <r>
    <s v="05"/>
    <s v="001"/>
    <s v="04"/>
    <s v="122"/>
    <s v="0001"/>
    <x v="11"/>
    <x v="39"/>
    <x v="807"/>
    <x v="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098906.02"/>
    <x v="1"/>
  </r>
  <r>
    <s v="05"/>
    <s v="001"/>
    <s v="04"/>
    <s v="122"/>
    <s v="0001"/>
    <x v="11"/>
    <x v="44"/>
    <x v="808"/>
    <x v="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344514.33"/>
    <x v="1"/>
  </r>
  <r>
    <s v="05"/>
    <s v="001"/>
    <s v="04"/>
    <s v="122"/>
    <s v="0001"/>
    <x v="11"/>
    <x v="47"/>
    <x v="809"/>
    <x v="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04"/>
    <x v="1"/>
  </r>
  <r>
    <s v="05"/>
    <s v="001"/>
    <s v="04"/>
    <s v="122"/>
    <s v="0001"/>
    <x v="11"/>
    <x v="48"/>
    <x v="810"/>
    <x v="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8337.27"/>
    <x v="1"/>
  </r>
  <r>
    <s v="06"/>
    <s v="001"/>
    <s v="04"/>
    <s v="122"/>
    <s v="0001"/>
    <x v="11"/>
    <x v="38"/>
    <x v="811"/>
    <x v="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503574.289999999"/>
    <x v="1"/>
  </r>
  <r>
    <s v="06"/>
    <s v="001"/>
    <s v="04"/>
    <s v="122"/>
    <s v="0001"/>
    <x v="11"/>
    <x v="39"/>
    <x v="812"/>
    <x v="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864972.54"/>
    <x v="1"/>
  </r>
  <r>
    <s v="06"/>
    <s v="001"/>
    <s v="04"/>
    <s v="122"/>
    <s v="0001"/>
    <x v="11"/>
    <x v="44"/>
    <x v="813"/>
    <x v="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288902.92"/>
    <x v="1"/>
  </r>
  <r>
    <s v="06"/>
    <s v="001"/>
    <s v="04"/>
    <s v="122"/>
    <s v="0001"/>
    <x v="11"/>
    <x v="47"/>
    <x v="814"/>
    <x v="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0"/>
    <x v="1"/>
  </r>
  <r>
    <s v="06"/>
    <s v="001"/>
    <s v="04"/>
    <s v="122"/>
    <s v="0001"/>
    <x v="11"/>
    <x v="48"/>
    <x v="815"/>
    <x v="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00820.8"/>
    <x v="1"/>
  </r>
  <r>
    <s v="07"/>
    <s v="001"/>
    <s v="04"/>
    <s v="121"/>
    <s v="0004"/>
    <x v="23"/>
    <x v="24"/>
    <x v="816"/>
    <x v="4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07"/>
    <s v="001"/>
    <s v="04"/>
    <s v="122"/>
    <s v="0001"/>
    <x v="11"/>
    <x v="38"/>
    <x v="817"/>
    <x v="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584691.7399999993"/>
    <x v="1"/>
  </r>
  <r>
    <s v="07"/>
    <s v="001"/>
    <s v="04"/>
    <s v="122"/>
    <s v="0001"/>
    <x v="11"/>
    <x v="39"/>
    <x v="818"/>
    <x v="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11468.09"/>
    <x v="1"/>
  </r>
  <r>
    <s v="07"/>
    <s v="001"/>
    <s v="04"/>
    <s v="122"/>
    <s v="0001"/>
    <x v="11"/>
    <x v="44"/>
    <x v="819"/>
    <x v="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49376.4"/>
    <x v="1"/>
  </r>
  <r>
    <s v="07"/>
    <s v="001"/>
    <s v="04"/>
    <s v="122"/>
    <s v="0001"/>
    <x v="11"/>
    <x v="47"/>
    <x v="820"/>
    <x v="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13"/>
    <x v="1"/>
  </r>
  <r>
    <s v="07"/>
    <s v="001"/>
    <s v="04"/>
    <s v="122"/>
    <s v="0001"/>
    <x v="11"/>
    <x v="48"/>
    <x v="821"/>
    <x v="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3666.64"/>
    <x v="1"/>
  </r>
  <r>
    <s v="07"/>
    <s v="001"/>
    <s v="11"/>
    <s v="122"/>
    <s v="0017"/>
    <x v="5"/>
    <x v="1"/>
    <x v="822"/>
    <x v="4"/>
    <s v="001-CHEFIA DE GABINETE"/>
    <s v="11-TRABALHO"/>
    <s v="122-ADMINISTRAÇÃO GERAL"/>
    <s v="0017-Trabalho, Emprego e Renda​"/>
    <s v="1.002-Reforma e Ampliação de Unidades"/>
    <s v="3.3.90.39.00-OUTROS SERVIÇOS DE TERCEIROS - PESSOA JURÍDICA"/>
    <x v="18"/>
    <x v="0"/>
    <n v="1"/>
    <x v="1"/>
  </r>
  <r>
    <s v="07"/>
    <s v="001"/>
    <s v="18"/>
    <s v="542"/>
    <s v="0007"/>
    <x v="10"/>
    <x v="12"/>
    <x v="823"/>
    <x v="4"/>
    <s v="001-CHEFIA DE GABINETE"/>
    <s v="18-GESTÃO AMBIENTAL"/>
    <e v="#N/A"/>
    <s v="0007-Meio Ambiente, Sustentabilidade e Bem-Estar Animal​"/>
    <s v="1.003-Implantação de Novas Unidades"/>
    <s v="4.4.90.51.00-OBRAS E INSTALAÇÕES"/>
    <x v="18"/>
    <x v="0"/>
    <n v="1"/>
    <x v="1"/>
  </r>
  <r>
    <s v="08"/>
    <s v="001"/>
    <s v="04"/>
    <s v="121"/>
    <s v="0004"/>
    <x v="23"/>
    <x v="24"/>
    <x v="824"/>
    <x v="5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08"/>
    <s v="001"/>
    <s v="04"/>
    <s v="121"/>
    <s v="0004"/>
    <x v="55"/>
    <x v="50"/>
    <x v="825"/>
    <x v="5"/>
    <s v="001-CHEFIA DE GABINETE"/>
    <s v="4-ADMINISTRAÇÃO"/>
    <s v="121-PLANEJAMENTO E ORÇAMENTO"/>
    <s v="0004-Planejamento e Gestão de Políticas Públicas "/>
    <e v="#N/A"/>
    <e v="#N/A"/>
    <x v="18"/>
    <x v="0"/>
    <n v="1"/>
    <x v="1"/>
  </r>
  <r>
    <s v="08"/>
    <s v="001"/>
    <s v="12"/>
    <s v="122"/>
    <s v="0001"/>
    <x v="5"/>
    <x v="1"/>
    <x v="52"/>
    <x v="5"/>
    <s v="001-CHEFIA DE GABINETE"/>
    <s v="12-EDUC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08"/>
    <s v="001"/>
    <s v="12"/>
    <s v="122"/>
    <s v="0001"/>
    <x v="5"/>
    <x v="12"/>
    <x v="826"/>
    <x v="5"/>
    <s v="001-CHEFIA DE GABINETE"/>
    <s v="12-EDUCAÇÃO"/>
    <s v="122-ADMINISTRAÇÃO GERAL"/>
    <s v="0001-Administração e Coordenação Geral​"/>
    <s v="1.002-Reforma e Ampliação de Unidades"/>
    <s v="4.4.90.51.00-OBRAS E INSTALAÇÕES"/>
    <x v="18"/>
    <x v="0"/>
    <n v="0"/>
    <x v="1"/>
  </r>
  <r>
    <s v="08"/>
    <s v="001"/>
    <s v="12"/>
    <s v="122"/>
    <s v="0001"/>
    <x v="11"/>
    <x v="38"/>
    <x v="827"/>
    <x v="5"/>
    <s v="001-CHEFIA DE GABINETE"/>
    <s v="12-EDUCAÇÃO"/>
    <s v="122-ADMINISTRAÇÃO GERAL"/>
    <s v="0001-Administração e Coordenação Geral​"/>
    <s v="2.001-Remuneração, Benefícios e Encargos"/>
    <e v="#N/A"/>
    <x v="18"/>
    <x v="0"/>
    <n v="33838768.43"/>
    <x v="1"/>
  </r>
  <r>
    <s v="08"/>
    <s v="001"/>
    <s v="12"/>
    <s v="122"/>
    <s v="0001"/>
    <x v="11"/>
    <x v="39"/>
    <x v="828"/>
    <x v="5"/>
    <s v="001-CHEFIA DE GABINETE"/>
    <s v="12-EDUCAÇÃO"/>
    <s v="122-ADMINISTRAÇÃO GERAL"/>
    <s v="0001-Administração e Coordenação Geral​"/>
    <s v="2.001-Remuneração, Benefícios e Encargos"/>
    <e v="#N/A"/>
    <x v="18"/>
    <x v="0"/>
    <n v="3174539.85"/>
    <x v="1"/>
  </r>
  <r>
    <s v="08"/>
    <s v="001"/>
    <s v="12"/>
    <s v="122"/>
    <s v="0001"/>
    <x v="11"/>
    <x v="44"/>
    <x v="829"/>
    <x v="5"/>
    <s v="001-CHEFIA DE GABINETE"/>
    <s v="12-EDUCAÇÃO"/>
    <s v="122-ADMINISTRAÇÃO GERAL"/>
    <s v="0001-Administração e Coordenação Geral​"/>
    <s v="2.001-Remuneração, Benefícios e Encargos"/>
    <e v="#N/A"/>
    <x v="18"/>
    <x v="0"/>
    <n v="4945566.1100000003"/>
    <x v="1"/>
  </r>
  <r>
    <s v="08"/>
    <s v="001"/>
    <s v="12"/>
    <s v="122"/>
    <s v="0001"/>
    <x v="11"/>
    <x v="47"/>
    <x v="830"/>
    <x v="5"/>
    <s v="001-CHEFIA DE GABINETE"/>
    <s v="12-EDUCAÇÃO"/>
    <s v="122-ADMINISTRAÇÃO GERAL"/>
    <s v="0001-Administração e Coordenação Geral​"/>
    <s v="2.001-Remuneração, Benefícios e Encargos"/>
    <e v="#N/A"/>
    <x v="18"/>
    <x v="0"/>
    <n v="8417047.5700000003"/>
    <x v="1"/>
  </r>
  <r>
    <s v="08"/>
    <s v="001"/>
    <s v="12"/>
    <s v="122"/>
    <s v="0001"/>
    <x v="11"/>
    <x v="48"/>
    <x v="831"/>
    <x v="5"/>
    <s v="001-CHEFIA DE GABINETE"/>
    <s v="12-EDUCAÇÃO"/>
    <s v="122-ADMINISTRAÇÃO GERAL"/>
    <s v="0001-Administração e Coordenação Geral​"/>
    <s v="2.001-Remuneração, Benefícios e Encargos"/>
    <e v="#N/A"/>
    <x v="18"/>
    <x v="0"/>
    <n v="515236.52"/>
    <x v="1"/>
  </r>
  <r>
    <s v="08"/>
    <s v="001"/>
    <s v="12"/>
    <s v="361"/>
    <s v="0001"/>
    <x v="11"/>
    <x v="38"/>
    <x v="832"/>
    <x v="5"/>
    <s v="001-CHEFIA DE GABINETE"/>
    <s v="12-EDUCAÇÃO"/>
    <s v="361-ENSINO FUNDAMENTAL"/>
    <s v="0001-Administração e Coordenação Geral​"/>
    <s v="2.001-Remuneração, Benefícios e Encargos"/>
    <e v="#N/A"/>
    <x v="18"/>
    <x v="0"/>
    <n v="361313313.75"/>
    <x v="1"/>
  </r>
  <r>
    <s v="08"/>
    <s v="001"/>
    <s v="12"/>
    <s v="361"/>
    <s v="0001"/>
    <x v="11"/>
    <x v="39"/>
    <x v="833"/>
    <x v="5"/>
    <s v="001-CHEFIA DE GABINETE"/>
    <s v="12-EDUCAÇÃO"/>
    <s v="361-ENSINO FUNDAMENTAL"/>
    <s v="0001-Administração e Coordenação Geral​"/>
    <s v="2.001-Remuneração, Benefícios e Encargos"/>
    <e v="#N/A"/>
    <x v="18"/>
    <x v="0"/>
    <n v="6.44"/>
    <x v="1"/>
  </r>
  <r>
    <s v="08"/>
    <s v="001"/>
    <s v="12"/>
    <s v="361"/>
    <s v="0001"/>
    <x v="11"/>
    <x v="44"/>
    <x v="834"/>
    <x v="5"/>
    <s v="001-CHEFIA DE GABINETE"/>
    <s v="12-EDUCAÇÃO"/>
    <s v="361-ENSINO FUNDAMENTAL"/>
    <s v="0001-Administração e Coordenação Geral​"/>
    <s v="2.001-Remuneração, Benefícios e Encargos"/>
    <e v="#N/A"/>
    <x v="18"/>
    <x v="0"/>
    <n v="66109641.840000004"/>
    <x v="1"/>
  </r>
  <r>
    <s v="08"/>
    <s v="001"/>
    <s v="12"/>
    <s v="361"/>
    <s v="0001"/>
    <x v="11"/>
    <x v="47"/>
    <x v="835"/>
    <x v="5"/>
    <s v="001-CHEFIA DE GABINETE"/>
    <s v="12-EDUCAÇÃO"/>
    <s v="361-ENSINO FUNDAMENTAL"/>
    <s v="0001-Administração e Coordenação Geral​"/>
    <s v="2.001-Remuneração, Benefícios e Encargos"/>
    <e v="#N/A"/>
    <x v="18"/>
    <x v="0"/>
    <n v="34721295.099999994"/>
    <x v="1"/>
  </r>
  <r>
    <s v="08"/>
    <s v="001"/>
    <s v="12"/>
    <s v="361"/>
    <s v="0001"/>
    <x v="11"/>
    <x v="48"/>
    <x v="836"/>
    <x v="5"/>
    <s v="001-CHEFIA DE GABINETE"/>
    <s v="12-EDUCAÇÃO"/>
    <s v="361-ENSINO FUNDAMENTAL"/>
    <s v="0001-Administração e Coordenação Geral​"/>
    <s v="2.001-Remuneração, Benefícios e Encargos"/>
    <e v="#N/A"/>
    <x v="18"/>
    <x v="0"/>
    <n v="6055417.4299999997"/>
    <x v="1"/>
  </r>
  <r>
    <s v="08"/>
    <s v="001"/>
    <s v="12"/>
    <s v="361"/>
    <s v="0016"/>
    <x v="5"/>
    <x v="1"/>
    <x v="53"/>
    <x v="5"/>
    <s v="001-CHEFIA DE GABINETE"/>
    <s v="12-EDUCAÇÃO"/>
    <s v="361-ENSINO FUNDAMENTAL"/>
    <s v="0016-Escola para Todos​"/>
    <s v="1.002-Reforma e Ampliação de Unidades"/>
    <s v="3.3.90.39.00-OUTROS SERVIÇOS DE TERCEIROS - PESSOA JURÍDICA"/>
    <x v="18"/>
    <x v="0"/>
    <n v="20"/>
    <x v="1"/>
  </r>
  <r>
    <s v="08"/>
    <s v="001"/>
    <s v="12"/>
    <s v="361"/>
    <s v="0016"/>
    <x v="10"/>
    <x v="12"/>
    <x v="55"/>
    <x v="5"/>
    <s v="001-CHEFIA DE GABINETE"/>
    <s v="12-EDUCAÇÃO"/>
    <s v="361-ENSINO FUNDAMENTAL"/>
    <s v="0016-Escola para Todos​"/>
    <s v="1.003-Implantação de Novas Unidades"/>
    <s v="4.4.90.51.00-OBRAS E INSTALAÇÕES"/>
    <x v="18"/>
    <x v="0"/>
    <n v="1"/>
    <x v="1"/>
  </r>
  <r>
    <s v="08"/>
    <s v="001"/>
    <s v="12"/>
    <s v="361"/>
    <s v="0016"/>
    <x v="10"/>
    <x v="8"/>
    <x v="837"/>
    <x v="5"/>
    <s v="001-CHEFIA DE GABINETE"/>
    <s v="12-EDUCAÇÃO"/>
    <s v="361-ENSINO FUNDAMENTAL"/>
    <s v="0016-Escola para Todos​"/>
    <s v="1.003-Implantação de Novas Unidades"/>
    <s v="4.4.90.52.00-EQUIPAMENTOS E MATERIAL PERMANENTE"/>
    <x v="18"/>
    <x v="0"/>
    <n v="2"/>
    <x v="1"/>
  </r>
  <r>
    <s v="08"/>
    <s v="001"/>
    <s v="12"/>
    <s v="365"/>
    <s v="0001"/>
    <x v="11"/>
    <x v="38"/>
    <x v="838"/>
    <x v="5"/>
    <s v="001-CHEFIA DE GABINETE"/>
    <s v="12-EDUCAÇÃO"/>
    <s v="365-EDUCAÇÃO INFANTIL"/>
    <s v="0001-Administração e Coordenação Geral​"/>
    <s v="2.001-Remuneração, Benefícios e Encargos"/>
    <e v="#N/A"/>
    <x v="18"/>
    <x v="0"/>
    <n v="542545488.96000004"/>
    <x v="1"/>
  </r>
  <r>
    <s v="08"/>
    <s v="001"/>
    <s v="12"/>
    <s v="365"/>
    <s v="0001"/>
    <x v="11"/>
    <x v="39"/>
    <x v="839"/>
    <x v="5"/>
    <s v="001-CHEFIA DE GABINETE"/>
    <s v="12-EDUCAÇÃO"/>
    <s v="365-EDUCAÇÃO INFANTIL"/>
    <s v="0001-Administração e Coordenação Geral​"/>
    <s v="2.001-Remuneração, Benefícios e Encargos"/>
    <e v="#N/A"/>
    <x v="18"/>
    <x v="0"/>
    <n v="107421.77"/>
    <x v="1"/>
  </r>
  <r>
    <s v="08"/>
    <s v="001"/>
    <s v="12"/>
    <s v="365"/>
    <s v="0001"/>
    <x v="11"/>
    <x v="44"/>
    <x v="840"/>
    <x v="5"/>
    <s v="001-CHEFIA DE GABINETE"/>
    <s v="12-EDUCAÇÃO"/>
    <s v="365-EDUCAÇÃO INFANTIL"/>
    <s v="0001-Administração e Coordenação Geral​"/>
    <s v="2.001-Remuneração, Benefícios e Encargos"/>
    <e v="#N/A"/>
    <x v="18"/>
    <x v="0"/>
    <n v="91966996.149999991"/>
    <x v="1"/>
  </r>
  <r>
    <s v="08"/>
    <s v="001"/>
    <s v="12"/>
    <s v="365"/>
    <s v="0001"/>
    <x v="11"/>
    <x v="47"/>
    <x v="841"/>
    <x v="5"/>
    <s v="001-CHEFIA DE GABINETE"/>
    <s v="12-EDUCAÇÃO"/>
    <s v="365-EDUCAÇÃO INFANTIL"/>
    <s v="0001-Administração e Coordenação Geral​"/>
    <s v="2.001-Remuneração, Benefícios e Encargos"/>
    <e v="#N/A"/>
    <x v="18"/>
    <x v="0"/>
    <n v="54509554.509999998"/>
    <x v="1"/>
  </r>
  <r>
    <s v="08"/>
    <s v="001"/>
    <s v="12"/>
    <s v="365"/>
    <s v="0001"/>
    <x v="11"/>
    <x v="48"/>
    <x v="842"/>
    <x v="5"/>
    <s v="001-CHEFIA DE GABINETE"/>
    <s v="12-EDUCAÇÃO"/>
    <s v="365-EDUCAÇÃO INFANTIL"/>
    <s v="0001-Administração e Coordenação Geral​"/>
    <s v="2.001-Remuneração, Benefícios e Encargos"/>
    <e v="#N/A"/>
    <x v="18"/>
    <x v="0"/>
    <n v="9221301.5500000007"/>
    <x v="1"/>
  </r>
  <r>
    <s v="08"/>
    <s v="001"/>
    <s v="12"/>
    <s v="365"/>
    <s v="0016"/>
    <x v="5"/>
    <x v="1"/>
    <x v="54"/>
    <x v="5"/>
    <s v="001-CHEFIA DE GABINETE"/>
    <s v="12-EDUCAÇÃO"/>
    <s v="365-EDUCAÇÃO INFANTIL"/>
    <s v="0016-Escola para Todos​"/>
    <s v="1.002-Reforma e Ampliação de Unidades"/>
    <s v="3.3.90.39.00-OUTROS SERVIÇOS DE TERCEIROS - PESSOA JURÍDICA"/>
    <x v="18"/>
    <x v="0"/>
    <n v="16"/>
    <x v="1"/>
  </r>
  <r>
    <s v="08"/>
    <s v="001"/>
    <s v="12"/>
    <s v="365"/>
    <s v="0016"/>
    <x v="10"/>
    <x v="12"/>
    <x v="843"/>
    <x v="5"/>
    <s v="001-CHEFIA DE GABINETE"/>
    <s v="12-EDUCAÇÃO"/>
    <s v="365-EDUCAÇÃO INFANTIL"/>
    <s v="0016-Escola para Todos​"/>
    <s v="1.003-Implantação de Novas Unidades"/>
    <s v="4.4.90.51.00-OBRAS E INSTALAÇÕES"/>
    <x v="18"/>
    <x v="0"/>
    <n v="0"/>
    <x v="1"/>
  </r>
  <r>
    <s v="08"/>
    <s v="001"/>
    <s v="12"/>
    <s v="365"/>
    <s v="0016"/>
    <x v="10"/>
    <x v="8"/>
    <x v="844"/>
    <x v="5"/>
    <s v="001-CHEFIA DE GABINETE"/>
    <s v="12-EDUCAÇÃO"/>
    <s v="365-EDUCAÇÃO INFANTIL"/>
    <s v="0016-Escola para Todos​"/>
    <s v="1.003-Implantação de Novas Unidades"/>
    <s v="4.4.90.52.00-EQUIPAMENTOS E MATERIAL PERMANENTE"/>
    <x v="18"/>
    <x v="0"/>
    <n v="1"/>
    <x v="1"/>
  </r>
  <r>
    <s v="08"/>
    <s v="001"/>
    <s v="12"/>
    <s v="366"/>
    <s v="0001"/>
    <x v="11"/>
    <x v="38"/>
    <x v="845"/>
    <x v="5"/>
    <s v="001-CHEFIA DE GABINETE"/>
    <s v="12-EDUCAÇÃO"/>
    <s v="366-EDUCAÇÃO DE JOVENS E ADULTOS"/>
    <s v="0001-Administração e Coordenação Geral​"/>
    <s v="2.001-Remuneração, Benefícios e Encargos"/>
    <e v="#N/A"/>
    <x v="18"/>
    <x v="0"/>
    <n v="3.22"/>
    <x v="1"/>
  </r>
  <r>
    <s v="08"/>
    <s v="001"/>
    <s v="12"/>
    <s v="366"/>
    <s v="0001"/>
    <x v="11"/>
    <x v="39"/>
    <x v="846"/>
    <x v="5"/>
    <s v="001-CHEFIA DE GABINETE"/>
    <s v="12-EDUCAÇÃO"/>
    <s v="366-EDUCAÇÃO DE JOVENS E ADULTOS"/>
    <s v="0001-Administração e Coordenação Geral​"/>
    <s v="2.001-Remuneração, Benefícios e Encargos"/>
    <e v="#N/A"/>
    <x v="18"/>
    <x v="0"/>
    <n v="3.22"/>
    <x v="1"/>
  </r>
  <r>
    <s v="08"/>
    <s v="001"/>
    <s v="12"/>
    <s v="366"/>
    <s v="0001"/>
    <x v="11"/>
    <x v="44"/>
    <x v="847"/>
    <x v="5"/>
    <s v="001-CHEFIA DE GABINETE"/>
    <s v="12-EDUCAÇÃO"/>
    <s v="366-EDUCAÇÃO DE JOVENS E ADULTOS"/>
    <s v="0001-Administração e Coordenação Geral​"/>
    <s v="2.001-Remuneração, Benefícios e Encargos"/>
    <e v="#N/A"/>
    <x v="18"/>
    <x v="0"/>
    <n v="3.22"/>
    <x v="1"/>
  </r>
  <r>
    <s v="08"/>
    <s v="001"/>
    <s v="12"/>
    <s v="366"/>
    <s v="0001"/>
    <x v="11"/>
    <x v="47"/>
    <x v="848"/>
    <x v="5"/>
    <s v="001-CHEFIA DE GABINETE"/>
    <s v="12-EDUCAÇÃO"/>
    <s v="366-EDUCAÇÃO DE JOVENS E ADULTOS"/>
    <s v="0001-Administração e Coordenação Geral​"/>
    <s v="2.001-Remuneração, Benefícios e Encargos"/>
    <e v="#N/A"/>
    <x v="18"/>
    <x v="0"/>
    <n v="311830.78000000003"/>
    <x v="1"/>
  </r>
  <r>
    <s v="08"/>
    <s v="001"/>
    <s v="12"/>
    <s v="366"/>
    <s v="0001"/>
    <x v="11"/>
    <x v="48"/>
    <x v="849"/>
    <x v="5"/>
    <s v="001-CHEFIA DE GABINETE"/>
    <s v="12-EDUCAÇÃO"/>
    <s v="366-EDUCAÇÃO DE JOVENS E ADULTOS"/>
    <s v="0001-Administração e Coordenação Geral​"/>
    <s v="2.001-Remuneração, Benefícios e Encargos"/>
    <e v="#N/A"/>
    <x v="18"/>
    <x v="0"/>
    <n v="0"/>
    <x v="1"/>
  </r>
  <r>
    <s v="09"/>
    <s v="001"/>
    <s v="04"/>
    <s v="122"/>
    <s v="0001"/>
    <x v="11"/>
    <x v="42"/>
    <x v="850"/>
    <x v="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56345.55171899986"/>
    <x v="1"/>
  </r>
  <r>
    <s v="09"/>
    <s v="001"/>
    <s v="10"/>
    <s v="122"/>
    <s v="0001"/>
    <x v="11"/>
    <x v="38"/>
    <x v="851"/>
    <x v="6"/>
    <s v="001-CHEFIA DE GABINETE"/>
    <s v="10-SAÚDE"/>
    <s v="122-ADMINISTRAÇÃO GERAL"/>
    <s v="0001-Administração e Coordenação Geral​"/>
    <s v="2.001-Remuneração, Benefícios e Encargos"/>
    <e v="#N/A"/>
    <x v="18"/>
    <x v="0"/>
    <n v="367779473.06415337"/>
    <x v="1"/>
  </r>
  <r>
    <s v="09"/>
    <s v="001"/>
    <s v="10"/>
    <s v="122"/>
    <s v="0001"/>
    <x v="11"/>
    <x v="39"/>
    <x v="852"/>
    <x v="6"/>
    <s v="001-CHEFIA DE GABINETE"/>
    <s v="10-SAÚDE"/>
    <s v="122-ADMINISTRAÇÃO GERAL"/>
    <s v="0001-Administração e Coordenação Geral​"/>
    <s v="2.001-Remuneração, Benefícios e Encargos"/>
    <e v="#N/A"/>
    <x v="18"/>
    <x v="0"/>
    <n v="6249877.5300000003"/>
    <x v="1"/>
  </r>
  <r>
    <s v="09"/>
    <s v="001"/>
    <s v="10"/>
    <s v="122"/>
    <s v="0001"/>
    <x v="11"/>
    <x v="44"/>
    <x v="853"/>
    <x v="6"/>
    <s v="001-CHEFIA DE GABINETE"/>
    <s v="10-SAÚDE"/>
    <s v="122-ADMINISTRAÇÃO GERAL"/>
    <s v="0001-Administração e Coordenação Geral​"/>
    <s v="2.001-Remuneração, Benefícios e Encargos"/>
    <e v="#N/A"/>
    <x v="18"/>
    <x v="0"/>
    <n v="58903253.309999995"/>
    <x v="1"/>
  </r>
  <r>
    <s v="09"/>
    <s v="001"/>
    <s v="10"/>
    <s v="122"/>
    <s v="0001"/>
    <x v="11"/>
    <x v="47"/>
    <x v="854"/>
    <x v="6"/>
    <s v="001-CHEFIA DE GABINETE"/>
    <s v="10-SAÚDE"/>
    <s v="122-ADMINISTRAÇÃO GERAL"/>
    <s v="0001-Administração e Coordenação Geral​"/>
    <s v="2.001-Remuneração, Benefícios e Encargos"/>
    <e v="#N/A"/>
    <x v="18"/>
    <x v="0"/>
    <n v="47814345.989999995"/>
    <x v="1"/>
  </r>
  <r>
    <s v="09"/>
    <s v="001"/>
    <s v="10"/>
    <s v="122"/>
    <s v="0001"/>
    <x v="11"/>
    <x v="48"/>
    <x v="855"/>
    <x v="6"/>
    <s v="001-CHEFIA DE GABINETE"/>
    <s v="10-SAÚDE"/>
    <s v="122-ADMINISTRAÇÃO GERAL"/>
    <s v="0001-Administração e Coordenação Geral​"/>
    <s v="2.001-Remuneração, Benefícios e Encargos"/>
    <e v="#N/A"/>
    <x v="18"/>
    <x v="0"/>
    <n v="5874729.4800000004"/>
    <x v="1"/>
  </r>
  <r>
    <s v="09"/>
    <s v="001"/>
    <s v="10"/>
    <s v="304"/>
    <s v="0001"/>
    <x v="11"/>
    <x v="38"/>
    <x v="856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4"/>
    <s v="0001"/>
    <x v="11"/>
    <x v="39"/>
    <x v="857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4"/>
    <s v="0001"/>
    <x v="11"/>
    <x v="44"/>
    <x v="858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4"/>
    <s v="0001"/>
    <x v="11"/>
    <x v="48"/>
    <x v="859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5"/>
    <s v="0001"/>
    <x v="11"/>
    <x v="38"/>
    <x v="860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5"/>
    <s v="0001"/>
    <x v="11"/>
    <x v="39"/>
    <x v="861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5"/>
    <s v="0001"/>
    <x v="11"/>
    <x v="44"/>
    <x v="862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5"/>
    <s v="0001"/>
    <x v="11"/>
    <x v="47"/>
    <x v="863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1"/>
    <s v="10"/>
    <s v="305"/>
    <s v="0001"/>
    <x v="11"/>
    <x v="48"/>
    <x v="864"/>
    <x v="6"/>
    <s v="001-CHEFIA DE GABINETE"/>
    <s v="10-SAÚDE"/>
    <e v="#N/A"/>
    <s v="0001-Administração e Coordenação Geral​"/>
    <s v="2.001-Remuneração, Benefícios e Encargos"/>
    <e v="#N/A"/>
    <x v="18"/>
    <x v="0"/>
    <n v="0"/>
    <x v="1"/>
  </r>
  <r>
    <s v="09"/>
    <s v="006"/>
    <s v="10"/>
    <s v="302"/>
    <s v="0015"/>
    <x v="5"/>
    <x v="0"/>
    <x v="865"/>
    <x v="6"/>
    <s v="006-HOSPITAL E MATERNIDADE MUNICIPAL AMADOR AGUIAR"/>
    <s v="10-SAÚDE"/>
    <s v="302-ASSISTÊNCIA HOSPITALAR E AMBULATORIAL"/>
    <s v="0015-Atenção e Cuidado em Saúde​"/>
    <s v="1.002-Reforma e Ampliação de Unidades"/>
    <s v="3.3.90.30.00-MATERIAL DE CONSUMO"/>
    <x v="18"/>
    <x v="0"/>
    <n v="2"/>
    <x v="1"/>
  </r>
  <r>
    <s v="09"/>
    <s v="006"/>
    <s v="10"/>
    <s v="302"/>
    <s v="0015"/>
    <x v="5"/>
    <x v="1"/>
    <x v="866"/>
    <x v="6"/>
    <s v="006-HOSPITAL E MATERNIDADE MUNICIPAL AMADOR AGUIAR"/>
    <s v="10-SAÚDE"/>
    <s v="302-ASSISTÊNCIA HOSPITALAR E AMBULATORIAL"/>
    <s v="0015-Atenção e Cuidado em Saúde​"/>
    <s v="1.002-Reforma e Ampliação de Unidades"/>
    <s v="3.3.90.39.00-OUTROS SERVIÇOS DE TERCEIROS - PESSOA JURÍDICA"/>
    <x v="18"/>
    <x v="0"/>
    <n v="4"/>
    <x v="1"/>
  </r>
  <r>
    <s v="09"/>
    <s v="006"/>
    <s v="10"/>
    <s v="302"/>
    <s v="0015"/>
    <x v="5"/>
    <x v="12"/>
    <x v="867"/>
    <x v="6"/>
    <s v="006-HOSPITAL E MATERNIDADE MUNICIPAL AMADOR AGUIAR"/>
    <s v="10-SAÚDE"/>
    <s v="302-ASSISTÊNCIA HOSPITALAR E AMBULATORIAL"/>
    <s v="0015-Atenção e Cuidado em Saúde​"/>
    <s v="1.002-Reforma e Ampliação de Unidades"/>
    <s v="4.4.90.51.00-OBRAS E INSTALAÇÕES"/>
    <x v="18"/>
    <x v="0"/>
    <n v="2"/>
    <x v="1"/>
  </r>
  <r>
    <s v="09"/>
    <s v="006"/>
    <s v="10"/>
    <s v="302"/>
    <s v="0015"/>
    <x v="5"/>
    <x v="8"/>
    <x v="868"/>
    <x v="6"/>
    <s v="006-HOSPITAL E MATERNIDADE MUNICIPAL AMADOR AGUIAR"/>
    <s v="10-SAÚDE"/>
    <s v="302-ASSISTÊNCIA HOSPITALAR E AMBULATORIAL"/>
    <s v="0015-Atenção e Cuidado em Saúde​"/>
    <s v="1.002-Reforma e Ampliação de Unidades"/>
    <s v="4.4.90.52.00-EQUIPAMENTOS E MATERIAL PERMANENTE"/>
    <x v="18"/>
    <x v="0"/>
    <n v="2"/>
    <x v="1"/>
  </r>
  <r>
    <s v="09"/>
    <s v="008"/>
    <s v="10"/>
    <s v="301"/>
    <s v="0015"/>
    <x v="5"/>
    <x v="0"/>
    <x v="869"/>
    <x v="6"/>
    <s v="008-DIRETORIA GERAL DE ATENÇÃO PRIMÁRIA EM SAÚDE"/>
    <s v="10-SAÚDE"/>
    <s v="301-ATENÇÃO BÁSICA"/>
    <s v="0015-Atenção e Cuidado em Saúde​"/>
    <s v="1.002-Reforma e Ampliação de Unidades"/>
    <s v="3.3.90.30.00-MATERIAL DE CONSUMO"/>
    <x v="18"/>
    <x v="0"/>
    <n v="2"/>
    <x v="1"/>
  </r>
  <r>
    <s v="09"/>
    <s v="008"/>
    <s v="10"/>
    <s v="301"/>
    <s v="0015"/>
    <x v="5"/>
    <x v="1"/>
    <x v="870"/>
    <x v="6"/>
    <s v="008-DIRETORIA GERAL DE ATENÇÃO PRIMÁRIA EM SAÚDE"/>
    <s v="10-SAÚDE"/>
    <s v="301-ATENÇÃO BÁSICA"/>
    <s v="0015-Atenção e Cuidado em Saúde​"/>
    <s v="1.002-Reforma e Ampliação de Unidades"/>
    <s v="3.3.90.39.00-OUTROS SERVIÇOS DE TERCEIROS - PESSOA JURÍDICA"/>
    <x v="18"/>
    <x v="0"/>
    <n v="4"/>
    <x v="1"/>
  </r>
  <r>
    <s v="09"/>
    <s v="008"/>
    <s v="10"/>
    <s v="301"/>
    <s v="0015"/>
    <x v="5"/>
    <x v="12"/>
    <x v="871"/>
    <x v="6"/>
    <s v="008-DIRETORIA GERAL DE ATENÇÃO PRIMÁRIA EM SAÚDE"/>
    <s v="10-SAÚDE"/>
    <s v="301-ATENÇÃO BÁSICA"/>
    <s v="0015-Atenção e Cuidado em Saúde​"/>
    <s v="1.002-Reforma e Ampliação de Unidades"/>
    <s v="4.4.90.51.00-OBRAS E INSTALAÇÕES"/>
    <x v="18"/>
    <x v="0"/>
    <n v="2"/>
    <x v="1"/>
  </r>
  <r>
    <s v="09"/>
    <s v="008"/>
    <s v="10"/>
    <s v="301"/>
    <s v="0015"/>
    <x v="5"/>
    <x v="8"/>
    <x v="872"/>
    <x v="6"/>
    <s v="008-DIRETORIA GERAL DE ATENÇÃO PRIMÁRIA EM SAÚDE"/>
    <s v="10-SAÚDE"/>
    <s v="301-ATENÇÃO BÁSICA"/>
    <s v="0015-Atenção e Cuidado em Saúde​"/>
    <s v="1.002-Reforma e Ampliação de Unidades"/>
    <s v="4.4.90.52.00-EQUIPAMENTOS E MATERIAL PERMANENTE"/>
    <x v="18"/>
    <x v="0"/>
    <n v="2"/>
    <x v="1"/>
  </r>
  <r>
    <s v="09"/>
    <s v="008"/>
    <s v="10"/>
    <s v="301"/>
    <s v="0015"/>
    <x v="10"/>
    <x v="12"/>
    <x v="873"/>
    <x v="6"/>
    <s v="008-DIRETORIA GERAL DE ATENÇÃO PRIMÁRIA EM SAÚDE"/>
    <s v="10-SAÚDE"/>
    <s v="301-ATENÇÃO BÁSICA"/>
    <s v="0015-Atenção e Cuidado em Saúde​"/>
    <s v="1.003-Implantação de Novas Unidades"/>
    <s v="4.4.90.51.00-OBRAS E INSTALAÇÕES"/>
    <x v="18"/>
    <x v="0"/>
    <n v="2"/>
    <x v="1"/>
  </r>
  <r>
    <s v="09"/>
    <s v="009"/>
    <s v="10"/>
    <s v="302"/>
    <s v="0015"/>
    <x v="5"/>
    <x v="0"/>
    <x v="874"/>
    <x v="6"/>
    <s v="009-DIRETORIA GERAL DA ATENÇÃO SECUNDÁRIA EM SAÚDE"/>
    <s v="10-SAÚDE"/>
    <s v="302-ASSISTÊNCIA HOSPITALAR E AMBULATORIAL"/>
    <s v="0015-Atenção e Cuidado em Saúde​"/>
    <s v="1.002-Reforma e Ampliação de Unidades"/>
    <s v="3.3.90.30.00-MATERIAL DE CONSUMO"/>
    <x v="18"/>
    <x v="0"/>
    <n v="2"/>
    <x v="1"/>
  </r>
  <r>
    <s v="09"/>
    <s v="009"/>
    <s v="10"/>
    <s v="302"/>
    <s v="0015"/>
    <x v="5"/>
    <x v="1"/>
    <x v="875"/>
    <x v="6"/>
    <s v="009-DIRETORIA GERAL DA ATENÇÃO SECUNDÁRIA EM SAÚDE"/>
    <s v="10-SAÚDE"/>
    <s v="302-ASSISTÊNCIA HOSPITALAR E AMBULATORIAL"/>
    <s v="0015-Atenção e Cuidado em Saúde​"/>
    <s v="1.002-Reforma e Ampliação de Unidades"/>
    <s v="3.3.90.39.00-OUTROS SERVIÇOS DE TERCEIROS - PESSOA JURÍDICA"/>
    <x v="18"/>
    <x v="0"/>
    <n v="4"/>
    <x v="1"/>
  </r>
  <r>
    <s v="09"/>
    <s v="009"/>
    <s v="10"/>
    <s v="302"/>
    <s v="0015"/>
    <x v="5"/>
    <x v="12"/>
    <x v="876"/>
    <x v="6"/>
    <s v="009-DIRETORIA GERAL DA ATENÇÃO SECUNDÁRIA EM SAÚDE"/>
    <s v="10-SAÚDE"/>
    <s v="302-ASSISTÊNCIA HOSPITALAR E AMBULATORIAL"/>
    <s v="0015-Atenção e Cuidado em Saúde​"/>
    <s v="1.002-Reforma e Ampliação de Unidades"/>
    <s v="4.4.90.51.00-OBRAS E INSTALAÇÕES"/>
    <x v="18"/>
    <x v="0"/>
    <n v="2"/>
    <x v="1"/>
  </r>
  <r>
    <s v="09"/>
    <s v="009"/>
    <s v="10"/>
    <s v="302"/>
    <s v="0015"/>
    <x v="5"/>
    <x v="8"/>
    <x v="877"/>
    <x v="6"/>
    <s v="009-DIRETORIA GERAL DA ATENÇÃO SECUNDÁRIA EM SAÚDE"/>
    <s v="10-SAÚDE"/>
    <s v="302-ASSISTÊNCIA HOSPITALAR E AMBULATORIAL"/>
    <s v="0015-Atenção e Cuidado em Saúde​"/>
    <s v="1.002-Reforma e Ampliação de Unidades"/>
    <s v="4.4.90.52.00-EQUIPAMENTOS E MATERIAL PERMANENTE"/>
    <x v="18"/>
    <x v="0"/>
    <n v="2"/>
    <x v="1"/>
  </r>
  <r>
    <s v="09"/>
    <s v="009"/>
    <s v="10"/>
    <s v="302"/>
    <s v="0015"/>
    <x v="10"/>
    <x v="12"/>
    <x v="878"/>
    <x v="6"/>
    <s v="009-DIRETORIA GERAL DA ATENÇÃO SECUNDÁRIA EM SAÚDE"/>
    <s v="10-SAÚDE"/>
    <s v="302-ASSISTÊNCIA HOSPITALAR E AMBULATORIAL"/>
    <s v="0015-Atenção e Cuidado em Saúde​"/>
    <s v="1.003-Implantação de Novas Unidades"/>
    <s v="4.4.90.51.00-OBRAS E INSTALAÇÕES"/>
    <x v="18"/>
    <x v="0"/>
    <n v="3"/>
    <x v="1"/>
  </r>
  <r>
    <s v="09"/>
    <s v="010"/>
    <s v="10"/>
    <s v="302"/>
    <s v="0015"/>
    <x v="5"/>
    <x v="0"/>
    <x v="879"/>
    <x v="6"/>
    <s v="010-DIRETORIA GERAL DE URGÊNCIA E EMERGÊNCIA"/>
    <s v="10-SAÚDE"/>
    <s v="302-ASSISTÊNCIA HOSPITALAR E AMBULATORIAL"/>
    <s v="0015-Atenção e Cuidado em Saúde​"/>
    <s v="1.002-Reforma e Ampliação de Unidades"/>
    <s v="3.3.90.30.00-MATERIAL DE CONSUMO"/>
    <x v="18"/>
    <x v="0"/>
    <n v="2"/>
    <x v="1"/>
  </r>
  <r>
    <s v="09"/>
    <s v="010"/>
    <s v="10"/>
    <s v="302"/>
    <s v="0015"/>
    <x v="5"/>
    <x v="1"/>
    <x v="880"/>
    <x v="6"/>
    <s v="010-DIRETORIA GERAL DE URGÊNCIA E EMERGÊNCIA"/>
    <s v="10-SAÚDE"/>
    <s v="302-ASSISTÊNCIA HOSPITALAR E AMBULATORIAL"/>
    <s v="0015-Atenção e Cuidado em Saúde​"/>
    <s v="1.002-Reforma e Ampliação de Unidades"/>
    <s v="3.3.90.39.00-OUTROS SERVIÇOS DE TERCEIROS - PESSOA JURÍDICA"/>
    <x v="18"/>
    <x v="0"/>
    <n v="4"/>
    <x v="1"/>
  </r>
  <r>
    <s v="09"/>
    <s v="010"/>
    <s v="10"/>
    <s v="302"/>
    <s v="0015"/>
    <x v="5"/>
    <x v="12"/>
    <x v="881"/>
    <x v="6"/>
    <s v="010-DIRETORIA GERAL DE URGÊNCIA E EMERGÊNCIA"/>
    <s v="10-SAÚDE"/>
    <s v="302-ASSISTÊNCIA HOSPITALAR E AMBULATORIAL"/>
    <s v="0015-Atenção e Cuidado em Saúde​"/>
    <s v="1.002-Reforma e Ampliação de Unidades"/>
    <s v="4.4.90.51.00-OBRAS E INSTALAÇÕES"/>
    <x v="18"/>
    <x v="0"/>
    <n v="2"/>
    <x v="1"/>
  </r>
  <r>
    <s v="09"/>
    <s v="010"/>
    <s v="10"/>
    <s v="302"/>
    <s v="0015"/>
    <x v="5"/>
    <x v="8"/>
    <x v="882"/>
    <x v="6"/>
    <s v="010-DIRETORIA GERAL DE URGÊNCIA E EMERGÊNCIA"/>
    <s v="10-SAÚDE"/>
    <s v="302-ASSISTÊNCIA HOSPITALAR E AMBULATORIAL"/>
    <s v="0015-Atenção e Cuidado em Saúde​"/>
    <s v="1.002-Reforma e Ampliação de Unidades"/>
    <s v="4.4.90.52.00-EQUIPAMENTOS E MATERIAL PERMANENTE"/>
    <x v="18"/>
    <x v="0"/>
    <n v="2"/>
    <x v="1"/>
  </r>
  <r>
    <s v="09"/>
    <s v="015"/>
    <s v="04"/>
    <s v="121"/>
    <s v="0004"/>
    <x v="23"/>
    <x v="24"/>
    <x v="883"/>
    <x v="6"/>
    <s v="015-DIRETORIA GERAL DA GESTÃO DE SAÚD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09"/>
    <s v="015"/>
    <s v="10"/>
    <s v="122"/>
    <s v="0014"/>
    <x v="5"/>
    <x v="0"/>
    <x v="884"/>
    <x v="6"/>
    <s v="015-DIRETORIA GERAL DA GESTÃO DE SAÚDE"/>
    <s v="10-SAÚDE"/>
    <s v="122-ADMINISTRAÇÃO GERAL"/>
    <s v="0014-Gestão em Saúde​"/>
    <s v="1.002-Reforma e Ampliação de Unidades"/>
    <s v="3.3.90.30.00-MATERIAL DE CONSUMO"/>
    <x v="18"/>
    <x v="0"/>
    <n v="2"/>
    <x v="1"/>
  </r>
  <r>
    <s v="09"/>
    <s v="015"/>
    <s v="10"/>
    <s v="122"/>
    <s v="0014"/>
    <x v="5"/>
    <x v="1"/>
    <x v="885"/>
    <x v="6"/>
    <s v="015-DIRETORIA GERAL DA GESTÃO DE SAÚDE"/>
    <s v="10-SAÚDE"/>
    <s v="122-ADMINISTRAÇÃO GERAL"/>
    <s v="0014-Gestão em Saúde​"/>
    <s v="1.002-Reforma e Ampliação de Unidades"/>
    <s v="3.3.90.39.00-OUTROS SERVIÇOS DE TERCEIROS - PESSOA JURÍDICA"/>
    <x v="18"/>
    <x v="0"/>
    <n v="4"/>
    <x v="1"/>
  </r>
  <r>
    <s v="09"/>
    <s v="015"/>
    <s v="10"/>
    <s v="122"/>
    <s v="0014"/>
    <x v="5"/>
    <x v="12"/>
    <x v="886"/>
    <x v="6"/>
    <s v="015-DIRETORIA GERAL DA GESTÃO DE SAÚDE"/>
    <s v="10-SAÚDE"/>
    <s v="122-ADMINISTRAÇÃO GERAL"/>
    <s v="0014-Gestão em Saúde​"/>
    <s v="1.002-Reforma e Ampliação de Unidades"/>
    <s v="4.4.90.51.00-OBRAS E INSTALAÇÕES"/>
    <x v="18"/>
    <x v="0"/>
    <n v="2"/>
    <x v="1"/>
  </r>
  <r>
    <s v="09"/>
    <s v="015"/>
    <s v="10"/>
    <s v="122"/>
    <s v="0014"/>
    <x v="5"/>
    <x v="8"/>
    <x v="138"/>
    <x v="6"/>
    <s v="015-DIRETORIA GERAL DA GESTÃO DE SAÚDE"/>
    <s v="10-SAÚDE"/>
    <s v="122-ADMINISTRAÇÃO GERAL"/>
    <s v="0014-Gestão em Saúde​"/>
    <s v="1.002-Reforma e Ampliação de Unidades"/>
    <s v="4.4.90.52.00-EQUIPAMENTOS E MATERIAL PERMANENTE"/>
    <x v="18"/>
    <x v="0"/>
    <n v="2"/>
    <x v="1"/>
  </r>
  <r>
    <s v="11"/>
    <s v="001"/>
    <s v="04"/>
    <s v="121"/>
    <s v="0004"/>
    <x v="23"/>
    <x v="1"/>
    <x v="147"/>
    <x v="7"/>
    <s v="001-CHEFIA DE GABINETE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18"/>
    <x v="0"/>
    <n v="0"/>
    <x v="1"/>
  </r>
  <r>
    <s v="11"/>
    <s v="001"/>
    <s v="04"/>
    <s v="121"/>
    <s v="0004"/>
    <x v="23"/>
    <x v="5"/>
    <x v="887"/>
    <x v="7"/>
    <s v="001-CHEFIA DE GABINETE"/>
    <s v="4-ADMINISTRAÇÃO"/>
    <s v="121-PLANEJAMENTO E ORÇAMENTO"/>
    <s v="0004-Planejamento e Gestão de Políticas Públicas "/>
    <s v="1.001-Estudos, Pesquisas, Planos e Projetos "/>
    <s v="3.3.90.40.00-SERVIÇOS DE TECNOLOGIA DA INFORMAÇÃO E COMUNICAÇÃO - PESSOA JURÍDICA"/>
    <x v="18"/>
    <x v="0"/>
    <n v="4690"/>
    <x v="1"/>
  </r>
  <r>
    <s v="11"/>
    <s v="001"/>
    <s v="04"/>
    <s v="122"/>
    <s v="0001"/>
    <x v="11"/>
    <x v="38"/>
    <x v="888"/>
    <x v="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5807024.859999999"/>
    <x v="1"/>
  </r>
  <r>
    <s v="11"/>
    <s v="001"/>
    <s v="04"/>
    <s v="122"/>
    <s v="0001"/>
    <x v="11"/>
    <x v="39"/>
    <x v="889"/>
    <x v="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11535.26"/>
    <x v="1"/>
  </r>
  <r>
    <s v="11"/>
    <s v="001"/>
    <s v="04"/>
    <s v="122"/>
    <s v="0001"/>
    <x v="11"/>
    <x v="44"/>
    <x v="890"/>
    <x v="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163361.7"/>
    <x v="1"/>
  </r>
  <r>
    <s v="11"/>
    <s v="001"/>
    <s v="04"/>
    <s v="122"/>
    <s v="0001"/>
    <x v="11"/>
    <x v="47"/>
    <x v="891"/>
    <x v="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.119999999999999"/>
    <x v="1"/>
  </r>
  <r>
    <s v="11"/>
    <s v="001"/>
    <s v="04"/>
    <s v="122"/>
    <s v="0001"/>
    <x v="11"/>
    <x v="48"/>
    <x v="892"/>
    <x v="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3801.67"/>
    <x v="1"/>
  </r>
  <r>
    <s v="11"/>
    <s v="001"/>
    <s v="04"/>
    <s v="122"/>
    <s v="0011"/>
    <x v="5"/>
    <x v="1"/>
    <x v="150"/>
    <x v="7"/>
    <s v="001-CHEFIA DE GABINETE"/>
    <s v="4-ADMINISTRAÇÃO"/>
    <s v="122-ADMINISTRAÇÃO GERAL"/>
    <s v="0011-Zeladoria Urbana e Cuidados com a Cidade​"/>
    <s v="1.002-Reforma e Ampliação de Unidades"/>
    <s v="3.3.90.39.00-OUTROS SERVIÇOS DE TERCEIROS - PESSOA JURÍDICA"/>
    <x v="18"/>
    <x v="0"/>
    <n v="4731238.6900000004"/>
    <x v="1"/>
  </r>
  <r>
    <s v="11"/>
    <s v="001"/>
    <s v="04"/>
    <s v="122"/>
    <s v="0011"/>
    <x v="10"/>
    <x v="12"/>
    <x v="151"/>
    <x v="7"/>
    <s v="001-CHEFIA DE GABINETE"/>
    <s v="4-ADMINISTRAÇÃO"/>
    <s v="122-ADMINISTRAÇÃO GERAL"/>
    <s v="0011-Zeladoria Urbana e Cuidados com a Cidade​"/>
    <s v="1.003-Implantação de Novas Unidades"/>
    <s v="4.4.90.51.00-OBRAS E INSTALAÇÕES"/>
    <x v="18"/>
    <x v="0"/>
    <n v="0"/>
    <x v="1"/>
  </r>
  <r>
    <s v="11"/>
    <s v="001"/>
    <s v="15"/>
    <s v="451"/>
    <s v="0011"/>
    <x v="56"/>
    <x v="1"/>
    <x v="893"/>
    <x v="7"/>
    <s v="001-CHEFIA DE GABINETE"/>
    <s v="15-URBANISMO"/>
    <s v="451-INFRA-ESTRUTURA URBANA"/>
    <s v="0011-Zeladoria Urbana e Cuidados com a Cidade​"/>
    <e v="#N/A"/>
    <s v="3.3.90.39.00-OUTROS SERVIÇOS DE TERCEIROS - PESSOA JURÍDICA"/>
    <x v="18"/>
    <x v="0"/>
    <n v="64945.02"/>
    <x v="1"/>
  </r>
  <r>
    <s v="11"/>
    <s v="001"/>
    <s v="15"/>
    <s v="451"/>
    <s v="0013"/>
    <x v="56"/>
    <x v="12"/>
    <x v="894"/>
    <x v="7"/>
    <s v="001-CHEFIA DE GABINETE"/>
    <s v="15-URBANISMO"/>
    <s v="451-INFRA-ESTRUTURA URBANA"/>
    <s v="0013-Mobilidade Urbana e Infraestrutura Viária​"/>
    <e v="#N/A"/>
    <s v="4.4.90.51.00-OBRAS E INSTALAÇÕES"/>
    <x v="18"/>
    <x v="0"/>
    <n v="2"/>
    <x v="1"/>
  </r>
  <r>
    <s v="11"/>
    <s v="001"/>
    <s v="15"/>
    <s v="451"/>
    <s v="0013"/>
    <x v="25"/>
    <x v="12"/>
    <x v="164"/>
    <x v="7"/>
    <s v="001-CHEFIA DE GABINETE"/>
    <s v="15-URBANISMO"/>
    <s v="451-INFRA-ESTRUTURA URBANA"/>
    <s v="0013-Mobilidade Urbana e Infraestrutura Viária​"/>
    <s v="1.006-Desenvolvimento da Infraestrutura Viária"/>
    <s v="4.4.90.51.00-OBRAS E INSTALAÇÕES"/>
    <x v="18"/>
    <x v="0"/>
    <n v="2208743.86"/>
    <x v="1"/>
  </r>
  <r>
    <s v="11"/>
    <s v="001"/>
    <s v="18"/>
    <s v="452"/>
    <s v="0007"/>
    <x v="10"/>
    <x v="1"/>
    <x v="172"/>
    <x v="7"/>
    <s v="001-CHEFIA DE GABINETE"/>
    <s v="18-GESTÃO AMBIENTAL"/>
    <s v="452-SERVIÇOS URBNOS"/>
    <s v="0007-Meio Ambiente, Sustentabilidade e Bem-Estar Animal​"/>
    <s v="1.003-Implantação de Novas Unidades"/>
    <s v="3.3.90.39.00-OUTROS SERVIÇOS DE TERCEIROS - PESSOA JURÍDICA"/>
    <x v="18"/>
    <x v="0"/>
    <n v="1"/>
    <x v="1"/>
  </r>
  <r>
    <s v="11"/>
    <s v="001"/>
    <s v="18"/>
    <s v="544"/>
    <s v="0005"/>
    <x v="57"/>
    <x v="12"/>
    <x v="895"/>
    <x v="7"/>
    <s v="001-CHEFIA DE GABINETE"/>
    <s v="18-GESTÃO AMBIENTAL"/>
    <s v="544-RECURSOS HÍDRICOS"/>
    <s v="0005-Resiliência Urbana​"/>
    <e v="#N/A"/>
    <s v="4.4.90.51.00-OBRAS E INSTALAÇÕES"/>
    <x v="18"/>
    <x v="0"/>
    <n v="809561.8"/>
    <x v="1"/>
  </r>
  <r>
    <s v="11"/>
    <s v="001"/>
    <s v="18"/>
    <s v="544"/>
    <s v="0005"/>
    <x v="58"/>
    <x v="12"/>
    <x v="896"/>
    <x v="7"/>
    <s v="001-CHEFIA DE GABINETE"/>
    <s v="18-GESTÃO AMBIENTAL"/>
    <s v="544-RECURSOS HÍDRICOS"/>
    <s v="0005-Resiliência Urbana​"/>
    <e v="#N/A"/>
    <s v="4.4.90.51.00-OBRAS E INSTALAÇÕES"/>
    <x v="18"/>
    <x v="0"/>
    <n v="2"/>
    <x v="1"/>
  </r>
  <r>
    <s v="11"/>
    <s v="014"/>
    <s v="04"/>
    <s v="122"/>
    <s v="0011"/>
    <x v="10"/>
    <x v="12"/>
    <x v="897"/>
    <x v="7"/>
    <s v="014-FUNDO MUNICIPAL DE MANUTENÇÃO DE VELÓRIOS"/>
    <s v="4-ADMINISTRAÇÃO"/>
    <s v="122-ADMINISTRAÇÃO GERAL"/>
    <s v="0011-Zeladoria Urbana e Cuidados com a Cidade​"/>
    <s v="1.003-Implantação de Novas Unidades"/>
    <s v="4.4.90.51.00-OBRAS E INSTALAÇÕES"/>
    <x v="18"/>
    <x v="0"/>
    <n v="385317.12000000104"/>
    <x v="1"/>
  </r>
  <r>
    <s v="12"/>
    <s v="001"/>
    <s v="04"/>
    <s v="121"/>
    <s v="0004"/>
    <x v="23"/>
    <x v="24"/>
    <x v="898"/>
    <x v="8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2"/>
    <s v="001"/>
    <s v="04"/>
    <s v="122"/>
    <s v="0001"/>
    <x v="11"/>
    <x v="38"/>
    <x v="899"/>
    <x v="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4586441.27"/>
    <x v="1"/>
  </r>
  <r>
    <s v="12"/>
    <s v="001"/>
    <s v="04"/>
    <s v="122"/>
    <s v="0001"/>
    <x v="11"/>
    <x v="39"/>
    <x v="900"/>
    <x v="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228912.97"/>
    <x v="1"/>
  </r>
  <r>
    <s v="12"/>
    <s v="001"/>
    <s v="04"/>
    <s v="122"/>
    <s v="0001"/>
    <x v="11"/>
    <x v="44"/>
    <x v="901"/>
    <x v="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986891.85"/>
    <x v="1"/>
  </r>
  <r>
    <s v="12"/>
    <s v="001"/>
    <s v="04"/>
    <s v="122"/>
    <s v="0001"/>
    <x v="11"/>
    <x v="47"/>
    <x v="902"/>
    <x v="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11"/>
    <x v="1"/>
  </r>
  <r>
    <s v="12"/>
    <s v="001"/>
    <s v="04"/>
    <s v="122"/>
    <s v="0001"/>
    <x v="11"/>
    <x v="48"/>
    <x v="903"/>
    <x v="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60614.35999999999"/>
    <x v="1"/>
  </r>
  <r>
    <s v="12"/>
    <s v="001"/>
    <s v="27"/>
    <s v="812"/>
    <s v="0010"/>
    <x v="5"/>
    <x v="1"/>
    <x v="904"/>
    <x v="8"/>
    <s v="001-CHEFIA DE GABINETE"/>
    <s v="27-DESPORTO E LAZER"/>
    <s v="812-DESPORTO COMUNITÁRIO"/>
    <s v="0010-Esporte, Lazer e Bem-Estar​"/>
    <s v="1.002-Reforma e Ampliação de Unidades"/>
    <s v="3.3.90.39.00-OUTROS SERVIÇOS DE TERCEIROS - PESSOA JURÍDICA"/>
    <x v="18"/>
    <x v="0"/>
    <n v="3"/>
    <x v="1"/>
  </r>
  <r>
    <s v="12"/>
    <s v="001"/>
    <s v="27"/>
    <s v="812"/>
    <s v="0010"/>
    <x v="5"/>
    <x v="12"/>
    <x v="905"/>
    <x v="8"/>
    <s v="001-CHEFIA DE GABINETE"/>
    <s v="27-DESPORTO E LAZER"/>
    <s v="812-DESPORTO COMUNITÁRIO"/>
    <s v="0010-Esporte, Lazer e Bem-Estar​"/>
    <s v="1.002-Reforma e Ampliação de Unidades"/>
    <s v="4.4.90.51.00-OBRAS E INSTALAÇÕES"/>
    <x v="18"/>
    <x v="0"/>
    <n v="1"/>
    <x v="1"/>
  </r>
  <r>
    <s v="12"/>
    <s v="001"/>
    <s v="27"/>
    <s v="812"/>
    <s v="0010"/>
    <x v="10"/>
    <x v="1"/>
    <x v="906"/>
    <x v="8"/>
    <s v="001-CHEFIA DE GABINETE"/>
    <s v="27-DESPORTO E LAZER"/>
    <s v="812-DESPORTO COMUNITÁRIO"/>
    <s v="0010-Esporte, Lazer e Bem-Estar​"/>
    <s v="1.003-Implantação de Novas Unidades"/>
    <s v="3.3.90.39.00-OUTROS SERVIÇOS DE TERCEIROS - PESSOA JURÍDICA"/>
    <x v="18"/>
    <x v="0"/>
    <n v="1"/>
    <x v="1"/>
  </r>
  <r>
    <s v="12"/>
    <s v="001"/>
    <s v="27"/>
    <s v="812"/>
    <s v="0010"/>
    <x v="10"/>
    <x v="12"/>
    <x v="907"/>
    <x v="8"/>
    <s v="001-CHEFIA DE GABINETE"/>
    <s v="27-DESPORTO E LAZER"/>
    <s v="812-DESPORTO COMUNITÁRIO"/>
    <s v="0010-Esporte, Lazer e Bem-Estar​"/>
    <s v="1.003-Implantação de Novas Unidades"/>
    <s v="4.4.90.51.00-OBRAS E INSTALAÇÕES"/>
    <x v="18"/>
    <x v="0"/>
    <n v="1"/>
    <x v="1"/>
  </r>
  <r>
    <s v="13"/>
    <s v="001"/>
    <s v="04"/>
    <s v="121"/>
    <s v="0004"/>
    <x v="23"/>
    <x v="24"/>
    <x v="908"/>
    <x v="9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3"/>
    <s v="001"/>
    <s v="04"/>
    <s v="122"/>
    <s v="0001"/>
    <x v="5"/>
    <x v="1"/>
    <x v="909"/>
    <x v="9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13"/>
    <s v="001"/>
    <s v="04"/>
    <s v="122"/>
    <s v="0001"/>
    <x v="11"/>
    <x v="38"/>
    <x v="910"/>
    <x v="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3887930.15"/>
    <x v="1"/>
  </r>
  <r>
    <s v="13"/>
    <s v="001"/>
    <s v="04"/>
    <s v="122"/>
    <s v="0001"/>
    <x v="11"/>
    <x v="39"/>
    <x v="911"/>
    <x v="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477097.15"/>
    <x v="1"/>
  </r>
  <r>
    <s v="13"/>
    <s v="001"/>
    <s v="04"/>
    <s v="122"/>
    <s v="0001"/>
    <x v="11"/>
    <x v="44"/>
    <x v="912"/>
    <x v="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66361.26"/>
    <x v="1"/>
  </r>
  <r>
    <s v="13"/>
    <s v="001"/>
    <s v="04"/>
    <s v="122"/>
    <s v="0001"/>
    <x v="11"/>
    <x v="47"/>
    <x v="913"/>
    <x v="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1800000000000002"/>
    <x v="1"/>
  </r>
  <r>
    <s v="13"/>
    <s v="001"/>
    <s v="04"/>
    <s v="122"/>
    <s v="0001"/>
    <x v="11"/>
    <x v="48"/>
    <x v="914"/>
    <x v="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5720.88"/>
    <x v="1"/>
  </r>
  <r>
    <s v="13"/>
    <s v="001"/>
    <s v="15"/>
    <s v="451"/>
    <s v="0005"/>
    <x v="34"/>
    <x v="12"/>
    <x v="204"/>
    <x v="9"/>
    <s v="001-CHEFIA DE GABINETE"/>
    <s v="15-URBANISMO"/>
    <s v="451-INFRA-ESTRUTURA URBANA"/>
    <s v="0005-Resiliência Urbana​"/>
    <s v="1.009-Urbanização de Favelas e Comunidades "/>
    <s v="4.4.90.51.00-OBRAS E INSTALAÇÕES"/>
    <x v="18"/>
    <x v="0"/>
    <n v="798099.79"/>
    <x v="1"/>
  </r>
  <r>
    <s v="13"/>
    <s v="001"/>
    <s v="16"/>
    <s v="482"/>
    <s v="0012"/>
    <x v="34"/>
    <x v="12"/>
    <x v="207"/>
    <x v="9"/>
    <s v="001-CHEFIA DE GABINETE"/>
    <s v="16-HABITAÇÃO"/>
    <s v="482-HABITAÇÃO URBANA"/>
    <s v="0012-Moradia Digna​"/>
    <s v="1.009-Urbanização de Favelas e Comunidades "/>
    <s v="4.4.90.51.00-OBRAS E INSTALAÇÕES"/>
    <x v="18"/>
    <x v="0"/>
    <n v="18831833"/>
    <x v="1"/>
  </r>
  <r>
    <s v="13"/>
    <s v="001"/>
    <s v="16"/>
    <s v="482"/>
    <s v="0012"/>
    <x v="34"/>
    <x v="8"/>
    <x v="915"/>
    <x v="9"/>
    <s v="001-CHEFIA DE GABINETE"/>
    <s v="16-HABITAÇÃO"/>
    <s v="482-HABITAÇÃO URBANA"/>
    <s v="0012-Moradia Digna​"/>
    <s v="1.009-Urbanização de Favelas e Comunidades "/>
    <s v="4.4.90.52.00-EQUIPAMENTOS E MATERIAL PERMANENTE"/>
    <x v="18"/>
    <x v="0"/>
    <n v="0"/>
    <x v="1"/>
  </r>
  <r>
    <s v="13"/>
    <s v="001"/>
    <s v="16"/>
    <s v="482"/>
    <s v="0012"/>
    <x v="35"/>
    <x v="12"/>
    <x v="916"/>
    <x v="9"/>
    <s v="001-CHEFIA DE GABINETE"/>
    <s v="16-HABITAÇÃO"/>
    <s v="482-HABITAÇÃO URBANA"/>
    <s v="0012-Moradia Digna​"/>
    <s v="1.010-Requalificação de Favelas e Comunidades"/>
    <s v="4.4.90.51.00-OBRAS E INSTALAÇÕES"/>
    <x v="18"/>
    <x v="0"/>
    <n v="9164000"/>
    <x v="1"/>
  </r>
  <r>
    <s v="13"/>
    <s v="001"/>
    <s v="16"/>
    <s v="482"/>
    <s v="0012"/>
    <x v="37"/>
    <x v="1"/>
    <x v="208"/>
    <x v="9"/>
    <s v="001-CHEFIA DE GABINETE"/>
    <s v="16-HABITAÇÃO"/>
    <s v="482-HABITAÇÃO URBANA"/>
    <s v="0012-Moradia Digna​"/>
    <s v="1.011-Regularização Fundiária de Assentamentos Precários, Loteamentos e Conjuntos Habitacionais "/>
    <s v="3.3.90.39.00-OUTROS SERVIÇOS DE TERCEIROS - PESSOA JURÍDICA"/>
    <x v="18"/>
    <x v="0"/>
    <n v="30752"/>
    <x v="1"/>
  </r>
  <r>
    <s v="13"/>
    <s v="001"/>
    <s v="16"/>
    <s v="482"/>
    <s v="0012"/>
    <x v="59"/>
    <x v="12"/>
    <x v="917"/>
    <x v="9"/>
    <s v="001-CHEFIA DE GABINETE"/>
    <s v="16-HABITAÇÃO"/>
    <s v="482-HABITAÇÃO URBANA"/>
    <s v="0012-Moradia Digna​"/>
    <e v="#N/A"/>
    <s v="4.4.90.51.00-OBRAS E INSTALAÇÕES"/>
    <x v="18"/>
    <x v="0"/>
    <n v="2"/>
    <x v="1"/>
  </r>
  <r>
    <s v="13"/>
    <s v="001"/>
    <s v="16"/>
    <s v="482"/>
    <s v="0012"/>
    <x v="60"/>
    <x v="12"/>
    <x v="918"/>
    <x v="9"/>
    <s v="001-CHEFIA DE GABINETE"/>
    <s v="16-HABITAÇÃO"/>
    <s v="482-HABITAÇÃO URBANA"/>
    <s v="0012-Moradia Digna​"/>
    <e v="#N/A"/>
    <s v="4.4.90.51.00-OBRAS E INSTALAÇÕES"/>
    <x v="18"/>
    <x v="0"/>
    <n v="1"/>
    <x v="1"/>
  </r>
  <r>
    <s v="13"/>
    <s v="001"/>
    <s v="16"/>
    <s v="482"/>
    <s v="0012"/>
    <x v="36"/>
    <x v="12"/>
    <x v="206"/>
    <x v="9"/>
    <s v="001-CHEFIA DE GABINETE"/>
    <s v="16-HABITAÇÃO"/>
    <s v="482-HABITAÇÃO URBANA"/>
    <s v="0012-Moradia Digna​"/>
    <s v="1.014-Recuperação de Conjuntos Habitacionais"/>
    <s v="4.4.90.51.00-OBRAS E INSTALAÇÕES"/>
    <x v="18"/>
    <x v="0"/>
    <n v="1"/>
    <x v="1"/>
  </r>
  <r>
    <s v="13"/>
    <s v="008"/>
    <s v="15"/>
    <s v="451"/>
    <s v="0005"/>
    <x v="34"/>
    <x v="12"/>
    <x v="919"/>
    <x v="9"/>
    <s v="008-DIRETORIA GERAL DE ATENÇÃO PRIMÁRIA EM SAÚDE"/>
    <s v="15-URBANISMO"/>
    <s v="451-INFRA-ESTRUTURA URBANA"/>
    <s v="0005-Resiliência Urbana​"/>
    <s v="1.009-Urbanização de Favelas e Comunidades "/>
    <s v="4.4.90.51.00-OBRAS E INSTALAÇÕES"/>
    <x v="18"/>
    <x v="0"/>
    <n v="1"/>
    <x v="1"/>
  </r>
  <r>
    <s v="13"/>
    <s v="008"/>
    <s v="16"/>
    <s v="482"/>
    <s v="0012"/>
    <x v="60"/>
    <x v="12"/>
    <x v="920"/>
    <x v="9"/>
    <s v="008-DIRETORIA GERAL DE ATENÇÃO PRIMÁRIA EM SAÚDE"/>
    <s v="16-HABITAÇÃO"/>
    <s v="482-HABITAÇÃO URBANA"/>
    <s v="0012-Moradia Digna​"/>
    <e v="#N/A"/>
    <s v="4.4.90.51.00-OBRAS E INSTALAÇÕES"/>
    <x v="18"/>
    <x v="0"/>
    <n v="1"/>
    <x v="1"/>
  </r>
  <r>
    <s v="14"/>
    <s v="001"/>
    <s v="04"/>
    <s v="121"/>
    <s v="0004"/>
    <x v="23"/>
    <x v="24"/>
    <x v="921"/>
    <x v="10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4"/>
    <s v="001"/>
    <s v="04"/>
    <s v="122"/>
    <s v="0001"/>
    <x v="11"/>
    <x v="38"/>
    <x v="922"/>
    <x v="1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5886548.159999996"/>
    <x v="1"/>
  </r>
  <r>
    <s v="14"/>
    <s v="001"/>
    <s v="04"/>
    <s v="122"/>
    <s v="0001"/>
    <x v="11"/>
    <x v="39"/>
    <x v="923"/>
    <x v="1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163862.52"/>
    <x v="1"/>
  </r>
  <r>
    <s v="14"/>
    <s v="001"/>
    <s v="04"/>
    <s v="122"/>
    <s v="0001"/>
    <x v="11"/>
    <x v="44"/>
    <x v="924"/>
    <x v="1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065888.79"/>
    <x v="1"/>
  </r>
  <r>
    <s v="14"/>
    <s v="001"/>
    <s v="04"/>
    <s v="122"/>
    <s v="0001"/>
    <x v="11"/>
    <x v="47"/>
    <x v="925"/>
    <x v="1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08"/>
    <x v="1"/>
  </r>
  <r>
    <s v="14"/>
    <s v="001"/>
    <s v="04"/>
    <s v="122"/>
    <s v="0001"/>
    <x v="11"/>
    <x v="48"/>
    <x v="926"/>
    <x v="1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33963.71"/>
    <x v="1"/>
  </r>
  <r>
    <s v="14"/>
    <s v="001"/>
    <s v="08"/>
    <s v="245"/>
    <s v="0001"/>
    <x v="5"/>
    <x v="1"/>
    <x v="231"/>
    <x v="10"/>
    <s v="001-CHEFIA DE GABINETE"/>
    <s v="8-ASSISTÊNCIA SOCIAL"/>
    <s v="245-SERVIÇOS SOCIOASSISTENCIAIS"/>
    <s v="0001-Administração e Coordenação Geral​"/>
    <s v="1.002-Reforma e Ampliação de Unidades"/>
    <s v="3.3.90.39.00-OUTROS SERVIÇOS DE TERCEIROS - PESSOA JURÍDICA"/>
    <x v="18"/>
    <x v="0"/>
    <n v="1"/>
    <x v="1"/>
  </r>
  <r>
    <s v="14"/>
    <s v="007"/>
    <s v="08"/>
    <s v="245"/>
    <s v="0018"/>
    <x v="10"/>
    <x v="1"/>
    <x v="234"/>
    <x v="10"/>
    <s v="007-DEPARTAMENTO DE PROTEÇÃO SOCIAL BÁSICA"/>
    <s v="8-ASSISTÊNCIA SOCIAL"/>
    <s v="245-SERVIÇOS SOCIOASSISTENCIAIS"/>
    <s v="0018-Proteção Social e Garantia de Direitos​"/>
    <s v="1.003-Implantação de Novas Unidades"/>
    <s v="3.3.90.39.00-OUTROS SERVIÇOS DE TERCEIROS - PESSOA JURÍDICA"/>
    <x v="18"/>
    <x v="0"/>
    <n v="311730"/>
    <x v="1"/>
  </r>
  <r>
    <s v="14"/>
    <s v="008"/>
    <s v="08"/>
    <s v="245"/>
    <s v="0018"/>
    <x v="5"/>
    <x v="0"/>
    <x v="927"/>
    <x v="10"/>
    <s v="008-DIRETORIA GERAL DE ATENÇÃO PRIMÁRIA EM SAÚDE"/>
    <s v="8-ASSISTÊNCIA SOCIAL"/>
    <s v="245-SERVIÇOS SOCIOASSISTENCIAIS"/>
    <s v="0018-Proteção Social e Garantia de Direitos​"/>
    <s v="1.002-Reforma e Ampliação de Unidades"/>
    <s v="3.3.90.30.00-MATERIAL DE CONSUMO"/>
    <x v="18"/>
    <x v="0"/>
    <n v="1"/>
    <x v="1"/>
  </r>
  <r>
    <s v="15"/>
    <s v="001"/>
    <s v="04"/>
    <s v="121"/>
    <s v="0004"/>
    <x v="23"/>
    <x v="24"/>
    <x v="928"/>
    <x v="11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5"/>
    <s v="001"/>
    <s v="04"/>
    <s v="122"/>
    <s v="0001"/>
    <x v="11"/>
    <x v="38"/>
    <x v="929"/>
    <x v="1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8686851.4600000009"/>
    <x v="1"/>
  </r>
  <r>
    <s v="15"/>
    <s v="001"/>
    <s v="04"/>
    <s v="122"/>
    <s v="0001"/>
    <x v="11"/>
    <x v="39"/>
    <x v="930"/>
    <x v="1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10124.51"/>
    <x v="1"/>
  </r>
  <r>
    <s v="15"/>
    <s v="001"/>
    <s v="04"/>
    <s v="122"/>
    <s v="0001"/>
    <x v="11"/>
    <x v="44"/>
    <x v="931"/>
    <x v="1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85610.23"/>
    <x v="1"/>
  </r>
  <r>
    <s v="15"/>
    <s v="001"/>
    <s v="04"/>
    <s v="122"/>
    <s v="0001"/>
    <x v="11"/>
    <x v="47"/>
    <x v="932"/>
    <x v="1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23"/>
    <x v="1"/>
  </r>
  <r>
    <s v="15"/>
    <s v="001"/>
    <s v="04"/>
    <s v="122"/>
    <s v="0001"/>
    <x v="11"/>
    <x v="48"/>
    <x v="933"/>
    <x v="1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4722.68"/>
    <x v="1"/>
  </r>
  <r>
    <s v="15"/>
    <s v="001"/>
    <s v="13"/>
    <s v="392"/>
    <s v="0009"/>
    <x v="5"/>
    <x v="1"/>
    <x v="275"/>
    <x v="11"/>
    <s v="001-CHEFIA DE GABINETE"/>
    <s v="13-CULTURA"/>
    <s v="392-DIFUSÃO CULTURAL"/>
    <s v="0009-Cultura, Economia Criativa e Patrimônio Histórico​"/>
    <s v="1.002-Reforma e Ampliação de Unidades"/>
    <s v="3.3.90.39.00-OUTROS SERVIÇOS DE TERCEIROS - PESSOA JURÍDICA"/>
    <x v="18"/>
    <x v="0"/>
    <n v="420001"/>
    <x v="1"/>
  </r>
  <r>
    <s v="15"/>
    <s v="001"/>
    <s v="13"/>
    <s v="392"/>
    <s v="0009"/>
    <x v="5"/>
    <x v="22"/>
    <x v="276"/>
    <x v="11"/>
    <s v="001-CHEFIA DE GABINETE"/>
    <s v="13-CULTURA"/>
    <s v="392-DIFUSÃO CULTURAL"/>
    <s v="0009-Cultura, Economia Criativa e Patrimônio Histórico​"/>
    <s v="1.002-Reforma e Ampliação de Unidades"/>
    <s v="4.4.50.51.00-OBRAS E INSTALAÇÕES"/>
    <x v="18"/>
    <x v="0"/>
    <n v="0"/>
    <x v="1"/>
  </r>
  <r>
    <s v="15"/>
    <s v="001"/>
    <s v="13"/>
    <s v="392"/>
    <s v="0009"/>
    <x v="5"/>
    <x v="8"/>
    <x v="271"/>
    <x v="11"/>
    <s v="001-CHEFIA DE GABINETE"/>
    <s v="13-CULTURA"/>
    <s v="392-DIFUSÃO CULTURAL"/>
    <s v="0009-Cultura, Economia Criativa e Patrimônio Histórico​"/>
    <s v="1.002-Reforma e Ampliação de Unidades"/>
    <s v="4.4.90.52.00-EQUIPAMENTOS E MATERIAL PERMANENTE"/>
    <x v="18"/>
    <x v="0"/>
    <n v="0"/>
    <x v="1"/>
  </r>
  <r>
    <s v="16"/>
    <s v="001"/>
    <s v="04"/>
    <s v="121"/>
    <s v="0004"/>
    <x v="23"/>
    <x v="24"/>
    <x v="934"/>
    <x v="12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6"/>
    <s v="001"/>
    <s v="04"/>
    <s v="122"/>
    <s v="0001"/>
    <x v="5"/>
    <x v="1"/>
    <x v="935"/>
    <x v="12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16"/>
    <s v="001"/>
    <s v="04"/>
    <s v="122"/>
    <s v="0001"/>
    <x v="11"/>
    <x v="38"/>
    <x v="936"/>
    <x v="1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9242878.93"/>
    <x v="1"/>
  </r>
  <r>
    <s v="16"/>
    <s v="001"/>
    <s v="04"/>
    <s v="122"/>
    <s v="0001"/>
    <x v="11"/>
    <x v="39"/>
    <x v="937"/>
    <x v="1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117698.55"/>
    <x v="1"/>
  </r>
  <r>
    <s v="16"/>
    <s v="001"/>
    <s v="04"/>
    <s v="122"/>
    <s v="0001"/>
    <x v="11"/>
    <x v="44"/>
    <x v="938"/>
    <x v="1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09116.35"/>
    <x v="1"/>
  </r>
  <r>
    <s v="16"/>
    <s v="001"/>
    <s v="04"/>
    <s v="122"/>
    <s v="0001"/>
    <x v="11"/>
    <x v="47"/>
    <x v="939"/>
    <x v="1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41"/>
    <x v="1"/>
  </r>
  <r>
    <s v="16"/>
    <s v="001"/>
    <s v="04"/>
    <s v="122"/>
    <s v="0001"/>
    <x v="11"/>
    <x v="48"/>
    <x v="940"/>
    <x v="1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6636.18"/>
    <x v="1"/>
  </r>
  <r>
    <s v="16"/>
    <s v="001"/>
    <s v="23"/>
    <s v="692"/>
    <s v="0008"/>
    <x v="5"/>
    <x v="1"/>
    <x v="941"/>
    <x v="12"/>
    <s v="001-CHEFIA DE GABINETE"/>
    <s v="23-COMÉRCIO E SERVIÇOS"/>
    <e v="#N/A"/>
    <s v="0008-Empreendedorismo, Negócios e Turismo​"/>
    <s v="1.002-Reforma e Ampliação de Unidades"/>
    <s v="3.3.90.39.00-OUTROS SERVIÇOS DE TERCEIROS - PESSOA JURÍDICA"/>
    <x v="18"/>
    <x v="0"/>
    <n v="1"/>
    <x v="1"/>
  </r>
  <r>
    <s v="16"/>
    <s v="001"/>
    <s v="23"/>
    <s v="692"/>
    <s v="0008"/>
    <x v="10"/>
    <x v="8"/>
    <x v="942"/>
    <x v="12"/>
    <s v="001-CHEFIA DE GABINETE"/>
    <s v="23-COMÉRCIO E SERVIÇOS"/>
    <e v="#N/A"/>
    <s v="0008-Empreendedorismo, Negócios e Turismo​"/>
    <s v="1.003-Implantação de Novas Unidades"/>
    <s v="4.4.90.52.00-EQUIPAMENTOS E MATERIAL PERMANENTE"/>
    <x v="18"/>
    <x v="0"/>
    <n v="1"/>
    <x v="1"/>
  </r>
  <r>
    <s v="17"/>
    <s v="001"/>
    <s v="04"/>
    <s v="122"/>
    <s v="0001"/>
    <x v="11"/>
    <x v="38"/>
    <x v="943"/>
    <x v="1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9452593.8800000008"/>
    <x v="1"/>
  </r>
  <r>
    <s v="17"/>
    <s v="001"/>
    <s v="04"/>
    <s v="122"/>
    <s v="0001"/>
    <x v="11"/>
    <x v="39"/>
    <x v="944"/>
    <x v="1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24161.7"/>
    <x v="1"/>
  </r>
  <r>
    <s v="17"/>
    <s v="001"/>
    <s v="04"/>
    <s v="122"/>
    <s v="0001"/>
    <x v="11"/>
    <x v="44"/>
    <x v="945"/>
    <x v="1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90609.54"/>
    <x v="1"/>
  </r>
  <r>
    <s v="17"/>
    <s v="001"/>
    <s v="04"/>
    <s v="122"/>
    <s v="0001"/>
    <x v="11"/>
    <x v="47"/>
    <x v="946"/>
    <x v="1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2400000000000002"/>
    <x v="1"/>
  </r>
  <r>
    <s v="17"/>
    <s v="001"/>
    <s v="04"/>
    <s v="122"/>
    <s v="0001"/>
    <x v="11"/>
    <x v="48"/>
    <x v="947"/>
    <x v="1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29186.38"/>
    <x v="1"/>
  </r>
  <r>
    <s v="17"/>
    <s v="001"/>
    <s v="18"/>
    <s v="541"/>
    <s v="0007"/>
    <x v="5"/>
    <x v="1"/>
    <x v="296"/>
    <x v="13"/>
    <s v="001-CHEFIA DE GABINETE"/>
    <s v="18-GESTÃO AMBIENTAL"/>
    <s v="541-PRESERVAÇÃO E CONSERVAÇÃO AMBIENTAL"/>
    <s v="0007-Meio Ambiente, Sustentabilidade e Bem-Estar Animal​"/>
    <s v="1.002-Reforma e Ampliação de Unidades"/>
    <s v="3.3.90.39.00-OUTROS SERVIÇOS DE TERCEIROS - PESSOA JURÍDICA"/>
    <x v="18"/>
    <x v="0"/>
    <n v="11001"/>
    <x v="1"/>
  </r>
  <r>
    <s v="17"/>
    <s v="003"/>
    <s v="04"/>
    <s v="121"/>
    <s v="0004"/>
    <x v="23"/>
    <x v="24"/>
    <x v="948"/>
    <x v="13"/>
    <s v="003-FUNDO MUNICIPAL DE MEIO AMBIEN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2"/>
    <x v="1"/>
  </r>
  <r>
    <s v="18"/>
    <s v="001"/>
    <s v="04"/>
    <s v="123"/>
    <s v="0021"/>
    <x v="61"/>
    <x v="51"/>
    <x v="949"/>
    <x v="15"/>
    <s v="001-CHEFIA DE GABINETE"/>
    <s v="4-ADMINISTRAÇÃO"/>
    <e v="#N/A"/>
    <e v="#N/A"/>
    <e v="#N/A"/>
    <e v="#N/A"/>
    <x v="18"/>
    <x v="0"/>
    <n v="79447850.049999997"/>
    <x v="1"/>
  </r>
  <r>
    <s v="18"/>
    <s v="001"/>
    <s v="04"/>
    <s v="123"/>
    <s v="0021"/>
    <x v="61"/>
    <x v="52"/>
    <x v="950"/>
    <x v="15"/>
    <s v="001-CHEFIA DE GABINETE"/>
    <s v="4-ADMINISTRAÇÃO"/>
    <e v="#N/A"/>
    <e v="#N/A"/>
    <e v="#N/A"/>
    <e v="#N/A"/>
    <x v="18"/>
    <x v="0"/>
    <n v="1000000"/>
    <x v="1"/>
  </r>
  <r>
    <s v="18"/>
    <s v="001"/>
    <s v="04"/>
    <s v="123"/>
    <s v="0021"/>
    <x v="61"/>
    <x v="53"/>
    <x v="951"/>
    <x v="15"/>
    <s v="001-CHEFIA DE GABINETE"/>
    <s v="4-ADMINISTRAÇÃO"/>
    <e v="#N/A"/>
    <e v="#N/A"/>
    <e v="#N/A"/>
    <e v="#N/A"/>
    <x v="18"/>
    <x v="0"/>
    <n v="5544936.2699999996"/>
    <x v="1"/>
  </r>
  <r>
    <s v="18"/>
    <s v="001"/>
    <s v="04"/>
    <s v="123"/>
    <s v="0021"/>
    <x v="61"/>
    <x v="54"/>
    <x v="952"/>
    <x v="15"/>
    <s v="001-CHEFIA DE GABINETE"/>
    <s v="4-ADMINISTRAÇÃO"/>
    <e v="#N/A"/>
    <e v="#N/A"/>
    <e v="#N/A"/>
    <e v="#N/A"/>
    <x v="18"/>
    <x v="0"/>
    <n v="142548168.24000001"/>
    <x v="1"/>
  </r>
  <r>
    <s v="18"/>
    <s v="001"/>
    <s v="04"/>
    <s v="123"/>
    <s v="0021"/>
    <x v="61"/>
    <x v="55"/>
    <x v="953"/>
    <x v="15"/>
    <s v="001-CHEFIA DE GABINETE"/>
    <s v="4-ADMINISTRAÇÃO"/>
    <e v="#N/A"/>
    <e v="#N/A"/>
    <e v="#N/A"/>
    <e v="#N/A"/>
    <x v="18"/>
    <x v="0"/>
    <n v="714039.84"/>
    <x v="1"/>
  </r>
  <r>
    <s v="18"/>
    <s v="001"/>
    <s v="04"/>
    <s v="123"/>
    <s v="0021"/>
    <x v="62"/>
    <x v="27"/>
    <x v="954"/>
    <x v="15"/>
    <s v="001-CHEFIA DE GABINETE"/>
    <s v="4-ADMINISTRAÇÃO"/>
    <e v="#N/A"/>
    <e v="#N/A"/>
    <e v="#N/A"/>
    <e v="#N/A"/>
    <x v="18"/>
    <x v="0"/>
    <n v="55021000"/>
    <x v="1"/>
  </r>
  <r>
    <s v="18"/>
    <s v="001"/>
    <s v="04"/>
    <s v="123"/>
    <s v="0021"/>
    <x v="62"/>
    <x v="56"/>
    <x v="955"/>
    <x v="15"/>
    <s v="001-CHEFIA DE GABINETE"/>
    <s v="4-ADMINISTRAÇÃO"/>
    <e v="#N/A"/>
    <e v="#N/A"/>
    <e v="#N/A"/>
    <e v="#N/A"/>
    <x v="18"/>
    <x v="0"/>
    <n v="40000000"/>
    <x v="1"/>
  </r>
  <r>
    <s v="18"/>
    <s v="001"/>
    <s v="04"/>
    <s v="123"/>
    <s v="0021"/>
    <x v="44"/>
    <x v="35"/>
    <x v="956"/>
    <x v="15"/>
    <s v="001-CHEFIA DE GABINETE"/>
    <s v="4-ADMINISTRAÇÃO"/>
    <e v="#N/A"/>
    <e v="#N/A"/>
    <s v="0.003-Precatórios e Sentenças Judiciais"/>
    <e v="#N/A"/>
    <x v="18"/>
    <x v="0"/>
    <n v="4485130.83"/>
    <x v="1"/>
  </r>
  <r>
    <s v="18"/>
    <s v="001"/>
    <s v="04"/>
    <s v="123"/>
    <s v="0021"/>
    <x v="44"/>
    <x v="23"/>
    <x v="957"/>
    <x v="15"/>
    <s v="001-CHEFIA DE GABINETE"/>
    <s v="4-ADMINISTRAÇÃO"/>
    <e v="#N/A"/>
    <e v="#N/A"/>
    <s v="0.003-Precatórios e Sentenças Judiciais"/>
    <s v="3.3.90.91.00-SENTENÇAS JUDICIAIS"/>
    <x v="18"/>
    <x v="0"/>
    <n v="2691078.5"/>
    <x v="1"/>
  </r>
  <r>
    <s v="18"/>
    <s v="001"/>
    <s v="04"/>
    <s v="123"/>
    <s v="0021"/>
    <x v="44"/>
    <x v="57"/>
    <x v="958"/>
    <x v="15"/>
    <s v="001-CHEFIA DE GABINETE"/>
    <s v="4-ADMINISTRAÇÃO"/>
    <e v="#N/A"/>
    <e v="#N/A"/>
    <s v="0.003-Precatórios e Sentenças Judiciais"/>
    <e v="#N/A"/>
    <x v="18"/>
    <x v="0"/>
    <n v="1"/>
    <x v="1"/>
  </r>
  <r>
    <s v="18"/>
    <s v="001"/>
    <s v="04"/>
    <s v="123"/>
    <s v="0021"/>
    <x v="44"/>
    <x v="58"/>
    <x v="959"/>
    <x v="15"/>
    <s v="001-CHEFIA DE GABINETE"/>
    <s v="4-ADMINISTRAÇÃO"/>
    <e v="#N/A"/>
    <e v="#N/A"/>
    <s v="0.003-Precatórios e Sentenças Judiciais"/>
    <e v="#N/A"/>
    <x v="18"/>
    <x v="0"/>
    <n v="47185370.43"/>
    <x v="1"/>
  </r>
  <r>
    <s v="18"/>
    <s v="001"/>
    <s v="28"/>
    <s v="846"/>
    <s v="0021"/>
    <x v="44"/>
    <x v="39"/>
    <x v="960"/>
    <x v="15"/>
    <s v="001-CHEFIA DE GABINETE"/>
    <e v="#N/A"/>
    <e v="#N/A"/>
    <e v="#N/A"/>
    <s v="0.003-Precatórios e Sentenças Judiciais"/>
    <e v="#N/A"/>
    <x v="18"/>
    <x v="0"/>
    <n v="179405.23"/>
    <x v="1"/>
  </r>
  <r>
    <s v="18"/>
    <s v="001"/>
    <s v="28"/>
    <s v="846"/>
    <s v="0021"/>
    <x v="44"/>
    <x v="44"/>
    <x v="961"/>
    <x v="15"/>
    <s v="001-CHEFIA DE GABINETE"/>
    <e v="#N/A"/>
    <e v="#N/A"/>
    <e v="#N/A"/>
    <s v="0.003-Precatórios e Sentenças Judiciais"/>
    <e v="#N/A"/>
    <x v="18"/>
    <x v="0"/>
    <n v="53818.9"/>
    <x v="1"/>
  </r>
  <r>
    <s v="18"/>
    <s v="001"/>
    <s v="28"/>
    <s v="846"/>
    <s v="0021"/>
    <x v="44"/>
    <x v="6"/>
    <x v="962"/>
    <x v="15"/>
    <s v="001-CHEFIA DE GABINETE"/>
    <e v="#N/A"/>
    <e v="#N/A"/>
    <e v="#N/A"/>
    <s v="0.003-Precatórios e Sentenças Judiciais"/>
    <s v="3.3.90.93.00-INDENIZAÇÕES E RESTITUIÇÕES"/>
    <x v="18"/>
    <x v="0"/>
    <n v="426087.43"/>
    <x v="1"/>
  </r>
  <r>
    <s v="18"/>
    <s v="002"/>
    <s v="04"/>
    <s v="122"/>
    <s v="0001"/>
    <x v="23"/>
    <x v="24"/>
    <x v="963"/>
    <x v="14"/>
    <s v="002-RECURSOS SOB A SUPERVISÃO DA SECRETARIA DE ADMINISTRAÇÃO"/>
    <s v="4-ADMINISTRAÇÃO"/>
    <s v="122-ADMINISTRAÇÃO GERAL"/>
    <s v="0001-Administração e Coordenação Geral​"/>
    <s v="1.001-Estudos, Pesquisas, Planos e Projetos "/>
    <s v="3.3.90.35.00-SERVIÇOS DE CONSULTORIA"/>
    <x v="18"/>
    <x v="0"/>
    <n v="300000"/>
    <x v="1"/>
  </r>
  <r>
    <s v="18"/>
    <s v="002"/>
    <s v="04"/>
    <s v="122"/>
    <s v="0001"/>
    <x v="5"/>
    <x v="1"/>
    <x v="964"/>
    <x v="14"/>
    <s v="002-RECURSOS SOB A SUPERVISÃO DA SECRETARIA DE ADMINISTRAÇÃO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18"/>
    <s v="002"/>
    <s v="04"/>
    <s v="122"/>
    <s v="0001"/>
    <x v="11"/>
    <x v="38"/>
    <x v="965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1.73"/>
    <x v="1"/>
  </r>
  <r>
    <s v="18"/>
    <s v="002"/>
    <s v="04"/>
    <s v="122"/>
    <s v="0001"/>
    <x v="11"/>
    <x v="39"/>
    <x v="966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3.46"/>
    <x v="1"/>
  </r>
  <r>
    <s v="18"/>
    <s v="002"/>
    <s v="04"/>
    <s v="122"/>
    <s v="0001"/>
    <x v="11"/>
    <x v="42"/>
    <x v="967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529758.620307"/>
    <x v="1"/>
  </r>
  <r>
    <s v="18"/>
    <s v="002"/>
    <s v="04"/>
    <s v="122"/>
    <s v="0001"/>
    <x v="11"/>
    <x v="44"/>
    <x v="968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3.46"/>
    <x v="1"/>
  </r>
  <r>
    <s v="18"/>
    <s v="002"/>
    <s v="04"/>
    <s v="122"/>
    <s v="0001"/>
    <x v="11"/>
    <x v="47"/>
    <x v="969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34466498.140000001"/>
    <x v="1"/>
  </r>
  <r>
    <s v="18"/>
    <s v="002"/>
    <s v="04"/>
    <s v="122"/>
    <s v="0001"/>
    <x v="11"/>
    <x v="48"/>
    <x v="970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1.73"/>
    <x v="1"/>
  </r>
  <r>
    <s v="18"/>
    <s v="002"/>
    <s v="04"/>
    <s v="122"/>
    <s v="0001"/>
    <x v="11"/>
    <x v="31"/>
    <x v="971"/>
    <x v="14"/>
    <s v="002-RECURSOS SOB A SUPERVISÃO DA SECRETARIA DE ADMINISTRAÇÃO"/>
    <s v="4-ADMINISTRAÇÃO"/>
    <s v="122-ADMINISTRAÇÃO GERAL"/>
    <s v="0001-Administração e Coordenação Geral​"/>
    <s v="2.001-Remuneração, Benefícios e Encargos"/>
    <e v="#N/A"/>
    <x v="18"/>
    <x v="0"/>
    <n v="957848.22"/>
    <x v="1"/>
  </r>
  <r>
    <s v="18"/>
    <s v="003"/>
    <s v="04"/>
    <s v="126"/>
    <s v="0002"/>
    <x v="63"/>
    <x v="59"/>
    <x v="972"/>
    <x v="16"/>
    <s v="003-FUNDO MUNICIPAL DE MEIO AMBIENTE"/>
    <s v="4-ADMINISTRAÇÃO"/>
    <s v="126-TECNOLOGIA DA INFORMATIZAÇÃO"/>
    <s v="0002-Governo Inteligente, Aberto e Inovador​"/>
    <e v="#N/A"/>
    <e v="#N/A"/>
    <x v="18"/>
    <x v="0"/>
    <n v="1"/>
    <x v="1"/>
  </r>
  <r>
    <s v="19"/>
    <s v="001"/>
    <s v="04"/>
    <s v="121"/>
    <s v="0004"/>
    <x v="23"/>
    <x v="24"/>
    <x v="973"/>
    <x v="17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19"/>
    <s v="001"/>
    <s v="04"/>
    <s v="122"/>
    <s v="0001"/>
    <x v="11"/>
    <x v="38"/>
    <x v="974"/>
    <x v="1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4544161.859999999"/>
    <x v="1"/>
  </r>
  <r>
    <s v="19"/>
    <s v="001"/>
    <s v="04"/>
    <s v="122"/>
    <s v="0001"/>
    <x v="11"/>
    <x v="39"/>
    <x v="975"/>
    <x v="1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854345.72"/>
    <x v="1"/>
  </r>
  <r>
    <s v="19"/>
    <s v="001"/>
    <s v="04"/>
    <s v="122"/>
    <s v="0001"/>
    <x v="11"/>
    <x v="44"/>
    <x v="976"/>
    <x v="1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122401.9900000002"/>
    <x v="1"/>
  </r>
  <r>
    <s v="19"/>
    <s v="001"/>
    <s v="04"/>
    <s v="122"/>
    <s v="0001"/>
    <x v="11"/>
    <x v="47"/>
    <x v="977"/>
    <x v="1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25"/>
    <x v="1"/>
  </r>
  <r>
    <s v="19"/>
    <s v="001"/>
    <s v="04"/>
    <s v="122"/>
    <s v="0001"/>
    <x v="11"/>
    <x v="48"/>
    <x v="978"/>
    <x v="1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25399.88"/>
    <x v="1"/>
  </r>
  <r>
    <s v="19"/>
    <s v="001"/>
    <s v="15"/>
    <s v="451"/>
    <s v="0013"/>
    <x v="5"/>
    <x v="1"/>
    <x v="330"/>
    <x v="17"/>
    <s v="001-CHEFIA DE GABINETE"/>
    <s v="15-URBANISMO"/>
    <s v="451-INFRA-ESTRUTURA URBANA"/>
    <s v="0013-Mobilidade Urbana e Infraestrutura Viária​"/>
    <s v="1.002-Reforma e Ampliação de Unidades"/>
    <s v="3.3.90.39.00-OUTROS SERVIÇOS DE TERCEIROS - PESSOA JURÍDICA"/>
    <x v="18"/>
    <x v="0"/>
    <n v="1"/>
    <x v="1"/>
  </r>
  <r>
    <s v="19"/>
    <s v="001"/>
    <s v="15"/>
    <s v="451"/>
    <s v="0013"/>
    <x v="25"/>
    <x v="8"/>
    <x v="979"/>
    <x v="17"/>
    <s v="001-CHEFIA DE GABINETE"/>
    <s v="15-URBANISMO"/>
    <s v="451-INFRA-ESTRUTURA URBANA"/>
    <s v="0013-Mobilidade Urbana e Infraestrutura Viária​"/>
    <s v="1.006-Desenvolvimento da Infraestrutura Viária"/>
    <s v="4.4.90.52.00-EQUIPAMENTOS E MATERIAL PERMANENTE"/>
    <x v="18"/>
    <x v="0"/>
    <n v="1"/>
    <x v="1"/>
  </r>
  <r>
    <s v="20"/>
    <s v="001"/>
    <s v="04"/>
    <s v="122"/>
    <s v="0001"/>
    <x v="11"/>
    <x v="38"/>
    <x v="980"/>
    <x v="1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9999999.999999993"/>
    <x v="1"/>
  </r>
  <r>
    <s v="20"/>
    <s v="001"/>
    <s v="04"/>
    <s v="122"/>
    <s v="0001"/>
    <x v="11"/>
    <x v="39"/>
    <x v="981"/>
    <x v="1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773652.59"/>
    <x v="1"/>
  </r>
  <r>
    <s v="20"/>
    <s v="001"/>
    <s v="04"/>
    <s v="122"/>
    <s v="0001"/>
    <x v="11"/>
    <x v="44"/>
    <x v="982"/>
    <x v="1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8298630.75"/>
    <x v="1"/>
  </r>
  <r>
    <s v="20"/>
    <s v="001"/>
    <s v="04"/>
    <s v="122"/>
    <s v="0001"/>
    <x v="11"/>
    <x v="47"/>
    <x v="983"/>
    <x v="1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71"/>
    <x v="1"/>
  </r>
  <r>
    <s v="20"/>
    <s v="001"/>
    <s v="04"/>
    <s v="122"/>
    <s v="0001"/>
    <x v="11"/>
    <x v="48"/>
    <x v="984"/>
    <x v="1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893122.52"/>
    <x v="1"/>
  </r>
  <r>
    <s v="20"/>
    <s v="001"/>
    <s v="06"/>
    <s v="181"/>
    <s v="0006"/>
    <x v="5"/>
    <x v="1"/>
    <x v="985"/>
    <x v="18"/>
    <s v="001-CHEFIA DE GABINETE"/>
    <s v="6-SEGURANÇA PÚBLICA"/>
    <s v="181-POLICIAMENTO"/>
    <s v="0006-Segurança Pública e Fiscalização Inteligente​"/>
    <s v="1.002-Reforma e Ampliação de Unidades"/>
    <s v="3.3.90.39.00-OUTROS SERVIÇOS DE TERCEIROS - PESSOA JURÍDICA"/>
    <x v="18"/>
    <x v="0"/>
    <n v="1"/>
    <x v="1"/>
  </r>
  <r>
    <s v="20"/>
    <s v="001"/>
    <s v="06"/>
    <s v="181"/>
    <s v="0006"/>
    <x v="5"/>
    <x v="12"/>
    <x v="986"/>
    <x v="18"/>
    <s v="001-CHEFIA DE GABINETE"/>
    <s v="6-SEGURANÇA PÚBLICA"/>
    <s v="181-POLICIAMENTO"/>
    <s v="0006-Segurança Pública e Fiscalização Inteligente​"/>
    <s v="1.002-Reforma e Ampliação de Unidades"/>
    <s v="4.4.90.51.00-OBRAS E INSTALAÇÕES"/>
    <x v="18"/>
    <x v="0"/>
    <n v="1"/>
    <x v="1"/>
  </r>
  <r>
    <s v="20"/>
    <s v="001"/>
    <s v="06"/>
    <s v="181"/>
    <s v="0006"/>
    <x v="10"/>
    <x v="12"/>
    <x v="987"/>
    <x v="18"/>
    <s v="001-CHEFIA DE GABINETE"/>
    <s v="6-SEGURANÇA PÚBLICA"/>
    <s v="181-POLICIAMENTO"/>
    <s v="0006-Segurança Pública e Fiscalização Inteligente​"/>
    <s v="1.003-Implantação de Novas Unidades"/>
    <s v="4.4.90.51.00-OBRAS E INSTALAÇÕES"/>
    <x v="18"/>
    <x v="0"/>
    <n v="0"/>
    <x v="1"/>
  </r>
  <r>
    <s v="21"/>
    <s v="001"/>
    <s v="09"/>
    <s v="272"/>
    <s v="0001"/>
    <x v="5"/>
    <x v="1"/>
    <x v="988"/>
    <x v="30"/>
    <s v="001-CHEFIA DE GABINETE"/>
    <e v="#N/A"/>
    <e v="#N/A"/>
    <s v="0001-Administração e Coordenação Geral​"/>
    <s v="1.002-Reforma e Ampliação de Unidades"/>
    <s v="3.3.90.39.00-OUTROS SERVIÇOS DE TERCEIROS - PESSOA JURÍDICA"/>
    <x v="18"/>
    <x v="0"/>
    <n v="1000"/>
    <x v="1"/>
  </r>
  <r>
    <s v="21"/>
    <s v="001"/>
    <s v="09"/>
    <s v="272"/>
    <s v="0001"/>
    <x v="5"/>
    <x v="12"/>
    <x v="989"/>
    <x v="30"/>
    <s v="001-CHEFIA DE GABINETE"/>
    <e v="#N/A"/>
    <e v="#N/A"/>
    <s v="0001-Administração e Coordenação Geral​"/>
    <s v="1.002-Reforma e Ampliação de Unidades"/>
    <s v="4.4.90.51.00-OBRAS E INSTALAÇÕES"/>
    <x v="18"/>
    <x v="0"/>
    <n v="500000"/>
    <x v="1"/>
  </r>
  <r>
    <s v="21"/>
    <s v="001"/>
    <s v="09"/>
    <s v="272"/>
    <s v="0001"/>
    <x v="5"/>
    <x v="8"/>
    <x v="990"/>
    <x v="30"/>
    <s v="001-CHEFIA DE GABINETE"/>
    <e v="#N/A"/>
    <e v="#N/A"/>
    <s v="0001-Administração e Coordenação Geral​"/>
    <s v="1.002-Reforma e Ampliação de Unidades"/>
    <s v="4.4.90.52.00-EQUIPAMENTOS E MATERIAL PERMANENTE"/>
    <x v="18"/>
    <x v="0"/>
    <n v="100000"/>
    <x v="1"/>
  </r>
  <r>
    <s v="21"/>
    <s v="001"/>
    <s v="09"/>
    <s v="272"/>
    <s v="0001"/>
    <x v="5"/>
    <x v="60"/>
    <x v="991"/>
    <x v="30"/>
    <s v="001-CHEFIA DE GABINETE"/>
    <e v="#N/A"/>
    <e v="#N/A"/>
    <s v="0001-Administração e Coordenação Geral​"/>
    <s v="1.002-Reforma e Ampliação de Unidades"/>
    <e v="#N/A"/>
    <x v="18"/>
    <x v="0"/>
    <n v="1000"/>
    <x v="1"/>
  </r>
  <r>
    <s v="21"/>
    <s v="001"/>
    <s v="09"/>
    <s v="272"/>
    <s v="0001"/>
    <x v="11"/>
    <x v="38"/>
    <x v="992"/>
    <x v="30"/>
    <s v="001-CHEFIA DE GABINETE"/>
    <e v="#N/A"/>
    <e v="#N/A"/>
    <s v="0001-Administração e Coordenação Geral​"/>
    <s v="2.001-Remuneração, Benefícios e Encargos"/>
    <e v="#N/A"/>
    <x v="18"/>
    <x v="0"/>
    <n v="15885000"/>
    <x v="1"/>
  </r>
  <r>
    <s v="21"/>
    <s v="001"/>
    <s v="09"/>
    <s v="272"/>
    <s v="0001"/>
    <x v="11"/>
    <x v="39"/>
    <x v="993"/>
    <x v="30"/>
    <s v="001-CHEFIA DE GABINETE"/>
    <e v="#N/A"/>
    <e v="#N/A"/>
    <s v="0001-Administração e Coordenação Geral​"/>
    <s v="2.001-Remuneração, Benefícios e Encargos"/>
    <e v="#N/A"/>
    <x v="18"/>
    <x v="0"/>
    <n v="1715000"/>
    <x v="1"/>
  </r>
  <r>
    <s v="21"/>
    <s v="001"/>
    <s v="09"/>
    <s v="272"/>
    <s v="0001"/>
    <x v="11"/>
    <x v="40"/>
    <x v="994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1"/>
  </r>
  <r>
    <s v="21"/>
    <s v="001"/>
    <s v="09"/>
    <s v="272"/>
    <s v="0001"/>
    <x v="11"/>
    <x v="41"/>
    <x v="995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1"/>
  </r>
  <r>
    <s v="21"/>
    <s v="001"/>
    <s v="09"/>
    <s v="272"/>
    <s v="0001"/>
    <x v="11"/>
    <x v="42"/>
    <x v="996"/>
    <x v="30"/>
    <s v="001-CHEFIA DE GABINETE"/>
    <e v="#N/A"/>
    <e v="#N/A"/>
    <s v="0001-Administração e Coordenação Geral​"/>
    <s v="2.001-Remuneração, Benefícios e Encargos"/>
    <e v="#N/A"/>
    <x v="18"/>
    <x v="0"/>
    <n v="200000"/>
    <x v="1"/>
  </r>
  <r>
    <s v="21"/>
    <s v="001"/>
    <s v="09"/>
    <s v="272"/>
    <s v="0001"/>
    <x v="11"/>
    <x v="44"/>
    <x v="997"/>
    <x v="30"/>
    <s v="001-CHEFIA DE GABINETE"/>
    <e v="#N/A"/>
    <e v="#N/A"/>
    <s v="0001-Administração e Coordenação Geral​"/>
    <s v="2.001-Remuneração, Benefícios e Encargos"/>
    <e v="#N/A"/>
    <x v="18"/>
    <x v="0"/>
    <n v="1733000"/>
    <x v="1"/>
  </r>
  <r>
    <s v="21"/>
    <s v="001"/>
    <s v="09"/>
    <s v="272"/>
    <s v="0001"/>
    <x v="11"/>
    <x v="1"/>
    <x v="998"/>
    <x v="30"/>
    <s v="001-CHEFIA DE GABINETE"/>
    <e v="#N/A"/>
    <e v="#N/A"/>
    <s v="0001-Administração e Coordenação Geral​"/>
    <s v="2.001-Remuneração, Benefícios e Encargos"/>
    <s v="3.3.90.39.00-OUTROS SERVIÇOS DE TERCEIROS - PESSOA JURÍDICA"/>
    <x v="18"/>
    <x v="0"/>
    <n v="1718000"/>
    <x v="1"/>
  </r>
  <r>
    <s v="21"/>
    <s v="001"/>
    <s v="09"/>
    <s v="272"/>
    <s v="0001"/>
    <x v="11"/>
    <x v="47"/>
    <x v="999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1"/>
  </r>
  <r>
    <s v="21"/>
    <s v="001"/>
    <s v="09"/>
    <s v="272"/>
    <s v="0001"/>
    <x v="11"/>
    <x v="48"/>
    <x v="1000"/>
    <x v="30"/>
    <s v="001-CHEFIA DE GABINETE"/>
    <e v="#N/A"/>
    <e v="#N/A"/>
    <s v="0001-Administração e Coordenação Geral​"/>
    <s v="2.001-Remuneração, Benefícios e Encargos"/>
    <e v="#N/A"/>
    <x v="18"/>
    <x v="0"/>
    <n v="100000"/>
    <x v="1"/>
  </r>
  <r>
    <s v="21"/>
    <s v="001"/>
    <s v="09"/>
    <s v="272"/>
    <s v="0004"/>
    <x v="23"/>
    <x v="24"/>
    <x v="1001"/>
    <x v="30"/>
    <s v="001-CHEFIA DE GABINETE"/>
    <e v="#N/A"/>
    <e v="#N/A"/>
    <s v="0004-Planejamento e Gestão de Políticas Públicas "/>
    <s v="1.001-Estudos, Pesquisas, Planos e Projetos "/>
    <s v="3.3.90.35.00-SERVIÇOS DE CONSULTORIA"/>
    <x v="18"/>
    <x v="0"/>
    <n v="1000"/>
    <x v="1"/>
  </r>
  <r>
    <s v="21"/>
    <s v="001"/>
    <s v="09"/>
    <s v="272"/>
    <s v="0004"/>
    <x v="23"/>
    <x v="1"/>
    <x v="1002"/>
    <x v="30"/>
    <s v="001-CHEFIA DE GABINETE"/>
    <e v="#N/A"/>
    <e v="#N/A"/>
    <s v="0004-Planejamento e Gestão de Políticas Públicas "/>
    <s v="1.001-Estudos, Pesquisas, Planos e Projetos "/>
    <s v="3.3.90.39.00-OUTROS SERVIÇOS DE TERCEIROS - PESSOA JURÍDICA"/>
    <x v="18"/>
    <x v="0"/>
    <n v="4500000"/>
    <x v="1"/>
  </r>
  <r>
    <s v="21"/>
    <s v="001"/>
    <s v="09"/>
    <s v="272"/>
    <s v="0021"/>
    <x v="62"/>
    <x v="27"/>
    <x v="1003"/>
    <x v="30"/>
    <s v="001-CHEFIA DE GABINETE"/>
    <e v="#N/A"/>
    <e v="#N/A"/>
    <e v="#N/A"/>
    <e v="#N/A"/>
    <e v="#N/A"/>
    <x v="18"/>
    <x v="0"/>
    <n v="1000000"/>
    <x v="1"/>
  </r>
  <r>
    <s v="21"/>
    <s v="001"/>
    <s v="09"/>
    <s v="272"/>
    <s v="0021"/>
    <x v="44"/>
    <x v="35"/>
    <x v="1004"/>
    <x v="30"/>
    <s v="001-CHEFIA DE GABINETE"/>
    <e v="#N/A"/>
    <e v="#N/A"/>
    <e v="#N/A"/>
    <s v="0.003-Precatórios e Sentenças Judiciais"/>
    <e v="#N/A"/>
    <x v="18"/>
    <x v="0"/>
    <n v="200000"/>
    <x v="1"/>
  </r>
  <r>
    <s v="21"/>
    <s v="001"/>
    <s v="09"/>
    <s v="272"/>
    <s v="0021"/>
    <x v="44"/>
    <x v="23"/>
    <x v="1005"/>
    <x v="30"/>
    <s v="001-CHEFIA DE GABINETE"/>
    <e v="#N/A"/>
    <e v="#N/A"/>
    <e v="#N/A"/>
    <s v="0.003-Precatórios e Sentenças Judiciais"/>
    <s v="3.3.90.91.00-SENTENÇAS JUDICIAIS"/>
    <x v="18"/>
    <x v="0"/>
    <n v="200000"/>
    <x v="1"/>
  </r>
  <r>
    <s v="22"/>
    <s v="001"/>
    <s v="04"/>
    <s v="122"/>
    <s v="0001"/>
    <x v="5"/>
    <x v="12"/>
    <x v="1006"/>
    <x v="31"/>
    <s v="001-CHEFIA DE GABINETE"/>
    <s v="4-ADMINISTRAÇÃO"/>
    <s v="122-ADMINISTRAÇÃO GERAL"/>
    <s v="0001-Administração e Coordenação Geral​"/>
    <s v="1.002-Reforma e Ampliação de Unidades"/>
    <s v="4.4.90.51.00-OBRAS E INSTALAÇÕES"/>
    <x v="18"/>
    <x v="0"/>
    <n v="10764.6"/>
    <x v="1"/>
  </r>
  <r>
    <s v="22"/>
    <s v="001"/>
    <s v="04"/>
    <s v="122"/>
    <s v="0001"/>
    <x v="5"/>
    <x v="28"/>
    <x v="1007"/>
    <x v="31"/>
    <s v="001-CHEFIA DE GABINETE"/>
    <s v="4-ADMINISTRAÇÃO"/>
    <s v="122-ADMINISTRAÇÃO GERAL"/>
    <s v="0001-Administração e Coordenação Geral​"/>
    <s v="1.002-Reforma e Ampliação de Unidades"/>
    <e v="#N/A"/>
    <x v="18"/>
    <x v="0"/>
    <n v="0"/>
    <x v="1"/>
  </r>
  <r>
    <s v="22"/>
    <s v="001"/>
    <s v="04"/>
    <s v="122"/>
    <s v="0001"/>
    <x v="11"/>
    <x v="38"/>
    <x v="1008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400000"/>
    <x v="1"/>
  </r>
  <r>
    <s v="22"/>
    <s v="001"/>
    <s v="04"/>
    <s v="122"/>
    <s v="0001"/>
    <x v="11"/>
    <x v="39"/>
    <x v="1009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5000"/>
    <x v="1"/>
  </r>
  <r>
    <s v="22"/>
    <s v="001"/>
    <s v="04"/>
    <s v="122"/>
    <s v="0001"/>
    <x v="11"/>
    <x v="42"/>
    <x v="1010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50000"/>
    <x v="1"/>
  </r>
  <r>
    <s v="22"/>
    <s v="001"/>
    <s v="04"/>
    <s v="122"/>
    <s v="0001"/>
    <x v="11"/>
    <x v="44"/>
    <x v="1011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50000"/>
    <x v="1"/>
  </r>
  <r>
    <s v="22"/>
    <s v="001"/>
    <s v="04"/>
    <s v="122"/>
    <s v="0001"/>
    <x v="11"/>
    <x v="47"/>
    <x v="1012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5000"/>
    <x v="1"/>
  </r>
  <r>
    <s v="22"/>
    <s v="001"/>
    <s v="04"/>
    <s v="122"/>
    <s v="0021"/>
    <x v="61"/>
    <x v="51"/>
    <x v="1013"/>
    <x v="31"/>
    <s v="001-CHEFIA DE GABINETE"/>
    <s v="4-ADMINISTRAÇÃO"/>
    <s v="122-ADMINISTRAÇÃO GERAL"/>
    <e v="#N/A"/>
    <e v="#N/A"/>
    <e v="#N/A"/>
    <x v="18"/>
    <x v="0"/>
    <n v="174941"/>
    <x v="1"/>
  </r>
  <r>
    <s v="22"/>
    <s v="001"/>
    <s v="04"/>
    <s v="122"/>
    <s v="0021"/>
    <x v="61"/>
    <x v="54"/>
    <x v="1014"/>
    <x v="31"/>
    <s v="001-CHEFIA DE GABINETE"/>
    <s v="4-ADMINISTRAÇÃO"/>
    <s v="122-ADMINISTRAÇÃO GERAL"/>
    <e v="#N/A"/>
    <e v="#N/A"/>
    <e v="#N/A"/>
    <x v="18"/>
    <x v="0"/>
    <n v="630000"/>
    <x v="1"/>
  </r>
  <r>
    <s v="22"/>
    <s v="001"/>
    <s v="04"/>
    <s v="122"/>
    <s v="0021"/>
    <x v="44"/>
    <x v="35"/>
    <x v="1015"/>
    <x v="31"/>
    <s v="001-CHEFIA DE GABINETE"/>
    <s v="4-ADMINISTRAÇÃO"/>
    <s v="122-ADMINISTRAÇÃO GERAL"/>
    <e v="#N/A"/>
    <s v="0.003-Precatórios e Sentenças Judiciais"/>
    <e v="#N/A"/>
    <x v="18"/>
    <x v="0"/>
    <n v="659426.94999999995"/>
    <x v="1"/>
  </r>
  <r>
    <s v="22"/>
    <s v="001"/>
    <s v="04"/>
    <s v="331"/>
    <s v="0001"/>
    <x v="11"/>
    <x v="48"/>
    <x v="1016"/>
    <x v="31"/>
    <s v="001-CHEFIA DE GABINETE"/>
    <s v="4-ADMINISTRAÇÃO"/>
    <e v="#N/A"/>
    <s v="0001-Administração e Coordenação Geral​"/>
    <s v="2.001-Remuneração, Benefícios e Encargos"/>
    <e v="#N/A"/>
    <x v="18"/>
    <x v="0"/>
    <n v="13650"/>
    <x v="1"/>
  </r>
  <r>
    <s v="22"/>
    <s v="002"/>
    <s v="12"/>
    <s v="122"/>
    <s v="0021"/>
    <x v="44"/>
    <x v="35"/>
    <x v="1017"/>
    <x v="31"/>
    <s v="002-RECURSOS SOB A SUPERVISÃO DA SECRETARIA DE ADMINISTRAÇÃO"/>
    <s v="12-EDUCAÇÃO"/>
    <s v="122-ADMINISTRAÇÃO GERAL"/>
    <e v="#N/A"/>
    <s v="0.003-Precatórios e Sentenças Judiciais"/>
    <e v="#N/A"/>
    <x v="18"/>
    <x v="0"/>
    <n v="288156.7"/>
    <x v="1"/>
  </r>
  <r>
    <s v="22"/>
    <s v="002"/>
    <s v="12"/>
    <s v="361"/>
    <s v="0001"/>
    <x v="11"/>
    <x v="38"/>
    <x v="1018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2625000"/>
    <x v="1"/>
  </r>
  <r>
    <s v="22"/>
    <s v="002"/>
    <s v="12"/>
    <s v="361"/>
    <s v="0001"/>
    <x v="11"/>
    <x v="39"/>
    <x v="1019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168040"/>
    <x v="1"/>
  </r>
  <r>
    <s v="22"/>
    <s v="002"/>
    <s v="12"/>
    <s v="361"/>
    <s v="0001"/>
    <x v="11"/>
    <x v="40"/>
    <x v="1020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356457"/>
    <x v="1"/>
  </r>
  <r>
    <s v="22"/>
    <s v="002"/>
    <s v="12"/>
    <s v="361"/>
    <s v="0001"/>
    <x v="11"/>
    <x v="42"/>
    <x v="1021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400000"/>
    <x v="1"/>
  </r>
  <r>
    <s v="22"/>
    <s v="002"/>
    <s v="12"/>
    <s v="361"/>
    <s v="0001"/>
    <x v="11"/>
    <x v="44"/>
    <x v="1022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631478.4"/>
    <x v="1"/>
  </r>
  <r>
    <s v="22"/>
    <s v="002"/>
    <s v="12"/>
    <s v="361"/>
    <s v="0001"/>
    <x v="11"/>
    <x v="47"/>
    <x v="1023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635125.05000000005"/>
    <x v="1"/>
  </r>
  <r>
    <s v="22"/>
    <s v="003"/>
    <s v="12"/>
    <s v="122"/>
    <s v="0021"/>
    <x v="44"/>
    <x v="35"/>
    <x v="1024"/>
    <x v="31"/>
    <s v="003-FUNDO MUNICIPAL DE MEIO AMBIENTE"/>
    <s v="12-EDUCAÇÃO"/>
    <s v="122-ADMINISTRAÇÃO GERAL"/>
    <e v="#N/A"/>
    <s v="0.003-Precatórios e Sentenças Judiciais"/>
    <e v="#N/A"/>
    <x v="18"/>
    <x v="0"/>
    <n v="1206.45"/>
    <x v="1"/>
  </r>
  <r>
    <s v="22"/>
    <s v="004"/>
    <s v="12"/>
    <s v="122"/>
    <s v="0021"/>
    <x v="44"/>
    <x v="35"/>
    <x v="1025"/>
    <x v="31"/>
    <e v="#N/A"/>
    <s v="12-EDUCAÇÃO"/>
    <s v="122-ADMINISTRAÇÃO GERAL"/>
    <e v="#N/A"/>
    <s v="0.003-Precatórios e Sentenças Judiciais"/>
    <e v="#N/A"/>
    <x v="18"/>
    <x v="0"/>
    <n v="96558"/>
    <x v="1"/>
  </r>
  <r>
    <s v="22"/>
    <s v="004"/>
    <s v="12"/>
    <s v="362"/>
    <s v="0001"/>
    <x v="11"/>
    <x v="38"/>
    <x v="1026"/>
    <x v="31"/>
    <e v="#N/A"/>
    <s v="12-EDUCAÇÃO"/>
    <e v="#N/A"/>
    <s v="0001-Administração e Coordenação Geral​"/>
    <s v="2.001-Remuneração, Benefícios e Encargos"/>
    <e v="#N/A"/>
    <x v="18"/>
    <x v="0"/>
    <n v="1859180.4"/>
    <x v="1"/>
  </r>
  <r>
    <s v="22"/>
    <s v="004"/>
    <s v="12"/>
    <s v="362"/>
    <s v="0001"/>
    <x v="11"/>
    <x v="39"/>
    <x v="1027"/>
    <x v="31"/>
    <e v="#N/A"/>
    <s v="12-EDUCAÇÃO"/>
    <e v="#N/A"/>
    <s v="0001-Administração e Coordenação Geral​"/>
    <s v="2.001-Remuneração, Benefícios e Encargos"/>
    <e v="#N/A"/>
    <x v="18"/>
    <x v="0"/>
    <n v="229374.6"/>
    <x v="1"/>
  </r>
  <r>
    <s v="22"/>
    <s v="004"/>
    <s v="12"/>
    <s v="362"/>
    <s v="0001"/>
    <x v="11"/>
    <x v="40"/>
    <x v="1028"/>
    <x v="31"/>
    <e v="#N/A"/>
    <s v="12-EDUCAÇÃO"/>
    <e v="#N/A"/>
    <s v="0001-Administração e Coordenação Geral​"/>
    <s v="2.001-Remuneração, Benefícios e Encargos"/>
    <e v="#N/A"/>
    <x v="18"/>
    <x v="0"/>
    <n v="630000"/>
    <x v="1"/>
  </r>
  <r>
    <s v="22"/>
    <s v="004"/>
    <s v="12"/>
    <s v="362"/>
    <s v="0001"/>
    <x v="11"/>
    <x v="42"/>
    <x v="1029"/>
    <x v="31"/>
    <e v="#N/A"/>
    <s v="12-EDUCAÇÃO"/>
    <e v="#N/A"/>
    <s v="0001-Administração e Coordenação Geral​"/>
    <s v="2.001-Remuneração, Benefícios e Encargos"/>
    <e v="#N/A"/>
    <x v="18"/>
    <x v="0"/>
    <n v="472500"/>
    <x v="1"/>
  </r>
  <r>
    <s v="22"/>
    <s v="004"/>
    <s v="12"/>
    <s v="362"/>
    <s v="0001"/>
    <x v="11"/>
    <x v="44"/>
    <x v="1030"/>
    <x v="31"/>
    <e v="#N/A"/>
    <s v="12-EDUCAÇÃO"/>
    <e v="#N/A"/>
    <s v="0001-Administração e Coordenação Geral​"/>
    <s v="2.001-Remuneração, Benefícios e Encargos"/>
    <e v="#N/A"/>
    <x v="18"/>
    <x v="0"/>
    <n v="781830"/>
    <x v="1"/>
  </r>
  <r>
    <s v="22"/>
    <s v="004"/>
    <s v="12"/>
    <s v="362"/>
    <s v="0001"/>
    <x v="11"/>
    <x v="47"/>
    <x v="1031"/>
    <x v="31"/>
    <e v="#N/A"/>
    <s v="12-EDUCAÇÃO"/>
    <e v="#N/A"/>
    <s v="0001-Administração e Coordenação Geral​"/>
    <s v="2.001-Remuneração, Benefícios e Encargos"/>
    <e v="#N/A"/>
    <x v="18"/>
    <x v="0"/>
    <n v="786344"/>
    <x v="1"/>
  </r>
  <r>
    <s v="22"/>
    <s v="005"/>
    <s v="12"/>
    <s v="122"/>
    <s v="0021"/>
    <x v="44"/>
    <x v="35"/>
    <x v="1032"/>
    <x v="31"/>
    <s v="005-FUNDO MUNICIPAL DE ASSISTÊNCIA SOCIAL"/>
    <s v="12-EDUCAÇÃO"/>
    <s v="122-ADMINISTRAÇÃO GERAL"/>
    <e v="#N/A"/>
    <s v="0.003-Precatórios e Sentenças Judiciais"/>
    <e v="#N/A"/>
    <x v="18"/>
    <x v="0"/>
    <n v="1206.45"/>
    <x v="1"/>
  </r>
  <r>
    <s v="22"/>
    <s v="006"/>
    <s v="12"/>
    <s v="122"/>
    <s v="0021"/>
    <x v="44"/>
    <x v="35"/>
    <x v="1033"/>
    <x v="31"/>
    <s v="006-HOSPITAL E MATERNIDADE MUNICIPAL AMADOR AGUIAR"/>
    <s v="12-EDUCAÇÃO"/>
    <s v="122-ADMINISTRAÇÃO GERAL"/>
    <e v="#N/A"/>
    <s v="0.003-Precatórios e Sentenças Judiciais"/>
    <e v="#N/A"/>
    <x v="18"/>
    <x v="0"/>
    <n v="30173.85"/>
    <x v="1"/>
  </r>
  <r>
    <s v="22"/>
    <s v="006"/>
    <s v="12"/>
    <s v="364"/>
    <s v="0001"/>
    <x v="11"/>
    <x v="40"/>
    <x v="1034"/>
    <x v="31"/>
    <s v="006-HOSPITAL E MATERNIDADE MUNICIPAL AMADOR AGUIAR"/>
    <s v="12-EDUCAÇÃO"/>
    <s v="364-ENSINO SUPERIOR"/>
    <s v="0001-Administração e Coordenação Geral​"/>
    <s v="2.001-Remuneração, Benefícios e Encargos"/>
    <e v="#N/A"/>
    <x v="18"/>
    <x v="0"/>
    <n v="36840.300000000003"/>
    <x v="1"/>
  </r>
  <r>
    <s v="22"/>
    <s v="007"/>
    <s v="13"/>
    <s v="122"/>
    <s v="0021"/>
    <x v="44"/>
    <x v="35"/>
    <x v="1035"/>
    <x v="31"/>
    <s v="007-DEPARTAMENTO DE PROTEÇÃO SOCIAL BÁSICA"/>
    <s v="13-CULTURA"/>
    <s v="122-ADMINISTRAÇÃO GERAL"/>
    <e v="#N/A"/>
    <s v="0.003-Precatórios e Sentenças Judiciais"/>
    <e v="#N/A"/>
    <x v="18"/>
    <x v="0"/>
    <n v="30173.85"/>
    <x v="1"/>
  </r>
  <r>
    <s v="22"/>
    <s v="007"/>
    <s v="13"/>
    <s v="392"/>
    <s v="0001"/>
    <x v="11"/>
    <x v="38"/>
    <x v="1036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89183.75"/>
    <x v="1"/>
  </r>
  <r>
    <s v="22"/>
    <s v="007"/>
    <s v="13"/>
    <s v="392"/>
    <s v="0001"/>
    <x v="11"/>
    <x v="39"/>
    <x v="1037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55809.599999999999"/>
    <x v="1"/>
  </r>
  <r>
    <s v="22"/>
    <s v="007"/>
    <s v="13"/>
    <s v="392"/>
    <s v="0001"/>
    <x v="11"/>
    <x v="47"/>
    <x v="1038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0106.25"/>
    <x v="1"/>
  </r>
  <r>
    <s v="22"/>
    <s v="007"/>
    <s v="13"/>
    <s v="392"/>
    <s v="0001"/>
    <x v="11"/>
    <x v="48"/>
    <x v="1039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57529.4"/>
    <x v="1"/>
  </r>
  <r>
    <s v="22"/>
    <s v="008"/>
    <s v="12"/>
    <s v="365"/>
    <s v="0001"/>
    <x v="11"/>
    <x v="38"/>
    <x v="1040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8137355"/>
    <x v="1"/>
  </r>
  <r>
    <s v="22"/>
    <s v="008"/>
    <s v="12"/>
    <s v="365"/>
    <s v="0001"/>
    <x v="11"/>
    <x v="39"/>
    <x v="1041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029104"/>
    <x v="1"/>
  </r>
  <r>
    <s v="22"/>
    <s v="008"/>
    <s v="12"/>
    <s v="365"/>
    <s v="0001"/>
    <x v="11"/>
    <x v="40"/>
    <x v="1042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9883585"/>
    <x v="1"/>
  </r>
  <r>
    <s v="22"/>
    <s v="008"/>
    <s v="12"/>
    <s v="365"/>
    <s v="0001"/>
    <x v="11"/>
    <x v="42"/>
    <x v="1043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465661"/>
    <x v="1"/>
  </r>
  <r>
    <s v="22"/>
    <s v="008"/>
    <s v="12"/>
    <s v="365"/>
    <s v="0001"/>
    <x v="11"/>
    <x v="44"/>
    <x v="1044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465661"/>
    <x v="1"/>
  </r>
  <r>
    <s v="22"/>
    <s v="008"/>
    <s v="12"/>
    <s v="365"/>
    <s v="0001"/>
    <x v="11"/>
    <x v="47"/>
    <x v="1045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9883585"/>
    <x v="1"/>
  </r>
  <r>
    <s v="22"/>
    <s v="008"/>
    <s v="12"/>
    <s v="365"/>
    <s v="0001"/>
    <x v="11"/>
    <x v="48"/>
    <x v="1046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029104"/>
    <x v="1"/>
  </r>
  <r>
    <s v="22"/>
    <s v="009"/>
    <s v="12"/>
    <s v="365"/>
    <s v="0001"/>
    <x v="11"/>
    <x v="42"/>
    <x v="1047"/>
    <x v="31"/>
    <s v="009-DIRETORIA GERAL DA ATENÇÃO SECUNDÁRIA EM SAÚDE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0"/>
    <s v="12"/>
    <s v="365"/>
    <s v="0001"/>
    <x v="11"/>
    <x v="42"/>
    <x v="1048"/>
    <x v="31"/>
    <s v="010-DIRETORIA GERAL DE URGÊNCIA E EMERGÊNCIA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1"/>
    <s v="12"/>
    <s v="365"/>
    <s v="0001"/>
    <x v="11"/>
    <x v="42"/>
    <x v="1049"/>
    <x v="31"/>
    <s v="011-FUNDO MUNICIPAL DE VALORIZAÇÃO DOS SERVIDORES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2"/>
    <s v="12"/>
    <s v="365"/>
    <s v="0001"/>
    <x v="11"/>
    <x v="42"/>
    <x v="1050"/>
    <x v="31"/>
    <s v="012-FUNDO ESPECIAL DE MANUTENÇÃO DOS BOMBEIROS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3"/>
    <s v="12"/>
    <s v="365"/>
    <s v="0001"/>
    <x v="11"/>
    <x v="42"/>
    <x v="1051"/>
    <x v="31"/>
    <e v="#N/A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4"/>
    <s v="12"/>
    <s v="365"/>
    <s v="0001"/>
    <x v="11"/>
    <x v="42"/>
    <x v="1052"/>
    <x v="31"/>
    <s v="014-FUNDO MUNICIPAL DE MANUTENÇÃO DE VELÓRIOS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5"/>
    <s v="12"/>
    <s v="365"/>
    <s v="0001"/>
    <x v="11"/>
    <x v="42"/>
    <x v="1053"/>
    <x v="31"/>
    <s v="015-DIRETORIA GERAL DA GESTÃO DE SAÚDE"/>
    <s v="12-EDUCAÇÃO"/>
    <s v="365-EDUCAÇÃO INFANTIL"/>
    <s v="0001-Administração e Coordenação Geral​"/>
    <s v="2.001-Remuneração, Benefícios e Encargos"/>
    <e v="#N/A"/>
    <x v="18"/>
    <x v="0"/>
    <n v="1.05"/>
    <x v="1"/>
  </r>
  <r>
    <s v="22"/>
    <s v="016"/>
    <s v="12"/>
    <s v="122"/>
    <s v="0021"/>
    <x v="44"/>
    <x v="35"/>
    <x v="1054"/>
    <x v="31"/>
    <e v="#N/A"/>
    <s v="12-EDUCAÇÃO"/>
    <s v="122-ADMINISTRAÇÃO GERAL"/>
    <e v="#N/A"/>
    <s v="0.003-Precatórios e Sentenças Judiciais"/>
    <e v="#N/A"/>
    <x v="18"/>
    <x v="0"/>
    <n v="210"/>
    <x v="1"/>
  </r>
  <r>
    <s v="22"/>
    <s v="016"/>
    <s v="12"/>
    <s v="365"/>
    <s v="0001"/>
    <x v="11"/>
    <x v="38"/>
    <x v="1055"/>
    <x v="31"/>
    <e v="#N/A"/>
    <s v="12-EDUCAÇÃO"/>
    <s v="365-EDUCAÇÃO INFANTIL"/>
    <s v="0001-Administração e Coordenação Geral​"/>
    <s v="2.001-Remuneração, Benefícios e Encargos"/>
    <e v="#N/A"/>
    <x v="18"/>
    <x v="0"/>
    <n v="315000"/>
    <x v="1"/>
  </r>
  <r>
    <s v="22"/>
    <s v="016"/>
    <s v="12"/>
    <s v="365"/>
    <s v="0001"/>
    <x v="11"/>
    <x v="40"/>
    <x v="1056"/>
    <x v="31"/>
    <e v="#N/A"/>
    <s v="12-EDUCAÇÃO"/>
    <s v="365-EDUCAÇÃO INFANTIL"/>
    <s v="0001-Administração e Coordenação Geral​"/>
    <s v="2.001-Remuneração, Benefícios e Encargos"/>
    <e v="#N/A"/>
    <x v="18"/>
    <x v="0"/>
    <n v="191406.6"/>
    <x v="1"/>
  </r>
  <r>
    <s v="22"/>
    <s v="016"/>
    <s v="12"/>
    <s v="365"/>
    <s v="0001"/>
    <x v="11"/>
    <x v="44"/>
    <x v="1057"/>
    <x v="31"/>
    <e v="#N/A"/>
    <s v="12-EDUCAÇÃO"/>
    <s v="365-EDUCAÇÃO INFANTIL"/>
    <s v="0001-Administração e Coordenação Geral​"/>
    <s v="2.001-Remuneração, Benefícios e Encargos"/>
    <e v="#N/A"/>
    <x v="18"/>
    <x v="0"/>
    <n v="126000"/>
    <x v="1"/>
  </r>
  <r>
    <s v="22"/>
    <s v="016"/>
    <s v="12"/>
    <s v="365"/>
    <s v="0016"/>
    <x v="5"/>
    <x v="1"/>
    <x v="1058"/>
    <x v="31"/>
    <e v="#N/A"/>
    <s v="12-EDUCAÇÃO"/>
    <s v="365-EDUCAÇÃO INFANTIL"/>
    <s v="0016-Escola para Todos​"/>
    <s v="1.002-Reforma e Ampliação de Unidades"/>
    <s v="3.3.90.39.00-OUTROS SERVIÇOS DE TERCEIROS - PESSOA JURÍDICA"/>
    <x v="18"/>
    <x v="0"/>
    <n v="420"/>
    <x v="1"/>
  </r>
  <r>
    <s v="23"/>
    <s v="001"/>
    <s v="04"/>
    <s v="122"/>
    <s v="0001"/>
    <x v="11"/>
    <x v="38"/>
    <x v="1059"/>
    <x v="1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641368.85"/>
    <x v="1"/>
  </r>
  <r>
    <s v="23"/>
    <s v="001"/>
    <s v="04"/>
    <s v="122"/>
    <s v="0001"/>
    <x v="11"/>
    <x v="39"/>
    <x v="1060"/>
    <x v="1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77280.19"/>
    <x v="1"/>
  </r>
  <r>
    <s v="23"/>
    <s v="001"/>
    <s v="04"/>
    <s v="122"/>
    <s v="0001"/>
    <x v="11"/>
    <x v="44"/>
    <x v="1061"/>
    <x v="1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37759.87"/>
    <x v="1"/>
  </r>
  <r>
    <s v="23"/>
    <s v="001"/>
    <s v="04"/>
    <s v="122"/>
    <s v="0001"/>
    <x v="11"/>
    <x v="47"/>
    <x v="1062"/>
    <x v="1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2200000000000002"/>
    <x v="1"/>
  </r>
  <r>
    <s v="23"/>
    <s v="001"/>
    <s v="04"/>
    <s v="122"/>
    <s v="0001"/>
    <x v="11"/>
    <x v="48"/>
    <x v="1063"/>
    <x v="19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153.94"/>
    <x v="1"/>
  </r>
  <r>
    <s v="24"/>
    <s v="001"/>
    <s v="04"/>
    <s v="121"/>
    <s v="0004"/>
    <x v="23"/>
    <x v="24"/>
    <x v="1064"/>
    <x v="20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0"/>
    <x v="1"/>
  </r>
  <r>
    <s v="24"/>
    <s v="001"/>
    <s v="04"/>
    <s v="121"/>
    <s v="0004"/>
    <x v="23"/>
    <x v="10"/>
    <x v="1065"/>
    <x v="20"/>
    <s v="001-CHEFIA DE GABINETE"/>
    <s v="4-ADMINISTRAÇÃO"/>
    <s v="121-PLANEJAMENTO E ORÇAMENTO"/>
    <s v="0004-Planejamento e Gestão de Políticas Públicas "/>
    <s v="1.001-Estudos, Pesquisas, Planos e Projetos "/>
    <s v="3.3.90.36.00-OUTROS SERVIÇOS DE TERCEIROS - PESSOA FÍSICA"/>
    <x v="18"/>
    <x v="0"/>
    <n v="1"/>
    <x v="1"/>
  </r>
  <r>
    <s v="24"/>
    <s v="001"/>
    <s v="04"/>
    <s v="121"/>
    <s v="0004"/>
    <x v="23"/>
    <x v="1"/>
    <x v="1066"/>
    <x v="20"/>
    <s v="001-CHEFIA DE GABINETE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18"/>
    <x v="0"/>
    <n v="1"/>
    <x v="1"/>
  </r>
  <r>
    <s v="24"/>
    <s v="001"/>
    <s v="04"/>
    <s v="121"/>
    <s v="0004"/>
    <x v="23"/>
    <x v="15"/>
    <x v="1067"/>
    <x v="20"/>
    <s v="001-CHEFIA DE GABINETE"/>
    <s v="4-ADMINISTRAÇÃO"/>
    <s v="121-PLANEJAMENTO E ORÇAMENTO"/>
    <s v="0004-Planejamento e Gestão de Políticas Públicas "/>
    <s v="1.001-Estudos, Pesquisas, Planos e Projetos "/>
    <s v="3.3.90.48.00 - OUTROS AUXILIOS FINANCEIROS A PESSOAS FISICAS"/>
    <x v="18"/>
    <x v="0"/>
    <n v="1"/>
    <x v="1"/>
  </r>
  <r>
    <s v="24"/>
    <s v="001"/>
    <s v="04"/>
    <s v="122"/>
    <s v="0001"/>
    <x v="5"/>
    <x v="1"/>
    <x v="1068"/>
    <x v="20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24"/>
    <s v="001"/>
    <s v="04"/>
    <s v="122"/>
    <s v="0001"/>
    <x v="11"/>
    <x v="38"/>
    <x v="1069"/>
    <x v="2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2567952.050000001"/>
    <x v="1"/>
  </r>
  <r>
    <s v="24"/>
    <s v="001"/>
    <s v="04"/>
    <s v="122"/>
    <s v="0001"/>
    <x v="11"/>
    <x v="39"/>
    <x v="1070"/>
    <x v="2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86196.12"/>
    <x v="1"/>
  </r>
  <r>
    <s v="24"/>
    <s v="001"/>
    <s v="04"/>
    <s v="122"/>
    <s v="0001"/>
    <x v="11"/>
    <x v="44"/>
    <x v="1071"/>
    <x v="2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986150.97"/>
    <x v="1"/>
  </r>
  <r>
    <s v="24"/>
    <s v="001"/>
    <s v="04"/>
    <s v="122"/>
    <s v="0001"/>
    <x v="11"/>
    <x v="47"/>
    <x v="1072"/>
    <x v="2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.45"/>
    <x v="1"/>
  </r>
  <r>
    <s v="24"/>
    <s v="001"/>
    <s v="04"/>
    <s v="122"/>
    <s v="0001"/>
    <x v="11"/>
    <x v="48"/>
    <x v="1073"/>
    <x v="20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6160.94"/>
    <x v="1"/>
  </r>
  <r>
    <s v="27"/>
    <s v="001"/>
    <s v="04"/>
    <s v="121"/>
    <s v="0004"/>
    <x v="23"/>
    <x v="24"/>
    <x v="1074"/>
    <x v="21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27"/>
    <s v="001"/>
    <s v="04"/>
    <s v="121"/>
    <s v="0004"/>
    <x v="23"/>
    <x v="1"/>
    <x v="1075"/>
    <x v="21"/>
    <s v="001-CHEFIA DE GABINETE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18"/>
    <x v="0"/>
    <n v="1"/>
    <x v="1"/>
  </r>
  <r>
    <s v="27"/>
    <s v="001"/>
    <s v="04"/>
    <s v="122"/>
    <s v="0001"/>
    <x v="5"/>
    <x v="1"/>
    <x v="1076"/>
    <x v="21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27"/>
    <s v="001"/>
    <s v="04"/>
    <s v="122"/>
    <s v="0001"/>
    <x v="11"/>
    <x v="38"/>
    <x v="1077"/>
    <x v="2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413192.4299999997"/>
    <x v="1"/>
  </r>
  <r>
    <s v="27"/>
    <s v="001"/>
    <s v="04"/>
    <s v="122"/>
    <s v="0001"/>
    <x v="11"/>
    <x v="39"/>
    <x v="1078"/>
    <x v="2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31523.76"/>
    <x v="1"/>
  </r>
  <r>
    <s v="27"/>
    <s v="001"/>
    <s v="04"/>
    <s v="122"/>
    <s v="0001"/>
    <x v="11"/>
    <x v="44"/>
    <x v="1079"/>
    <x v="2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78147.75"/>
    <x v="1"/>
  </r>
  <r>
    <s v="27"/>
    <s v="001"/>
    <s v="04"/>
    <s v="122"/>
    <s v="0001"/>
    <x v="11"/>
    <x v="47"/>
    <x v="1080"/>
    <x v="2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71"/>
    <x v="1"/>
  </r>
  <r>
    <s v="27"/>
    <s v="001"/>
    <s v="04"/>
    <s v="122"/>
    <s v="0001"/>
    <x v="11"/>
    <x v="48"/>
    <x v="1081"/>
    <x v="2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5219.55"/>
    <x v="1"/>
  </r>
  <r>
    <s v="28"/>
    <s v="001"/>
    <s v="04"/>
    <s v="121"/>
    <s v="0004"/>
    <x v="23"/>
    <x v="24"/>
    <x v="1082"/>
    <x v="22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28"/>
    <s v="001"/>
    <s v="04"/>
    <s v="122"/>
    <s v="0001"/>
    <x v="5"/>
    <x v="1"/>
    <x v="375"/>
    <x v="22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2"/>
    <x v="1"/>
  </r>
  <r>
    <s v="28"/>
    <s v="001"/>
    <s v="04"/>
    <s v="122"/>
    <s v="0001"/>
    <x v="11"/>
    <x v="38"/>
    <x v="1083"/>
    <x v="2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927314.100000001"/>
    <x v="1"/>
  </r>
  <r>
    <s v="28"/>
    <s v="001"/>
    <s v="04"/>
    <s v="122"/>
    <s v="0001"/>
    <x v="11"/>
    <x v="39"/>
    <x v="1084"/>
    <x v="2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567703.65"/>
    <x v="1"/>
  </r>
  <r>
    <s v="28"/>
    <s v="001"/>
    <s v="04"/>
    <s v="122"/>
    <s v="0001"/>
    <x v="11"/>
    <x v="44"/>
    <x v="1085"/>
    <x v="2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961738.73"/>
    <x v="1"/>
  </r>
  <r>
    <s v="28"/>
    <s v="001"/>
    <s v="04"/>
    <s v="122"/>
    <s v="0001"/>
    <x v="11"/>
    <x v="48"/>
    <x v="1086"/>
    <x v="2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01863.56"/>
    <x v="1"/>
  </r>
  <r>
    <s v="29"/>
    <s v="001"/>
    <s v="04"/>
    <s v="122"/>
    <s v="0001"/>
    <x v="11"/>
    <x v="38"/>
    <x v="1087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916025.21"/>
    <x v="1"/>
  </r>
  <r>
    <s v="29"/>
    <s v="001"/>
    <s v="04"/>
    <s v="122"/>
    <s v="0001"/>
    <x v="11"/>
    <x v="39"/>
    <x v="1088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15527.1000000001"/>
    <x v="1"/>
  </r>
  <r>
    <s v="29"/>
    <s v="001"/>
    <s v="04"/>
    <s v="122"/>
    <s v="0001"/>
    <x v="11"/>
    <x v="44"/>
    <x v="1089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30249.16"/>
    <x v="1"/>
  </r>
  <r>
    <s v="29"/>
    <s v="001"/>
    <s v="04"/>
    <s v="122"/>
    <s v="0001"/>
    <x v="11"/>
    <x v="47"/>
    <x v="1090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33"/>
    <x v="1"/>
  </r>
  <r>
    <s v="29"/>
    <s v="001"/>
    <s v="04"/>
    <s v="122"/>
    <s v="0001"/>
    <x v="11"/>
    <x v="48"/>
    <x v="1091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9690.21"/>
    <x v="1"/>
  </r>
  <r>
    <s v="29"/>
    <s v="001"/>
    <s v="14"/>
    <s v="243"/>
    <s v="0001"/>
    <x v="5"/>
    <x v="1"/>
    <x v="1092"/>
    <x v="32"/>
    <s v="001-CHEFIA DE GABINETE"/>
    <s v="14-DIREITOS DA CIDADANIA"/>
    <e v="#N/A"/>
    <s v="0001-Administração e Coordenação Geral​"/>
    <s v="1.002-Reforma e Ampliação de Unidades"/>
    <s v="3.3.90.39.00-OUTROS SERVIÇOS DE TERCEIROS - PESSOA JURÍDICA"/>
    <x v="18"/>
    <x v="0"/>
    <n v="1"/>
    <x v="1"/>
  </r>
  <r>
    <s v="29"/>
    <s v="001"/>
    <s v="14"/>
    <s v="243"/>
    <s v="0018"/>
    <x v="10"/>
    <x v="8"/>
    <x v="1093"/>
    <x v="32"/>
    <s v="001-CHEFIA DE GABINETE"/>
    <s v="14-DIREITOS DA CIDADANIA"/>
    <e v="#N/A"/>
    <s v="0018-Proteção Social e Garantia de Direitos​"/>
    <s v="1.003-Implantação de Novas Unidades"/>
    <s v="4.4.90.52.00-EQUIPAMENTOS E MATERIAL PERMANENTE"/>
    <x v="18"/>
    <x v="0"/>
    <n v="1"/>
    <x v="1"/>
  </r>
  <r>
    <s v="30"/>
    <s v="001"/>
    <s v="04"/>
    <s v="121"/>
    <s v="0004"/>
    <x v="23"/>
    <x v="24"/>
    <x v="1094"/>
    <x v="23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30"/>
    <s v="001"/>
    <s v="04"/>
    <s v="122"/>
    <s v="0001"/>
    <x v="11"/>
    <x v="38"/>
    <x v="1095"/>
    <x v="2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956676.03"/>
    <x v="1"/>
  </r>
  <r>
    <s v="30"/>
    <s v="001"/>
    <s v="04"/>
    <s v="122"/>
    <s v="0001"/>
    <x v="11"/>
    <x v="39"/>
    <x v="1096"/>
    <x v="2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84838.09000000003"/>
    <x v="1"/>
  </r>
  <r>
    <s v="30"/>
    <s v="001"/>
    <s v="04"/>
    <s v="122"/>
    <s v="0001"/>
    <x v="11"/>
    <x v="44"/>
    <x v="1097"/>
    <x v="2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65131.11"/>
    <x v="1"/>
  </r>
  <r>
    <s v="30"/>
    <s v="001"/>
    <s v="04"/>
    <s v="122"/>
    <s v="0001"/>
    <x v="11"/>
    <x v="47"/>
    <x v="1098"/>
    <x v="2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.46"/>
    <x v="1"/>
  </r>
  <r>
    <s v="30"/>
    <s v="001"/>
    <s v="04"/>
    <s v="122"/>
    <s v="0001"/>
    <x v="11"/>
    <x v="48"/>
    <x v="1099"/>
    <x v="2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4162.12"/>
    <x v="1"/>
  </r>
  <r>
    <s v="30"/>
    <s v="001"/>
    <s v="14"/>
    <s v="242"/>
    <s v="0001"/>
    <x v="5"/>
    <x v="0"/>
    <x v="1100"/>
    <x v="23"/>
    <s v="001-CHEFIA DE GABINETE"/>
    <s v="14-DIREITOS DA CIDADANIA"/>
    <s v="242-ASSISTÊNCIA AO PORTADOR DE DEFICIÊNCIA ASSISTÊNCIA À PESSOA COM DEFICIÊNCIA"/>
    <s v="0001-Administração e Coordenação Geral​"/>
    <s v="1.002-Reforma e Ampliação de Unidades"/>
    <s v="3.3.90.30.00-MATERIAL DE CONSUMO"/>
    <x v="18"/>
    <x v="0"/>
    <n v="2"/>
    <x v="1"/>
  </r>
  <r>
    <s v="30"/>
    <s v="001"/>
    <s v="14"/>
    <s v="242"/>
    <s v="0001"/>
    <x v="5"/>
    <x v="1"/>
    <x v="1101"/>
    <x v="23"/>
    <s v="001-CHEFIA DE GABINETE"/>
    <s v="14-DIREITOS DA CIDADANIA"/>
    <s v="242-ASSISTÊNCIA AO PORTADOR DE DEFICIÊNCIA ASSISTÊNCIA À PESSOA COM DEFICIÊNCIA"/>
    <s v="0001-Administração e Coordenação Geral​"/>
    <s v="1.002-Reforma e Ampliação de Unidades"/>
    <s v="3.3.90.39.00-OUTROS SERVIÇOS DE TERCEIROS - PESSOA JURÍDICA"/>
    <x v="18"/>
    <x v="0"/>
    <n v="2"/>
    <x v="1"/>
  </r>
  <r>
    <s v="30"/>
    <s v="001"/>
    <s v="14"/>
    <s v="242"/>
    <s v="0018"/>
    <x v="10"/>
    <x v="0"/>
    <x v="1102"/>
    <x v="23"/>
    <s v="001-CHEFIA DE GABINETE"/>
    <s v="14-DIREITOS DA CIDADANIA"/>
    <s v="242-ASSISTÊNCIA AO PORTADOR DE DEFICIÊNCIA ASSISTÊNCIA À PESSOA COM DEFICIÊNCIA"/>
    <s v="0018-Proteção Social e Garantia de Direitos​"/>
    <s v="1.003-Implantação de Novas Unidades"/>
    <s v="3.3.90.30.00-MATERIAL DE CONSUMO"/>
    <x v="18"/>
    <x v="0"/>
    <n v="2"/>
    <x v="1"/>
  </r>
  <r>
    <s v="30"/>
    <s v="001"/>
    <s v="14"/>
    <s v="242"/>
    <s v="0018"/>
    <x v="10"/>
    <x v="1"/>
    <x v="1103"/>
    <x v="23"/>
    <s v="001-CHEFIA DE GABINETE"/>
    <s v="14-DIREITOS DA CIDADANIA"/>
    <s v="242-ASSISTÊNCIA AO PORTADOR DE DEFICIÊNCIA ASSISTÊNCIA À PESSOA COM DEFICIÊNCIA"/>
    <s v="0018-Proteção Social e Garantia de Direitos​"/>
    <s v="1.003-Implantação de Novas Unidades"/>
    <s v="3.3.90.39.00-OUTROS SERVIÇOS DE TERCEIROS - PESSOA JURÍDICA"/>
    <x v="18"/>
    <x v="0"/>
    <n v="1"/>
    <x v="1"/>
  </r>
  <r>
    <s v="30"/>
    <s v="001"/>
    <s v="14"/>
    <s v="242"/>
    <s v="0018"/>
    <x v="10"/>
    <x v="12"/>
    <x v="1104"/>
    <x v="23"/>
    <s v="001-CHEFIA DE GABINETE"/>
    <s v="14-DIREITOS DA CIDADANIA"/>
    <s v="242-ASSISTÊNCIA AO PORTADOR DE DEFICIÊNCIA ASSISTÊNCIA À PESSOA COM DEFICIÊNCIA"/>
    <s v="0018-Proteção Social e Garantia de Direitos​"/>
    <s v="1.003-Implantação de Novas Unidades"/>
    <s v="4.4.90.51.00-OBRAS E INSTALAÇÕES"/>
    <x v="18"/>
    <x v="0"/>
    <n v="1"/>
    <x v="1"/>
  </r>
  <r>
    <s v="30"/>
    <s v="001"/>
    <s v="14"/>
    <s v="242"/>
    <s v="0018"/>
    <x v="10"/>
    <x v="8"/>
    <x v="1105"/>
    <x v="23"/>
    <s v="001-CHEFIA DE GABINETE"/>
    <s v="14-DIREITOS DA CIDADANIA"/>
    <s v="242-ASSISTÊNCIA AO PORTADOR DE DEFICIÊNCIA ASSISTÊNCIA À PESSOA COM DEFICIÊNCIA"/>
    <s v="0018-Proteção Social e Garantia de Direitos​"/>
    <s v="1.003-Implantação de Novas Unidades"/>
    <s v="4.4.90.52.00-EQUIPAMENTOS E MATERIAL PERMANENTE"/>
    <x v="18"/>
    <x v="0"/>
    <n v="4"/>
    <x v="1"/>
  </r>
  <r>
    <s v="31"/>
    <s v="001"/>
    <s v="04"/>
    <s v="122"/>
    <s v="0001"/>
    <x v="11"/>
    <x v="38"/>
    <x v="1106"/>
    <x v="2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151665.6"/>
    <x v="1"/>
  </r>
  <r>
    <s v="31"/>
    <s v="001"/>
    <s v="04"/>
    <s v="122"/>
    <s v="0001"/>
    <x v="11"/>
    <x v="39"/>
    <x v="1107"/>
    <x v="2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38459.81000000006"/>
    <x v="1"/>
  </r>
  <r>
    <s v="31"/>
    <s v="001"/>
    <s v="04"/>
    <s v="122"/>
    <s v="0001"/>
    <x v="11"/>
    <x v="44"/>
    <x v="1108"/>
    <x v="2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7886.01"/>
    <x v="1"/>
  </r>
  <r>
    <s v="31"/>
    <s v="001"/>
    <s v="04"/>
    <s v="122"/>
    <s v="0001"/>
    <x v="11"/>
    <x v="47"/>
    <x v="1109"/>
    <x v="2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.73"/>
    <x v="1"/>
  </r>
  <r>
    <s v="31"/>
    <s v="001"/>
    <s v="04"/>
    <s v="122"/>
    <s v="0001"/>
    <x v="11"/>
    <x v="48"/>
    <x v="1110"/>
    <x v="24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3063.51"/>
    <x v="1"/>
  </r>
  <r>
    <s v="31"/>
    <s v="001"/>
    <s v="14"/>
    <s v="422"/>
    <s v="0018"/>
    <x v="5"/>
    <x v="1"/>
    <x v="1111"/>
    <x v="24"/>
    <s v="001-CHEFIA DE GABINETE"/>
    <s v="14-DIREITOS DA CIDADANIA"/>
    <s v="422-DIREITOS INDIVIDUAIS, COLETIVOS E DIFUSOS"/>
    <s v="0018-Proteção Social e Garantia de Direitos​"/>
    <s v="1.002-Reforma e Ampliação de Unidades"/>
    <s v="3.3.90.39.00-OUTROS SERVIÇOS DE TERCEIROS - PESSOA JURÍDICA"/>
    <x v="18"/>
    <x v="0"/>
    <n v="1"/>
    <x v="1"/>
  </r>
  <r>
    <s v="32"/>
    <s v="001"/>
    <s v="04"/>
    <s v="121"/>
    <s v="0004"/>
    <x v="23"/>
    <x v="24"/>
    <x v="1112"/>
    <x v="25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2"/>
    <x v="1"/>
  </r>
  <r>
    <s v="32"/>
    <s v="001"/>
    <s v="04"/>
    <s v="122"/>
    <s v="0001"/>
    <x v="11"/>
    <x v="38"/>
    <x v="1113"/>
    <x v="25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613790.86"/>
    <x v="1"/>
  </r>
  <r>
    <s v="32"/>
    <s v="001"/>
    <s v="04"/>
    <s v="122"/>
    <s v="0001"/>
    <x v="11"/>
    <x v="39"/>
    <x v="1114"/>
    <x v="25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55417.38"/>
    <x v="1"/>
  </r>
  <r>
    <s v="32"/>
    <s v="001"/>
    <s v="04"/>
    <s v="122"/>
    <s v="0001"/>
    <x v="11"/>
    <x v="44"/>
    <x v="1115"/>
    <x v="25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25018.11"/>
    <x v="1"/>
  </r>
  <r>
    <s v="32"/>
    <s v="001"/>
    <s v="04"/>
    <s v="122"/>
    <s v="0001"/>
    <x v="11"/>
    <x v="47"/>
    <x v="1116"/>
    <x v="25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.04"/>
    <x v="1"/>
  </r>
  <r>
    <s v="32"/>
    <s v="001"/>
    <s v="04"/>
    <s v="122"/>
    <s v="0001"/>
    <x v="11"/>
    <x v="48"/>
    <x v="1117"/>
    <x v="25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8071.78"/>
    <x v="1"/>
  </r>
  <r>
    <s v="32"/>
    <s v="001"/>
    <s v="14"/>
    <s v="422"/>
    <s v="0001"/>
    <x v="5"/>
    <x v="0"/>
    <x v="1118"/>
    <x v="25"/>
    <s v="001-CHEFIA DE GABINETE"/>
    <s v="14-DIREITOS DA CIDADANIA"/>
    <s v="422-DIREITOS INDIVIDUAIS, COLETIVOS E DIFUSOS"/>
    <s v="0001-Administração e Coordenação Geral​"/>
    <s v="1.002-Reforma e Ampliação de Unidades"/>
    <s v="3.3.90.30.00-MATERIAL DE CONSUMO"/>
    <x v="18"/>
    <x v="0"/>
    <n v="2"/>
    <x v="1"/>
  </r>
  <r>
    <s v="32"/>
    <s v="001"/>
    <s v="14"/>
    <s v="422"/>
    <s v="0001"/>
    <x v="5"/>
    <x v="1"/>
    <x v="1119"/>
    <x v="25"/>
    <s v="001-CHEFIA DE GABINETE"/>
    <s v="14-DIREITOS DA CIDADANIA"/>
    <s v="422-DIREITOS INDIVIDUAIS, COLETIVOS E DIFUSOS"/>
    <s v="0001-Administração e Coordenação Geral​"/>
    <s v="1.002-Reforma e Ampliação de Unidades"/>
    <s v="3.3.90.39.00-OUTROS SERVIÇOS DE TERCEIROS - PESSOA JURÍDICA"/>
    <x v="18"/>
    <x v="0"/>
    <n v="2"/>
    <x v="1"/>
  </r>
  <r>
    <s v="33"/>
    <s v="001"/>
    <s v="04"/>
    <s v="122"/>
    <s v="0001"/>
    <x v="5"/>
    <x v="1"/>
    <x v="1120"/>
    <x v="26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33"/>
    <s v="001"/>
    <s v="04"/>
    <s v="122"/>
    <s v="0001"/>
    <x v="11"/>
    <x v="38"/>
    <x v="1121"/>
    <x v="2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9309879.5999999996"/>
    <x v="1"/>
  </r>
  <r>
    <s v="33"/>
    <s v="001"/>
    <s v="04"/>
    <s v="122"/>
    <s v="0001"/>
    <x v="11"/>
    <x v="39"/>
    <x v="1122"/>
    <x v="2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58906.91"/>
    <x v="1"/>
  </r>
  <r>
    <s v="33"/>
    <s v="001"/>
    <s v="04"/>
    <s v="122"/>
    <s v="0001"/>
    <x v="11"/>
    <x v="44"/>
    <x v="1123"/>
    <x v="2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24724.21000000002"/>
    <x v="1"/>
  </r>
  <r>
    <s v="33"/>
    <s v="001"/>
    <s v="04"/>
    <s v="122"/>
    <s v="0001"/>
    <x v="11"/>
    <x v="47"/>
    <x v="1124"/>
    <x v="2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.36"/>
    <x v="1"/>
  </r>
  <r>
    <s v="33"/>
    <s v="001"/>
    <s v="04"/>
    <s v="122"/>
    <s v="0001"/>
    <x v="11"/>
    <x v="48"/>
    <x v="1125"/>
    <x v="26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6315.78"/>
    <x v="1"/>
  </r>
  <r>
    <s v="34"/>
    <s v="001"/>
    <s v="04"/>
    <s v="121"/>
    <s v="0004"/>
    <x v="23"/>
    <x v="24"/>
    <x v="1126"/>
    <x v="27"/>
    <s v="001-CHEFIA DE GABINETE"/>
    <s v="4-ADMINISTRAÇÃO"/>
    <s v="121-PLANEJAMENTO E ORÇAMENTO"/>
    <s v="0004-Planejamento e Gestão de Políticas Públicas "/>
    <s v="1.001-Estudos, Pesquisas, Planos e Projetos "/>
    <s v="3.3.90.35.00-SERVIÇOS DE CONSULTORIA"/>
    <x v="18"/>
    <x v="0"/>
    <n v="1"/>
    <x v="1"/>
  </r>
  <r>
    <s v="34"/>
    <s v="001"/>
    <s v="04"/>
    <s v="122"/>
    <s v="0001"/>
    <x v="11"/>
    <x v="38"/>
    <x v="1127"/>
    <x v="2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082852.0199999996"/>
    <x v="1"/>
  </r>
  <r>
    <s v="34"/>
    <s v="001"/>
    <s v="04"/>
    <s v="122"/>
    <s v="0001"/>
    <x v="11"/>
    <x v="39"/>
    <x v="1128"/>
    <x v="2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12998.92"/>
    <x v="1"/>
  </r>
  <r>
    <s v="34"/>
    <s v="001"/>
    <s v="04"/>
    <s v="122"/>
    <s v="0001"/>
    <x v="11"/>
    <x v="44"/>
    <x v="1129"/>
    <x v="2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781851.92"/>
    <x v="1"/>
  </r>
  <r>
    <s v="34"/>
    <s v="001"/>
    <s v="04"/>
    <s v="122"/>
    <s v="0001"/>
    <x v="11"/>
    <x v="48"/>
    <x v="1130"/>
    <x v="27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28330.62"/>
    <x v="1"/>
  </r>
  <r>
    <s v="34"/>
    <s v="001"/>
    <s v="15"/>
    <s v="182"/>
    <s v="0005"/>
    <x v="5"/>
    <x v="1"/>
    <x v="432"/>
    <x v="27"/>
    <s v="001-CHEFIA DE GABINETE"/>
    <s v="15-URBANISMO"/>
    <s v="182-DEFESA CIVIL"/>
    <s v="0005-Resiliência Urbana​"/>
    <s v="1.002-Reforma e Ampliação de Unidades"/>
    <s v="3.3.90.39.00-OUTROS SERVIÇOS DE TERCEIROS - PESSOA JURÍDICA"/>
    <x v="18"/>
    <x v="0"/>
    <n v="1"/>
    <x v="1"/>
  </r>
  <r>
    <s v="35"/>
    <s v="001"/>
    <s v="04"/>
    <s v="122"/>
    <s v="0001"/>
    <x v="5"/>
    <x v="0"/>
    <x v="1131"/>
    <x v="33"/>
    <s v="001-CHEFIA DE GABINETE"/>
    <s v="4-ADMINISTRAÇÃO"/>
    <s v="122-ADMINISTRAÇÃO GERAL"/>
    <s v="0001-Administração e Coordenação Geral​"/>
    <s v="1.002-Reforma e Ampliação de Unidades"/>
    <s v="3.3.90.30.00-MATERIAL DE CONSUMO"/>
    <x v="18"/>
    <x v="0"/>
    <n v="1"/>
    <x v="1"/>
  </r>
  <r>
    <s v="35"/>
    <s v="001"/>
    <s v="04"/>
    <s v="122"/>
    <s v="0001"/>
    <x v="5"/>
    <x v="1"/>
    <x v="1132"/>
    <x v="33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1"/>
    <x v="1"/>
  </r>
  <r>
    <s v="35"/>
    <s v="001"/>
    <s v="04"/>
    <s v="122"/>
    <s v="0001"/>
    <x v="5"/>
    <x v="8"/>
    <x v="1133"/>
    <x v="33"/>
    <s v="001-CHEFIA DE GABINETE"/>
    <s v="4-ADMINISTRAÇÃO"/>
    <s v="122-ADMINISTRAÇÃO GERAL"/>
    <s v="0001-Administração e Coordenação Geral​"/>
    <s v="1.002-Reforma e Ampliação de Unidades"/>
    <s v="4.4.90.52.00-EQUIPAMENTOS E MATERIAL PERMANENTE"/>
    <x v="18"/>
    <x v="0"/>
    <n v="1"/>
    <x v="1"/>
  </r>
  <r>
    <s v="35"/>
    <s v="001"/>
    <s v="04"/>
    <s v="122"/>
    <s v="0001"/>
    <x v="11"/>
    <x v="38"/>
    <x v="1134"/>
    <x v="3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633832.7"/>
    <x v="1"/>
  </r>
  <r>
    <s v="35"/>
    <s v="001"/>
    <s v="04"/>
    <s v="122"/>
    <s v="0001"/>
    <x v="11"/>
    <x v="39"/>
    <x v="1135"/>
    <x v="3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959030.54"/>
    <x v="1"/>
  </r>
  <r>
    <s v="35"/>
    <s v="001"/>
    <s v="04"/>
    <s v="122"/>
    <s v="0001"/>
    <x v="11"/>
    <x v="44"/>
    <x v="1136"/>
    <x v="3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6406.53"/>
    <x v="1"/>
  </r>
  <r>
    <s v="35"/>
    <s v="001"/>
    <s v="04"/>
    <s v="122"/>
    <s v="0001"/>
    <x v="11"/>
    <x v="47"/>
    <x v="1137"/>
    <x v="3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.44"/>
    <x v="1"/>
  </r>
  <r>
    <s v="35"/>
    <s v="001"/>
    <s v="04"/>
    <s v="122"/>
    <s v="0001"/>
    <x v="11"/>
    <x v="48"/>
    <x v="1138"/>
    <x v="33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0913.02"/>
    <x v="1"/>
  </r>
  <r>
    <s v="36"/>
    <s v="001"/>
    <s v="04"/>
    <s v="122"/>
    <s v="0001"/>
    <x v="5"/>
    <x v="1"/>
    <x v="1139"/>
    <x v="28"/>
    <s v="001-CHEFIA DE GABINETE"/>
    <s v="4-ADMINISTRAÇÃO"/>
    <s v="122-ADMINISTRAÇÃO GERAL"/>
    <s v="0001-Administração e Coordenação Geral​"/>
    <s v="1.002-Reforma e Ampliação de Unidades"/>
    <s v="3.3.90.39.00-OUTROS SERVIÇOS DE TERCEIROS - PESSOA JURÍDICA"/>
    <x v="18"/>
    <x v="0"/>
    <n v="832312.77"/>
    <x v="1"/>
  </r>
  <r>
    <s v="36"/>
    <s v="001"/>
    <s v="04"/>
    <s v="122"/>
    <s v="0001"/>
    <x v="11"/>
    <x v="38"/>
    <x v="1140"/>
    <x v="2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606133.0899999999"/>
    <x v="1"/>
  </r>
  <r>
    <s v="36"/>
    <s v="001"/>
    <s v="04"/>
    <s v="122"/>
    <s v="0001"/>
    <x v="11"/>
    <x v="39"/>
    <x v="1141"/>
    <x v="2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250700.78"/>
    <x v="1"/>
  </r>
  <r>
    <s v="36"/>
    <s v="001"/>
    <s v="04"/>
    <s v="122"/>
    <s v="0001"/>
    <x v="11"/>
    <x v="44"/>
    <x v="1142"/>
    <x v="2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06814.14"/>
    <x v="1"/>
  </r>
  <r>
    <s v="36"/>
    <s v="001"/>
    <s v="04"/>
    <s v="122"/>
    <s v="0001"/>
    <x v="11"/>
    <x v="47"/>
    <x v="1143"/>
    <x v="2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6.69"/>
    <x v="1"/>
  </r>
  <r>
    <s v="36"/>
    <s v="001"/>
    <s v="04"/>
    <s v="122"/>
    <s v="0001"/>
    <x v="11"/>
    <x v="48"/>
    <x v="1144"/>
    <x v="28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5240.25"/>
    <x v="1"/>
  </r>
  <r>
    <s v="07"/>
    <s v="001"/>
    <s v="11"/>
    <s v="334"/>
    <s v="0017"/>
    <x v="5"/>
    <x v="1"/>
    <x v="34"/>
    <x v="4"/>
    <s v="001-CHEFIA DE GABINETE"/>
    <s v="11-TRABALHO"/>
    <s v="334-FOMENTO AO TRABALHO"/>
    <s v="0017-Trabalho, Emprego e Renda​"/>
    <s v="1.002-Reforma e Ampliação de Unidades"/>
    <s v="3.3.90.39.00-OUTROS SERVIÇOS DE TERCEIROS - PESSOA JURÍDICA"/>
    <x v="18"/>
    <x v="0"/>
    <n v="0"/>
    <x v="1"/>
  </r>
  <r>
    <s v="08"/>
    <s v="001"/>
    <s v="12"/>
    <s v="122"/>
    <s v="0001"/>
    <x v="11"/>
    <x v="9"/>
    <x v="56"/>
    <x v="5"/>
    <s v="001-CHEFIA DE GABINETE"/>
    <s v="12-EDUCAÇÃO"/>
    <s v="122-ADMINISTRAÇÃO GERAL"/>
    <s v="0001-Administração e Coordenação Geral​"/>
    <s v="2.001-Remuneração, Benefícios e Encargos"/>
    <s v="3.3.90.92.00-DESPESAS DE EXERCÍCIOS ANTERIORES"/>
    <x v="18"/>
    <x v="0"/>
    <n v="0"/>
    <x v="1"/>
  </r>
  <r>
    <s v="08"/>
    <s v="001"/>
    <s v="12"/>
    <s v="122"/>
    <s v="0001"/>
    <x v="11"/>
    <x v="13"/>
    <x v="57"/>
    <x v="5"/>
    <s v="001-CHEFIA DE GABINETE"/>
    <s v="12-EDUCAÇÃO"/>
    <s v="122-ADMINISTRAÇÃO GERAL"/>
    <s v="0001-Administração e Coordenação Geral​"/>
    <s v="2.001-Remuneração, Benefícios e Encargos"/>
    <s v="3.3.90.96.00-RESSARCIMENTO DE DESPESAS DE PESSOAL REQUISITADO"/>
    <x v="18"/>
    <x v="0"/>
    <n v="0"/>
    <x v="1"/>
  </r>
  <r>
    <s v="09"/>
    <s v="006"/>
    <s v="10"/>
    <s v="302"/>
    <s v="0015"/>
    <x v="5"/>
    <x v="19"/>
    <x v="139"/>
    <x v="6"/>
    <s v="006-HOSPITAL E MATERNIDADE MUNICIPAL AMADOR AGUIAR"/>
    <s v="10-SAÚDE"/>
    <s v="302-ASSISTÊNCIA HOSPITALAR E AMBULATORIAL"/>
    <s v="0015-Atenção e Cuidado em Saúde​"/>
    <s v="1.002-Reforma e Ampliação de Unidades"/>
    <n v="0"/>
    <x v="18"/>
    <x v="0"/>
    <n v="0"/>
    <x v="1"/>
  </r>
  <r>
    <s v="09"/>
    <s v="008"/>
    <s v="10"/>
    <s v="301"/>
    <s v="0015"/>
    <x v="5"/>
    <x v="19"/>
    <x v="142"/>
    <x v="6"/>
    <s v="008-DIRETORIA GERAL DE ATENÇÃO PRIMÁRIA EM SAÚDE"/>
    <s v="10-SAÚDE"/>
    <s v="301-ATENÇÃO BÁSICA"/>
    <s v="0015-Atenção e Cuidado em Saúde​"/>
    <s v="1.002-Reforma e Ampliação de Unidades"/>
    <n v="0"/>
    <x v="18"/>
    <x v="0"/>
    <n v="0"/>
    <x v="1"/>
  </r>
  <r>
    <s v="09"/>
    <s v="009"/>
    <s v="10"/>
    <s v="302"/>
    <s v="0015"/>
    <x v="5"/>
    <x v="19"/>
    <x v="143"/>
    <x v="6"/>
    <s v="009-DIRETORIA GERAL DA ATENÇÃO SECUNDÁRIA EM SAÚDE"/>
    <s v="10-SAÚDE"/>
    <s v="302-ASSISTÊNCIA HOSPITALAR E AMBULATORIAL"/>
    <s v="0015-Atenção e Cuidado em Saúde​"/>
    <s v="1.002-Reforma e Ampliação de Unidades"/>
    <n v="0"/>
    <x v="18"/>
    <x v="0"/>
    <n v="0"/>
    <x v="1"/>
  </r>
  <r>
    <s v="09"/>
    <s v="010"/>
    <s v="10"/>
    <s v="302"/>
    <s v="0015"/>
    <x v="5"/>
    <x v="19"/>
    <x v="144"/>
    <x v="6"/>
    <s v="010-DIRETORIA GERAL DE URGÊNCIA E EMERGÊNCIA"/>
    <s v="10-SAÚDE"/>
    <s v="302-ASSISTÊNCIA HOSPITALAR E AMBULATORIAL"/>
    <s v="0015-Atenção e Cuidado em Saúde​"/>
    <s v="1.002-Reforma e Ampliação de Unidades"/>
    <n v="0"/>
    <x v="18"/>
    <x v="0"/>
    <n v="0"/>
    <x v="1"/>
  </r>
  <r>
    <s v="09"/>
    <s v="015"/>
    <s v="10"/>
    <s v="122"/>
    <s v="0014"/>
    <x v="5"/>
    <x v="19"/>
    <x v="145"/>
    <x v="6"/>
    <s v="015-DIRETORIA GERAL DA GESTÃO DE SAÚDE"/>
    <s v="10-SAÚDE"/>
    <s v="122-ADMINISTRAÇÃO GERAL"/>
    <s v="0014-Gestão em Saúde​"/>
    <s v="1.002-Reforma e Ampliação de Unidades"/>
    <n v="0"/>
    <x v="18"/>
    <x v="0"/>
    <n v="0"/>
    <x v="1"/>
  </r>
  <r>
    <s v="11"/>
    <s v="001"/>
    <s v="04"/>
    <s v="122"/>
    <s v="0001"/>
    <x v="23"/>
    <x v="0"/>
    <x v="148"/>
    <x v="7"/>
    <s v="001-CHEFIA DE GABINETE"/>
    <s v="4-ADMINISTRAÇÃO"/>
    <s v="122-ADMINISTRAÇÃO GERAL"/>
    <s v="0001-Administração e Coordenação Geral​"/>
    <s v="1.001-Estudos, Pesquisas, Planos e Projetos "/>
    <s v="3.3.90.30.00-MATERIAL DE CONSUMO"/>
    <x v="18"/>
    <x v="0"/>
    <n v="0"/>
    <x v="1"/>
  </r>
  <r>
    <s v="11"/>
    <s v="001"/>
    <s v="04"/>
    <s v="122"/>
    <s v="0001"/>
    <x v="5"/>
    <x v="0"/>
    <x v="149"/>
    <x v="7"/>
    <s v="001-CHEFIA DE GABINETE"/>
    <s v="4-ADMINISTRAÇÃO"/>
    <s v="122-ADMINISTRAÇÃO GERAL"/>
    <s v="0001-Administração e Coordenação Geral​"/>
    <s v="1.002-Reforma e Ampliação de Unidades"/>
    <s v="3.3.90.30.00-MATERIAL DE CONSUMO"/>
    <x v="18"/>
    <x v="0"/>
    <n v="0"/>
    <x v="1"/>
  </r>
  <r>
    <s v="11"/>
    <s v="001"/>
    <s v="04"/>
    <s v="122"/>
    <s v="0011"/>
    <x v="10"/>
    <x v="1"/>
    <x v="157"/>
    <x v="7"/>
    <s v="001-CHEFIA DE GABINETE"/>
    <s v="4-ADMINISTRAÇÃO"/>
    <s v="122-ADMINISTRAÇÃO GERAL"/>
    <s v="0011-Zeladoria Urbana e Cuidados com a Cidade​"/>
    <s v="1.003-Implantação de Novas Unidades"/>
    <s v="3.3.90.39.00-OUTROS SERVIÇOS DE TERCEIROS - PESSOA JURÍDICA"/>
    <x v="18"/>
    <x v="0"/>
    <n v="0"/>
    <x v="1"/>
  </r>
  <r>
    <s v="12"/>
    <s v="001"/>
    <s v="04"/>
    <s v="121"/>
    <s v="0001"/>
    <x v="10"/>
    <x v="1"/>
    <x v="178"/>
    <x v="8"/>
    <s v="001-CHEFIA DE GABINETE"/>
    <s v="4-ADMINISTRAÇÃO"/>
    <s v="121-PLANEJAMENTO E ORÇAMENTO"/>
    <s v="0001-Administração e Coordenação Geral​"/>
    <s v="1.003-Implantação de Novas Unidades"/>
    <s v="3.3.90.39.00-OUTROS SERVIÇOS DE TERCEIROS - PESSOA JURÍDICA"/>
    <x v="18"/>
    <x v="0"/>
    <n v="0"/>
    <x v="1"/>
  </r>
  <r>
    <s v="12"/>
    <s v="001"/>
    <s v="04"/>
    <s v="122"/>
    <s v="0001"/>
    <x v="11"/>
    <x v="6"/>
    <x v="183"/>
    <x v="8"/>
    <s v="001-CHEFIA DE GABINETE"/>
    <s v="4-ADMINISTRAÇÃO"/>
    <s v="122-ADMINISTRAÇÃO GERAL"/>
    <s v="0001-Administração e Coordenação Geral​"/>
    <s v="2.001-Remuneração, Benefícios e Encargos"/>
    <s v="3.3.90.93.00-INDENIZAÇÕES E RESTITUIÇÕES"/>
    <x v="18"/>
    <x v="0"/>
    <n v="0"/>
    <x v="1"/>
  </r>
  <r>
    <s v="12"/>
    <s v="001"/>
    <s v="04"/>
    <s v="122"/>
    <s v="0002"/>
    <x v="5"/>
    <x v="12"/>
    <x v="185"/>
    <x v="8"/>
    <s v="001-CHEFIA DE GABINETE"/>
    <s v="4-ADMINISTRAÇÃO"/>
    <s v="122-ADMINISTRAÇÃO GERAL"/>
    <s v="0002-Governo Inteligente, Aberto e Inovador​"/>
    <s v="1.002-Reforma e Ampliação de Unidades"/>
    <s v="4.4.90.51.00-OBRAS E INSTALAÇÕES"/>
    <x v="18"/>
    <x v="0"/>
    <n v="0"/>
    <x v="1"/>
  </r>
  <r>
    <s v="13"/>
    <s v="001"/>
    <s v="16"/>
    <s v="482"/>
    <s v="0012"/>
    <x v="35"/>
    <x v="1"/>
    <x v="205"/>
    <x v="9"/>
    <s v="001-CHEFIA DE GABINETE"/>
    <s v="16-HABITAÇÃO"/>
    <s v="482-HABITAÇÃO URBANA"/>
    <s v="0012-Moradia Digna​"/>
    <s v="1.010-Requalificação de Favelas e Comunidades"/>
    <s v="3.3.90.39.00-OUTROS SERVIÇOS DE TERCEIROS - PESSOA JURÍDICA"/>
    <x v="18"/>
    <x v="0"/>
    <n v="0"/>
    <x v="1"/>
  </r>
  <r>
    <s v="14"/>
    <s v="001"/>
    <s v="04"/>
    <s v="245"/>
    <s v="0001"/>
    <x v="23"/>
    <x v="1"/>
    <x v="209"/>
    <x v="10"/>
    <s v="001-CHEFIA DE GABINETE"/>
    <s v="4-ADMINISTRAÇÃO"/>
    <s v="245-SERVIÇOS SOCIOASSISTENCIAIS"/>
    <s v="0001-Administração e Coordenação Geral​"/>
    <s v="1.001-Estudos, Pesquisas, Planos e Projetos "/>
    <s v="3.3.90.39.00-OUTROS SERVIÇOS DE TERCEIROS - PESSOA JURÍDICA"/>
    <x v="18"/>
    <x v="0"/>
    <n v="0"/>
    <x v="1"/>
  </r>
  <r>
    <s v="14"/>
    <s v="001"/>
    <s v="04"/>
    <s v="121"/>
    <s v="0004"/>
    <x v="23"/>
    <x v="5"/>
    <x v="215"/>
    <x v="10"/>
    <s v="001-CHEFIA DE GABINETE"/>
    <s v="4-ADMINISTRAÇÃO"/>
    <s v="121-PLANEJAMENTO E ORÇAMENTO"/>
    <s v="0004-Planejamento e Gestão de Políticas Públicas "/>
    <s v="1.001-Estudos, Pesquisas, Planos e Projetos "/>
    <s v="3.3.90.40.00-SERVIÇOS DE TECNOLOGIA DA INFORMAÇÃO E COMUNICAÇÃO - PESSOA JURÍDICA"/>
    <x v="18"/>
    <x v="0"/>
    <n v="0"/>
    <x v="1"/>
  </r>
  <r>
    <s v="14"/>
    <s v="008"/>
    <s v="08"/>
    <s v="245"/>
    <s v="0018"/>
    <x v="5"/>
    <x v="1"/>
    <x v="255"/>
    <x v="10"/>
    <s v="008-DIRETORIA GERAL DE ATENÇÃO PRIMÁRIA EM SAÚDE"/>
    <s v="8-ASSISTÊNCIA SOCIAL"/>
    <s v="245-SERVIÇOS SOCIOASSISTENCIAIS"/>
    <s v="0018-Proteção Social e Garantia de Direitos​"/>
    <s v="1.002-Reforma e Ampliação de Unidades"/>
    <s v="3.3.90.39.00-OUTROS SERVIÇOS DE TERCEIROS - PESSOA JURÍDICA"/>
    <x v="18"/>
    <x v="0"/>
    <n v="0"/>
    <x v="1"/>
  </r>
  <r>
    <s v="17"/>
    <s v="001"/>
    <s v="04"/>
    <s v="122"/>
    <s v="0007"/>
    <x v="11"/>
    <x v="0"/>
    <x v="285"/>
    <x v="13"/>
    <s v="001-CHEFIA DE GABINETE"/>
    <s v="4-ADMINISTRAÇÃO"/>
    <s v="122-ADMINISTRAÇÃO GERAL"/>
    <s v="0007-Meio Ambiente, Sustentabilidade e Bem-Estar Animal​"/>
    <s v="2.001-Remuneração, Benefícios e Encargos"/>
    <s v="3.3.90.30.00-MATERIAL DE CONSUMO"/>
    <x v="18"/>
    <x v="0"/>
    <n v="0"/>
    <x v="1"/>
  </r>
  <r>
    <s v="17"/>
    <s v="003"/>
    <s v="04"/>
    <s v="541"/>
    <s v="0007"/>
    <x v="23"/>
    <x v="1"/>
    <x v="291"/>
    <x v="13"/>
    <s v="003-FUNDO MUNICIPAL DE MEIO AMBIENTE"/>
    <s v="4-ADMINISTRAÇÃO"/>
    <s v="541-PRESERVAÇÃO E CONSERVAÇÃO AMBIENTAL"/>
    <s v="0007-Meio Ambiente, Sustentabilidade e Bem-Estar Animal​"/>
    <s v="1.001-Estudos, Pesquisas, Planos e Projetos "/>
    <s v="3.3.90.39.00-OUTROS SERVIÇOS DE TERCEIROS - PESSOA JURÍDICA"/>
    <x v="18"/>
    <x v="0"/>
    <n v="0"/>
    <x v="1"/>
  </r>
  <r>
    <s v="18"/>
    <s v="001"/>
    <s v="04"/>
    <s v="122"/>
    <s v="0001"/>
    <x v="44"/>
    <x v="1"/>
    <x v="310"/>
    <x v="15"/>
    <s v="001-CHEFIA DE GABINETE"/>
    <s v="4-ADMINISTRAÇÃO"/>
    <s v="122-ADMINISTRAÇÃO GERAL"/>
    <s v="0001-Administração e Coordenação Geral​"/>
    <s v="0.003-Precatórios e Sentenças Judiciais"/>
    <s v="3.3.90.39.00-OUTROS SERVIÇOS DE TERCEIROS - PESSOA JURÍDICA"/>
    <x v="18"/>
    <x v="0"/>
    <n v="0"/>
    <x v="1"/>
  </r>
  <r>
    <s v="19"/>
    <s v="001"/>
    <s v="04"/>
    <s v="122"/>
    <s v="0001"/>
    <x v="11"/>
    <x v="19"/>
    <x v="321"/>
    <x v="17"/>
    <s v="001-CHEFIA DE GABINETE"/>
    <s v="4-ADMINISTRAÇÃO"/>
    <s v="122-ADMINISTRAÇÃO GERAL"/>
    <s v="0001-Administração e Coordenação Geral​"/>
    <s v="2.001-Remuneração, Benefícios e Encargos"/>
    <n v="0"/>
    <x v="18"/>
    <x v="0"/>
    <n v="0"/>
    <x v="1"/>
  </r>
  <r>
    <s v="19"/>
    <s v="001"/>
    <s v="04"/>
    <s v="121"/>
    <s v="0004"/>
    <x v="23"/>
    <x v="1"/>
    <x v="325"/>
    <x v="17"/>
    <s v="001-CHEFIA DE GABINETE"/>
    <s v="4-ADMINISTRAÇÃO"/>
    <s v="121-PLANEJAMENTO E ORÇAMENTO"/>
    <s v="0004-Planejamento e Gestão de Políticas Públicas "/>
    <s v="1.001-Estudos, Pesquisas, Planos e Projetos "/>
    <s v="3.3.90.39.00-OUTROS SERVIÇOS DE TERCEIROS - PESSOA JURÍDICA"/>
    <x v="18"/>
    <x v="0"/>
    <n v="0"/>
    <x v="1"/>
  </r>
  <r>
    <s v="19"/>
    <s v="001"/>
    <s v="15"/>
    <s v="121"/>
    <s v="0013"/>
    <x v="5"/>
    <x v="1"/>
    <x v="329"/>
    <x v="17"/>
    <s v="001-CHEFIA DE GABINETE"/>
    <s v="15-URBANISMO"/>
    <s v="121-PLANEJAMENTO E ORÇAMENTO"/>
    <s v="0013-Mobilidade Urbana e Infraestrutura Viária​"/>
    <s v="1.002-Reforma e Ampliação de Unidades"/>
    <s v="3.3.90.39.00-OUTROS SERVIÇOS DE TERCEIROS - PESSOA JURÍDICA"/>
    <x v="18"/>
    <x v="0"/>
    <n v="0"/>
    <x v="1"/>
  </r>
  <r>
    <s v="19"/>
    <s v="001"/>
    <s v="15"/>
    <s v="451"/>
    <s v="0013"/>
    <x v="25"/>
    <x v="19"/>
    <x v="333"/>
    <x v="17"/>
    <s v="001-CHEFIA DE GABINETE"/>
    <s v="15-URBANISMO"/>
    <s v="451-INFRA-ESTRUTURA URBANA"/>
    <s v="0013-Mobilidade Urbana e Infraestrutura Viária​"/>
    <s v="1.006-Desenvolvimento da Infraestrutura Viária"/>
    <n v="0"/>
    <x v="18"/>
    <x v="0"/>
    <n v="0"/>
    <x v="1"/>
  </r>
  <r>
    <s v="23"/>
    <s v="001"/>
    <s v="04"/>
    <s v="122"/>
    <s v="0001"/>
    <x v="11"/>
    <x v="19"/>
    <x v="346"/>
    <x v="19"/>
    <s v="001-CHEFIA DE GABINETE"/>
    <s v="4-ADMINISTRAÇÃO"/>
    <s v="122-ADMINISTRAÇÃO GERAL"/>
    <s v="0001-Administração e Coordenação Geral​"/>
    <s v="2.001-Remuneração, Benefícios e Encargos"/>
    <n v="0"/>
    <x v="18"/>
    <x v="0"/>
    <n v="0"/>
    <x v="1"/>
  </r>
  <r>
    <s v="24"/>
    <s v="001"/>
    <s v="04"/>
    <s v="122"/>
    <s v="0001"/>
    <x v="23"/>
    <x v="1"/>
    <x v="354"/>
    <x v="20"/>
    <s v="001-CHEFIA DE GABINETE"/>
    <s v="4-ADMINISTRAÇÃO"/>
    <s v="122-ADMINISTRAÇÃO GERAL"/>
    <s v="0001-Administração e Coordenação Geral​"/>
    <s v="1.001-Estudos, Pesquisas, Planos e Projetos "/>
    <s v="3.3.90.39.00-OUTROS SERVIÇOS DE TERCEIROS - PESSOA JURÍDICA"/>
    <x v="18"/>
    <x v="0"/>
    <n v="0"/>
    <x v="1"/>
  </r>
  <r>
    <s v="24"/>
    <s v="001"/>
    <s v="04"/>
    <s v="121"/>
    <s v="0001"/>
    <x v="5"/>
    <x v="8"/>
    <x v="363"/>
    <x v="20"/>
    <s v="001-CHEFIA DE GABINETE"/>
    <s v="4-ADMINISTRAÇÃO"/>
    <s v="121-PLANEJAMENTO E ORÇAMENTO"/>
    <s v="0001-Administração e Coordenação Geral​"/>
    <s v="1.002-Reforma e Ampliação de Unidades"/>
    <s v="4.4.90.52.00-EQUIPAMENTOS E MATERIAL PERMANENTE"/>
    <x v="18"/>
    <x v="0"/>
    <n v="0"/>
    <x v="1"/>
  </r>
  <r>
    <s v="28"/>
    <s v="001"/>
    <s v="04"/>
    <s v="122"/>
    <s v="0004"/>
    <x v="23"/>
    <x v="1"/>
    <x v="373"/>
    <x v="22"/>
    <s v="001-CHEFIA DE GABINETE"/>
    <s v="4-ADMINISTRAÇÃO"/>
    <s v="122-ADMINISTRAÇÃO GERAL"/>
    <s v="0004-Planejamento e Gestão de Políticas Públicas "/>
    <s v="1.001-Estudos, Pesquisas, Planos e Projetos "/>
    <s v="3.3.90.39.00-OUTROS SERVIÇOS DE TERCEIROS - PESSOA JURÍDICA"/>
    <x v="18"/>
    <x v="0"/>
    <n v="0"/>
    <x v="1"/>
  </r>
  <r>
    <s v="28"/>
    <s v="001"/>
    <s v="04"/>
    <s v="122"/>
    <s v="0001"/>
    <x v="5"/>
    <x v="0"/>
    <x v="374"/>
    <x v="22"/>
    <s v="001-CHEFIA DE GABINETE"/>
    <s v="4-ADMINISTRAÇÃO"/>
    <s v="122-ADMINISTRAÇÃO GERAL"/>
    <s v="0001-Administração e Coordenação Geral​"/>
    <s v="1.002-Reforma e Ampliação de Unidades"/>
    <s v="3.3.90.30.00-MATERIAL DE CONSUMO"/>
    <x v="18"/>
    <x v="0"/>
    <n v="0"/>
    <x v="1"/>
  </r>
  <r>
    <s v="31"/>
    <s v="001"/>
    <s v="14"/>
    <s v="391"/>
    <s v="0009"/>
    <x v="5"/>
    <x v="1"/>
    <x v="401"/>
    <x v="24"/>
    <s v="001-CHEFIA DE GABINETE"/>
    <s v="14-DIREITOS DA CIDADANIA"/>
    <s v="391-PATRIMÔNIO HISTÓRICO, ARTÍSTICO E ARQUEOLÓGICO"/>
    <s v="0009-Cultura, Economia Criativa e Patrimônio Histórico​"/>
    <s v="1.002-Reforma e Ampliação de Unidades"/>
    <s v="3.3.90.39.00-OUTROS SERVIÇOS DE TERCEIROS - PESSOA JURÍDICA"/>
    <x v="18"/>
    <x v="0"/>
    <n v="0"/>
    <x v="1"/>
  </r>
  <r>
    <s v="36"/>
    <s v="001"/>
    <s v="04"/>
    <s v="128"/>
    <s v="0019"/>
    <x v="11"/>
    <x v="1"/>
    <x v="441"/>
    <x v="28"/>
    <s v="001-CHEFIA DE GABINETE"/>
    <s v="4-ADMINISTRAÇÃO"/>
    <s v="128-FORMAÇÃO DE RECURSOS HUMANOS"/>
    <s v="0019-Segurança Alimentar e Combate à Pobreza​"/>
    <s v="2.001-Remuneração, Benefícios e Encargos"/>
    <s v="3.3.90.39.00-OUTROS SERVIÇOS DE TERCEIROS - PESSOA JURÍDICA"/>
    <x v="18"/>
    <x v="0"/>
    <n v="0"/>
    <x v="1"/>
  </r>
  <r>
    <s v="36"/>
    <s v="001"/>
    <s v="08"/>
    <s v="244"/>
    <s v="0019"/>
    <x v="5"/>
    <x v="1"/>
    <x v="448"/>
    <x v="28"/>
    <s v="001-CHEFIA DE GABINETE"/>
    <s v="8-ASSISTÊNCIA SOCIAL"/>
    <s v="244-ASSISTÊNCIA COMUNITÁRIA"/>
    <s v="0019-Segurança Alimentar e Combate à Pobreza​"/>
    <s v="1.002-Reforma e Ampliação de Unidades"/>
    <s v="3.3.90.39.00-OUTROS SERVIÇOS DE TERCEIROS - PESSOA JURÍDICA"/>
    <x v="18"/>
    <x v="0"/>
    <n v="0"/>
    <x v="1"/>
  </r>
  <r>
    <s v="18"/>
    <s v="001"/>
    <s v="04"/>
    <s v="123"/>
    <s v="0021"/>
    <x v="61"/>
    <x v="51"/>
    <x v="949"/>
    <x v="15"/>
    <s v="001-CHEFIA DE GABINETE"/>
    <s v="4-ADMINISTRAÇÃO"/>
    <e v="#N/A"/>
    <e v="#N/A"/>
    <e v="#N/A"/>
    <e v="#N/A"/>
    <x v="18"/>
    <x v="0"/>
    <n v="79447850.049999997"/>
    <x v="0"/>
  </r>
  <r>
    <s v="18"/>
    <s v="001"/>
    <s v="04"/>
    <s v="123"/>
    <s v="0021"/>
    <x v="61"/>
    <x v="52"/>
    <x v="950"/>
    <x v="15"/>
    <s v="001-CHEFIA DE GABINETE"/>
    <s v="4-ADMINISTRAÇÃO"/>
    <e v="#N/A"/>
    <e v="#N/A"/>
    <e v="#N/A"/>
    <e v="#N/A"/>
    <x v="18"/>
    <x v="0"/>
    <n v="1000000"/>
    <x v="0"/>
  </r>
  <r>
    <s v="18"/>
    <s v="001"/>
    <s v="04"/>
    <s v="123"/>
    <s v="0021"/>
    <x v="61"/>
    <x v="53"/>
    <x v="951"/>
    <x v="15"/>
    <s v="001-CHEFIA DE GABINETE"/>
    <s v="4-ADMINISTRAÇÃO"/>
    <e v="#N/A"/>
    <e v="#N/A"/>
    <e v="#N/A"/>
    <e v="#N/A"/>
    <x v="18"/>
    <x v="0"/>
    <n v="5544936.2699999996"/>
    <x v="0"/>
  </r>
  <r>
    <s v="18"/>
    <s v="001"/>
    <s v="04"/>
    <s v="123"/>
    <s v="0021"/>
    <x v="61"/>
    <x v="54"/>
    <x v="952"/>
    <x v="15"/>
    <s v="001-CHEFIA DE GABINETE"/>
    <s v="4-ADMINISTRAÇÃO"/>
    <e v="#N/A"/>
    <e v="#N/A"/>
    <e v="#N/A"/>
    <e v="#N/A"/>
    <x v="18"/>
    <x v="0"/>
    <n v="142548168.24000001"/>
    <x v="0"/>
  </r>
  <r>
    <s v="18"/>
    <s v="001"/>
    <s v="04"/>
    <s v="123"/>
    <s v="0021"/>
    <x v="61"/>
    <x v="55"/>
    <x v="953"/>
    <x v="15"/>
    <s v="001-CHEFIA DE GABINETE"/>
    <s v="4-ADMINISTRAÇÃO"/>
    <e v="#N/A"/>
    <e v="#N/A"/>
    <e v="#N/A"/>
    <e v="#N/A"/>
    <x v="18"/>
    <x v="0"/>
    <n v="714039.84"/>
    <x v="0"/>
  </r>
  <r>
    <s v="18"/>
    <s v="001"/>
    <s v="04"/>
    <s v="123"/>
    <s v="0021"/>
    <x v="62"/>
    <x v="27"/>
    <x v="954"/>
    <x v="15"/>
    <s v="001-CHEFIA DE GABINETE"/>
    <s v="4-ADMINISTRAÇÃO"/>
    <e v="#N/A"/>
    <e v="#N/A"/>
    <e v="#N/A"/>
    <e v="#N/A"/>
    <x v="18"/>
    <x v="0"/>
    <n v="55021000"/>
    <x v="0"/>
  </r>
  <r>
    <s v="18"/>
    <s v="001"/>
    <s v="04"/>
    <s v="123"/>
    <s v="0021"/>
    <x v="62"/>
    <x v="56"/>
    <x v="955"/>
    <x v="15"/>
    <s v="001-CHEFIA DE GABINETE"/>
    <s v="4-ADMINISTRAÇÃO"/>
    <e v="#N/A"/>
    <e v="#N/A"/>
    <e v="#N/A"/>
    <e v="#N/A"/>
    <x v="18"/>
    <x v="0"/>
    <n v="40000000"/>
    <x v="0"/>
  </r>
  <r>
    <s v="18"/>
    <s v="001"/>
    <s v="04"/>
    <s v="123"/>
    <s v="0021"/>
    <x v="44"/>
    <x v="35"/>
    <x v="956"/>
    <x v="15"/>
    <s v="001-CHEFIA DE GABINETE"/>
    <s v="4-ADMINISTRAÇÃO"/>
    <e v="#N/A"/>
    <e v="#N/A"/>
    <s v="0.003-Precatórios e Sentenças Judiciais"/>
    <e v="#N/A"/>
    <x v="18"/>
    <x v="0"/>
    <n v="4485130.83"/>
    <x v="0"/>
  </r>
  <r>
    <s v="18"/>
    <s v="001"/>
    <s v="04"/>
    <s v="123"/>
    <s v="0021"/>
    <x v="44"/>
    <x v="23"/>
    <x v="957"/>
    <x v="15"/>
    <s v="001-CHEFIA DE GABINETE"/>
    <s v="4-ADMINISTRAÇÃO"/>
    <e v="#N/A"/>
    <e v="#N/A"/>
    <s v="0.003-Precatórios e Sentenças Judiciais"/>
    <s v="3.3.90.91.00-SENTENÇAS JUDICIAIS"/>
    <x v="18"/>
    <x v="0"/>
    <n v="2691078.5"/>
    <x v="0"/>
  </r>
  <r>
    <s v="18"/>
    <s v="001"/>
    <s v="04"/>
    <s v="123"/>
    <s v="0021"/>
    <x v="44"/>
    <x v="57"/>
    <x v="958"/>
    <x v="15"/>
    <s v="001-CHEFIA DE GABINETE"/>
    <s v="4-ADMINISTRAÇÃO"/>
    <e v="#N/A"/>
    <e v="#N/A"/>
    <s v="0.003-Precatórios e Sentenças Judiciais"/>
    <e v="#N/A"/>
    <x v="18"/>
    <x v="0"/>
    <n v="1"/>
    <x v="0"/>
  </r>
  <r>
    <s v="18"/>
    <s v="001"/>
    <s v="04"/>
    <s v="123"/>
    <s v="0021"/>
    <x v="44"/>
    <x v="58"/>
    <x v="959"/>
    <x v="15"/>
    <s v="001-CHEFIA DE GABINETE"/>
    <s v="4-ADMINISTRAÇÃO"/>
    <e v="#N/A"/>
    <e v="#N/A"/>
    <s v="0.003-Precatórios e Sentenças Judiciais"/>
    <e v="#N/A"/>
    <x v="18"/>
    <x v="0"/>
    <n v="47185370.43"/>
    <x v="0"/>
  </r>
  <r>
    <s v="18"/>
    <s v="001"/>
    <s v="28"/>
    <s v="846"/>
    <s v="0021"/>
    <x v="44"/>
    <x v="39"/>
    <x v="960"/>
    <x v="15"/>
    <s v="001-CHEFIA DE GABINETE"/>
    <e v="#N/A"/>
    <e v="#N/A"/>
    <e v="#N/A"/>
    <s v="0.003-Precatórios e Sentenças Judiciais"/>
    <e v="#N/A"/>
    <x v="18"/>
    <x v="0"/>
    <n v="179405.23"/>
    <x v="0"/>
  </r>
  <r>
    <s v="18"/>
    <s v="001"/>
    <s v="28"/>
    <s v="846"/>
    <s v="0021"/>
    <x v="44"/>
    <x v="44"/>
    <x v="961"/>
    <x v="15"/>
    <s v="001-CHEFIA DE GABINETE"/>
    <e v="#N/A"/>
    <e v="#N/A"/>
    <e v="#N/A"/>
    <s v="0.003-Precatórios e Sentenças Judiciais"/>
    <e v="#N/A"/>
    <x v="18"/>
    <x v="0"/>
    <n v="53818.9"/>
    <x v="0"/>
  </r>
  <r>
    <s v="18"/>
    <s v="001"/>
    <s v="28"/>
    <s v="846"/>
    <s v="0021"/>
    <x v="44"/>
    <x v="6"/>
    <x v="962"/>
    <x v="15"/>
    <s v="001-CHEFIA DE GABINETE"/>
    <e v="#N/A"/>
    <e v="#N/A"/>
    <e v="#N/A"/>
    <s v="0.003-Precatórios e Sentenças Judiciais"/>
    <s v="3.3.90.93.00-INDENIZAÇÕES E RESTITUIÇÕES"/>
    <x v="18"/>
    <x v="0"/>
    <n v="426087.43"/>
    <x v="0"/>
  </r>
  <r>
    <s v="21"/>
    <s v="001"/>
    <s v="09"/>
    <s v="272"/>
    <s v="0021"/>
    <x v="62"/>
    <x v="27"/>
    <x v="1003"/>
    <x v="30"/>
    <s v="001-CHEFIA DE GABINETE"/>
    <e v="#N/A"/>
    <e v="#N/A"/>
    <e v="#N/A"/>
    <e v="#N/A"/>
    <e v="#N/A"/>
    <x v="18"/>
    <x v="0"/>
    <n v="1000000"/>
    <x v="0"/>
  </r>
  <r>
    <s v="21"/>
    <s v="001"/>
    <s v="09"/>
    <s v="272"/>
    <s v="0021"/>
    <x v="44"/>
    <x v="35"/>
    <x v="1004"/>
    <x v="30"/>
    <s v="001-CHEFIA DE GABINETE"/>
    <e v="#N/A"/>
    <e v="#N/A"/>
    <e v="#N/A"/>
    <s v="0.003-Precatórios e Sentenças Judiciais"/>
    <e v="#N/A"/>
    <x v="18"/>
    <x v="0"/>
    <n v="200000"/>
    <x v="0"/>
  </r>
  <r>
    <s v="21"/>
    <s v="001"/>
    <s v="09"/>
    <s v="272"/>
    <s v="0021"/>
    <x v="44"/>
    <x v="23"/>
    <x v="1005"/>
    <x v="30"/>
    <s v="001-CHEFIA DE GABINETE"/>
    <e v="#N/A"/>
    <e v="#N/A"/>
    <e v="#N/A"/>
    <s v="0.003-Precatórios e Sentenças Judiciais"/>
    <s v="3.3.90.91.00-SENTENÇAS JUDICIAIS"/>
    <x v="18"/>
    <x v="0"/>
    <n v="200000"/>
    <x v="0"/>
  </r>
  <r>
    <s v="22"/>
    <s v="001"/>
    <s v="04"/>
    <s v="122"/>
    <s v="0021"/>
    <x v="61"/>
    <x v="51"/>
    <x v="1013"/>
    <x v="31"/>
    <s v="001-CHEFIA DE GABINETE"/>
    <s v="4-ADMINISTRAÇÃO"/>
    <s v="122-ADMINISTRAÇÃO GERAL"/>
    <e v="#N/A"/>
    <e v="#N/A"/>
    <e v="#N/A"/>
    <x v="18"/>
    <x v="0"/>
    <n v="174941"/>
    <x v="0"/>
  </r>
  <r>
    <s v="22"/>
    <s v="001"/>
    <s v="04"/>
    <s v="122"/>
    <s v="0021"/>
    <x v="61"/>
    <x v="54"/>
    <x v="1014"/>
    <x v="31"/>
    <s v="001-CHEFIA DE GABINETE"/>
    <s v="4-ADMINISTRAÇÃO"/>
    <s v="122-ADMINISTRAÇÃO GERAL"/>
    <e v="#N/A"/>
    <e v="#N/A"/>
    <e v="#N/A"/>
    <x v="18"/>
    <x v="0"/>
    <n v="630000"/>
    <x v="0"/>
  </r>
  <r>
    <s v="22"/>
    <s v="001"/>
    <s v="04"/>
    <s v="122"/>
    <s v="0021"/>
    <x v="44"/>
    <x v="35"/>
    <x v="1015"/>
    <x v="31"/>
    <s v="001-CHEFIA DE GABINETE"/>
    <s v="4-ADMINISTRAÇÃO"/>
    <s v="122-ADMINISTRAÇÃO GERAL"/>
    <e v="#N/A"/>
    <s v="0.003-Precatórios e Sentenças Judiciais"/>
    <e v="#N/A"/>
    <x v="18"/>
    <x v="0"/>
    <n v="659426.94999999995"/>
    <x v="0"/>
  </r>
  <r>
    <s v="22"/>
    <s v="002"/>
    <s v="12"/>
    <s v="122"/>
    <s v="0021"/>
    <x v="44"/>
    <x v="35"/>
    <x v="1017"/>
    <x v="31"/>
    <s v="002-RECURSOS SOB A SUPERVISÃO DA SECRETARIA DE ADMINISTRAÇÃO"/>
    <s v="12-EDUCAÇÃO"/>
    <s v="122-ADMINISTRAÇÃO GERAL"/>
    <e v="#N/A"/>
    <s v="0.003-Precatórios e Sentenças Judiciais"/>
    <e v="#N/A"/>
    <x v="18"/>
    <x v="0"/>
    <n v="288156.7"/>
    <x v="0"/>
  </r>
  <r>
    <s v="22"/>
    <s v="003"/>
    <s v="12"/>
    <s v="122"/>
    <s v="0021"/>
    <x v="44"/>
    <x v="35"/>
    <x v="1024"/>
    <x v="31"/>
    <s v="003-FUNDO MUNICIPAL DE MEIO AMBIENTE"/>
    <s v="12-EDUCAÇÃO"/>
    <s v="122-ADMINISTRAÇÃO GERAL"/>
    <e v="#N/A"/>
    <s v="0.003-Precatórios e Sentenças Judiciais"/>
    <e v="#N/A"/>
    <x v="18"/>
    <x v="0"/>
    <n v="1206.45"/>
    <x v="0"/>
  </r>
  <r>
    <s v="22"/>
    <s v="004"/>
    <s v="12"/>
    <s v="122"/>
    <s v="0021"/>
    <x v="44"/>
    <x v="35"/>
    <x v="1025"/>
    <x v="31"/>
    <e v="#N/A"/>
    <s v="12-EDUCAÇÃO"/>
    <s v="122-ADMINISTRAÇÃO GERAL"/>
    <e v="#N/A"/>
    <s v="0.003-Precatórios e Sentenças Judiciais"/>
    <e v="#N/A"/>
    <x v="18"/>
    <x v="0"/>
    <n v="96558"/>
    <x v="0"/>
  </r>
  <r>
    <s v="22"/>
    <s v="005"/>
    <s v="12"/>
    <s v="122"/>
    <s v="0021"/>
    <x v="44"/>
    <x v="35"/>
    <x v="1032"/>
    <x v="31"/>
    <s v="005-FUNDO MUNICIPAL DE ASSISTÊNCIA SOCIAL"/>
    <s v="12-EDUCAÇÃO"/>
    <s v="122-ADMINISTRAÇÃO GERAL"/>
    <e v="#N/A"/>
    <s v="0.003-Precatórios e Sentenças Judiciais"/>
    <e v="#N/A"/>
    <x v="18"/>
    <x v="0"/>
    <n v="1206.45"/>
    <x v="0"/>
  </r>
  <r>
    <s v="22"/>
    <s v="006"/>
    <s v="12"/>
    <s v="122"/>
    <s v="0021"/>
    <x v="44"/>
    <x v="35"/>
    <x v="1033"/>
    <x v="31"/>
    <s v="006-HOSPITAL E MATERNIDADE MUNICIPAL AMADOR AGUIAR"/>
    <s v="12-EDUCAÇÃO"/>
    <s v="122-ADMINISTRAÇÃO GERAL"/>
    <e v="#N/A"/>
    <s v="0.003-Precatórios e Sentenças Judiciais"/>
    <e v="#N/A"/>
    <x v="18"/>
    <x v="0"/>
    <n v="30173.85"/>
    <x v="0"/>
  </r>
  <r>
    <s v="22"/>
    <s v="007"/>
    <s v="13"/>
    <s v="122"/>
    <s v="0021"/>
    <x v="44"/>
    <x v="35"/>
    <x v="1035"/>
    <x v="31"/>
    <s v="007-DEPARTAMENTO DE PROTEÇÃO SOCIAL BÁSICA"/>
    <s v="13-CULTURA"/>
    <s v="122-ADMINISTRAÇÃO GERAL"/>
    <e v="#N/A"/>
    <s v="0.003-Precatórios e Sentenças Judiciais"/>
    <e v="#N/A"/>
    <x v="18"/>
    <x v="0"/>
    <n v="30173.85"/>
    <x v="0"/>
  </r>
  <r>
    <s v="22"/>
    <s v="016"/>
    <s v="12"/>
    <s v="122"/>
    <s v="0021"/>
    <x v="44"/>
    <x v="35"/>
    <x v="1054"/>
    <x v="31"/>
    <e v="#N/A"/>
    <s v="12-EDUCAÇÃO"/>
    <s v="122-ADMINISTRAÇÃO GERAL"/>
    <e v="#N/A"/>
    <s v="0.003-Precatórios e Sentenças Judiciais"/>
    <e v="#N/A"/>
    <x v="18"/>
    <x v="0"/>
    <n v="210"/>
    <x v="0"/>
  </r>
  <r>
    <s v="01"/>
    <s v="001"/>
    <s v="01"/>
    <s v="031"/>
    <s v="0003"/>
    <x v="49"/>
    <x v="25"/>
    <x v="449"/>
    <x v="29"/>
    <s v="001-CHEFIA DE GABINETE"/>
    <e v="#N/A"/>
    <e v="#N/A"/>
    <e v="#N/A"/>
    <e v="#N/A"/>
    <e v="#N/A"/>
    <x v="18"/>
    <x v="0"/>
    <n v="1"/>
    <x v="0"/>
  </r>
  <r>
    <s v="01"/>
    <s v="001"/>
    <s v="01"/>
    <s v="031"/>
    <s v="0003"/>
    <x v="49"/>
    <x v="0"/>
    <x v="450"/>
    <x v="29"/>
    <s v="001-CHEFIA DE GABINETE"/>
    <e v="#N/A"/>
    <e v="#N/A"/>
    <e v="#N/A"/>
    <e v="#N/A"/>
    <s v="3.3.90.30.00-MATERIAL DE CONSUMO"/>
    <x v="18"/>
    <x v="0"/>
    <n v="1575000"/>
    <x v="0"/>
  </r>
  <r>
    <s v="01"/>
    <s v="001"/>
    <s v="01"/>
    <s v="031"/>
    <s v="0003"/>
    <x v="49"/>
    <x v="16"/>
    <x v="451"/>
    <x v="29"/>
    <s v="001-CHEFIA DE GABINETE"/>
    <e v="#N/A"/>
    <e v="#N/A"/>
    <e v="#N/A"/>
    <e v="#N/A"/>
    <s v="3.3.90.32.00-MATERIAL, BEM OU SERVIÇO PARA DISTRIBUIÇÃO GRATUITA"/>
    <x v="18"/>
    <x v="0"/>
    <n v="1"/>
    <x v="0"/>
  </r>
  <r>
    <s v="01"/>
    <s v="001"/>
    <s v="01"/>
    <s v="031"/>
    <s v="0003"/>
    <x v="49"/>
    <x v="7"/>
    <x v="452"/>
    <x v="29"/>
    <s v="001-CHEFIA DE GABINETE"/>
    <e v="#N/A"/>
    <e v="#N/A"/>
    <e v="#N/A"/>
    <e v="#N/A"/>
    <s v="3.3.90.33.00-PASSAGENS E DESPESAS COM LOCOMOÇÃO"/>
    <x v="18"/>
    <x v="0"/>
    <n v="1"/>
    <x v="0"/>
  </r>
  <r>
    <s v="01"/>
    <s v="001"/>
    <s v="01"/>
    <s v="031"/>
    <s v="0003"/>
    <x v="49"/>
    <x v="24"/>
    <x v="453"/>
    <x v="29"/>
    <s v="001-CHEFIA DE GABINETE"/>
    <e v="#N/A"/>
    <e v="#N/A"/>
    <e v="#N/A"/>
    <e v="#N/A"/>
    <s v="3.3.90.35.00-SERVIÇOS DE CONSULTORIA"/>
    <x v="18"/>
    <x v="0"/>
    <n v="1"/>
    <x v="0"/>
  </r>
  <r>
    <s v="01"/>
    <s v="001"/>
    <s v="01"/>
    <s v="031"/>
    <s v="0003"/>
    <x v="49"/>
    <x v="26"/>
    <x v="454"/>
    <x v="29"/>
    <s v="001-CHEFIA DE GABINETE"/>
    <e v="#N/A"/>
    <e v="#N/A"/>
    <e v="#N/A"/>
    <e v="#N/A"/>
    <e v="#N/A"/>
    <x v="18"/>
    <x v="0"/>
    <n v="1"/>
    <x v="0"/>
  </r>
  <r>
    <s v="01"/>
    <s v="001"/>
    <s v="01"/>
    <s v="031"/>
    <s v="0003"/>
    <x v="49"/>
    <x v="1"/>
    <x v="455"/>
    <x v="29"/>
    <s v="001-CHEFIA DE GABINETE"/>
    <e v="#N/A"/>
    <e v="#N/A"/>
    <e v="#N/A"/>
    <e v="#N/A"/>
    <s v="3.3.90.39.00-OUTROS SERVIÇOS DE TERCEIROS - PESSOA JURÍDICA"/>
    <x v="18"/>
    <x v="0"/>
    <n v="35000000"/>
    <x v="0"/>
  </r>
  <r>
    <s v="01"/>
    <s v="001"/>
    <s v="01"/>
    <s v="031"/>
    <s v="0003"/>
    <x v="49"/>
    <x v="5"/>
    <x v="456"/>
    <x v="29"/>
    <s v="001-CHEFIA DE GABINETE"/>
    <e v="#N/A"/>
    <e v="#N/A"/>
    <e v="#N/A"/>
    <e v="#N/A"/>
    <s v="3.3.90.40.00-SERVIÇOS DE TECNOLOGIA DA INFORMAÇÃO E COMUNICAÇÃO - PESSOA JURÍDICA"/>
    <x v="18"/>
    <x v="0"/>
    <n v="5000000"/>
    <x v="0"/>
  </r>
  <r>
    <s v="01"/>
    <s v="001"/>
    <s v="01"/>
    <s v="031"/>
    <s v="0003"/>
    <x v="49"/>
    <x v="27"/>
    <x v="457"/>
    <x v="29"/>
    <s v="001-CHEFIA DE GABINETE"/>
    <e v="#N/A"/>
    <e v="#N/A"/>
    <e v="#N/A"/>
    <e v="#N/A"/>
    <e v="#N/A"/>
    <x v="18"/>
    <x v="0"/>
    <n v="1"/>
    <x v="0"/>
  </r>
  <r>
    <s v="01"/>
    <s v="001"/>
    <s v="01"/>
    <s v="031"/>
    <s v="0003"/>
    <x v="49"/>
    <x v="15"/>
    <x v="458"/>
    <x v="29"/>
    <s v="001-CHEFIA DE GABINETE"/>
    <e v="#N/A"/>
    <e v="#N/A"/>
    <e v="#N/A"/>
    <e v="#N/A"/>
    <s v="3.3.90.48.00 - OUTROS AUXILIOS FINANCEIROS A PESSOAS FISICAS"/>
    <x v="18"/>
    <x v="0"/>
    <n v="189300"/>
    <x v="0"/>
  </r>
  <r>
    <s v="01"/>
    <s v="001"/>
    <s v="01"/>
    <s v="031"/>
    <s v="0003"/>
    <x v="49"/>
    <x v="9"/>
    <x v="459"/>
    <x v="29"/>
    <s v="001-CHEFIA DE GABINETE"/>
    <e v="#N/A"/>
    <e v="#N/A"/>
    <e v="#N/A"/>
    <e v="#N/A"/>
    <s v="3.3.90.92.00-DESPESAS DE EXERCÍCIOS ANTERIORES"/>
    <x v="18"/>
    <x v="0"/>
    <n v="1"/>
    <x v="0"/>
  </r>
  <r>
    <s v="01"/>
    <s v="001"/>
    <s v="01"/>
    <s v="031"/>
    <s v="0003"/>
    <x v="49"/>
    <x v="6"/>
    <x v="460"/>
    <x v="29"/>
    <s v="001-CHEFIA DE GABINETE"/>
    <e v="#N/A"/>
    <e v="#N/A"/>
    <e v="#N/A"/>
    <e v="#N/A"/>
    <s v="3.3.90.93.00-INDENIZAÇÕES E RESTITUIÇÕES"/>
    <x v="18"/>
    <x v="0"/>
    <n v="1"/>
    <x v="0"/>
  </r>
  <r>
    <s v="01"/>
    <s v="001"/>
    <s v="01"/>
    <s v="031"/>
    <s v="0003"/>
    <x v="49"/>
    <x v="4"/>
    <x v="461"/>
    <x v="29"/>
    <s v="001-CHEFIA DE GABINETE"/>
    <e v="#N/A"/>
    <e v="#N/A"/>
    <e v="#N/A"/>
    <e v="#N/A"/>
    <s v="4.4.50.52.00-EQUIPAMENTOS E MATERIAL PERMANENTE"/>
    <x v="18"/>
    <x v="0"/>
    <n v="2100000"/>
    <x v="0"/>
  </r>
  <r>
    <s v="01"/>
    <s v="001"/>
    <s v="01"/>
    <s v="031"/>
    <s v="0003"/>
    <x v="49"/>
    <x v="28"/>
    <x v="462"/>
    <x v="29"/>
    <s v="001-CHEFIA DE GABINETE"/>
    <e v="#N/A"/>
    <e v="#N/A"/>
    <e v="#N/A"/>
    <e v="#N/A"/>
    <e v="#N/A"/>
    <x v="18"/>
    <x v="0"/>
    <n v="1"/>
    <x v="0"/>
  </r>
  <r>
    <s v="01"/>
    <s v="001"/>
    <s v="01"/>
    <s v="031"/>
    <s v="0003"/>
    <x v="10"/>
    <x v="1"/>
    <x v="770"/>
    <x v="29"/>
    <s v="001-CHEFIA DE GABINETE"/>
    <e v="#N/A"/>
    <e v="#N/A"/>
    <e v="#N/A"/>
    <s v="1.003-Implantação de Novas Unidades"/>
    <s v="3.3.90.39.00-OUTROS SERVIÇOS DE TERCEIROS - PESSOA JURÍDICA"/>
    <x v="18"/>
    <x v="0"/>
    <n v="2000000"/>
    <x v="0"/>
  </r>
  <r>
    <s v="01"/>
    <s v="001"/>
    <s v="01"/>
    <s v="031"/>
    <s v="0003"/>
    <x v="10"/>
    <x v="9"/>
    <x v="771"/>
    <x v="29"/>
    <s v="001-CHEFIA DE GABINETE"/>
    <e v="#N/A"/>
    <e v="#N/A"/>
    <e v="#N/A"/>
    <s v="1.003-Implantação de Novas Unidades"/>
    <s v="3.3.90.92.00-DESPESAS DE EXERCÍCIOS ANTERIORES"/>
    <x v="18"/>
    <x v="0"/>
    <n v="1"/>
    <x v="0"/>
  </r>
  <r>
    <s v="01"/>
    <s v="001"/>
    <s v="01"/>
    <s v="031"/>
    <s v="0003"/>
    <x v="10"/>
    <x v="6"/>
    <x v="772"/>
    <x v="29"/>
    <s v="001-CHEFIA DE GABINETE"/>
    <e v="#N/A"/>
    <e v="#N/A"/>
    <e v="#N/A"/>
    <s v="1.003-Implantação de Novas Unidades"/>
    <s v="3.3.90.93.00-INDENIZAÇÕES E RESTITUIÇÕES"/>
    <x v="18"/>
    <x v="0"/>
    <n v="1"/>
    <x v="0"/>
  </r>
  <r>
    <s v="01"/>
    <s v="001"/>
    <s v="01"/>
    <s v="031"/>
    <s v="0003"/>
    <x v="10"/>
    <x v="12"/>
    <x v="773"/>
    <x v="29"/>
    <s v="001-CHEFIA DE GABINETE"/>
    <e v="#N/A"/>
    <e v="#N/A"/>
    <e v="#N/A"/>
    <s v="1.003-Implantação de Novas Unidades"/>
    <s v="4.4.90.51.00-OBRAS E INSTALAÇÕES"/>
    <x v="18"/>
    <x v="0"/>
    <n v="1000000"/>
    <x v="0"/>
  </r>
  <r>
    <s v="01"/>
    <s v="001"/>
    <s v="01"/>
    <s v="031"/>
    <s v="0003"/>
    <x v="10"/>
    <x v="8"/>
    <x v="774"/>
    <x v="29"/>
    <s v="001-CHEFIA DE GABINETE"/>
    <e v="#N/A"/>
    <e v="#N/A"/>
    <e v="#N/A"/>
    <s v="1.003-Implantação de Novas Unidades"/>
    <s v="4.4.90.52.00-EQUIPAMENTOS E MATERIAL PERMANENTE"/>
    <x v="18"/>
    <x v="0"/>
    <n v="3500000"/>
    <x v="0"/>
  </r>
  <r>
    <s v="01"/>
    <s v="001"/>
    <s v="01"/>
    <s v="031"/>
    <s v="0003"/>
    <x v="10"/>
    <x v="28"/>
    <x v="775"/>
    <x v="29"/>
    <s v="001-CHEFIA DE GABINETE"/>
    <e v="#N/A"/>
    <e v="#N/A"/>
    <e v="#N/A"/>
    <s v="1.003-Implantação de Novas Unidades"/>
    <e v="#N/A"/>
    <x v="18"/>
    <x v="0"/>
    <n v="1"/>
    <x v="0"/>
  </r>
  <r>
    <s v="01"/>
    <s v="001"/>
    <s v="01"/>
    <s v="122"/>
    <s v="0003"/>
    <x v="11"/>
    <x v="38"/>
    <x v="776"/>
    <x v="29"/>
    <s v="001-CHEFIA DE GABINETE"/>
    <e v="#N/A"/>
    <s v="122-ADMINISTRAÇÃO GERAL"/>
    <e v="#N/A"/>
    <s v="2.001-Remuneração, Benefícios e Encargos"/>
    <e v="#N/A"/>
    <x v="18"/>
    <x v="0"/>
    <n v="72722107"/>
    <x v="0"/>
  </r>
  <r>
    <s v="01"/>
    <s v="001"/>
    <s v="01"/>
    <s v="122"/>
    <s v="0003"/>
    <x v="11"/>
    <x v="39"/>
    <x v="777"/>
    <x v="29"/>
    <s v="001-CHEFIA DE GABINETE"/>
    <e v="#N/A"/>
    <s v="122-ADMINISTRAÇÃO GERAL"/>
    <e v="#N/A"/>
    <s v="2.001-Remuneração, Benefícios e Encargos"/>
    <e v="#N/A"/>
    <x v="18"/>
    <x v="0"/>
    <n v="8654868"/>
    <x v="0"/>
  </r>
  <r>
    <s v="01"/>
    <s v="001"/>
    <s v="01"/>
    <s v="122"/>
    <s v="0003"/>
    <x v="11"/>
    <x v="40"/>
    <x v="778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35"/>
    <x v="779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41"/>
    <x v="780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42"/>
    <x v="781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43"/>
    <x v="782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44"/>
    <x v="783"/>
    <x v="29"/>
    <s v="001-CHEFIA DE GABINETE"/>
    <e v="#N/A"/>
    <s v="122-ADMINISTRAÇÃO GERAL"/>
    <e v="#N/A"/>
    <s v="2.001-Remuneração, Benefícios e Encargos"/>
    <e v="#N/A"/>
    <x v="18"/>
    <x v="0"/>
    <n v="4840368"/>
    <x v="0"/>
  </r>
  <r>
    <s v="01"/>
    <s v="001"/>
    <s v="01"/>
    <s v="122"/>
    <s v="0003"/>
    <x v="11"/>
    <x v="45"/>
    <x v="784"/>
    <x v="29"/>
    <s v="001-CHEFIA DE GABINETE"/>
    <e v="#N/A"/>
    <s v="122-ADMINISTRAÇÃO GERAL"/>
    <e v="#N/A"/>
    <s v="2.001-Remuneração, Benefícios e Encargos"/>
    <e v="#N/A"/>
    <x v="18"/>
    <x v="0"/>
    <n v="1050"/>
    <x v="0"/>
  </r>
  <r>
    <s v="01"/>
    <s v="001"/>
    <s v="01"/>
    <s v="122"/>
    <s v="0003"/>
    <x v="11"/>
    <x v="46"/>
    <x v="785"/>
    <x v="29"/>
    <s v="001-CHEFIA DE GABINETE"/>
    <e v="#N/A"/>
    <s v="122-ADMINISTRAÇÃO GERAL"/>
    <e v="#N/A"/>
    <s v="2.001-Remuneração, Benefícios e Encargos"/>
    <e v="#N/A"/>
    <x v="18"/>
    <x v="0"/>
    <n v="7002773"/>
    <x v="0"/>
  </r>
  <r>
    <s v="01"/>
    <s v="001"/>
    <s v="01"/>
    <s v="122"/>
    <s v="0003"/>
    <x v="11"/>
    <x v="1"/>
    <x v="786"/>
    <x v="29"/>
    <s v="001-CHEFIA DE GABINETE"/>
    <e v="#N/A"/>
    <s v="122-ADMINISTRAÇÃO GERAL"/>
    <e v="#N/A"/>
    <s v="2.001-Remuneração, Benefícios e Encargos"/>
    <s v="3.3.90.39.00-OUTROS SERVIÇOS DE TERCEIROS - PESSOA JURÍDICA"/>
    <x v="18"/>
    <x v="0"/>
    <n v="1"/>
    <x v="0"/>
  </r>
  <r>
    <s v="01"/>
    <s v="001"/>
    <s v="01"/>
    <s v="122"/>
    <s v="0003"/>
    <x v="11"/>
    <x v="47"/>
    <x v="787"/>
    <x v="29"/>
    <s v="001-CHEFIA DE GABINETE"/>
    <e v="#N/A"/>
    <s v="122-ADMINISTRAÇÃO GERAL"/>
    <e v="#N/A"/>
    <s v="2.001-Remuneração, Benefícios e Encargos"/>
    <e v="#N/A"/>
    <x v="18"/>
    <x v="0"/>
    <n v="4480278"/>
    <x v="0"/>
  </r>
  <r>
    <s v="01"/>
    <s v="001"/>
    <s v="01"/>
    <s v="122"/>
    <s v="0003"/>
    <x v="11"/>
    <x v="27"/>
    <x v="788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48"/>
    <x v="789"/>
    <x v="29"/>
    <s v="001-CHEFIA DE GABINETE"/>
    <e v="#N/A"/>
    <s v="122-ADMINISTRAÇÃO GERAL"/>
    <e v="#N/A"/>
    <s v="2.001-Remuneração, Benefícios e Encargos"/>
    <e v="#N/A"/>
    <x v="18"/>
    <x v="0"/>
    <n v="1"/>
    <x v="0"/>
  </r>
  <r>
    <s v="01"/>
    <s v="001"/>
    <s v="01"/>
    <s v="122"/>
    <s v="0003"/>
    <x v="11"/>
    <x v="9"/>
    <x v="790"/>
    <x v="29"/>
    <s v="001-CHEFIA DE GABINETE"/>
    <e v="#N/A"/>
    <s v="122-ADMINISTRAÇÃO GERAL"/>
    <e v="#N/A"/>
    <s v="2.001-Remuneração, Benefícios e Encargos"/>
    <s v="3.3.90.92.00-DESPESAS DE EXERCÍCIOS ANTERIORES"/>
    <x v="18"/>
    <x v="0"/>
    <n v="1"/>
    <x v="0"/>
  </r>
  <r>
    <s v="22"/>
    <s v="001"/>
    <s v="04"/>
    <s v="122"/>
    <s v="0001"/>
    <x v="0"/>
    <x v="26"/>
    <x v="653"/>
    <x v="31"/>
    <s v="001-CHEFIA DE GABINETE"/>
    <s v="4-ADMINISTRAÇÃO"/>
    <s v="122-ADMINISTRAÇÃO GERAL"/>
    <s v="0001-Administração e Coordenação Geral​"/>
    <s v="2.011-Manutenção de Equipamentos Públicos "/>
    <e v="#N/A"/>
    <x v="18"/>
    <x v="0"/>
    <n v="1760000"/>
    <x v="0"/>
  </r>
  <r>
    <s v="22"/>
    <s v="001"/>
    <s v="04"/>
    <s v="122"/>
    <s v="0001"/>
    <x v="0"/>
    <x v="36"/>
    <x v="654"/>
    <x v="31"/>
    <s v="001-CHEFIA DE GABINETE"/>
    <s v="4-ADMINISTRAÇÃO"/>
    <s v="122-ADMINISTRAÇÃO GERAL"/>
    <s v="0001-Administração e Coordenação Geral​"/>
    <s v="2.011-Manutenção de Equipamentos Públicos "/>
    <e v="#N/A"/>
    <x v="18"/>
    <x v="0"/>
    <n v="1505396"/>
    <x v="0"/>
  </r>
  <r>
    <s v="22"/>
    <s v="001"/>
    <s v="04"/>
    <s v="126"/>
    <s v="0002"/>
    <x v="1"/>
    <x v="5"/>
    <x v="655"/>
    <x v="31"/>
    <s v="001-CHEFIA DE GABINETE"/>
    <s v="4-ADMINISTR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141204"/>
    <x v="0"/>
  </r>
  <r>
    <s v="22"/>
    <s v="001"/>
    <s v="04"/>
    <s v="128"/>
    <s v="0001"/>
    <x v="12"/>
    <x v="10"/>
    <x v="656"/>
    <x v="31"/>
    <s v="001-CHEFIA DE GABINETE"/>
    <s v="4-ADMINISTRAÇÃO"/>
    <s v="128-FORMAÇÃO DE RECURSOS HUMANOS"/>
    <s v="0001-Administração e Coordenação Geral​"/>
    <s v="2.008-Estágio e Aprendizagem"/>
    <s v="3.3.90.36.00-OUTROS SERVIÇOS DE TERCEIROS - PESSOA FÍSICA"/>
    <x v="18"/>
    <x v="0"/>
    <n v="100000"/>
    <x v="0"/>
  </r>
  <r>
    <s v="22"/>
    <s v="001"/>
    <s v="04"/>
    <s v="128"/>
    <s v="0002"/>
    <x v="2"/>
    <x v="1"/>
    <x v="657"/>
    <x v="31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800000"/>
    <x v="0"/>
  </r>
  <r>
    <s v="22"/>
    <s v="002"/>
    <s v="04"/>
    <s v="361"/>
    <s v="0002"/>
    <x v="2"/>
    <x v="1"/>
    <x v="658"/>
    <x v="31"/>
    <s v="002-RECURSOS SOB A SUPERVISÃO DA SECRETARIA DE ADMINISTRAÇÃO"/>
    <s v="4-ADMINISTRAÇÃO"/>
    <s v="361-ENSINO FUNDAMENTAL"/>
    <s v="0002-Governo Inteligente, Aberto e Inovador​"/>
    <s v="2.003-Qualificação de Servidores e Processos Institucionais"/>
    <s v="3.3.90.39.00-OUTROS SERVIÇOS DE TERCEIROS - PESSOA JURÍDICA"/>
    <x v="18"/>
    <x v="0"/>
    <n v="367500"/>
    <x v="0"/>
  </r>
  <r>
    <s v="22"/>
    <s v="002"/>
    <s v="12"/>
    <s v="122"/>
    <s v="0001"/>
    <x v="0"/>
    <x v="0"/>
    <x v="659"/>
    <x v="31"/>
    <s v="002-RECURSOS SOB A SUPERVISÃO DA SECRETARIA DE ADMINISTRAÇÃO"/>
    <s v="12-EDUCAÇÃO"/>
    <s v="122-ADMINISTRAÇÃO GERAL"/>
    <s v="0001-Administração e Coordenação Geral​"/>
    <s v="2.011-Manutenção de Equipamentos Públicos "/>
    <s v="3.3.90.30.00-MATERIAL DE CONSUMO"/>
    <x v="18"/>
    <x v="0"/>
    <n v="210000"/>
    <x v="0"/>
  </r>
  <r>
    <s v="22"/>
    <s v="002"/>
    <s v="12"/>
    <s v="126"/>
    <s v="0002"/>
    <x v="1"/>
    <x v="5"/>
    <x v="660"/>
    <x v="31"/>
    <s v="002-RECURSOS SOB A SUPERVISÃO DA SECRETARIA DE ADMINISTRAÇÃO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0"/>
  </r>
  <r>
    <s v="22"/>
    <s v="002"/>
    <s v="12"/>
    <s v="361"/>
    <s v="0001"/>
    <x v="12"/>
    <x v="10"/>
    <x v="661"/>
    <x v="31"/>
    <s v="002-RECURSOS SOB A SUPERVISÃO DA SECRETARIA DE ADMINISTRAÇÃO"/>
    <s v="12-EDUCAÇÃO"/>
    <s v="361-ENSINO FUNDAMENTAL"/>
    <s v="0001-Administração e Coordenação Geral​"/>
    <s v="2.008-Estágio e Aprendizagem"/>
    <s v="3.3.90.36.00-OUTROS SERVIÇOS DE TERCEIROS - PESSOA FÍSICA"/>
    <x v="18"/>
    <x v="0"/>
    <n v="105000"/>
    <x v="0"/>
  </r>
  <r>
    <s v="22"/>
    <s v="002"/>
    <s v="12"/>
    <s v="361"/>
    <s v="0016"/>
    <x v="0"/>
    <x v="27"/>
    <x v="662"/>
    <x v="31"/>
    <s v="002-RECURSOS SOB A SUPERVISÃO DA SECRETARIA DE ADMINISTRAÇÃO"/>
    <s v="12-EDUCAÇÃO"/>
    <s v="361-ENSINO FUNDAMENTAL"/>
    <s v="0016-Escola para Todos​"/>
    <s v="2.011-Manutenção de Equipamentos Públicos "/>
    <e v="#N/A"/>
    <x v="18"/>
    <x v="0"/>
    <n v="178530.45"/>
    <x v="0"/>
  </r>
  <r>
    <s v="22"/>
    <s v="002"/>
    <s v="12"/>
    <s v="361"/>
    <s v="0016"/>
    <x v="16"/>
    <x v="8"/>
    <x v="663"/>
    <x v="31"/>
    <s v="002-RECURSOS SOB A SUPERVISÃO DA SECRETARIA DE ADMINISTRAÇÃO"/>
    <s v="12-EDUCAÇÃO"/>
    <s v="361-ENSINO FUNDAMENTAL"/>
    <s v="0016-Escola para Todos​"/>
    <s v="2.020-Transporte de Alunos "/>
    <s v="4.4.90.52.00-EQUIPAMENTOS E MATERIAL PERMANENTE"/>
    <x v="18"/>
    <x v="0"/>
    <n v="105000"/>
    <x v="0"/>
  </r>
  <r>
    <s v="22"/>
    <s v="004"/>
    <s v="04"/>
    <s v="362"/>
    <s v="0002"/>
    <x v="2"/>
    <x v="1"/>
    <x v="664"/>
    <x v="31"/>
    <e v="#N/A"/>
    <s v="4-ADMINISTRAÇÃO"/>
    <e v="#N/A"/>
    <s v="0002-Governo Inteligente, Aberto e Inovador​"/>
    <s v="2.003-Qualificação de Servidores e Processos Institucionais"/>
    <s v="3.3.90.39.00-OUTROS SERVIÇOS DE TERCEIROS - PESSOA JURÍDICA"/>
    <x v="18"/>
    <x v="0"/>
    <n v="300000"/>
    <x v="0"/>
  </r>
  <r>
    <s v="22"/>
    <s v="004"/>
    <s v="12"/>
    <s v="122"/>
    <s v="0001"/>
    <x v="0"/>
    <x v="0"/>
    <x v="665"/>
    <x v="31"/>
    <e v="#N/A"/>
    <s v="12-EDUCAÇÃO"/>
    <s v="122-ADMINISTRAÇÃO GERAL"/>
    <s v="0001-Administração e Coordenação Geral​"/>
    <s v="2.011-Manutenção de Equipamentos Públicos "/>
    <s v="3.3.90.30.00-MATERIAL DE CONSUMO"/>
    <x v="18"/>
    <x v="0"/>
    <n v="200000"/>
    <x v="0"/>
  </r>
  <r>
    <s v="22"/>
    <s v="004"/>
    <s v="12"/>
    <s v="126"/>
    <s v="0002"/>
    <x v="1"/>
    <x v="5"/>
    <x v="666"/>
    <x v="31"/>
    <e v="#N/A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0"/>
  </r>
  <r>
    <s v="22"/>
    <s v="004"/>
    <s v="12"/>
    <s v="362"/>
    <s v="0001"/>
    <x v="12"/>
    <x v="10"/>
    <x v="667"/>
    <x v="31"/>
    <e v="#N/A"/>
    <s v="12-EDUCAÇÃO"/>
    <e v="#N/A"/>
    <s v="0001-Administração e Coordenação Geral​"/>
    <s v="2.008-Estágio e Aprendizagem"/>
    <s v="3.3.90.36.00-OUTROS SERVIÇOS DE TERCEIROS - PESSOA FÍSICA"/>
    <x v="18"/>
    <x v="0"/>
    <n v="12210.45"/>
    <x v="0"/>
  </r>
  <r>
    <s v="22"/>
    <s v="004"/>
    <s v="12"/>
    <s v="362"/>
    <s v="0001"/>
    <x v="0"/>
    <x v="0"/>
    <x v="668"/>
    <x v="31"/>
    <e v="#N/A"/>
    <s v="12-EDUCAÇÃO"/>
    <e v="#N/A"/>
    <s v="0001-Administração e Coordenação Geral​"/>
    <s v="2.011-Manutenção de Equipamentos Públicos "/>
    <s v="3.3.90.30.00-MATERIAL DE CONSUMO"/>
    <x v="18"/>
    <x v="0"/>
    <n v="210000"/>
    <x v="0"/>
  </r>
  <r>
    <s v="22"/>
    <s v="004"/>
    <s v="12"/>
    <s v="362"/>
    <s v="0016"/>
    <x v="16"/>
    <x v="8"/>
    <x v="669"/>
    <x v="31"/>
    <e v="#N/A"/>
    <s v="12-EDUCAÇÃO"/>
    <e v="#N/A"/>
    <s v="0016-Escola para Todos​"/>
    <s v="2.020-Transporte de Alunos "/>
    <s v="4.4.90.52.00-EQUIPAMENTOS E MATERIAL PERMANENTE"/>
    <x v="18"/>
    <x v="0"/>
    <n v="262500"/>
    <x v="0"/>
  </r>
  <r>
    <s v="22"/>
    <s v="006"/>
    <s v="12"/>
    <s v="364"/>
    <s v="0001"/>
    <x v="0"/>
    <x v="1"/>
    <x v="670"/>
    <x v="31"/>
    <s v="006-HOSPITAL E MATERNIDADE MUNICIPAL AMADOR AGUIAR"/>
    <s v="12-EDUCAÇÃO"/>
    <s v="364-ENSINO SUPERIOR"/>
    <s v="0001-Administração e Coordenação Geral​"/>
    <s v="2.011-Manutenção de Equipamentos Públicos "/>
    <s v="3.3.90.39.00-OUTROS SERVIÇOS DE TERCEIROS - PESSOA JURÍDICA"/>
    <x v="18"/>
    <x v="0"/>
    <n v="1080.45"/>
    <x v="0"/>
  </r>
  <r>
    <s v="22"/>
    <s v="007"/>
    <s v="04"/>
    <s v="128"/>
    <s v="0002"/>
    <x v="2"/>
    <x v="1"/>
    <x v="671"/>
    <x v="31"/>
    <s v="007-DEPARTAMENTO DE PROTEÇÃO SOCIAL BÁSICA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076.25"/>
    <x v="0"/>
  </r>
  <r>
    <s v="22"/>
    <s v="007"/>
    <s v="13"/>
    <s v="126"/>
    <s v="0002"/>
    <x v="1"/>
    <x v="5"/>
    <x v="672"/>
    <x v="31"/>
    <s v="007-DEPARTAMENTO DE PROTEÇÃO SOCIAL BÁSICA"/>
    <s v="13-CULTURA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5918.85"/>
    <x v="0"/>
  </r>
  <r>
    <s v="22"/>
    <s v="007"/>
    <s v="13"/>
    <s v="128"/>
    <s v="0001"/>
    <x v="12"/>
    <x v="10"/>
    <x v="673"/>
    <x v="31"/>
    <s v="007-DEPARTAMENTO DE PROTEÇÃO SOCIAL BÁSICA"/>
    <s v="13-CULTURA"/>
    <s v="128-FORMAÇÃO DE RECURSOS HUMANOS"/>
    <s v="0001-Administração e Coordenação Geral​"/>
    <s v="2.008-Estágio e Aprendizagem"/>
    <s v="3.3.90.36.00-OUTROS SERVIÇOS DE TERCEIROS - PESSOA FÍSICA"/>
    <x v="18"/>
    <x v="0"/>
    <n v="12210.45"/>
    <x v="0"/>
  </r>
  <r>
    <s v="22"/>
    <s v="007"/>
    <s v="13"/>
    <s v="392"/>
    <s v="0009"/>
    <x v="0"/>
    <x v="9"/>
    <x v="674"/>
    <x v="31"/>
    <s v="007-DEPARTAMENTO DE PROTEÇÃO SOCIAL BÁSICA"/>
    <s v="13-CULTURA"/>
    <s v="392-DIFUSÃO CULTURAL"/>
    <s v="0009-Cultura, Economia Criativa e Patrimônio Histórico​"/>
    <s v="2.011-Manutenção de Equipamentos Públicos "/>
    <s v="3.3.90.92.00-DESPESAS DE EXERCÍCIOS ANTERIORES"/>
    <x v="18"/>
    <x v="0"/>
    <n v="0"/>
    <x v="0"/>
  </r>
  <r>
    <s v="22"/>
    <s v="008"/>
    <s v="12"/>
    <s v="365"/>
    <s v="0001"/>
    <x v="12"/>
    <x v="10"/>
    <x v="675"/>
    <x v="31"/>
    <s v="008-DIRETORIA GERAL DE ATENÇÃO PRIMÁRIA EM SAÚDE"/>
    <s v="12-EDUCAÇÃO"/>
    <s v="365-EDUCAÇÃO INFANTIL"/>
    <s v="0001-Administração e Coordenação Geral​"/>
    <s v="2.008-Estágio e Aprendizagem"/>
    <s v="3.3.90.36.00-OUTROS SERVIÇOS DE TERCEIROS - PESSOA FÍSICA"/>
    <x v="18"/>
    <x v="0"/>
    <n v="1.0499999999992724"/>
    <x v="0"/>
  </r>
  <r>
    <s v="22"/>
    <s v="016"/>
    <s v="12"/>
    <s v="126"/>
    <s v="0002"/>
    <x v="1"/>
    <x v="5"/>
    <x v="676"/>
    <x v="31"/>
    <e v="#N/A"/>
    <s v="12-EDUCAÇÃO"/>
    <s v="126-TECNOLOGIA DA INFORMATIZAÇÃO"/>
    <s v="0002-Governo Inteligente, Aberto e Inovador​"/>
    <s v="2.007-Ampliação e Manutenção de Sistemas de Inteligência, Fiscalização e Tecnologia"/>
    <s v="3.3.90.40.00-SERVIÇOS DE TECNOLOGIA DA INFORMAÇÃO E COMUNICAÇÃO - PESSOA JURÍDICA"/>
    <x v="18"/>
    <x v="0"/>
    <n v="210"/>
    <x v="0"/>
  </r>
  <r>
    <s v="22"/>
    <s v="016"/>
    <s v="12"/>
    <s v="365"/>
    <s v="0001"/>
    <x v="12"/>
    <x v="10"/>
    <x v="677"/>
    <x v="31"/>
    <e v="#N/A"/>
    <s v="12-EDUCAÇÃO"/>
    <s v="365-EDUCAÇÃO INFANTIL"/>
    <s v="0001-Administração e Coordenação Geral​"/>
    <s v="2.008-Estágio e Aprendizagem"/>
    <s v="3.3.90.36.00-OUTROS SERVIÇOS DE TERCEIROS - PESSOA FÍSICA"/>
    <x v="18"/>
    <x v="0"/>
    <n v="31122"/>
    <x v="0"/>
  </r>
  <r>
    <s v="22"/>
    <s v="016"/>
    <s v="12"/>
    <s v="365"/>
    <s v="0002"/>
    <x v="2"/>
    <x v="1"/>
    <x v="678"/>
    <x v="31"/>
    <e v="#N/A"/>
    <s v="12-EDUCAÇÃO"/>
    <s v="365-EDUCAÇÃO INFANTIL"/>
    <s v="0002-Governo Inteligente, Aberto e Inovador​"/>
    <s v="2.003-Qualificação de Servidores e Processos Institucionais"/>
    <s v="3.3.90.39.00-OUTROS SERVIÇOS DE TERCEIROS - PESSOA JURÍDICA"/>
    <x v="18"/>
    <x v="0"/>
    <n v="21000"/>
    <x v="0"/>
  </r>
  <r>
    <s v="22"/>
    <s v="016"/>
    <s v="12"/>
    <s v="365"/>
    <s v="0016"/>
    <x v="0"/>
    <x v="7"/>
    <x v="679"/>
    <x v="31"/>
    <e v="#N/A"/>
    <s v="12-EDUCAÇÃO"/>
    <s v="365-EDUCAÇÃO INFANTIL"/>
    <s v="0016-Escola para Todos​"/>
    <s v="2.011-Manutenção de Equipamentos Públicos "/>
    <s v="3.3.90.33.00-PASSAGENS E DESPESAS COM LOCOMOÇÃO"/>
    <x v="18"/>
    <x v="0"/>
    <n v="8400"/>
    <x v="0"/>
  </r>
  <r>
    <s v="22"/>
    <s v="016"/>
    <s v="12"/>
    <s v="365"/>
    <s v="0016"/>
    <x v="0"/>
    <x v="26"/>
    <x v="680"/>
    <x v="31"/>
    <e v="#N/A"/>
    <s v="12-EDUCAÇÃO"/>
    <s v="365-EDUCAÇÃO INFANTIL"/>
    <s v="0016-Escola para Todos​"/>
    <s v="2.011-Manutenção de Equipamentos Públicos "/>
    <e v="#N/A"/>
    <x v="18"/>
    <x v="0"/>
    <n v="210"/>
    <x v="0"/>
  </r>
  <r>
    <s v="22"/>
    <s v="016"/>
    <s v="12"/>
    <s v="365"/>
    <s v="0016"/>
    <x v="13"/>
    <x v="0"/>
    <x v="681"/>
    <x v="31"/>
    <e v="#N/A"/>
    <s v="12-EDUCAÇÃO"/>
    <s v="365-EDUCAÇÃO INFANTIL"/>
    <s v="0016-Escola para Todos​"/>
    <s v="2.017-Suporte ao Aluno "/>
    <s v="3.3.90.30.00-MATERIAL DE CONSUMO"/>
    <x v="18"/>
    <x v="0"/>
    <n v="2100"/>
    <x v="0"/>
  </r>
  <r>
    <s v="22"/>
    <s v="016"/>
    <s v="12"/>
    <s v="365"/>
    <s v="0016"/>
    <x v="16"/>
    <x v="8"/>
    <x v="682"/>
    <x v="31"/>
    <e v="#N/A"/>
    <s v="12-EDUCAÇÃO"/>
    <s v="365-EDUCAÇÃO INFANTIL"/>
    <s v="0016-Escola para Todos​"/>
    <s v="2.020-Transporte de Alunos "/>
    <s v="4.4.90.52.00-EQUIPAMENTOS E MATERIAL PERMANENTE"/>
    <x v="18"/>
    <x v="0"/>
    <n v="210"/>
    <x v="0"/>
  </r>
  <r>
    <s v="22"/>
    <s v="001"/>
    <s v="04"/>
    <s v="122"/>
    <s v="0001"/>
    <x v="5"/>
    <x v="12"/>
    <x v="1006"/>
    <x v="31"/>
    <s v="001-CHEFIA DE GABINETE"/>
    <s v="4-ADMINISTRAÇÃO"/>
    <s v="122-ADMINISTRAÇÃO GERAL"/>
    <s v="0001-Administração e Coordenação Geral​"/>
    <s v="1.002-Reforma e Ampliação de Unidades"/>
    <s v="4.4.90.51.00-OBRAS E INSTALAÇÕES"/>
    <x v="18"/>
    <x v="0"/>
    <n v="10764.6"/>
    <x v="0"/>
  </r>
  <r>
    <s v="22"/>
    <s v="001"/>
    <s v="04"/>
    <s v="122"/>
    <s v="0001"/>
    <x v="5"/>
    <x v="28"/>
    <x v="1007"/>
    <x v="31"/>
    <s v="001-CHEFIA DE GABINETE"/>
    <s v="4-ADMINISTRAÇÃO"/>
    <s v="122-ADMINISTRAÇÃO GERAL"/>
    <s v="0001-Administração e Coordenação Geral​"/>
    <s v="1.002-Reforma e Ampliação de Unidades"/>
    <e v="#N/A"/>
    <x v="18"/>
    <x v="0"/>
    <n v="0"/>
    <x v="0"/>
  </r>
  <r>
    <s v="22"/>
    <s v="001"/>
    <s v="04"/>
    <s v="122"/>
    <s v="0001"/>
    <x v="11"/>
    <x v="38"/>
    <x v="1008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400000"/>
    <x v="0"/>
  </r>
  <r>
    <s v="22"/>
    <s v="001"/>
    <s v="04"/>
    <s v="122"/>
    <s v="0001"/>
    <x v="11"/>
    <x v="39"/>
    <x v="1009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5000"/>
    <x v="0"/>
  </r>
  <r>
    <s v="22"/>
    <s v="001"/>
    <s v="04"/>
    <s v="122"/>
    <s v="0001"/>
    <x v="11"/>
    <x v="42"/>
    <x v="1010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50000"/>
    <x v="0"/>
  </r>
  <r>
    <s v="22"/>
    <s v="001"/>
    <s v="04"/>
    <s v="122"/>
    <s v="0001"/>
    <x v="11"/>
    <x v="44"/>
    <x v="1011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50000"/>
    <x v="0"/>
  </r>
  <r>
    <s v="22"/>
    <s v="001"/>
    <s v="04"/>
    <s v="122"/>
    <s v="0001"/>
    <x v="11"/>
    <x v="47"/>
    <x v="1012"/>
    <x v="31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25000"/>
    <x v="0"/>
  </r>
  <r>
    <s v="22"/>
    <s v="001"/>
    <s v="04"/>
    <s v="331"/>
    <s v="0001"/>
    <x v="11"/>
    <x v="48"/>
    <x v="1016"/>
    <x v="31"/>
    <s v="001-CHEFIA DE GABINETE"/>
    <s v="4-ADMINISTRAÇÃO"/>
    <e v="#N/A"/>
    <s v="0001-Administração e Coordenação Geral​"/>
    <s v="2.001-Remuneração, Benefícios e Encargos"/>
    <e v="#N/A"/>
    <x v="18"/>
    <x v="0"/>
    <n v="13650"/>
    <x v="0"/>
  </r>
  <r>
    <s v="22"/>
    <s v="002"/>
    <s v="12"/>
    <s v="361"/>
    <s v="0001"/>
    <x v="11"/>
    <x v="38"/>
    <x v="1018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2625000"/>
    <x v="0"/>
  </r>
  <r>
    <s v="22"/>
    <s v="002"/>
    <s v="12"/>
    <s v="361"/>
    <s v="0001"/>
    <x v="11"/>
    <x v="39"/>
    <x v="1019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168040"/>
    <x v="0"/>
  </r>
  <r>
    <s v="22"/>
    <s v="002"/>
    <s v="12"/>
    <s v="361"/>
    <s v="0001"/>
    <x v="11"/>
    <x v="40"/>
    <x v="1020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356457"/>
    <x v="0"/>
  </r>
  <r>
    <s v="22"/>
    <s v="002"/>
    <s v="12"/>
    <s v="361"/>
    <s v="0001"/>
    <x v="11"/>
    <x v="42"/>
    <x v="1021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400000"/>
    <x v="0"/>
  </r>
  <r>
    <s v="22"/>
    <s v="002"/>
    <s v="12"/>
    <s v="361"/>
    <s v="0001"/>
    <x v="11"/>
    <x v="44"/>
    <x v="1022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631478.4"/>
    <x v="0"/>
  </r>
  <r>
    <s v="22"/>
    <s v="002"/>
    <s v="12"/>
    <s v="361"/>
    <s v="0001"/>
    <x v="11"/>
    <x v="47"/>
    <x v="1023"/>
    <x v="31"/>
    <s v="002-RECURSOS SOB A SUPERVISÃO DA SECRETARIA DE ADMINISTRAÇÃO"/>
    <s v="12-EDUCAÇÃO"/>
    <s v="361-ENSINO FUNDAMENTAL"/>
    <s v="0001-Administração e Coordenação Geral​"/>
    <s v="2.001-Remuneração, Benefícios e Encargos"/>
    <e v="#N/A"/>
    <x v="18"/>
    <x v="0"/>
    <n v="635125.05000000005"/>
    <x v="0"/>
  </r>
  <r>
    <s v="22"/>
    <s v="004"/>
    <s v="12"/>
    <s v="362"/>
    <s v="0001"/>
    <x v="11"/>
    <x v="38"/>
    <x v="1026"/>
    <x v="31"/>
    <e v="#N/A"/>
    <s v="12-EDUCAÇÃO"/>
    <e v="#N/A"/>
    <s v="0001-Administração e Coordenação Geral​"/>
    <s v="2.001-Remuneração, Benefícios e Encargos"/>
    <e v="#N/A"/>
    <x v="18"/>
    <x v="0"/>
    <n v="1859180.4"/>
    <x v="0"/>
  </r>
  <r>
    <s v="22"/>
    <s v="004"/>
    <s v="12"/>
    <s v="362"/>
    <s v="0001"/>
    <x v="11"/>
    <x v="39"/>
    <x v="1027"/>
    <x v="31"/>
    <e v="#N/A"/>
    <s v="12-EDUCAÇÃO"/>
    <e v="#N/A"/>
    <s v="0001-Administração e Coordenação Geral​"/>
    <s v="2.001-Remuneração, Benefícios e Encargos"/>
    <e v="#N/A"/>
    <x v="18"/>
    <x v="0"/>
    <n v="229374.6"/>
    <x v="0"/>
  </r>
  <r>
    <s v="22"/>
    <s v="004"/>
    <s v="12"/>
    <s v="362"/>
    <s v="0001"/>
    <x v="11"/>
    <x v="40"/>
    <x v="1028"/>
    <x v="31"/>
    <e v="#N/A"/>
    <s v="12-EDUCAÇÃO"/>
    <e v="#N/A"/>
    <s v="0001-Administração e Coordenação Geral​"/>
    <s v="2.001-Remuneração, Benefícios e Encargos"/>
    <e v="#N/A"/>
    <x v="18"/>
    <x v="0"/>
    <n v="630000"/>
    <x v="0"/>
  </r>
  <r>
    <s v="22"/>
    <s v="004"/>
    <s v="12"/>
    <s v="362"/>
    <s v="0001"/>
    <x v="11"/>
    <x v="42"/>
    <x v="1029"/>
    <x v="31"/>
    <e v="#N/A"/>
    <s v="12-EDUCAÇÃO"/>
    <e v="#N/A"/>
    <s v="0001-Administração e Coordenação Geral​"/>
    <s v="2.001-Remuneração, Benefícios e Encargos"/>
    <e v="#N/A"/>
    <x v="18"/>
    <x v="0"/>
    <n v="472500"/>
    <x v="0"/>
  </r>
  <r>
    <s v="22"/>
    <s v="004"/>
    <s v="12"/>
    <s v="362"/>
    <s v="0001"/>
    <x v="11"/>
    <x v="44"/>
    <x v="1030"/>
    <x v="31"/>
    <e v="#N/A"/>
    <s v="12-EDUCAÇÃO"/>
    <e v="#N/A"/>
    <s v="0001-Administração e Coordenação Geral​"/>
    <s v="2.001-Remuneração, Benefícios e Encargos"/>
    <e v="#N/A"/>
    <x v="18"/>
    <x v="0"/>
    <n v="781830"/>
    <x v="0"/>
  </r>
  <r>
    <s v="22"/>
    <s v="004"/>
    <s v="12"/>
    <s v="362"/>
    <s v="0001"/>
    <x v="11"/>
    <x v="47"/>
    <x v="1031"/>
    <x v="31"/>
    <e v="#N/A"/>
    <s v="12-EDUCAÇÃO"/>
    <e v="#N/A"/>
    <s v="0001-Administração e Coordenação Geral​"/>
    <s v="2.001-Remuneração, Benefícios e Encargos"/>
    <e v="#N/A"/>
    <x v="18"/>
    <x v="0"/>
    <n v="786344"/>
    <x v="0"/>
  </r>
  <r>
    <s v="22"/>
    <s v="006"/>
    <s v="12"/>
    <s v="364"/>
    <s v="0001"/>
    <x v="11"/>
    <x v="40"/>
    <x v="1034"/>
    <x v="31"/>
    <s v="006-HOSPITAL E MATERNIDADE MUNICIPAL AMADOR AGUIAR"/>
    <s v="12-EDUCAÇÃO"/>
    <s v="364-ENSINO SUPERIOR"/>
    <s v="0001-Administração e Coordenação Geral​"/>
    <s v="2.001-Remuneração, Benefícios e Encargos"/>
    <e v="#N/A"/>
    <x v="18"/>
    <x v="0"/>
    <n v="36840.300000000003"/>
    <x v="0"/>
  </r>
  <r>
    <s v="22"/>
    <s v="007"/>
    <s v="13"/>
    <s v="392"/>
    <s v="0001"/>
    <x v="11"/>
    <x v="38"/>
    <x v="1036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89183.75"/>
    <x v="0"/>
  </r>
  <r>
    <s v="22"/>
    <s v="007"/>
    <s v="13"/>
    <s v="392"/>
    <s v="0001"/>
    <x v="11"/>
    <x v="39"/>
    <x v="1037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55809.599999999999"/>
    <x v="0"/>
  </r>
  <r>
    <s v="22"/>
    <s v="007"/>
    <s v="13"/>
    <s v="392"/>
    <s v="0001"/>
    <x v="11"/>
    <x v="47"/>
    <x v="1038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0106.25"/>
    <x v="0"/>
  </r>
  <r>
    <s v="22"/>
    <s v="007"/>
    <s v="13"/>
    <s v="392"/>
    <s v="0001"/>
    <x v="11"/>
    <x v="48"/>
    <x v="1039"/>
    <x v="31"/>
    <s v="007-DEPARTAMENTO DE PROTEÇÃO SOCIAL BÁSICA"/>
    <s v="13-CULTURA"/>
    <s v="392-DIFUSÃO CULTURAL"/>
    <s v="0001-Administração e Coordenação Geral​"/>
    <s v="2.001-Remuneração, Benefícios e Encargos"/>
    <e v="#N/A"/>
    <x v="18"/>
    <x v="0"/>
    <n v="157529.4"/>
    <x v="0"/>
  </r>
  <r>
    <s v="22"/>
    <s v="008"/>
    <s v="12"/>
    <s v="365"/>
    <s v="0001"/>
    <x v="11"/>
    <x v="38"/>
    <x v="1040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8137355"/>
    <x v="0"/>
  </r>
  <r>
    <s v="22"/>
    <s v="008"/>
    <s v="12"/>
    <s v="365"/>
    <s v="0001"/>
    <x v="11"/>
    <x v="39"/>
    <x v="1041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029104"/>
    <x v="0"/>
  </r>
  <r>
    <s v="22"/>
    <s v="008"/>
    <s v="12"/>
    <s v="365"/>
    <s v="0001"/>
    <x v="11"/>
    <x v="40"/>
    <x v="1042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9883585"/>
    <x v="0"/>
  </r>
  <r>
    <s v="22"/>
    <s v="008"/>
    <s v="12"/>
    <s v="365"/>
    <s v="0001"/>
    <x v="11"/>
    <x v="42"/>
    <x v="1043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465661"/>
    <x v="0"/>
  </r>
  <r>
    <s v="22"/>
    <s v="008"/>
    <s v="12"/>
    <s v="365"/>
    <s v="0001"/>
    <x v="11"/>
    <x v="44"/>
    <x v="1044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465661"/>
    <x v="0"/>
  </r>
  <r>
    <s v="22"/>
    <s v="008"/>
    <s v="12"/>
    <s v="365"/>
    <s v="0001"/>
    <x v="11"/>
    <x v="47"/>
    <x v="1045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499999999883585"/>
    <x v="0"/>
  </r>
  <r>
    <s v="22"/>
    <s v="008"/>
    <s v="12"/>
    <s v="365"/>
    <s v="0001"/>
    <x v="11"/>
    <x v="48"/>
    <x v="1046"/>
    <x v="31"/>
    <s v="008-DIRETORIA GERAL DE ATENÇÃO PRIMÁRIA EM SAÚDE"/>
    <s v="12-EDUCAÇÃO"/>
    <s v="365-EDUCAÇÃO INFANTIL"/>
    <s v="0001-Administração e Coordenação Geral​"/>
    <s v="2.001-Remuneração, Benefícios e Encargos"/>
    <e v="#N/A"/>
    <x v="18"/>
    <x v="0"/>
    <n v="1.0500000000029104"/>
    <x v="0"/>
  </r>
  <r>
    <s v="22"/>
    <s v="009"/>
    <s v="12"/>
    <s v="365"/>
    <s v="0001"/>
    <x v="11"/>
    <x v="42"/>
    <x v="1047"/>
    <x v="31"/>
    <s v="009-DIRETORIA GERAL DA ATENÇÃO SECUNDÁRIA EM SAÚDE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0"/>
    <s v="12"/>
    <s v="365"/>
    <s v="0001"/>
    <x v="11"/>
    <x v="42"/>
    <x v="1048"/>
    <x v="31"/>
    <s v="010-DIRETORIA GERAL DE URGÊNCIA E EMERGÊNCIA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1"/>
    <s v="12"/>
    <s v="365"/>
    <s v="0001"/>
    <x v="11"/>
    <x v="42"/>
    <x v="1049"/>
    <x v="31"/>
    <s v="011-FUNDO MUNICIPAL DE VALORIZAÇÃO DOS SERVIDORES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2"/>
    <s v="12"/>
    <s v="365"/>
    <s v="0001"/>
    <x v="11"/>
    <x v="42"/>
    <x v="1050"/>
    <x v="31"/>
    <s v="012-FUNDO ESPECIAL DE MANUTENÇÃO DOS BOMBEIROS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3"/>
    <s v="12"/>
    <s v="365"/>
    <s v="0001"/>
    <x v="11"/>
    <x v="42"/>
    <x v="1051"/>
    <x v="31"/>
    <e v="#N/A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4"/>
    <s v="12"/>
    <s v="365"/>
    <s v="0001"/>
    <x v="11"/>
    <x v="42"/>
    <x v="1052"/>
    <x v="31"/>
    <s v="014-FUNDO MUNICIPAL DE MANUTENÇÃO DE VELÓRIOS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5"/>
    <s v="12"/>
    <s v="365"/>
    <s v="0001"/>
    <x v="11"/>
    <x v="42"/>
    <x v="1053"/>
    <x v="31"/>
    <s v="015-DIRETORIA GERAL DA GESTÃO DE SAÚDE"/>
    <s v="12-EDUCAÇÃO"/>
    <s v="365-EDUCAÇÃO INFANTIL"/>
    <s v="0001-Administração e Coordenação Geral​"/>
    <s v="2.001-Remuneração, Benefícios e Encargos"/>
    <e v="#N/A"/>
    <x v="18"/>
    <x v="0"/>
    <n v="1.05"/>
    <x v="0"/>
  </r>
  <r>
    <s v="22"/>
    <s v="016"/>
    <s v="12"/>
    <s v="365"/>
    <s v="0001"/>
    <x v="11"/>
    <x v="38"/>
    <x v="1055"/>
    <x v="31"/>
    <e v="#N/A"/>
    <s v="12-EDUCAÇÃO"/>
    <s v="365-EDUCAÇÃO INFANTIL"/>
    <s v="0001-Administração e Coordenação Geral​"/>
    <s v="2.001-Remuneração, Benefícios e Encargos"/>
    <e v="#N/A"/>
    <x v="18"/>
    <x v="0"/>
    <n v="315000"/>
    <x v="0"/>
  </r>
  <r>
    <s v="22"/>
    <s v="016"/>
    <s v="12"/>
    <s v="365"/>
    <s v="0001"/>
    <x v="11"/>
    <x v="40"/>
    <x v="1056"/>
    <x v="31"/>
    <e v="#N/A"/>
    <s v="12-EDUCAÇÃO"/>
    <s v="365-EDUCAÇÃO INFANTIL"/>
    <s v="0001-Administração e Coordenação Geral​"/>
    <s v="2.001-Remuneração, Benefícios e Encargos"/>
    <e v="#N/A"/>
    <x v="18"/>
    <x v="0"/>
    <n v="191406.6"/>
    <x v="0"/>
  </r>
  <r>
    <s v="22"/>
    <s v="016"/>
    <s v="12"/>
    <s v="365"/>
    <s v="0001"/>
    <x v="11"/>
    <x v="44"/>
    <x v="1057"/>
    <x v="31"/>
    <e v="#N/A"/>
    <s v="12-EDUCAÇÃO"/>
    <s v="365-EDUCAÇÃO INFANTIL"/>
    <s v="0001-Administração e Coordenação Geral​"/>
    <s v="2.001-Remuneração, Benefícios e Encargos"/>
    <e v="#N/A"/>
    <x v="18"/>
    <x v="0"/>
    <n v="126000"/>
    <x v="0"/>
  </r>
  <r>
    <s v="22"/>
    <s v="016"/>
    <s v="12"/>
    <s v="365"/>
    <s v="0016"/>
    <x v="5"/>
    <x v="1"/>
    <x v="1058"/>
    <x v="31"/>
    <e v="#N/A"/>
    <s v="12-EDUCAÇÃO"/>
    <s v="365-EDUCAÇÃO INFANTIL"/>
    <s v="0016-Escola para Todos​"/>
    <s v="1.002-Reforma e Ampliação de Unidades"/>
    <s v="3.3.90.39.00-OUTROS SERVIÇOS DE TERCEIROS - PESSOA JURÍDICA"/>
    <x v="18"/>
    <x v="0"/>
    <n v="420"/>
    <x v="0"/>
  </r>
  <r>
    <s v="29"/>
    <s v="001"/>
    <s v="04"/>
    <s v="122"/>
    <s v="0001"/>
    <x v="3"/>
    <x v="7"/>
    <x v="707"/>
    <x v="32"/>
    <s v="001-CHEFIA DE GABINETE"/>
    <s v="4-ADMINISTRAÇÃO"/>
    <s v="122-ADMINISTRAÇÃO GERAL"/>
    <s v="0001-Administração e Coordenação Geral​"/>
    <s v="2.006-Representações Oficiais "/>
    <s v="3.3.90.33.00-PASSAGENS E DESPESAS COM LOCOMOÇÃO"/>
    <x v="18"/>
    <x v="0"/>
    <n v="1"/>
    <x v="0"/>
  </r>
  <r>
    <s v="29"/>
    <s v="001"/>
    <s v="04"/>
    <s v="122"/>
    <s v="0001"/>
    <x v="3"/>
    <x v="1"/>
    <x v="708"/>
    <x v="32"/>
    <s v="001-CHEFIA DE GABINETE"/>
    <s v="4-ADMINISTRAÇÃO"/>
    <s v="122-ADMINISTRAÇÃO GERAL"/>
    <s v="0001-Administração e Coordenação Geral​"/>
    <s v="2.006-Representações Oficiais "/>
    <s v="3.3.90.39.00-OUTROS SERVIÇOS DE TERCEIROS - PESSOA JURÍDICA"/>
    <x v="18"/>
    <x v="0"/>
    <n v="1"/>
    <x v="0"/>
  </r>
  <r>
    <s v="29"/>
    <s v="001"/>
    <s v="04"/>
    <s v="128"/>
    <s v="0002"/>
    <x v="2"/>
    <x v="10"/>
    <x v="709"/>
    <x v="32"/>
    <s v="001-CHEFIA DE GABINETE"/>
    <s v="4-ADMINISTRAÇÃO"/>
    <s v="128-FORMAÇÃO DE RECURSOS HUMANOS"/>
    <s v="0002-Governo Inteligente, Aberto e Inovador​"/>
    <s v="2.003-Qualificação de Servidores e Processos Institucionais"/>
    <s v="3.3.90.36.00-OUTROS SERVIÇOS DE TERCEIROS - PESSOA FÍSICA"/>
    <x v="18"/>
    <x v="0"/>
    <n v="1"/>
    <x v="0"/>
  </r>
  <r>
    <s v="29"/>
    <s v="001"/>
    <s v="04"/>
    <s v="128"/>
    <s v="0002"/>
    <x v="2"/>
    <x v="1"/>
    <x v="710"/>
    <x v="32"/>
    <s v="001-CHEFIA DE GABINETE"/>
    <s v="4-ADMINISTRAÇÃO"/>
    <s v="128-FORMAÇÃO DE RECURSOS HUMANOS"/>
    <s v="0002-Governo Inteligente, Aberto e Inovador​"/>
    <s v="2.003-Qualificação de Servidores e Processos Institucionais"/>
    <s v="3.3.90.39.00-OUTROS SERVIÇOS DE TERCEIROS - PESSOA JURÍDICA"/>
    <x v="18"/>
    <x v="0"/>
    <n v="1"/>
    <x v="0"/>
  </r>
  <r>
    <s v="29"/>
    <s v="001"/>
    <s v="04"/>
    <s v="131"/>
    <s v="0002"/>
    <x v="4"/>
    <x v="0"/>
    <x v="711"/>
    <x v="32"/>
    <s v="001-CHEFIA DE GABINETE"/>
    <s v="4-ADMINISTRAÇÃO"/>
    <s v="131-COMUNICAÇÃO SOCIAL"/>
    <s v="0002-Governo Inteligente, Aberto e Inovador​"/>
    <s v="2.005-Promoção de Eventos, Comunicação e Participação Social "/>
    <s v="3.3.90.30.00-MATERIAL DE CONSUMO"/>
    <x v="18"/>
    <x v="0"/>
    <n v="3117.3"/>
    <x v="0"/>
  </r>
  <r>
    <s v="29"/>
    <s v="001"/>
    <s v="04"/>
    <s v="131"/>
    <s v="0002"/>
    <x v="4"/>
    <x v="1"/>
    <x v="712"/>
    <x v="32"/>
    <s v="001-CHEFIA DE GABINETE"/>
    <s v="4-ADMINISTRAÇÃO"/>
    <s v="131-COMUNICAÇÃO SOCIAL"/>
    <s v="0002-Governo Inteligente, Aberto e Inovador​"/>
    <s v="2.005-Promoção de Eventos, Comunicação e Participação Social "/>
    <s v="3.3.90.39.00-OUTROS SERVIÇOS DE TERCEIROS - PESSOA JURÍDICA"/>
    <x v="18"/>
    <x v="0"/>
    <n v="7274.7"/>
    <x v="0"/>
  </r>
  <r>
    <s v="29"/>
    <s v="001"/>
    <s v="14"/>
    <s v="243"/>
    <s v="0018"/>
    <x v="0"/>
    <x v="0"/>
    <x v="713"/>
    <x v="32"/>
    <s v="001-CHEFIA DE GABINETE"/>
    <s v="14-DIREITOS DA CIDADANIA"/>
    <e v="#N/A"/>
    <s v="0018-Proteção Social e Garantia de Direitos​"/>
    <s v="2.011-Manutenção de Equipamentos Públicos "/>
    <s v="3.3.90.30.00-MATERIAL DE CONSUMO"/>
    <x v="18"/>
    <x v="0"/>
    <n v="67541.5"/>
    <x v="0"/>
  </r>
  <r>
    <s v="29"/>
    <s v="001"/>
    <s v="14"/>
    <s v="243"/>
    <s v="0018"/>
    <x v="0"/>
    <x v="1"/>
    <x v="714"/>
    <x v="32"/>
    <s v="001-CHEFIA DE GABINETE"/>
    <s v="14-DIREITOS DA CIDADANIA"/>
    <e v="#N/A"/>
    <s v="0018-Proteção Social e Garantia de Direitos​"/>
    <s v="2.011-Manutenção de Equipamentos Públicos "/>
    <s v="3.3.90.39.00-OUTROS SERVIÇOS DE TERCEIROS - PESSOA JURÍDICA"/>
    <x v="18"/>
    <x v="0"/>
    <n v="36173"/>
    <x v="0"/>
  </r>
  <r>
    <s v="29"/>
    <s v="001"/>
    <s v="14"/>
    <s v="243"/>
    <s v="0018"/>
    <x v="0"/>
    <x v="8"/>
    <x v="715"/>
    <x v="32"/>
    <s v="001-CHEFIA DE GABINETE"/>
    <s v="14-DIREITOS DA CIDADANIA"/>
    <e v="#N/A"/>
    <s v="0018-Proteção Social e Garantia de Direitos​"/>
    <s v="2.011-Manutenção de Equipamentos Públicos "/>
    <s v="4.4.90.52.00-EQUIPAMENTOS E MATERIAL PERMANENTE"/>
    <x v="18"/>
    <x v="0"/>
    <n v="44517.122199999998"/>
    <x v="0"/>
  </r>
  <r>
    <s v="29"/>
    <s v="001"/>
    <s v="14"/>
    <s v="243"/>
    <s v="0018"/>
    <x v="41"/>
    <x v="11"/>
    <x v="716"/>
    <x v="32"/>
    <s v="001-CHEFIA DE GABINETE"/>
    <s v="14-DIREITOS DA CIDADANIA"/>
    <e v="#N/A"/>
    <s v="0018-Proteção Social e Garantia de Direitos​"/>
    <s v="2.041-Ação Transversal de Garantia de Direitos"/>
    <s v="3.3.50.39.00-OUTROS SERVIÇOS DE TERCEIROS - PESSOA JURÍDICA"/>
    <x v="18"/>
    <x v="0"/>
    <n v="0"/>
    <x v="0"/>
  </r>
  <r>
    <s v="29"/>
    <s v="002"/>
    <s v="14"/>
    <s v="243"/>
    <s v="0018"/>
    <x v="41"/>
    <x v="11"/>
    <x v="717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3.3.50.39.00-OUTROS SERVIÇOS DE TERCEIROS - PESSOA JURÍDICA"/>
    <x v="18"/>
    <x v="0"/>
    <n v="13451278.24"/>
    <x v="0"/>
  </r>
  <r>
    <s v="29"/>
    <s v="002"/>
    <s v="14"/>
    <s v="243"/>
    <s v="0018"/>
    <x v="41"/>
    <x v="17"/>
    <x v="718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4.4.50.39.00-OUTROS SERVIÇOS DE TERCEIROS - PESSOA JURÍDICA"/>
    <x v="18"/>
    <x v="0"/>
    <n v="1"/>
    <x v="0"/>
  </r>
  <r>
    <s v="29"/>
    <s v="002"/>
    <s v="14"/>
    <s v="243"/>
    <s v="0018"/>
    <x v="41"/>
    <x v="4"/>
    <x v="719"/>
    <x v="32"/>
    <s v="002-RECURSOS SOB A SUPERVISÃO DA SECRETARIA DE ADMINISTRAÇÃO"/>
    <s v="14-DIREITOS DA CIDADANIA"/>
    <e v="#N/A"/>
    <s v="0018-Proteção Social e Garantia de Direitos​"/>
    <s v="2.041-Ação Transversal de Garantia de Direitos"/>
    <s v="4.4.50.52.00-EQUIPAMENTOS E MATERIAL PERMANENTE"/>
    <x v="18"/>
    <x v="0"/>
    <n v="1"/>
    <x v="0"/>
  </r>
  <r>
    <s v="29"/>
    <s v="001"/>
    <s v="04"/>
    <s v="122"/>
    <s v="0001"/>
    <x v="11"/>
    <x v="38"/>
    <x v="1087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5916025.21"/>
    <x v="0"/>
  </r>
  <r>
    <s v="29"/>
    <s v="001"/>
    <s v="04"/>
    <s v="122"/>
    <s v="0001"/>
    <x v="11"/>
    <x v="39"/>
    <x v="1088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1115527.1000000001"/>
    <x v="0"/>
  </r>
  <r>
    <s v="29"/>
    <s v="001"/>
    <s v="04"/>
    <s v="122"/>
    <s v="0001"/>
    <x v="11"/>
    <x v="44"/>
    <x v="1089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230249.16"/>
    <x v="0"/>
  </r>
  <r>
    <s v="29"/>
    <s v="001"/>
    <s v="04"/>
    <s v="122"/>
    <s v="0001"/>
    <x v="11"/>
    <x v="47"/>
    <x v="1090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3.33"/>
    <x v="0"/>
  </r>
  <r>
    <s v="29"/>
    <s v="001"/>
    <s v="04"/>
    <s v="122"/>
    <s v="0001"/>
    <x v="11"/>
    <x v="48"/>
    <x v="1091"/>
    <x v="32"/>
    <s v="001-CHEFIA DE GABINETE"/>
    <s v="4-ADMINISTRAÇÃO"/>
    <s v="122-ADMINISTRAÇÃO GERAL"/>
    <s v="0001-Administração e Coordenação Geral​"/>
    <s v="2.001-Remuneração, Benefícios e Encargos"/>
    <e v="#N/A"/>
    <x v="18"/>
    <x v="0"/>
    <n v="49690.21"/>
    <x v="0"/>
  </r>
  <r>
    <s v="29"/>
    <s v="001"/>
    <s v="14"/>
    <s v="243"/>
    <s v="0001"/>
    <x v="5"/>
    <x v="1"/>
    <x v="1092"/>
    <x v="32"/>
    <s v="001-CHEFIA DE GABINETE"/>
    <s v="14-DIREITOS DA CIDADANIA"/>
    <e v="#N/A"/>
    <s v="0001-Administração e Coordenação Geral​"/>
    <s v="1.002-Reforma e Ampliação de Unidades"/>
    <s v="3.3.90.39.00-OUTROS SERVIÇOS DE TERCEIROS - PESSOA JURÍDICA"/>
    <x v="18"/>
    <x v="0"/>
    <n v="1"/>
    <x v="0"/>
  </r>
  <r>
    <s v="29"/>
    <s v="001"/>
    <s v="14"/>
    <s v="243"/>
    <s v="0018"/>
    <x v="10"/>
    <x v="8"/>
    <x v="1093"/>
    <x v="32"/>
    <s v="001-CHEFIA DE GABINETE"/>
    <s v="14-DIREITOS DA CIDADANIA"/>
    <e v="#N/A"/>
    <s v="0018-Proteção Social e Garantia de Direitos​"/>
    <s v="1.003-Implantação de Novas Unidades"/>
    <s v="4.4.90.52.00-EQUIPAMENTOS E MATERIAL PERMANENTE"/>
    <x v="18"/>
    <x v="0"/>
    <n v="1"/>
    <x v="0"/>
  </r>
  <r>
    <s v="21"/>
    <s v="001"/>
    <s v="09"/>
    <s v="272"/>
    <s v="0001"/>
    <x v="0"/>
    <x v="25"/>
    <x v="632"/>
    <x v="30"/>
    <s v="001-CHEFIA DE GABINETE"/>
    <e v="#N/A"/>
    <e v="#N/A"/>
    <s v="0001-Administração e Coordenação Geral​"/>
    <s v="2.011-Manutenção de Equipamentos Públicos "/>
    <e v="#N/A"/>
    <x v="18"/>
    <x v="0"/>
    <n v="70000"/>
    <x v="0"/>
  </r>
  <r>
    <s v="21"/>
    <s v="001"/>
    <s v="09"/>
    <s v="272"/>
    <s v="0001"/>
    <x v="0"/>
    <x v="0"/>
    <x v="633"/>
    <x v="30"/>
    <s v="001-CHEFIA DE GABINETE"/>
    <e v="#N/A"/>
    <e v="#N/A"/>
    <s v="0001-Administração e Coordenação Geral​"/>
    <s v="2.011-Manutenção de Equipamentos Públicos "/>
    <s v="3.3.90.30.00-MATERIAL DE CONSUMO"/>
    <x v="18"/>
    <x v="0"/>
    <n v="300000"/>
    <x v="0"/>
  </r>
  <r>
    <s v="21"/>
    <s v="001"/>
    <s v="09"/>
    <s v="272"/>
    <s v="0001"/>
    <x v="0"/>
    <x v="7"/>
    <x v="634"/>
    <x v="30"/>
    <s v="001-CHEFIA DE GABINETE"/>
    <e v="#N/A"/>
    <e v="#N/A"/>
    <s v="0001-Administração e Coordenação Geral​"/>
    <s v="2.011-Manutenção de Equipamentos Públicos "/>
    <s v="3.3.90.33.00-PASSAGENS E DESPESAS COM LOCOMOÇÃO"/>
    <x v="18"/>
    <x v="0"/>
    <n v="20000"/>
    <x v="0"/>
  </r>
  <r>
    <s v="21"/>
    <s v="001"/>
    <s v="09"/>
    <s v="272"/>
    <s v="0001"/>
    <x v="0"/>
    <x v="24"/>
    <x v="635"/>
    <x v="30"/>
    <s v="001-CHEFIA DE GABINETE"/>
    <e v="#N/A"/>
    <e v="#N/A"/>
    <s v="0001-Administração e Coordenação Geral​"/>
    <s v="2.011-Manutenção de Equipamentos Públicos "/>
    <s v="3.3.90.35.00-SERVIÇOS DE CONSULTORIA"/>
    <x v="18"/>
    <x v="0"/>
    <n v="890000"/>
    <x v="0"/>
  </r>
  <r>
    <s v="21"/>
    <s v="001"/>
    <s v="09"/>
    <s v="272"/>
    <s v="0001"/>
    <x v="0"/>
    <x v="10"/>
    <x v="636"/>
    <x v="30"/>
    <s v="001-CHEFIA DE GABINETE"/>
    <e v="#N/A"/>
    <e v="#N/A"/>
    <s v="0001-Administração e Coordenação Geral​"/>
    <s v="2.011-Manutenção de Equipamentos Públicos "/>
    <s v="3.3.90.36.00-OUTROS SERVIÇOS DE TERCEIROS - PESSOA FÍSICA"/>
    <x v="18"/>
    <x v="0"/>
    <n v="100000"/>
    <x v="0"/>
  </r>
  <r>
    <s v="21"/>
    <s v="001"/>
    <s v="09"/>
    <s v="272"/>
    <s v="0001"/>
    <x v="0"/>
    <x v="1"/>
    <x v="637"/>
    <x v="30"/>
    <s v="001-CHEFIA DE GABINETE"/>
    <e v="#N/A"/>
    <e v="#N/A"/>
    <s v="0001-Administração e Coordenação Geral​"/>
    <s v="2.011-Manutenção de Equipamentos Públicos "/>
    <s v="3.3.90.39.00-OUTROS SERVIÇOS DE TERCEIROS - PESSOA JURÍDICA"/>
    <x v="18"/>
    <x v="0"/>
    <n v="7560000"/>
    <x v="0"/>
  </r>
  <r>
    <s v="21"/>
    <s v="001"/>
    <s v="09"/>
    <s v="272"/>
    <s v="0001"/>
    <x v="0"/>
    <x v="5"/>
    <x v="638"/>
    <x v="30"/>
    <s v="001-CHEFIA DE GABINETE"/>
    <e v="#N/A"/>
    <e v="#N/A"/>
    <s v="0001-Administração e Coordenação Geral​"/>
    <s v="2.011-Manutenção de Equipamentos Públicos "/>
    <s v="3.3.90.40.00-SERVIÇOS DE TECNOLOGIA DA INFORMAÇÃO E COMUNICAÇÃO - PESSOA JURÍDICA"/>
    <x v="18"/>
    <x v="0"/>
    <n v="6000000"/>
    <x v="0"/>
  </r>
  <r>
    <s v="21"/>
    <s v="001"/>
    <s v="09"/>
    <s v="272"/>
    <s v="0001"/>
    <x v="0"/>
    <x v="9"/>
    <x v="639"/>
    <x v="30"/>
    <s v="001-CHEFIA DE GABINETE"/>
    <e v="#N/A"/>
    <e v="#N/A"/>
    <s v="0001-Administração e Coordenação Geral​"/>
    <s v="2.011-Manutenção de Equipamentos Públicos "/>
    <s v="3.3.90.92.00-DESPESAS DE EXERCÍCIOS ANTERIORES"/>
    <x v="18"/>
    <x v="0"/>
    <n v="1000"/>
    <x v="0"/>
  </r>
  <r>
    <s v="21"/>
    <s v="001"/>
    <s v="09"/>
    <s v="272"/>
    <s v="0001"/>
    <x v="0"/>
    <x v="8"/>
    <x v="640"/>
    <x v="30"/>
    <s v="001-CHEFIA DE GABINETE"/>
    <e v="#N/A"/>
    <e v="#N/A"/>
    <s v="0001-Administração e Coordenação Geral​"/>
    <s v="2.011-Manutenção de Equipamentos Públicos "/>
    <s v="4.4.90.52.00-EQUIPAMENTOS E MATERIAL PERMANENTE"/>
    <x v="18"/>
    <x v="0"/>
    <n v="500000"/>
    <x v="0"/>
  </r>
  <r>
    <s v="21"/>
    <s v="001"/>
    <s v="09"/>
    <s v="272"/>
    <s v="0002"/>
    <x v="2"/>
    <x v="25"/>
    <x v="641"/>
    <x v="30"/>
    <s v="001-CHEFIA DE GABINETE"/>
    <e v="#N/A"/>
    <e v="#N/A"/>
    <s v="0002-Governo Inteligente, Aberto e Inovador​"/>
    <s v="2.003-Qualificação de Servidores e Processos Institucionais"/>
    <e v="#N/A"/>
    <x v="18"/>
    <x v="0"/>
    <n v="20000"/>
    <x v="0"/>
  </r>
  <r>
    <s v="21"/>
    <s v="001"/>
    <s v="09"/>
    <s v="272"/>
    <s v="0002"/>
    <x v="2"/>
    <x v="1"/>
    <x v="642"/>
    <x v="30"/>
    <s v="001-CHEFIA DE GABINETE"/>
    <e v="#N/A"/>
    <e v="#N/A"/>
    <s v="0002-Governo Inteligente, Aberto e Inovador​"/>
    <s v="2.003-Qualificação de Servidores e Processos Institucionais"/>
    <s v="3.3.90.39.00-OUTROS SERVIÇOS DE TERCEIROS - PESSOA JURÍDICA"/>
    <x v="18"/>
    <x v="0"/>
    <n v="300000"/>
    <x v="0"/>
  </r>
  <r>
    <s v="21"/>
    <s v="001"/>
    <s v="09"/>
    <s v="272"/>
    <s v="0002"/>
    <x v="2"/>
    <x v="6"/>
    <x v="643"/>
    <x v="30"/>
    <s v="001-CHEFIA DE GABINETE"/>
    <e v="#N/A"/>
    <e v="#N/A"/>
    <s v="0002-Governo Inteligente, Aberto e Inovador​"/>
    <s v="2.003-Qualificação de Servidores e Processos Institucionais"/>
    <s v="3.3.90.93.00-INDENIZAÇÕES E RESTITUIÇÕES"/>
    <x v="18"/>
    <x v="0"/>
    <n v="15000"/>
    <x v="0"/>
  </r>
  <r>
    <s v="21"/>
    <s v="003"/>
    <s v="09"/>
    <s v="272"/>
    <s v="0020"/>
    <x v="52"/>
    <x v="33"/>
    <x v="644"/>
    <x v="30"/>
    <s v="003-FUNDO MUNICIPAL DE MEIO AMBIENTE"/>
    <e v="#N/A"/>
    <e v="#N/A"/>
    <e v="#N/A"/>
    <e v="#N/A"/>
    <e v="#N/A"/>
    <x v="18"/>
    <x v="0"/>
    <n v="270000000"/>
    <x v="0"/>
  </r>
  <r>
    <s v="21"/>
    <s v="003"/>
    <s v="09"/>
    <s v="272"/>
    <s v="0020"/>
    <x v="52"/>
    <x v="34"/>
    <x v="645"/>
    <x v="30"/>
    <s v="003-FUNDO MUNICIPAL DE MEIO AMBIENTE"/>
    <e v="#N/A"/>
    <e v="#N/A"/>
    <e v="#N/A"/>
    <e v="#N/A"/>
    <e v="#N/A"/>
    <x v="18"/>
    <x v="0"/>
    <n v="7500000"/>
    <x v="0"/>
  </r>
  <r>
    <s v="21"/>
    <s v="003"/>
    <s v="09"/>
    <s v="272"/>
    <s v="0020"/>
    <x v="52"/>
    <x v="35"/>
    <x v="646"/>
    <x v="30"/>
    <s v="003-FUNDO MUNICIPAL DE MEIO AMBIENTE"/>
    <e v="#N/A"/>
    <e v="#N/A"/>
    <e v="#N/A"/>
    <e v="#N/A"/>
    <e v="#N/A"/>
    <x v="18"/>
    <x v="0"/>
    <n v="1000000"/>
    <x v="0"/>
  </r>
  <r>
    <s v="21"/>
    <s v="003"/>
    <s v="09"/>
    <s v="272"/>
    <s v="0020"/>
    <x v="52"/>
    <x v="6"/>
    <x v="647"/>
    <x v="30"/>
    <s v="003-FUNDO MUNICIPAL DE MEIO AMBIENTE"/>
    <e v="#N/A"/>
    <e v="#N/A"/>
    <e v="#N/A"/>
    <e v="#N/A"/>
    <s v="3.3.90.93.00-INDENIZAÇÕES E RESTITUIÇÕES"/>
    <x v="18"/>
    <x v="0"/>
    <n v="1000000"/>
    <x v="0"/>
  </r>
  <r>
    <s v="21"/>
    <s v="005"/>
    <s v="09"/>
    <s v="272"/>
    <s v="0020"/>
    <x v="52"/>
    <x v="33"/>
    <x v="648"/>
    <x v="30"/>
    <s v="005-FUNDO MUNICIPAL DE ASSISTÊNCIA SOCIAL"/>
    <e v="#N/A"/>
    <e v="#N/A"/>
    <e v="#N/A"/>
    <e v="#N/A"/>
    <e v="#N/A"/>
    <x v="18"/>
    <x v="0"/>
    <n v="150000000"/>
    <x v="0"/>
  </r>
  <r>
    <s v="21"/>
    <s v="005"/>
    <s v="09"/>
    <s v="272"/>
    <s v="0020"/>
    <x v="52"/>
    <x v="34"/>
    <x v="649"/>
    <x v="30"/>
    <s v="005-FUNDO MUNICIPAL DE ASSISTÊNCIA SOCIAL"/>
    <e v="#N/A"/>
    <e v="#N/A"/>
    <e v="#N/A"/>
    <e v="#N/A"/>
    <e v="#N/A"/>
    <x v="18"/>
    <x v="0"/>
    <n v="70000000"/>
    <x v="0"/>
  </r>
  <r>
    <s v="21"/>
    <s v="005"/>
    <s v="09"/>
    <s v="272"/>
    <s v="0020"/>
    <x v="52"/>
    <x v="35"/>
    <x v="650"/>
    <x v="30"/>
    <s v="005-FUNDO MUNICIPAL DE ASSISTÊNCIA SOCIAL"/>
    <e v="#N/A"/>
    <e v="#N/A"/>
    <e v="#N/A"/>
    <e v="#N/A"/>
    <e v="#N/A"/>
    <x v="18"/>
    <x v="0"/>
    <n v="1000000"/>
    <x v="0"/>
  </r>
  <r>
    <s v="21"/>
    <s v="005"/>
    <s v="09"/>
    <s v="272"/>
    <s v="0020"/>
    <x v="52"/>
    <x v="6"/>
    <x v="651"/>
    <x v="30"/>
    <s v="005-FUNDO MUNICIPAL DE ASSISTÊNCIA SOCIAL"/>
    <e v="#N/A"/>
    <e v="#N/A"/>
    <e v="#N/A"/>
    <e v="#N/A"/>
    <s v="3.3.90.93.00-INDENIZAÇÕES E RESTITUIÇÕES"/>
    <x v="18"/>
    <x v="0"/>
    <n v="1000000"/>
    <x v="0"/>
  </r>
  <r>
    <s v="21"/>
    <s v="006"/>
    <s v="04"/>
    <s v="241"/>
    <s v="0018"/>
    <x v="53"/>
    <x v="15"/>
    <x v="652"/>
    <x v="30"/>
    <s v="006-HOSPITAL E MATERNIDADE MUNICIPAL AMADOR AGUIAR"/>
    <s v="4-ADMINISTRAÇÃO"/>
    <s v="241-ASSISTÊNCIA AO IDOSO ASSISTÊNCIA À PESSOA IDOSA"/>
    <s v="0018-Proteção Social e Garantia de Direitos​"/>
    <e v="#N/A"/>
    <s v="3.3.90.48.00 - OUTROS AUXILIOS FINANCEIROS A PESSOAS FISICAS"/>
    <x v="18"/>
    <x v="0"/>
    <n v="45000000"/>
    <x v="0"/>
  </r>
  <r>
    <s v="21"/>
    <s v="001"/>
    <s v="09"/>
    <s v="272"/>
    <s v="0001"/>
    <x v="5"/>
    <x v="1"/>
    <x v="988"/>
    <x v="30"/>
    <s v="001-CHEFIA DE GABINETE"/>
    <e v="#N/A"/>
    <e v="#N/A"/>
    <s v="0001-Administração e Coordenação Geral​"/>
    <s v="1.002-Reforma e Ampliação de Unidades"/>
    <s v="3.3.90.39.00-OUTROS SERVIÇOS DE TERCEIROS - PESSOA JURÍDICA"/>
    <x v="18"/>
    <x v="0"/>
    <n v="1000"/>
    <x v="0"/>
  </r>
  <r>
    <s v="21"/>
    <s v="001"/>
    <s v="09"/>
    <s v="272"/>
    <s v="0001"/>
    <x v="5"/>
    <x v="12"/>
    <x v="989"/>
    <x v="30"/>
    <s v="001-CHEFIA DE GABINETE"/>
    <e v="#N/A"/>
    <e v="#N/A"/>
    <s v="0001-Administração e Coordenação Geral​"/>
    <s v="1.002-Reforma e Ampliação de Unidades"/>
    <s v="4.4.90.51.00-OBRAS E INSTALAÇÕES"/>
    <x v="18"/>
    <x v="0"/>
    <n v="500000"/>
    <x v="0"/>
  </r>
  <r>
    <s v="21"/>
    <s v="001"/>
    <s v="09"/>
    <s v="272"/>
    <s v="0001"/>
    <x v="5"/>
    <x v="8"/>
    <x v="990"/>
    <x v="30"/>
    <s v="001-CHEFIA DE GABINETE"/>
    <e v="#N/A"/>
    <e v="#N/A"/>
    <s v="0001-Administração e Coordenação Geral​"/>
    <s v="1.002-Reforma e Ampliação de Unidades"/>
    <s v="4.4.90.52.00-EQUIPAMENTOS E MATERIAL PERMANENTE"/>
    <x v="18"/>
    <x v="0"/>
    <n v="100000"/>
    <x v="0"/>
  </r>
  <r>
    <s v="21"/>
    <s v="001"/>
    <s v="09"/>
    <s v="272"/>
    <s v="0001"/>
    <x v="5"/>
    <x v="60"/>
    <x v="991"/>
    <x v="30"/>
    <s v="001-CHEFIA DE GABINETE"/>
    <e v="#N/A"/>
    <e v="#N/A"/>
    <s v="0001-Administração e Coordenação Geral​"/>
    <s v="1.002-Reforma e Ampliação de Unidades"/>
    <e v="#N/A"/>
    <x v="18"/>
    <x v="0"/>
    <n v="1000"/>
    <x v="0"/>
  </r>
  <r>
    <s v="21"/>
    <s v="001"/>
    <s v="09"/>
    <s v="272"/>
    <s v="0001"/>
    <x v="11"/>
    <x v="38"/>
    <x v="992"/>
    <x v="30"/>
    <s v="001-CHEFIA DE GABINETE"/>
    <e v="#N/A"/>
    <e v="#N/A"/>
    <s v="0001-Administração e Coordenação Geral​"/>
    <s v="2.001-Remuneração, Benefícios e Encargos"/>
    <e v="#N/A"/>
    <x v="18"/>
    <x v="0"/>
    <n v="15885000"/>
    <x v="0"/>
  </r>
  <r>
    <s v="21"/>
    <s v="001"/>
    <s v="09"/>
    <s v="272"/>
    <s v="0001"/>
    <x v="11"/>
    <x v="39"/>
    <x v="993"/>
    <x v="30"/>
    <s v="001-CHEFIA DE GABINETE"/>
    <e v="#N/A"/>
    <e v="#N/A"/>
    <s v="0001-Administração e Coordenação Geral​"/>
    <s v="2.001-Remuneração, Benefícios e Encargos"/>
    <e v="#N/A"/>
    <x v="18"/>
    <x v="0"/>
    <n v="1715000"/>
    <x v="0"/>
  </r>
  <r>
    <s v="21"/>
    <s v="001"/>
    <s v="09"/>
    <s v="272"/>
    <s v="0001"/>
    <x v="11"/>
    <x v="40"/>
    <x v="994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0"/>
  </r>
  <r>
    <s v="21"/>
    <s v="001"/>
    <s v="09"/>
    <s v="272"/>
    <s v="0001"/>
    <x v="11"/>
    <x v="41"/>
    <x v="995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0"/>
  </r>
  <r>
    <s v="21"/>
    <s v="001"/>
    <s v="09"/>
    <s v="272"/>
    <s v="0001"/>
    <x v="11"/>
    <x v="42"/>
    <x v="996"/>
    <x v="30"/>
    <s v="001-CHEFIA DE GABINETE"/>
    <e v="#N/A"/>
    <e v="#N/A"/>
    <s v="0001-Administração e Coordenação Geral​"/>
    <s v="2.001-Remuneração, Benefícios e Encargos"/>
    <e v="#N/A"/>
    <x v="18"/>
    <x v="0"/>
    <n v="200000"/>
    <x v="0"/>
  </r>
  <r>
    <s v="21"/>
    <s v="001"/>
    <s v="09"/>
    <s v="272"/>
    <s v="0001"/>
    <x v="11"/>
    <x v="44"/>
    <x v="997"/>
    <x v="30"/>
    <s v="001-CHEFIA DE GABINETE"/>
    <e v="#N/A"/>
    <e v="#N/A"/>
    <s v="0001-Administração e Coordenação Geral​"/>
    <s v="2.001-Remuneração, Benefícios e Encargos"/>
    <e v="#N/A"/>
    <x v="18"/>
    <x v="0"/>
    <n v="1733000"/>
    <x v="0"/>
  </r>
  <r>
    <s v="21"/>
    <s v="001"/>
    <s v="09"/>
    <s v="272"/>
    <s v="0001"/>
    <x v="11"/>
    <x v="1"/>
    <x v="998"/>
    <x v="30"/>
    <s v="001-CHEFIA DE GABINETE"/>
    <e v="#N/A"/>
    <e v="#N/A"/>
    <s v="0001-Administração e Coordenação Geral​"/>
    <s v="2.001-Remuneração, Benefícios e Encargos"/>
    <s v="3.3.90.39.00-OUTROS SERVIÇOS DE TERCEIROS - PESSOA JURÍDICA"/>
    <x v="18"/>
    <x v="0"/>
    <n v="1718000"/>
    <x v="0"/>
  </r>
  <r>
    <s v="21"/>
    <s v="001"/>
    <s v="09"/>
    <s v="272"/>
    <s v="0001"/>
    <x v="11"/>
    <x v="47"/>
    <x v="999"/>
    <x v="30"/>
    <s v="001-CHEFIA DE GABINETE"/>
    <e v="#N/A"/>
    <e v="#N/A"/>
    <s v="0001-Administração e Coordenação Geral​"/>
    <s v="2.001-Remuneração, Benefícios e Encargos"/>
    <e v="#N/A"/>
    <x v="18"/>
    <x v="0"/>
    <n v="1000"/>
    <x v="0"/>
  </r>
  <r>
    <s v="21"/>
    <s v="001"/>
    <s v="09"/>
    <s v="272"/>
    <s v="0001"/>
    <x v="11"/>
    <x v="48"/>
    <x v="1000"/>
    <x v="30"/>
    <s v="001-CHEFIA DE GABINETE"/>
    <e v="#N/A"/>
    <e v="#N/A"/>
    <s v="0001-Administração e Coordenação Geral​"/>
    <s v="2.001-Remuneração, Benefícios e Encargos"/>
    <e v="#N/A"/>
    <x v="18"/>
    <x v="0"/>
    <n v="100000"/>
    <x v="0"/>
  </r>
  <r>
    <s v="21"/>
    <s v="001"/>
    <s v="09"/>
    <s v="272"/>
    <s v="0004"/>
    <x v="23"/>
    <x v="24"/>
    <x v="1001"/>
    <x v="30"/>
    <s v="001-CHEFIA DE GABINETE"/>
    <e v="#N/A"/>
    <e v="#N/A"/>
    <s v="0004-Planejamento e Gestão de Políticas Públicas "/>
    <s v="1.001-Estudos, Pesquisas, Planos e Projetos "/>
    <s v="3.3.90.35.00-SERVIÇOS DE CONSULTORIA"/>
    <x v="18"/>
    <x v="0"/>
    <n v="1000"/>
    <x v="0"/>
  </r>
  <r>
    <s v="21"/>
    <s v="001"/>
    <s v="09"/>
    <s v="272"/>
    <s v="0004"/>
    <x v="23"/>
    <x v="1"/>
    <x v="1002"/>
    <x v="30"/>
    <s v="001-CHEFIA DE GABINETE"/>
    <e v="#N/A"/>
    <e v="#N/A"/>
    <s v="0004-Planejamento e Gestão de Políticas Públicas "/>
    <s v="1.001-Estudos, Pesquisas, Planos e Projetos "/>
    <s v="3.3.90.39.00-OUTROS SERVIÇOS DE TERCEIROS - PESSOA JURÍDICA"/>
    <x v="18"/>
    <x v="0"/>
    <n v="4500000"/>
    <x v="0"/>
  </r>
  <r>
    <s v="02"/>
    <s v="001"/>
    <s v="04"/>
    <s v="122"/>
    <s v="0001"/>
    <x v="11"/>
    <x v="38"/>
    <x v="793"/>
    <x v="0"/>
    <m/>
    <m/>
    <m/>
    <m/>
    <m/>
    <m/>
    <x v="100"/>
    <x v="0"/>
    <n v="6320105.0899999999"/>
    <x v="0"/>
  </r>
  <r>
    <s v="02"/>
    <s v="001"/>
    <s v="04"/>
    <s v="122"/>
    <s v="0001"/>
    <x v="11"/>
    <x v="39"/>
    <x v="794"/>
    <x v="0"/>
    <m/>
    <m/>
    <m/>
    <m/>
    <m/>
    <m/>
    <x v="100"/>
    <x v="0"/>
    <n v="1052456.73"/>
    <x v="0"/>
  </r>
  <r>
    <s v="02"/>
    <s v="001"/>
    <s v="04"/>
    <s v="122"/>
    <s v="0001"/>
    <x v="11"/>
    <x v="44"/>
    <x v="795"/>
    <x v="0"/>
    <m/>
    <m/>
    <m/>
    <m/>
    <m/>
    <m/>
    <x v="100"/>
    <x v="0"/>
    <n v="329304.93"/>
    <x v="0"/>
  </r>
  <r>
    <s v="02"/>
    <s v="001"/>
    <s v="04"/>
    <s v="122"/>
    <s v="0001"/>
    <x v="11"/>
    <x v="48"/>
    <x v="797"/>
    <x v="0"/>
    <m/>
    <m/>
    <m/>
    <m/>
    <m/>
    <m/>
    <x v="100"/>
    <x v="0"/>
    <n v="64436.03"/>
    <x v="0"/>
  </r>
  <r>
    <s v="04"/>
    <s v="001"/>
    <s v="04"/>
    <s v="122"/>
    <s v="0001"/>
    <x v="11"/>
    <x v="38"/>
    <x v="799"/>
    <x v="1"/>
    <m/>
    <m/>
    <m/>
    <m/>
    <m/>
    <m/>
    <x v="100"/>
    <x v="0"/>
    <n v="30076229.370000001"/>
    <x v="0"/>
  </r>
  <r>
    <s v="04"/>
    <s v="001"/>
    <s v="04"/>
    <s v="122"/>
    <s v="0001"/>
    <x v="11"/>
    <x v="39"/>
    <x v="800"/>
    <x v="1"/>
    <m/>
    <m/>
    <m/>
    <m/>
    <m/>
    <m/>
    <x v="100"/>
    <x v="0"/>
    <n v="1019533.07"/>
    <x v="0"/>
  </r>
  <r>
    <s v="04"/>
    <s v="001"/>
    <s v="04"/>
    <s v="122"/>
    <s v="0001"/>
    <x v="11"/>
    <x v="44"/>
    <x v="801"/>
    <x v="1"/>
    <m/>
    <m/>
    <m/>
    <m/>
    <m/>
    <m/>
    <x v="100"/>
    <x v="0"/>
    <n v="3632920.64"/>
    <x v="0"/>
  </r>
  <r>
    <s v="04"/>
    <s v="001"/>
    <s v="04"/>
    <s v="122"/>
    <s v="0001"/>
    <x v="11"/>
    <x v="48"/>
    <x v="803"/>
    <x v="1"/>
    <m/>
    <m/>
    <m/>
    <m/>
    <m/>
    <m/>
    <x v="100"/>
    <x v="0"/>
    <n v="62023.87"/>
    <x v="0"/>
  </r>
  <r>
    <s v="05"/>
    <s v="001"/>
    <s v="04"/>
    <s v="122"/>
    <s v="0001"/>
    <x v="11"/>
    <x v="38"/>
    <x v="806"/>
    <x v="2"/>
    <m/>
    <m/>
    <m/>
    <m/>
    <m/>
    <m/>
    <x v="100"/>
    <x v="0"/>
    <n v="26213660.280000001"/>
    <x v="0"/>
  </r>
  <r>
    <s v="05"/>
    <s v="001"/>
    <s v="04"/>
    <s v="122"/>
    <s v="0001"/>
    <x v="11"/>
    <x v="39"/>
    <x v="807"/>
    <x v="2"/>
    <m/>
    <m/>
    <m/>
    <m/>
    <m/>
    <m/>
    <x v="100"/>
    <x v="0"/>
    <n v="147707.6"/>
    <x v="0"/>
  </r>
  <r>
    <s v="05"/>
    <s v="001"/>
    <s v="04"/>
    <s v="122"/>
    <s v="0001"/>
    <x v="11"/>
    <x v="44"/>
    <x v="808"/>
    <x v="2"/>
    <m/>
    <m/>
    <m/>
    <m/>
    <m/>
    <m/>
    <x v="100"/>
    <x v="0"/>
    <n v="4772389.67"/>
    <x v="0"/>
  </r>
  <r>
    <s v="05"/>
    <s v="001"/>
    <s v="04"/>
    <s v="122"/>
    <s v="0001"/>
    <x v="11"/>
    <x v="48"/>
    <x v="810"/>
    <x v="2"/>
    <m/>
    <m/>
    <m/>
    <m/>
    <m/>
    <m/>
    <x v="100"/>
    <x v="0"/>
    <n v="87401.35"/>
    <x v="0"/>
  </r>
  <r>
    <s v="06"/>
    <s v="001"/>
    <s v="04"/>
    <s v="122"/>
    <s v="0001"/>
    <x v="11"/>
    <x v="38"/>
    <x v="811"/>
    <x v="3"/>
    <m/>
    <m/>
    <m/>
    <m/>
    <m/>
    <m/>
    <x v="100"/>
    <x v="0"/>
    <n v="18079159.719999999"/>
    <x v="0"/>
  </r>
  <r>
    <s v="06"/>
    <s v="001"/>
    <s v="04"/>
    <s v="122"/>
    <s v="0001"/>
    <x v="11"/>
    <x v="39"/>
    <x v="812"/>
    <x v="3"/>
    <m/>
    <m/>
    <m/>
    <m/>
    <m/>
    <m/>
    <x v="100"/>
    <x v="0"/>
    <n v="708419.34"/>
    <x v="0"/>
  </r>
  <r>
    <s v="06"/>
    <s v="001"/>
    <s v="04"/>
    <s v="122"/>
    <s v="0001"/>
    <x v="11"/>
    <x v="44"/>
    <x v="813"/>
    <x v="3"/>
    <m/>
    <m/>
    <m/>
    <m/>
    <m/>
    <m/>
    <x v="100"/>
    <x v="0"/>
    <n v="2936967.68"/>
    <x v="0"/>
  </r>
  <r>
    <s v="06"/>
    <s v="001"/>
    <s v="04"/>
    <s v="122"/>
    <s v="0001"/>
    <x v="11"/>
    <x v="48"/>
    <x v="815"/>
    <x v="3"/>
    <m/>
    <m/>
    <m/>
    <m/>
    <m/>
    <m/>
    <x v="100"/>
    <x v="0"/>
    <n v="216277.22"/>
    <x v="0"/>
  </r>
  <r>
    <s v="07"/>
    <s v="001"/>
    <s v="04"/>
    <s v="122"/>
    <s v="0001"/>
    <x v="11"/>
    <x v="38"/>
    <x v="817"/>
    <x v="4"/>
    <m/>
    <m/>
    <m/>
    <m/>
    <m/>
    <m/>
    <x v="100"/>
    <x v="0"/>
    <n v="5164599"/>
    <x v="0"/>
  </r>
  <r>
    <s v="07"/>
    <s v="001"/>
    <s v="04"/>
    <s v="122"/>
    <s v="0001"/>
    <x v="11"/>
    <x v="39"/>
    <x v="818"/>
    <x v="4"/>
    <m/>
    <m/>
    <m/>
    <m/>
    <m/>
    <m/>
    <x v="100"/>
    <x v="0"/>
    <n v="684998.88"/>
    <x v="0"/>
  </r>
  <r>
    <s v="07"/>
    <s v="001"/>
    <s v="04"/>
    <s v="122"/>
    <s v="0001"/>
    <x v="11"/>
    <x v="44"/>
    <x v="819"/>
    <x v="4"/>
    <m/>
    <m/>
    <m/>
    <m/>
    <m/>
    <m/>
    <x v="100"/>
    <x v="0"/>
    <n v="467258.84"/>
    <x v="0"/>
  </r>
  <r>
    <s v="07"/>
    <s v="001"/>
    <s v="04"/>
    <s v="122"/>
    <s v="0001"/>
    <x v="11"/>
    <x v="48"/>
    <x v="821"/>
    <x v="4"/>
    <m/>
    <m/>
    <m/>
    <m/>
    <m/>
    <m/>
    <x v="100"/>
    <x v="0"/>
    <n v="44270.080000000002"/>
    <x v="0"/>
  </r>
  <r>
    <s v="08"/>
    <s v="001"/>
    <s v="12"/>
    <s v="122"/>
    <s v="0001"/>
    <x v="11"/>
    <x v="38"/>
    <x v="827"/>
    <x v="5"/>
    <m/>
    <m/>
    <m/>
    <m/>
    <m/>
    <m/>
    <x v="100"/>
    <x v="0"/>
    <n v="41987550.43"/>
    <x v="0"/>
  </r>
  <r>
    <s v="08"/>
    <s v="001"/>
    <s v="12"/>
    <s v="122"/>
    <s v="0001"/>
    <x v="11"/>
    <x v="39"/>
    <x v="828"/>
    <x v="5"/>
    <m/>
    <m/>
    <m/>
    <m/>
    <m/>
    <m/>
    <x v="100"/>
    <x v="0"/>
    <n v="2995852.55"/>
    <x v="0"/>
  </r>
  <r>
    <s v="08"/>
    <s v="001"/>
    <s v="12"/>
    <s v="122"/>
    <s v="0001"/>
    <x v="11"/>
    <x v="42"/>
    <x v="1145"/>
    <x v="5"/>
    <m/>
    <m/>
    <m/>
    <m/>
    <m/>
    <m/>
    <x v="100"/>
    <x v="0"/>
    <n v="2426346.75"/>
    <x v="0"/>
  </r>
  <r>
    <s v="08"/>
    <s v="001"/>
    <s v="12"/>
    <s v="122"/>
    <s v="0001"/>
    <x v="11"/>
    <x v="44"/>
    <x v="829"/>
    <x v="5"/>
    <m/>
    <m/>
    <m/>
    <m/>
    <m/>
    <m/>
    <x v="100"/>
    <x v="0"/>
    <n v="4701024.47"/>
    <x v="0"/>
  </r>
  <r>
    <s v="08"/>
    <s v="001"/>
    <s v="12"/>
    <s v="122"/>
    <s v="0001"/>
    <x v="11"/>
    <x v="48"/>
    <x v="831"/>
    <x v="5"/>
    <m/>
    <m/>
    <m/>
    <m/>
    <m/>
    <m/>
    <x v="100"/>
    <x v="0"/>
    <n v="382307.37"/>
    <x v="0"/>
  </r>
  <r>
    <s v="08"/>
    <s v="001"/>
    <s v="12"/>
    <s v="361"/>
    <s v="0001"/>
    <x v="11"/>
    <x v="38"/>
    <x v="832"/>
    <x v="5"/>
    <m/>
    <m/>
    <m/>
    <m/>
    <m/>
    <m/>
    <x v="100"/>
    <x v="0"/>
    <n v="381901851.23000002"/>
    <x v="0"/>
  </r>
  <r>
    <s v="08"/>
    <s v="001"/>
    <s v="12"/>
    <s v="361"/>
    <s v="0001"/>
    <x v="11"/>
    <x v="44"/>
    <x v="834"/>
    <x v="5"/>
    <m/>
    <m/>
    <m/>
    <m/>
    <m/>
    <m/>
    <x v="100"/>
    <x v="0"/>
    <n v="69527804.719999999"/>
    <x v="0"/>
  </r>
  <r>
    <s v="08"/>
    <s v="001"/>
    <s v="12"/>
    <s v="361"/>
    <s v="0001"/>
    <x v="11"/>
    <x v="48"/>
    <x v="836"/>
    <x v="5"/>
    <m/>
    <m/>
    <m/>
    <m/>
    <m/>
    <m/>
    <x v="100"/>
    <x v="0"/>
    <n v="5238153.47"/>
    <x v="0"/>
  </r>
  <r>
    <s v="08"/>
    <s v="001"/>
    <s v="12"/>
    <s v="365"/>
    <s v="0001"/>
    <x v="11"/>
    <x v="38"/>
    <x v="838"/>
    <x v="5"/>
    <m/>
    <m/>
    <m/>
    <m/>
    <m/>
    <m/>
    <x v="100"/>
    <x v="0"/>
    <n v="655132626.23000002"/>
    <x v="0"/>
  </r>
  <r>
    <s v="08"/>
    <s v="001"/>
    <s v="12"/>
    <s v="365"/>
    <s v="0001"/>
    <x v="11"/>
    <x v="39"/>
    <x v="839"/>
    <x v="5"/>
    <m/>
    <m/>
    <m/>
    <m/>
    <m/>
    <m/>
    <x v="100"/>
    <x v="0"/>
    <n v="113272.5"/>
    <x v="0"/>
  </r>
  <r>
    <s v="08"/>
    <s v="001"/>
    <s v="12"/>
    <s v="365"/>
    <s v="0001"/>
    <x v="11"/>
    <x v="44"/>
    <x v="840"/>
    <x v="5"/>
    <m/>
    <m/>
    <m/>
    <m/>
    <m/>
    <m/>
    <x v="100"/>
    <x v="0"/>
    <n v="118770105.04000001"/>
    <x v="0"/>
  </r>
  <r>
    <s v="08"/>
    <s v="001"/>
    <s v="12"/>
    <s v="365"/>
    <s v="0001"/>
    <x v="11"/>
    <x v="48"/>
    <x v="842"/>
    <x v="5"/>
    <m/>
    <m/>
    <m/>
    <m/>
    <m/>
    <m/>
    <x v="100"/>
    <x v="0"/>
    <n v="8881910.1699999999"/>
    <x v="0"/>
  </r>
  <r>
    <s v="09"/>
    <s v="001"/>
    <s v="10"/>
    <s v="122"/>
    <s v="0001"/>
    <x v="11"/>
    <x v="38"/>
    <x v="851"/>
    <x v="6"/>
    <m/>
    <m/>
    <m/>
    <m/>
    <m/>
    <m/>
    <x v="100"/>
    <x v="0"/>
    <n v="374060991.14999998"/>
    <x v="0"/>
  </r>
  <r>
    <s v="09"/>
    <s v="001"/>
    <s v="10"/>
    <s v="122"/>
    <s v="0001"/>
    <x v="11"/>
    <x v="39"/>
    <x v="852"/>
    <x v="6"/>
    <m/>
    <m/>
    <m/>
    <m/>
    <m/>
    <m/>
    <x v="100"/>
    <x v="0"/>
    <n v="6962801.4299999997"/>
    <x v="0"/>
  </r>
  <r>
    <s v="09"/>
    <s v="001"/>
    <s v="10"/>
    <s v="122"/>
    <s v="0001"/>
    <x v="11"/>
    <x v="42"/>
    <x v="1146"/>
    <x v="6"/>
    <m/>
    <m/>
    <m/>
    <m/>
    <m/>
    <m/>
    <x v="100"/>
    <x v="0"/>
    <n v="2692325.56"/>
    <x v="0"/>
  </r>
  <r>
    <s v="09"/>
    <s v="001"/>
    <s v="10"/>
    <s v="122"/>
    <s v="0001"/>
    <x v="11"/>
    <x v="44"/>
    <x v="853"/>
    <x v="6"/>
    <m/>
    <m/>
    <m/>
    <m/>
    <m/>
    <m/>
    <x v="100"/>
    <x v="0"/>
    <n v="66469062.170000002"/>
    <x v="0"/>
  </r>
  <r>
    <s v="09"/>
    <s v="001"/>
    <s v="10"/>
    <s v="122"/>
    <s v="0001"/>
    <x v="11"/>
    <x v="48"/>
    <x v="855"/>
    <x v="6"/>
    <m/>
    <m/>
    <m/>
    <m/>
    <m/>
    <m/>
    <x v="100"/>
    <x v="0"/>
    <n v="3271672.01"/>
    <x v="0"/>
  </r>
  <r>
    <s v="09"/>
    <s v="001"/>
    <s v="10"/>
    <s v="304"/>
    <s v="0001"/>
    <x v="11"/>
    <x v="38"/>
    <x v="856"/>
    <x v="6"/>
    <m/>
    <m/>
    <m/>
    <m/>
    <m/>
    <m/>
    <x v="100"/>
    <x v="0"/>
    <n v="12189838.560000001"/>
    <x v="0"/>
  </r>
  <r>
    <s v="09"/>
    <s v="001"/>
    <s v="10"/>
    <s v="304"/>
    <s v="0001"/>
    <x v="11"/>
    <x v="39"/>
    <x v="857"/>
    <x v="6"/>
    <m/>
    <m/>
    <m/>
    <m/>
    <m/>
    <m/>
    <x v="100"/>
    <x v="0"/>
    <n v="3706359.87"/>
    <x v="0"/>
  </r>
  <r>
    <s v="09"/>
    <s v="001"/>
    <s v="10"/>
    <s v="304"/>
    <s v="0001"/>
    <x v="11"/>
    <x v="48"/>
    <x v="859"/>
    <x v="6"/>
    <m/>
    <m/>
    <m/>
    <m/>
    <m/>
    <m/>
    <x v="100"/>
    <x v="0"/>
    <n v="103855.14"/>
    <x v="0"/>
  </r>
  <r>
    <s v="09"/>
    <s v="001"/>
    <s v="10"/>
    <s v="305"/>
    <s v="0001"/>
    <x v="11"/>
    <x v="38"/>
    <x v="860"/>
    <x v="6"/>
    <m/>
    <m/>
    <m/>
    <m/>
    <m/>
    <m/>
    <x v="100"/>
    <x v="0"/>
    <n v="12189838.560000001"/>
    <x v="0"/>
  </r>
  <r>
    <s v="09"/>
    <s v="001"/>
    <s v="10"/>
    <s v="305"/>
    <s v="0001"/>
    <x v="11"/>
    <x v="39"/>
    <x v="861"/>
    <x v="6"/>
    <m/>
    <m/>
    <m/>
    <m/>
    <m/>
    <m/>
    <x v="100"/>
    <x v="0"/>
    <n v="3706359.87"/>
    <x v="0"/>
  </r>
  <r>
    <s v="09"/>
    <s v="001"/>
    <s v="10"/>
    <s v="305"/>
    <s v="0001"/>
    <x v="11"/>
    <x v="48"/>
    <x v="864"/>
    <x v="6"/>
    <m/>
    <m/>
    <m/>
    <m/>
    <m/>
    <m/>
    <x v="100"/>
    <x v="0"/>
    <n v="103855.14"/>
    <x v="0"/>
  </r>
  <r>
    <s v="11"/>
    <s v="001"/>
    <s v="04"/>
    <s v="122"/>
    <s v="0001"/>
    <x v="11"/>
    <x v="38"/>
    <x v="888"/>
    <x v="7"/>
    <m/>
    <m/>
    <m/>
    <m/>
    <m/>
    <m/>
    <x v="100"/>
    <x v="0"/>
    <n v="24333616.129999999"/>
    <x v="0"/>
  </r>
  <r>
    <s v="11"/>
    <s v="001"/>
    <s v="04"/>
    <s v="122"/>
    <s v="0001"/>
    <x v="11"/>
    <x v="39"/>
    <x v="889"/>
    <x v="7"/>
    <m/>
    <m/>
    <m/>
    <m/>
    <m/>
    <m/>
    <x v="100"/>
    <x v="0"/>
    <n v="1570141.45"/>
    <x v="0"/>
  </r>
  <r>
    <s v="11"/>
    <s v="001"/>
    <s v="04"/>
    <s v="122"/>
    <s v="0001"/>
    <x v="11"/>
    <x v="44"/>
    <x v="890"/>
    <x v="7"/>
    <m/>
    <m/>
    <m/>
    <m/>
    <m/>
    <m/>
    <x v="100"/>
    <x v="0"/>
    <n v="2698309.94"/>
    <x v="0"/>
  </r>
  <r>
    <s v="11"/>
    <s v="001"/>
    <s v="04"/>
    <s v="122"/>
    <s v="0001"/>
    <x v="11"/>
    <x v="48"/>
    <x v="892"/>
    <x v="7"/>
    <m/>
    <m/>
    <m/>
    <m/>
    <m/>
    <m/>
    <x v="100"/>
    <x v="0"/>
    <n v="485848.39"/>
    <x v="0"/>
  </r>
  <r>
    <s v="12"/>
    <s v="001"/>
    <s v="04"/>
    <s v="122"/>
    <s v="0001"/>
    <x v="11"/>
    <x v="38"/>
    <x v="899"/>
    <x v="8"/>
    <m/>
    <m/>
    <m/>
    <m/>
    <m/>
    <m/>
    <x v="100"/>
    <x v="0"/>
    <n v="13040363.59"/>
    <x v="0"/>
  </r>
  <r>
    <s v="12"/>
    <s v="001"/>
    <s v="04"/>
    <s v="122"/>
    <s v="0001"/>
    <x v="11"/>
    <x v="39"/>
    <x v="900"/>
    <x v="8"/>
    <m/>
    <m/>
    <m/>
    <m/>
    <m/>
    <m/>
    <x v="100"/>
    <x v="0"/>
    <n v="870571.09"/>
    <x v="0"/>
  </r>
  <r>
    <s v="12"/>
    <s v="001"/>
    <s v="04"/>
    <s v="122"/>
    <s v="0001"/>
    <x v="11"/>
    <x v="44"/>
    <x v="901"/>
    <x v="8"/>
    <m/>
    <m/>
    <m/>
    <m/>
    <m/>
    <m/>
    <x v="100"/>
    <x v="0"/>
    <n v="1878901.6"/>
    <x v="0"/>
  </r>
  <r>
    <s v="12"/>
    <s v="001"/>
    <s v="04"/>
    <s v="122"/>
    <s v="0001"/>
    <x v="11"/>
    <x v="48"/>
    <x v="903"/>
    <x v="8"/>
    <m/>
    <m/>
    <m/>
    <m/>
    <m/>
    <m/>
    <x v="100"/>
    <x v="0"/>
    <n v="129857.25"/>
    <x v="0"/>
  </r>
  <r>
    <s v="13"/>
    <s v="001"/>
    <s v="04"/>
    <s v="122"/>
    <s v="0001"/>
    <x v="11"/>
    <x v="38"/>
    <x v="910"/>
    <x v="9"/>
    <m/>
    <m/>
    <m/>
    <m/>
    <m/>
    <m/>
    <x v="100"/>
    <x v="0"/>
    <n v="13266161.33"/>
    <x v="0"/>
  </r>
  <r>
    <s v="13"/>
    <s v="001"/>
    <s v="04"/>
    <s v="122"/>
    <s v="0001"/>
    <x v="11"/>
    <x v="39"/>
    <x v="911"/>
    <x v="9"/>
    <m/>
    <m/>
    <m/>
    <m/>
    <m/>
    <m/>
    <x v="100"/>
    <x v="0"/>
    <n v="1459400.97"/>
    <x v="0"/>
  </r>
  <r>
    <s v="13"/>
    <s v="001"/>
    <s v="04"/>
    <s v="122"/>
    <s v="0001"/>
    <x v="11"/>
    <x v="44"/>
    <x v="912"/>
    <x v="9"/>
    <m/>
    <m/>
    <m/>
    <m/>
    <m/>
    <m/>
    <x v="100"/>
    <x v="0"/>
    <n v="1221486.27"/>
    <x v="0"/>
  </r>
  <r>
    <s v="13"/>
    <s v="001"/>
    <s v="04"/>
    <s v="122"/>
    <s v="0001"/>
    <x v="11"/>
    <x v="48"/>
    <x v="914"/>
    <x v="9"/>
    <m/>
    <m/>
    <m/>
    <m/>
    <m/>
    <m/>
    <x v="100"/>
    <x v="0"/>
    <n v="39286.68"/>
    <x v="0"/>
  </r>
  <r>
    <s v="14"/>
    <s v="001"/>
    <s v="04"/>
    <s v="122"/>
    <s v="0001"/>
    <x v="11"/>
    <x v="38"/>
    <x v="922"/>
    <x v="10"/>
    <m/>
    <m/>
    <m/>
    <m/>
    <m/>
    <m/>
    <x v="100"/>
    <x v="0"/>
    <n v="38605281.979999997"/>
    <x v="0"/>
  </r>
  <r>
    <s v="14"/>
    <s v="001"/>
    <s v="04"/>
    <s v="122"/>
    <s v="0001"/>
    <x v="11"/>
    <x v="39"/>
    <x v="923"/>
    <x v="10"/>
    <m/>
    <m/>
    <m/>
    <m/>
    <m/>
    <m/>
    <x v="100"/>
    <x v="0"/>
    <n v="1109500.6499999999"/>
    <x v="0"/>
  </r>
  <r>
    <s v="14"/>
    <s v="001"/>
    <s v="04"/>
    <s v="122"/>
    <s v="0001"/>
    <x v="11"/>
    <x v="44"/>
    <x v="924"/>
    <x v="10"/>
    <m/>
    <m/>
    <m/>
    <m/>
    <m/>
    <m/>
    <x v="100"/>
    <x v="0"/>
    <n v="7051250.3099999996"/>
    <x v="0"/>
  </r>
  <r>
    <s v="14"/>
    <s v="001"/>
    <s v="04"/>
    <s v="122"/>
    <s v="0001"/>
    <x v="11"/>
    <x v="48"/>
    <x v="926"/>
    <x v="10"/>
    <m/>
    <m/>
    <m/>
    <m/>
    <m/>
    <m/>
    <x v="100"/>
    <x v="0"/>
    <n v="736791.49"/>
    <x v="0"/>
  </r>
  <r>
    <s v="15"/>
    <s v="001"/>
    <s v="04"/>
    <s v="122"/>
    <s v="0001"/>
    <x v="11"/>
    <x v="38"/>
    <x v="929"/>
    <x v="11"/>
    <m/>
    <m/>
    <m/>
    <m/>
    <m/>
    <m/>
    <x v="100"/>
    <x v="0"/>
    <n v="8034063.4500000002"/>
    <x v="0"/>
  </r>
  <r>
    <s v="15"/>
    <s v="001"/>
    <s v="04"/>
    <s v="122"/>
    <s v="0001"/>
    <x v="11"/>
    <x v="39"/>
    <x v="930"/>
    <x v="11"/>
    <m/>
    <m/>
    <m/>
    <m/>
    <m/>
    <m/>
    <x v="100"/>
    <x v="0"/>
    <n v="652820.63"/>
    <x v="0"/>
  </r>
  <r>
    <s v="15"/>
    <s v="001"/>
    <s v="04"/>
    <s v="122"/>
    <s v="0001"/>
    <x v="11"/>
    <x v="44"/>
    <x v="931"/>
    <x v="11"/>
    <m/>
    <m/>
    <m/>
    <m/>
    <m/>
    <m/>
    <x v="100"/>
    <x v="0"/>
    <n v="1065760.03"/>
    <x v="0"/>
  </r>
  <r>
    <s v="15"/>
    <s v="001"/>
    <s v="04"/>
    <s v="122"/>
    <s v="0001"/>
    <x v="11"/>
    <x v="48"/>
    <x v="933"/>
    <x v="11"/>
    <m/>
    <m/>
    <m/>
    <m/>
    <m/>
    <m/>
    <x v="100"/>
    <x v="0"/>
    <n v="79511.11"/>
    <x v="0"/>
  </r>
  <r>
    <s v="16"/>
    <s v="001"/>
    <s v="04"/>
    <s v="122"/>
    <s v="0001"/>
    <x v="11"/>
    <x v="38"/>
    <x v="936"/>
    <x v="12"/>
    <m/>
    <m/>
    <m/>
    <m/>
    <m/>
    <m/>
    <x v="100"/>
    <x v="0"/>
    <n v="17966386.09"/>
    <x v="0"/>
  </r>
  <r>
    <s v="16"/>
    <s v="001"/>
    <s v="04"/>
    <s v="122"/>
    <s v="0001"/>
    <x v="11"/>
    <x v="39"/>
    <x v="937"/>
    <x v="12"/>
    <m/>
    <m/>
    <m/>
    <m/>
    <m/>
    <m/>
    <x v="100"/>
    <x v="0"/>
    <n v="2528888.83"/>
    <x v="0"/>
  </r>
  <r>
    <s v="16"/>
    <s v="001"/>
    <s v="04"/>
    <s v="122"/>
    <s v="0001"/>
    <x v="11"/>
    <x v="44"/>
    <x v="938"/>
    <x v="12"/>
    <m/>
    <m/>
    <m/>
    <m/>
    <m/>
    <m/>
    <x v="100"/>
    <x v="0"/>
    <n v="917813.36"/>
    <x v="0"/>
  </r>
  <r>
    <s v="16"/>
    <s v="001"/>
    <s v="04"/>
    <s v="122"/>
    <s v="0001"/>
    <x v="11"/>
    <x v="48"/>
    <x v="940"/>
    <x v="12"/>
    <m/>
    <m/>
    <m/>
    <m/>
    <m/>
    <m/>
    <x v="100"/>
    <x v="0"/>
    <n v="58157.919999999998"/>
    <x v="0"/>
  </r>
  <r>
    <s v="17"/>
    <s v="001"/>
    <s v="04"/>
    <s v="122"/>
    <s v="0001"/>
    <x v="11"/>
    <x v="38"/>
    <x v="943"/>
    <x v="13"/>
    <m/>
    <m/>
    <m/>
    <m/>
    <m/>
    <m/>
    <x v="100"/>
    <x v="0"/>
    <n v="8583438.0099999998"/>
    <x v="0"/>
  </r>
  <r>
    <s v="17"/>
    <s v="001"/>
    <s v="04"/>
    <s v="122"/>
    <s v="0001"/>
    <x v="11"/>
    <x v="39"/>
    <x v="944"/>
    <x v="13"/>
    <m/>
    <m/>
    <m/>
    <m/>
    <m/>
    <m/>
    <x v="100"/>
    <x v="0"/>
    <n v="939318.26"/>
    <x v="0"/>
  </r>
  <r>
    <s v="17"/>
    <s v="001"/>
    <s v="04"/>
    <s v="122"/>
    <s v="0001"/>
    <x v="11"/>
    <x v="44"/>
    <x v="945"/>
    <x v="13"/>
    <m/>
    <m/>
    <m/>
    <m/>
    <m/>
    <m/>
    <x v="100"/>
    <x v="0"/>
    <n v="735941.08"/>
    <x v="0"/>
  </r>
  <r>
    <s v="17"/>
    <s v="001"/>
    <s v="04"/>
    <s v="122"/>
    <s v="0001"/>
    <x v="11"/>
    <x v="48"/>
    <x v="947"/>
    <x v="13"/>
    <m/>
    <m/>
    <m/>
    <m/>
    <m/>
    <m/>
    <x v="100"/>
    <x v="0"/>
    <n v="115228.87"/>
    <x v="0"/>
  </r>
  <r>
    <s v="18"/>
    <s v="001"/>
    <s v="04"/>
    <s v="122"/>
    <s v="0001"/>
    <x v="11"/>
    <x v="42"/>
    <x v="1147"/>
    <x v="15"/>
    <m/>
    <m/>
    <m/>
    <m/>
    <m/>
    <m/>
    <x v="100"/>
    <x v="0"/>
    <n v="4698411.18"/>
    <x v="0"/>
  </r>
  <r>
    <s v="19"/>
    <s v="001"/>
    <s v="04"/>
    <s v="122"/>
    <s v="0001"/>
    <x v="11"/>
    <x v="38"/>
    <x v="974"/>
    <x v="17"/>
    <m/>
    <m/>
    <m/>
    <m/>
    <m/>
    <m/>
    <x v="100"/>
    <x v="0"/>
    <n v="14119009.970000001"/>
    <x v="0"/>
  </r>
  <r>
    <s v="19"/>
    <s v="001"/>
    <s v="04"/>
    <s v="122"/>
    <s v="0001"/>
    <x v="11"/>
    <x v="39"/>
    <x v="975"/>
    <x v="17"/>
    <m/>
    <m/>
    <m/>
    <m/>
    <m/>
    <m/>
    <x v="100"/>
    <x v="0"/>
    <n v="693689.14"/>
    <x v="0"/>
  </r>
  <r>
    <s v="19"/>
    <s v="001"/>
    <s v="04"/>
    <s v="122"/>
    <s v="0001"/>
    <x v="11"/>
    <x v="44"/>
    <x v="976"/>
    <x v="17"/>
    <m/>
    <m/>
    <m/>
    <m/>
    <m/>
    <m/>
    <x v="100"/>
    <x v="0"/>
    <n v="1976598.55"/>
    <x v="0"/>
  </r>
  <r>
    <s v="19"/>
    <s v="001"/>
    <s v="04"/>
    <s v="122"/>
    <s v="0001"/>
    <x v="11"/>
    <x v="48"/>
    <x v="978"/>
    <x v="17"/>
    <m/>
    <m/>
    <m/>
    <m/>
    <m/>
    <m/>
    <x v="100"/>
    <x v="0"/>
    <n v="293893.27"/>
    <x v="0"/>
  </r>
  <r>
    <s v="20"/>
    <s v="001"/>
    <s v="04"/>
    <s v="122"/>
    <s v="0001"/>
    <x v="11"/>
    <x v="38"/>
    <x v="980"/>
    <x v="18"/>
    <m/>
    <m/>
    <m/>
    <m/>
    <m/>
    <m/>
    <x v="100"/>
    <x v="0"/>
    <n v="96160283.299999997"/>
    <x v="0"/>
  </r>
  <r>
    <s v="20"/>
    <s v="001"/>
    <s v="04"/>
    <s v="122"/>
    <s v="0001"/>
    <x v="11"/>
    <x v="39"/>
    <x v="981"/>
    <x v="18"/>
    <m/>
    <m/>
    <m/>
    <m/>
    <m/>
    <m/>
    <x v="100"/>
    <x v="0"/>
    <n v="551056.44999999995"/>
    <x v="0"/>
  </r>
  <r>
    <s v="20"/>
    <s v="001"/>
    <s v="04"/>
    <s v="122"/>
    <s v="0001"/>
    <x v="11"/>
    <x v="44"/>
    <x v="982"/>
    <x v="18"/>
    <m/>
    <m/>
    <m/>
    <m/>
    <m/>
    <m/>
    <x v="100"/>
    <x v="0"/>
    <n v="19688412.039999999"/>
    <x v="0"/>
  </r>
  <r>
    <s v="20"/>
    <s v="001"/>
    <s v="04"/>
    <s v="122"/>
    <s v="0001"/>
    <x v="11"/>
    <x v="48"/>
    <x v="984"/>
    <x v="18"/>
    <m/>
    <m/>
    <m/>
    <m/>
    <m/>
    <m/>
    <x v="100"/>
    <x v="0"/>
    <n v="1893654.97"/>
    <x v="0"/>
  </r>
  <r>
    <s v="23"/>
    <s v="001"/>
    <s v="04"/>
    <s v="122"/>
    <s v="0001"/>
    <x v="11"/>
    <x v="38"/>
    <x v="1059"/>
    <x v="19"/>
    <m/>
    <m/>
    <m/>
    <m/>
    <m/>
    <m/>
    <x v="100"/>
    <x v="0"/>
    <n v="3327146.12"/>
    <x v="0"/>
  </r>
  <r>
    <s v="23"/>
    <s v="001"/>
    <s v="04"/>
    <s v="122"/>
    <s v="0001"/>
    <x v="11"/>
    <x v="39"/>
    <x v="1060"/>
    <x v="19"/>
    <m/>
    <m/>
    <m/>
    <m/>
    <m/>
    <m/>
    <x v="100"/>
    <x v="0"/>
    <n v="588792.64"/>
    <x v="0"/>
  </r>
  <r>
    <s v="23"/>
    <s v="001"/>
    <s v="04"/>
    <s v="122"/>
    <s v="0001"/>
    <x v="11"/>
    <x v="44"/>
    <x v="1061"/>
    <x v="19"/>
    <m/>
    <m/>
    <m/>
    <m/>
    <m/>
    <m/>
    <x v="100"/>
    <x v="0"/>
    <n v="114335.49"/>
    <x v="0"/>
  </r>
  <r>
    <s v="23"/>
    <s v="001"/>
    <s v="04"/>
    <s v="122"/>
    <s v="0001"/>
    <x v="11"/>
    <x v="48"/>
    <x v="1063"/>
    <x v="19"/>
    <m/>
    <m/>
    <m/>
    <m/>
    <m/>
    <m/>
    <x v="100"/>
    <x v="0"/>
    <n v="44462.31"/>
    <x v="0"/>
  </r>
  <r>
    <s v="24"/>
    <s v="001"/>
    <s v="04"/>
    <s v="122"/>
    <s v="0001"/>
    <x v="11"/>
    <x v="38"/>
    <x v="1069"/>
    <x v="20"/>
    <m/>
    <m/>
    <m/>
    <m/>
    <m/>
    <m/>
    <x v="100"/>
    <x v="0"/>
    <n v="11583543.82"/>
    <x v="0"/>
  </r>
  <r>
    <s v="24"/>
    <s v="001"/>
    <s v="04"/>
    <s v="122"/>
    <s v="0001"/>
    <x v="11"/>
    <x v="39"/>
    <x v="1070"/>
    <x v="20"/>
    <m/>
    <m/>
    <m/>
    <m/>
    <m/>
    <m/>
    <x v="100"/>
    <x v="0"/>
    <n v="1622638.03"/>
    <x v="0"/>
  </r>
  <r>
    <s v="24"/>
    <s v="001"/>
    <s v="04"/>
    <s v="122"/>
    <s v="0001"/>
    <x v="11"/>
    <x v="44"/>
    <x v="1071"/>
    <x v="20"/>
    <m/>
    <m/>
    <m/>
    <m/>
    <m/>
    <m/>
    <x v="100"/>
    <x v="0"/>
    <n v="802884.96"/>
    <x v="0"/>
  </r>
  <r>
    <s v="24"/>
    <s v="001"/>
    <s v="04"/>
    <s v="122"/>
    <s v="0001"/>
    <x v="11"/>
    <x v="48"/>
    <x v="1073"/>
    <x v="20"/>
    <m/>
    <m/>
    <m/>
    <m/>
    <m/>
    <m/>
    <x v="100"/>
    <x v="0"/>
    <n v="52300.63"/>
    <x v="0"/>
  </r>
  <r>
    <s v="27"/>
    <s v="001"/>
    <s v="04"/>
    <s v="122"/>
    <s v="0001"/>
    <x v="11"/>
    <x v="38"/>
    <x v="1077"/>
    <x v="21"/>
    <m/>
    <m/>
    <m/>
    <m/>
    <m/>
    <m/>
    <x v="100"/>
    <x v="0"/>
    <n v="4796618.21"/>
    <x v="0"/>
  </r>
  <r>
    <s v="27"/>
    <s v="001"/>
    <s v="04"/>
    <s v="122"/>
    <s v="0001"/>
    <x v="11"/>
    <x v="39"/>
    <x v="1078"/>
    <x v="21"/>
    <m/>
    <m/>
    <m/>
    <m/>
    <m/>
    <m/>
    <x v="100"/>
    <x v="0"/>
    <n v="108590.56"/>
    <x v="0"/>
  </r>
  <r>
    <s v="27"/>
    <s v="001"/>
    <s v="04"/>
    <s v="122"/>
    <s v="0001"/>
    <x v="11"/>
    <x v="44"/>
    <x v="1079"/>
    <x v="21"/>
    <m/>
    <m/>
    <m/>
    <m/>
    <m/>
    <m/>
    <x v="100"/>
    <x v="0"/>
    <n v="521437.63"/>
    <x v="0"/>
  </r>
  <r>
    <s v="27"/>
    <s v="001"/>
    <s v="04"/>
    <s v="122"/>
    <s v="0001"/>
    <x v="11"/>
    <x v="48"/>
    <x v="1081"/>
    <x v="21"/>
    <m/>
    <m/>
    <m/>
    <m/>
    <m/>
    <m/>
    <x v="100"/>
    <x v="0"/>
    <n v="58101.97"/>
    <x v="0"/>
  </r>
  <r>
    <s v="28"/>
    <s v="001"/>
    <s v="04"/>
    <s v="122"/>
    <s v="0001"/>
    <x v="11"/>
    <x v="38"/>
    <x v="1083"/>
    <x v="22"/>
    <m/>
    <m/>
    <m/>
    <m/>
    <m/>
    <m/>
    <x v="100"/>
    <x v="0"/>
    <n v="17838047.460000001"/>
    <x v="0"/>
  </r>
  <r>
    <s v="28"/>
    <s v="001"/>
    <s v="04"/>
    <s v="122"/>
    <s v="0001"/>
    <x v="11"/>
    <x v="39"/>
    <x v="1084"/>
    <x v="22"/>
    <m/>
    <m/>
    <m/>
    <m/>
    <m/>
    <m/>
    <x v="100"/>
    <x v="0"/>
    <n v="1428027.76"/>
    <x v="0"/>
  </r>
  <r>
    <s v="28"/>
    <s v="001"/>
    <s v="04"/>
    <s v="122"/>
    <s v="0001"/>
    <x v="11"/>
    <x v="44"/>
    <x v="1085"/>
    <x v="22"/>
    <m/>
    <m/>
    <m/>
    <m/>
    <m/>
    <m/>
    <x v="100"/>
    <x v="0"/>
    <n v="2130022.04"/>
    <x v="0"/>
  </r>
  <r>
    <s v="28"/>
    <s v="001"/>
    <s v="04"/>
    <s v="122"/>
    <s v="0001"/>
    <x v="11"/>
    <x v="48"/>
    <x v="1086"/>
    <x v="22"/>
    <m/>
    <m/>
    <m/>
    <m/>
    <m/>
    <m/>
    <x v="100"/>
    <x v="0"/>
    <n v="66548.539999999994"/>
    <x v="0"/>
  </r>
  <r>
    <s v="29"/>
    <s v="001"/>
    <s v="04"/>
    <s v="122"/>
    <s v="0001"/>
    <x v="11"/>
    <x v="38"/>
    <x v="1087"/>
    <x v="32"/>
    <m/>
    <m/>
    <m/>
    <m/>
    <m/>
    <m/>
    <x v="100"/>
    <x v="0"/>
    <n v="6309071.8399999999"/>
    <x v="0"/>
  </r>
  <r>
    <s v="29"/>
    <s v="001"/>
    <s v="04"/>
    <s v="122"/>
    <s v="0001"/>
    <x v="11"/>
    <x v="39"/>
    <x v="1088"/>
    <x v="32"/>
    <m/>
    <m/>
    <m/>
    <m/>
    <m/>
    <m/>
    <x v="100"/>
    <x v="0"/>
    <n v="1040081.34"/>
    <x v="0"/>
  </r>
  <r>
    <s v="29"/>
    <s v="001"/>
    <s v="04"/>
    <s v="122"/>
    <s v="0001"/>
    <x v="11"/>
    <x v="44"/>
    <x v="1089"/>
    <x v="32"/>
    <m/>
    <m/>
    <m/>
    <m/>
    <m/>
    <m/>
    <x v="100"/>
    <x v="0"/>
    <n v="275174.32"/>
    <x v="0"/>
  </r>
  <r>
    <s v="29"/>
    <s v="001"/>
    <s v="04"/>
    <s v="122"/>
    <s v="0001"/>
    <x v="11"/>
    <x v="48"/>
    <x v="1091"/>
    <x v="32"/>
    <m/>
    <m/>
    <m/>
    <m/>
    <m/>
    <m/>
    <x v="100"/>
    <x v="0"/>
    <n v="42662.94"/>
    <x v="0"/>
  </r>
  <r>
    <s v="30"/>
    <s v="001"/>
    <s v="04"/>
    <s v="122"/>
    <s v="0001"/>
    <x v="11"/>
    <x v="38"/>
    <x v="1095"/>
    <x v="23"/>
    <m/>
    <m/>
    <m/>
    <m/>
    <m/>
    <m/>
    <x v="100"/>
    <x v="0"/>
    <n v="2490251.9300000002"/>
    <x v="0"/>
  </r>
  <r>
    <s v="30"/>
    <s v="001"/>
    <s v="04"/>
    <s v="122"/>
    <s v="0001"/>
    <x v="11"/>
    <x v="39"/>
    <x v="1096"/>
    <x v="23"/>
    <m/>
    <m/>
    <m/>
    <m/>
    <m/>
    <m/>
    <x v="100"/>
    <x v="0"/>
    <n v="312718.77"/>
    <x v="0"/>
  </r>
  <r>
    <s v="30"/>
    <s v="001"/>
    <s v="04"/>
    <s v="122"/>
    <s v="0001"/>
    <x v="11"/>
    <x v="44"/>
    <x v="1097"/>
    <x v="23"/>
    <m/>
    <m/>
    <m/>
    <m/>
    <m/>
    <m/>
    <x v="100"/>
    <x v="0"/>
    <n v="231095.64"/>
    <x v="0"/>
  </r>
  <r>
    <s v="30"/>
    <s v="001"/>
    <s v="04"/>
    <s v="122"/>
    <s v="0001"/>
    <x v="11"/>
    <x v="48"/>
    <x v="1099"/>
    <x v="23"/>
    <m/>
    <m/>
    <m/>
    <m/>
    <m/>
    <m/>
    <x v="100"/>
    <x v="0"/>
    <n v="37004.239999999998"/>
    <x v="0"/>
  </r>
  <r>
    <s v="31"/>
    <s v="001"/>
    <s v="04"/>
    <s v="122"/>
    <s v="0001"/>
    <x v="11"/>
    <x v="38"/>
    <x v="1106"/>
    <x v="24"/>
    <m/>
    <m/>
    <m/>
    <m/>
    <m/>
    <m/>
    <x v="100"/>
    <x v="0"/>
    <n v="2521880.98"/>
    <x v="0"/>
  </r>
  <r>
    <s v="31"/>
    <s v="001"/>
    <s v="04"/>
    <s v="122"/>
    <s v="0001"/>
    <x v="11"/>
    <x v="39"/>
    <x v="1107"/>
    <x v="24"/>
    <m/>
    <m/>
    <m/>
    <m/>
    <m/>
    <m/>
    <x v="100"/>
    <x v="0"/>
    <n v="423874.75"/>
    <x v="0"/>
  </r>
  <r>
    <s v="31"/>
    <s v="001"/>
    <s v="04"/>
    <s v="122"/>
    <s v="0001"/>
    <x v="11"/>
    <x v="44"/>
    <x v="1108"/>
    <x v="24"/>
    <m/>
    <m/>
    <m/>
    <m/>
    <m/>
    <m/>
    <x v="100"/>
    <x v="0"/>
    <n v="139273.29"/>
    <x v="0"/>
  </r>
  <r>
    <s v="31"/>
    <s v="001"/>
    <s v="04"/>
    <s v="122"/>
    <s v="0001"/>
    <x v="11"/>
    <x v="48"/>
    <x v="1110"/>
    <x v="24"/>
    <m/>
    <m/>
    <m/>
    <m/>
    <m/>
    <m/>
    <x v="100"/>
    <x v="0"/>
    <n v="9661.6200000000008"/>
    <x v="0"/>
  </r>
  <r>
    <s v="32"/>
    <s v="001"/>
    <s v="04"/>
    <s v="122"/>
    <s v="0001"/>
    <x v="11"/>
    <x v="38"/>
    <x v="1113"/>
    <x v="25"/>
    <m/>
    <m/>
    <m/>
    <m/>
    <m/>
    <m/>
    <x v="100"/>
    <x v="0"/>
    <n v="3217455.69"/>
    <x v="0"/>
  </r>
  <r>
    <s v="32"/>
    <s v="001"/>
    <s v="04"/>
    <s v="122"/>
    <s v="0001"/>
    <x v="11"/>
    <x v="39"/>
    <x v="1114"/>
    <x v="25"/>
    <m/>
    <m/>
    <m/>
    <m/>
    <m/>
    <m/>
    <x v="100"/>
    <x v="0"/>
    <n v="417065.95"/>
    <x v="0"/>
  </r>
  <r>
    <s v="32"/>
    <s v="001"/>
    <s v="04"/>
    <s v="122"/>
    <s v="0001"/>
    <x v="11"/>
    <x v="44"/>
    <x v="1115"/>
    <x v="25"/>
    <m/>
    <m/>
    <m/>
    <m/>
    <m/>
    <m/>
    <x v="100"/>
    <x v="0"/>
    <n v="308213.7"/>
    <x v="0"/>
  </r>
  <r>
    <s v="32"/>
    <s v="001"/>
    <s v="04"/>
    <s v="122"/>
    <s v="0001"/>
    <x v="11"/>
    <x v="48"/>
    <x v="1117"/>
    <x v="25"/>
    <m/>
    <m/>
    <m/>
    <m/>
    <m/>
    <m/>
    <x v="100"/>
    <x v="0"/>
    <n v="17699.990000000002"/>
    <x v="0"/>
  </r>
  <r>
    <s v="33"/>
    <s v="001"/>
    <s v="04"/>
    <s v="122"/>
    <s v="0001"/>
    <x v="11"/>
    <x v="38"/>
    <x v="1121"/>
    <x v="26"/>
    <m/>
    <m/>
    <m/>
    <m/>
    <m/>
    <m/>
    <x v="100"/>
    <x v="0"/>
    <n v="8158344.6600000001"/>
    <x v="0"/>
  </r>
  <r>
    <s v="33"/>
    <s v="001"/>
    <s v="04"/>
    <s v="122"/>
    <s v="0001"/>
    <x v="11"/>
    <x v="39"/>
    <x v="1122"/>
    <x v="26"/>
    <m/>
    <m/>
    <m/>
    <m/>
    <m/>
    <m/>
    <x v="100"/>
    <x v="0"/>
    <n v="653267.84"/>
    <x v="0"/>
  </r>
  <r>
    <s v="33"/>
    <s v="001"/>
    <s v="04"/>
    <s v="122"/>
    <s v="0001"/>
    <x v="11"/>
    <x v="44"/>
    <x v="1123"/>
    <x v="26"/>
    <m/>
    <m/>
    <m/>
    <m/>
    <m/>
    <m/>
    <x v="100"/>
    <x v="0"/>
    <n v="387867.22"/>
    <x v="0"/>
  </r>
  <r>
    <s v="33"/>
    <s v="001"/>
    <s v="04"/>
    <s v="122"/>
    <s v="0001"/>
    <x v="11"/>
    <x v="48"/>
    <x v="1125"/>
    <x v="26"/>
    <m/>
    <m/>
    <m/>
    <m/>
    <m/>
    <m/>
    <x v="100"/>
    <x v="0"/>
    <n v="27147.23"/>
    <x v="0"/>
  </r>
  <r>
    <s v="34"/>
    <s v="001"/>
    <s v="04"/>
    <s v="122"/>
    <s v="0001"/>
    <x v="11"/>
    <x v="38"/>
    <x v="1127"/>
    <x v="27"/>
    <m/>
    <m/>
    <m/>
    <m/>
    <m/>
    <m/>
    <x v="100"/>
    <x v="0"/>
    <n v="6028272.0599999996"/>
    <x v="0"/>
  </r>
  <r>
    <s v="34"/>
    <s v="001"/>
    <s v="04"/>
    <s v="122"/>
    <s v="0001"/>
    <x v="11"/>
    <x v="39"/>
    <x v="1128"/>
    <x v="27"/>
    <m/>
    <m/>
    <m/>
    <m/>
    <m/>
    <m/>
    <x v="100"/>
    <x v="0"/>
    <n v="166817.04999999999"/>
    <x v="0"/>
  </r>
  <r>
    <s v="34"/>
    <s v="001"/>
    <s v="04"/>
    <s v="122"/>
    <s v="0001"/>
    <x v="11"/>
    <x v="44"/>
    <x v="1129"/>
    <x v="27"/>
    <m/>
    <m/>
    <m/>
    <m/>
    <m/>
    <m/>
    <x v="100"/>
    <x v="0"/>
    <n v="855110.04"/>
    <x v="0"/>
  </r>
  <r>
    <s v="34"/>
    <s v="001"/>
    <s v="04"/>
    <s v="122"/>
    <s v="0001"/>
    <x v="11"/>
    <x v="48"/>
    <x v="1130"/>
    <x v="27"/>
    <m/>
    <m/>
    <m/>
    <m/>
    <m/>
    <m/>
    <x v="100"/>
    <x v="0"/>
    <n v="124247.89"/>
    <x v="0"/>
  </r>
  <r>
    <s v="35"/>
    <s v="001"/>
    <s v="04"/>
    <s v="122"/>
    <s v="0001"/>
    <x v="11"/>
    <x v="38"/>
    <x v="1134"/>
    <x v="33"/>
    <m/>
    <m/>
    <m/>
    <m/>
    <m/>
    <m/>
    <x v="100"/>
    <x v="0"/>
    <n v="2890413.73"/>
    <x v="0"/>
  </r>
  <r>
    <s v="35"/>
    <s v="001"/>
    <s v="04"/>
    <s v="122"/>
    <s v="0001"/>
    <x v="11"/>
    <x v="39"/>
    <x v="1135"/>
    <x v="33"/>
    <m/>
    <m/>
    <m/>
    <m/>
    <m/>
    <m/>
    <x v="100"/>
    <x v="0"/>
    <n v="584008.23"/>
    <x v="0"/>
  </r>
  <r>
    <s v="35"/>
    <s v="001"/>
    <s v="04"/>
    <s v="122"/>
    <s v="0001"/>
    <x v="11"/>
    <x v="44"/>
    <x v="1136"/>
    <x v="33"/>
    <m/>
    <m/>
    <m/>
    <m/>
    <m/>
    <m/>
    <x v="100"/>
    <x v="0"/>
    <n v="38608.230000000003"/>
    <x v="0"/>
  </r>
  <r>
    <s v="35"/>
    <s v="001"/>
    <s v="04"/>
    <s v="122"/>
    <s v="0001"/>
    <x v="11"/>
    <x v="48"/>
    <x v="1138"/>
    <x v="33"/>
    <m/>
    <m/>
    <m/>
    <m/>
    <m/>
    <m/>
    <x v="100"/>
    <x v="0"/>
    <n v="30506.799999999999"/>
    <x v="0"/>
  </r>
  <r>
    <s v="36"/>
    <s v="001"/>
    <s v="04"/>
    <s v="122"/>
    <s v="0001"/>
    <x v="11"/>
    <x v="38"/>
    <x v="1140"/>
    <x v="28"/>
    <m/>
    <m/>
    <m/>
    <m/>
    <m/>
    <m/>
    <x v="100"/>
    <x v="0"/>
    <n v="4982560.1500000004"/>
    <x v="0"/>
  </r>
  <r>
    <s v="36"/>
    <s v="001"/>
    <s v="04"/>
    <s v="122"/>
    <s v="0001"/>
    <x v="11"/>
    <x v="39"/>
    <x v="1141"/>
    <x v="28"/>
    <m/>
    <m/>
    <m/>
    <m/>
    <m/>
    <m/>
    <x v="100"/>
    <x v="0"/>
    <n v="752385.04"/>
    <x v="0"/>
  </r>
  <r>
    <s v="36"/>
    <s v="001"/>
    <s v="04"/>
    <s v="122"/>
    <s v="0001"/>
    <x v="11"/>
    <x v="44"/>
    <x v="1142"/>
    <x v="28"/>
    <m/>
    <m/>
    <m/>
    <m/>
    <m/>
    <m/>
    <x v="100"/>
    <x v="0"/>
    <n v="214606.98"/>
    <x v="0"/>
  </r>
  <r>
    <s v="36"/>
    <s v="001"/>
    <s v="04"/>
    <s v="122"/>
    <s v="0001"/>
    <x v="11"/>
    <x v="48"/>
    <x v="1144"/>
    <x v="28"/>
    <m/>
    <m/>
    <m/>
    <m/>
    <m/>
    <m/>
    <x v="100"/>
    <x v="0"/>
    <n v="12217.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F03A4-C10B-440A-844D-C3721EA82631}" name="Tabela dinâmica2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gridDropZones="1" multipleFieldFilters="0">
  <location ref="A7:E43" firstHeaderRow="1" firstDataRow="2" firstDataCol="3" rowPageCount="3" colPageCount="1"/>
  <pivotFields count="19"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4">
        <item x="61"/>
        <item x="62"/>
        <item x="44"/>
        <item x="23"/>
        <item x="5"/>
        <item x="10"/>
        <item x="56"/>
        <item x="25"/>
        <item x="57"/>
        <item x="58"/>
        <item x="34"/>
        <item x="35"/>
        <item x="37"/>
        <item x="59"/>
        <item x="60"/>
        <item x="36"/>
        <item x="55"/>
        <item x="63"/>
        <item x="11"/>
        <item x="46"/>
        <item x="2"/>
        <item x="7"/>
        <item x="4"/>
        <item x="3"/>
        <item x="1"/>
        <item x="12"/>
        <item x="43"/>
        <item x="45"/>
        <item x="0"/>
        <item x="21"/>
        <item x="19"/>
        <item x="20"/>
        <item x="39"/>
        <item x="40"/>
        <item x="13"/>
        <item x="14"/>
        <item x="15"/>
        <item x="16"/>
        <item x="42"/>
        <item x="17"/>
        <item x="18"/>
        <item x="38"/>
        <item x="9"/>
        <item x="22"/>
        <item x="6"/>
        <item x="32"/>
        <item x="48"/>
        <item x="31"/>
        <item x="33"/>
        <item x="30"/>
        <item x="8"/>
        <item x="24"/>
        <item x="28"/>
        <item x="47"/>
        <item x="29"/>
        <item x="26"/>
        <item x="27"/>
        <item x="51"/>
        <item x="41"/>
        <item x="49"/>
        <item x="52"/>
        <item x="53"/>
        <item x="50"/>
        <item h="1" x="54"/>
      </items>
    </pivotField>
    <pivotField axis="axisRow" compact="0" outline="0" showAll="0" defaultSubtotal="0">
      <items count="61">
        <item sd="0" x="19"/>
        <item sd="0" x="2"/>
        <item sd="0" x="11"/>
        <item sd="0" x="18"/>
        <item sd="0" x="3"/>
        <item sd="0" x="0"/>
        <item sd="0" x="14"/>
        <item sd="0" x="16"/>
        <item sd="0" x="7"/>
        <item sd="0" x="24"/>
        <item sd="0" x="10"/>
        <item sd="0" x="1"/>
        <item sd="0" x="5"/>
        <item sd="0" x="15"/>
        <item sd="0" x="23"/>
        <item sd="0" x="9"/>
        <item sd="0" x="6"/>
        <item sd="0" x="13"/>
        <item sd="0" x="17"/>
        <item sd="0" x="22"/>
        <item sd="0" x="4"/>
        <item sd="0" x="21"/>
        <item sd="0" x="12"/>
        <item sd="0" x="8"/>
        <item sd="0" x="20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compact="0" outline="0" showAll="0" defaultSubtotal="0">
      <items count="1148">
        <item x="770"/>
        <item x="771"/>
        <item x="772"/>
        <item x="773"/>
        <item x="774"/>
        <item x="775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463"/>
        <item x="464"/>
        <item x="2"/>
        <item x="3"/>
        <item x="0"/>
        <item x="1"/>
        <item x="4"/>
        <item x="465"/>
        <item x="466"/>
        <item x="467"/>
        <item x="468"/>
        <item x="469"/>
        <item x="470"/>
        <item x="471"/>
        <item x="472"/>
        <item x="473"/>
        <item x="474"/>
        <item x="5"/>
        <item x="6"/>
        <item x="7"/>
        <item x="475"/>
        <item x="798"/>
        <item x="799"/>
        <item x="800"/>
        <item x="801"/>
        <item x="802"/>
        <item x="803"/>
        <item x="476"/>
        <item x="477"/>
        <item x="478"/>
        <item x="14"/>
        <item x="10"/>
        <item x="11"/>
        <item x="13"/>
        <item x="12"/>
        <item x="9"/>
        <item x="8"/>
        <item x="479"/>
        <item x="480"/>
        <item x="804"/>
        <item x="805"/>
        <item x="806"/>
        <item x="807"/>
        <item x="808"/>
        <item x="809"/>
        <item x="810"/>
        <item x="481"/>
        <item x="482"/>
        <item x="483"/>
        <item x="484"/>
        <item x="15"/>
        <item x="485"/>
        <item x="16"/>
        <item x="18"/>
        <item x="17"/>
        <item x="486"/>
        <item x="487"/>
        <item x="811"/>
        <item x="812"/>
        <item x="813"/>
        <item x="814"/>
        <item x="815"/>
        <item x="488"/>
        <item x="489"/>
        <item x="490"/>
        <item x="19"/>
        <item x="21"/>
        <item x="22"/>
        <item x="23"/>
        <item x="20"/>
        <item x="491"/>
        <item x="492"/>
        <item x="493"/>
        <item x="494"/>
        <item x="495"/>
        <item x="24"/>
        <item x="25"/>
        <item x="26"/>
        <item x="27"/>
        <item x="816"/>
        <item x="817"/>
        <item x="818"/>
        <item x="819"/>
        <item x="820"/>
        <item x="821"/>
        <item x="28"/>
        <item x="29"/>
        <item x="30"/>
        <item x="31"/>
        <item x="32"/>
        <item x="33"/>
        <item x="496"/>
        <item x="497"/>
        <item x="498"/>
        <item x="499"/>
        <item x="822"/>
        <item x="500"/>
        <item x="501"/>
        <item x="41"/>
        <item x="42"/>
        <item x="43"/>
        <item x="38"/>
        <item x="39"/>
        <item x="40"/>
        <item x="34"/>
        <item x="502"/>
        <item x="503"/>
        <item x="504"/>
        <item x="35"/>
        <item x="36"/>
        <item x="37"/>
        <item x="50"/>
        <item x="51"/>
        <item x="505"/>
        <item x="47"/>
        <item x="48"/>
        <item x="49"/>
        <item x="44"/>
        <item x="45"/>
        <item x="46"/>
        <item x="823"/>
        <item x="506"/>
        <item x="824"/>
        <item x="825"/>
        <item x="507"/>
        <item x="508"/>
        <item x="52"/>
        <item x="826"/>
        <item x="827"/>
        <item x="828"/>
        <item x="829"/>
        <item x="830"/>
        <item x="831"/>
        <item x="56"/>
        <item x="57"/>
        <item x="65"/>
        <item x="66"/>
        <item x="69"/>
        <item x="70"/>
        <item x="509"/>
        <item x="72"/>
        <item x="73"/>
        <item x="74"/>
        <item x="75"/>
        <item x="58"/>
        <item x="59"/>
        <item x="60"/>
        <item x="62"/>
        <item x="61"/>
        <item x="510"/>
        <item x="511"/>
        <item x="102"/>
        <item x="105"/>
        <item x="82"/>
        <item x="512"/>
        <item x="83"/>
        <item x="84"/>
        <item x="832"/>
        <item x="833"/>
        <item x="834"/>
        <item x="835"/>
        <item x="836"/>
        <item x="63"/>
        <item x="67"/>
        <item x="53"/>
        <item x="55"/>
        <item x="837"/>
        <item x="513"/>
        <item x="76"/>
        <item x="77"/>
        <item x="78"/>
        <item x="85"/>
        <item x="88"/>
        <item x="87"/>
        <item x="89"/>
        <item x="92"/>
        <item x="95"/>
        <item x="98"/>
        <item x="103"/>
        <item x="106"/>
        <item x="71"/>
        <item x="838"/>
        <item x="839"/>
        <item x="840"/>
        <item x="841"/>
        <item x="842"/>
        <item x="64"/>
        <item x="68"/>
        <item x="54"/>
        <item x="843"/>
        <item x="844"/>
        <item x="514"/>
        <item x="79"/>
        <item x="80"/>
        <item x="81"/>
        <item x="86"/>
        <item x="90"/>
        <item x="93"/>
        <item x="515"/>
        <item x="99"/>
        <item x="100"/>
        <item x="101"/>
        <item x="104"/>
        <item x="107"/>
        <item x="845"/>
        <item x="846"/>
        <item x="847"/>
        <item x="848"/>
        <item x="849"/>
        <item x="91"/>
        <item x="96"/>
        <item x="97"/>
        <item x="516"/>
        <item x="517"/>
        <item x="94"/>
        <item x="518"/>
        <item x="850"/>
        <item x="108"/>
        <item x="111"/>
        <item x="110"/>
        <item x="109"/>
        <item x="851"/>
        <item x="852"/>
        <item x="853"/>
        <item x="854"/>
        <item x="855"/>
        <item x="519"/>
        <item x="140"/>
        <item x="132"/>
        <item x="856"/>
        <item x="857"/>
        <item x="858"/>
        <item x="859"/>
        <item x="860"/>
        <item x="861"/>
        <item x="862"/>
        <item x="863"/>
        <item x="864"/>
        <item x="139"/>
        <item x="865"/>
        <item x="866"/>
        <item x="867"/>
        <item x="868"/>
        <item x="120"/>
        <item x="115"/>
        <item x="127"/>
        <item x="135"/>
        <item x="142"/>
        <item x="869"/>
        <item x="870"/>
        <item x="871"/>
        <item x="872"/>
        <item x="873"/>
        <item x="131"/>
        <item x="520"/>
        <item x="124"/>
        <item x="521"/>
        <item x="118"/>
        <item x="522"/>
        <item x="143"/>
        <item x="874"/>
        <item x="875"/>
        <item x="876"/>
        <item x="877"/>
        <item x="878"/>
        <item x="114"/>
        <item x="122"/>
        <item x="116"/>
        <item x="523"/>
        <item x="128"/>
        <item x="524"/>
        <item x="525"/>
        <item x="526"/>
        <item x="113"/>
        <item x="130"/>
        <item x="144"/>
        <item x="879"/>
        <item x="880"/>
        <item x="881"/>
        <item x="882"/>
        <item x="121"/>
        <item x="117"/>
        <item x="112"/>
        <item x="133"/>
        <item x="134"/>
        <item x="123"/>
        <item x="527"/>
        <item x="137"/>
        <item x="136"/>
        <item x="883"/>
        <item x="528"/>
        <item x="529"/>
        <item x="145"/>
        <item x="884"/>
        <item x="885"/>
        <item x="886"/>
        <item x="138"/>
        <item x="125"/>
        <item x="129"/>
        <item x="119"/>
        <item x="146"/>
        <item x="126"/>
        <item x="530"/>
        <item x="141"/>
        <item x="147"/>
        <item x="887"/>
        <item x="163"/>
        <item x="155"/>
        <item x="148"/>
        <item x="149"/>
        <item x="888"/>
        <item x="889"/>
        <item x="890"/>
        <item x="891"/>
        <item x="892"/>
        <item x="150"/>
        <item x="157"/>
        <item x="151"/>
        <item x="152"/>
        <item x="153"/>
        <item x="154"/>
        <item x="531"/>
        <item x="156"/>
        <item x="158"/>
        <item x="893"/>
        <item x="168"/>
        <item x="894"/>
        <item x="164"/>
        <item x="165"/>
        <item x="166"/>
        <item x="167"/>
        <item x="532"/>
        <item x="533"/>
        <item x="169"/>
        <item x="534"/>
        <item x="535"/>
        <item x="172"/>
        <item x="536"/>
        <item x="171"/>
        <item x="895"/>
        <item x="896"/>
        <item x="170"/>
        <item x="537"/>
        <item x="538"/>
        <item x="897"/>
        <item x="159"/>
        <item x="160"/>
        <item x="161"/>
        <item x="162"/>
        <item x="539"/>
        <item x="178"/>
        <item x="179"/>
        <item x="182"/>
        <item x="898"/>
        <item x="186"/>
        <item x="899"/>
        <item x="900"/>
        <item x="901"/>
        <item x="902"/>
        <item x="903"/>
        <item x="183"/>
        <item x="540"/>
        <item x="541"/>
        <item x="184"/>
        <item x="174"/>
        <item x="180"/>
        <item x="185"/>
        <item x="187"/>
        <item x="173"/>
        <item x="177"/>
        <item x="542"/>
        <item x="543"/>
        <item x="544"/>
        <item x="181"/>
        <item x="545"/>
        <item x="546"/>
        <item x="176"/>
        <item x="175"/>
        <item x="547"/>
        <item x="548"/>
        <item x="192"/>
        <item x="549"/>
        <item x="550"/>
        <item x="551"/>
        <item x="188"/>
        <item x="193"/>
        <item x="904"/>
        <item x="905"/>
        <item x="906"/>
        <item x="907"/>
        <item x="191"/>
        <item x="552"/>
        <item x="553"/>
        <item x="554"/>
        <item x="555"/>
        <item x="556"/>
        <item x="557"/>
        <item x="190"/>
        <item x="558"/>
        <item x="559"/>
        <item x="560"/>
        <item x="561"/>
        <item x="562"/>
        <item x="563"/>
        <item x="564"/>
        <item x="565"/>
        <item x="189"/>
        <item x="566"/>
        <item x="567"/>
        <item x="908"/>
        <item x="909"/>
        <item x="910"/>
        <item x="911"/>
        <item x="912"/>
        <item x="913"/>
        <item x="914"/>
        <item x="199"/>
        <item x="200"/>
        <item x="203"/>
        <item x="201"/>
        <item x="194"/>
        <item x="195"/>
        <item x="196"/>
        <item x="197"/>
        <item x="198"/>
        <item x="568"/>
        <item x="569"/>
        <item x="570"/>
        <item x="571"/>
        <item x="204"/>
        <item x="572"/>
        <item x="207"/>
        <item x="915"/>
        <item x="205"/>
        <item x="916"/>
        <item x="208"/>
        <item x="917"/>
        <item x="918"/>
        <item x="206"/>
        <item x="202"/>
        <item x="919"/>
        <item x="920"/>
        <item x="921"/>
        <item x="215"/>
        <item x="922"/>
        <item x="923"/>
        <item x="924"/>
        <item x="925"/>
        <item x="926"/>
        <item x="216"/>
        <item x="573"/>
        <item x="214"/>
        <item x="217"/>
        <item x="218"/>
        <item x="219"/>
        <item x="220"/>
        <item x="211"/>
        <item x="221"/>
        <item x="574"/>
        <item x="213"/>
        <item x="210"/>
        <item x="209"/>
        <item x="260"/>
        <item x="261"/>
        <item x="267"/>
        <item x="262"/>
        <item x="575"/>
        <item x="263"/>
        <item x="231"/>
        <item x="576"/>
        <item x="225"/>
        <item x="577"/>
        <item x="264"/>
        <item x="578"/>
        <item x="265"/>
        <item x="579"/>
        <item x="580"/>
        <item x="266"/>
        <item x="230"/>
        <item x="222"/>
        <item x="581"/>
        <item x="212"/>
        <item x="582"/>
        <item x="583"/>
        <item x="235"/>
        <item x="236"/>
        <item x="259"/>
        <item x="584"/>
        <item x="229"/>
        <item x="228"/>
        <item x="244"/>
        <item x="223"/>
        <item x="237"/>
        <item x="238"/>
        <item x="239"/>
        <item x="232"/>
        <item x="240"/>
        <item x="224"/>
        <item x="226"/>
        <item x="242"/>
        <item x="245"/>
        <item x="243"/>
        <item x="585"/>
        <item x="246"/>
        <item x="233"/>
        <item x="227"/>
        <item x="241"/>
        <item x="247"/>
        <item x="248"/>
        <item x="586"/>
        <item x="249"/>
        <item x="234"/>
        <item x="250"/>
        <item x="251"/>
        <item x="252"/>
        <item x="253"/>
        <item x="587"/>
        <item x="254"/>
        <item x="927"/>
        <item x="255"/>
        <item x="588"/>
        <item x="256"/>
        <item x="257"/>
        <item x="589"/>
        <item x="590"/>
        <item x="258"/>
        <item x="928"/>
        <item x="929"/>
        <item x="930"/>
        <item x="931"/>
        <item x="932"/>
        <item x="933"/>
        <item x="591"/>
        <item x="592"/>
        <item x="593"/>
        <item x="594"/>
        <item x="595"/>
        <item x="596"/>
        <item x="597"/>
        <item x="268"/>
        <item x="598"/>
        <item x="599"/>
        <item x="600"/>
        <item x="277"/>
        <item x="275"/>
        <item x="276"/>
        <item x="271"/>
        <item x="601"/>
        <item x="274"/>
        <item x="272"/>
        <item x="602"/>
        <item x="273"/>
        <item x="603"/>
        <item x="270"/>
        <item x="269"/>
        <item x="604"/>
        <item x="605"/>
        <item x="606"/>
        <item x="607"/>
        <item x="934"/>
        <item x="935"/>
        <item x="936"/>
        <item x="937"/>
        <item x="938"/>
        <item x="939"/>
        <item x="940"/>
        <item x="608"/>
        <item x="609"/>
        <item x="610"/>
        <item x="611"/>
        <item x="612"/>
        <item x="613"/>
        <item x="279"/>
        <item x="278"/>
        <item x="614"/>
        <item x="280"/>
        <item x="941"/>
        <item x="942"/>
        <item x="943"/>
        <item x="944"/>
        <item x="945"/>
        <item x="946"/>
        <item x="947"/>
        <item x="287"/>
        <item x="288"/>
        <item x="285"/>
        <item x="281"/>
        <item x="286"/>
        <item x="289"/>
        <item x="290"/>
        <item x="284"/>
        <item x="292"/>
        <item x="282"/>
        <item x="283"/>
        <item x="293"/>
        <item x="294"/>
        <item x="295"/>
        <item x="296"/>
        <item x="615"/>
        <item x="616"/>
        <item x="617"/>
        <item x="618"/>
        <item x="619"/>
        <item x="620"/>
        <item x="948"/>
        <item x="291"/>
        <item x="621"/>
        <item x="310"/>
        <item x="308"/>
        <item x="311"/>
        <item x="309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312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304"/>
        <item x="305"/>
        <item x="307"/>
        <item x="306"/>
        <item x="297"/>
        <item x="299"/>
        <item x="298"/>
        <item x="300"/>
        <item x="622"/>
        <item x="301"/>
        <item x="303"/>
        <item x="302"/>
        <item x="972"/>
        <item x="316"/>
        <item x="313"/>
        <item x="314"/>
        <item x="623"/>
        <item x="315"/>
        <item x="973"/>
        <item x="325"/>
        <item x="321"/>
        <item x="974"/>
        <item x="975"/>
        <item x="976"/>
        <item x="977"/>
        <item x="978"/>
        <item x="323"/>
        <item x="319"/>
        <item x="320"/>
        <item x="322"/>
        <item x="318"/>
        <item x="317"/>
        <item x="329"/>
        <item x="336"/>
        <item x="343"/>
        <item x="342"/>
        <item x="330"/>
        <item x="333"/>
        <item x="979"/>
        <item x="338"/>
        <item x="341"/>
        <item x="339"/>
        <item x="340"/>
        <item x="335"/>
        <item x="331"/>
        <item x="332"/>
        <item x="324"/>
        <item x="337"/>
        <item x="624"/>
        <item x="334"/>
        <item x="980"/>
        <item x="981"/>
        <item x="982"/>
        <item x="983"/>
        <item x="984"/>
        <item x="625"/>
        <item x="626"/>
        <item x="627"/>
        <item x="628"/>
        <item x="629"/>
        <item x="344"/>
        <item x="985"/>
        <item x="986"/>
        <item x="987"/>
        <item x="630"/>
        <item x="345"/>
        <item x="631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1001"/>
        <item x="1002"/>
        <item x="1003"/>
        <item x="1004"/>
        <item x="1005"/>
        <item x="644"/>
        <item x="645"/>
        <item x="646"/>
        <item x="647"/>
        <item x="648"/>
        <item x="649"/>
        <item x="650"/>
        <item x="651"/>
        <item x="652"/>
        <item x="1006"/>
        <item x="1007"/>
        <item x="1008"/>
        <item x="1009"/>
        <item x="1010"/>
        <item x="1011"/>
        <item x="1012"/>
        <item x="653"/>
        <item x="654"/>
        <item x="1013"/>
        <item x="1014"/>
        <item x="1015"/>
        <item x="655"/>
        <item x="656"/>
        <item x="657"/>
        <item x="1016"/>
        <item x="658"/>
        <item x="659"/>
        <item x="1017"/>
        <item x="660"/>
        <item x="1018"/>
        <item x="1019"/>
        <item x="1020"/>
        <item x="1021"/>
        <item x="1022"/>
        <item x="1023"/>
        <item x="661"/>
        <item x="662"/>
        <item x="663"/>
        <item x="1024"/>
        <item x="664"/>
        <item x="665"/>
        <item x="1025"/>
        <item x="666"/>
        <item x="1026"/>
        <item x="1027"/>
        <item x="1028"/>
        <item x="1029"/>
        <item x="1030"/>
        <item x="1031"/>
        <item x="667"/>
        <item x="668"/>
        <item x="669"/>
        <item x="1032"/>
        <item x="1033"/>
        <item x="1034"/>
        <item x="670"/>
        <item x="671"/>
        <item x="1035"/>
        <item x="672"/>
        <item x="673"/>
        <item x="1036"/>
        <item x="1037"/>
        <item x="1038"/>
        <item x="1039"/>
        <item x="674"/>
        <item x="1040"/>
        <item x="1041"/>
        <item x="1042"/>
        <item x="1043"/>
        <item x="1044"/>
        <item x="1045"/>
        <item x="1046"/>
        <item x="675"/>
        <item x="1047"/>
        <item x="1048"/>
        <item x="1049"/>
        <item x="1050"/>
        <item x="1051"/>
        <item x="1052"/>
        <item x="1053"/>
        <item x="1054"/>
        <item x="676"/>
        <item x="1055"/>
        <item x="1056"/>
        <item x="1057"/>
        <item x="677"/>
        <item x="678"/>
        <item x="1058"/>
        <item x="679"/>
        <item x="680"/>
        <item x="681"/>
        <item x="682"/>
        <item x="346"/>
        <item x="1059"/>
        <item x="1060"/>
        <item x="1061"/>
        <item x="1062"/>
        <item x="1063"/>
        <item x="683"/>
        <item x="348"/>
        <item x="347"/>
        <item x="684"/>
        <item x="349"/>
        <item x="685"/>
        <item x="350"/>
        <item x="686"/>
        <item x="351"/>
        <item x="687"/>
        <item x="353"/>
        <item x="352"/>
        <item x="363"/>
        <item x="360"/>
        <item x="359"/>
        <item x="361"/>
        <item x="358"/>
        <item x="356"/>
        <item x="355"/>
        <item x="362"/>
        <item x="357"/>
        <item x="1064"/>
        <item x="1065"/>
        <item x="1066"/>
        <item x="1067"/>
        <item x="354"/>
        <item x="1068"/>
        <item x="1069"/>
        <item x="1070"/>
        <item x="1071"/>
        <item x="1072"/>
        <item x="1073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1074"/>
        <item x="1075"/>
        <item x="1076"/>
        <item x="1077"/>
        <item x="1078"/>
        <item x="1079"/>
        <item x="1080"/>
        <item x="1081"/>
        <item x="701"/>
        <item x="702"/>
        <item x="364"/>
        <item x="365"/>
        <item x="366"/>
        <item x="367"/>
        <item x="368"/>
        <item x="703"/>
        <item x="704"/>
        <item x="369"/>
        <item x="370"/>
        <item x="371"/>
        <item x="372"/>
        <item x="1082"/>
        <item x="374"/>
        <item x="375"/>
        <item x="1083"/>
        <item x="1084"/>
        <item x="1085"/>
        <item x="1086"/>
        <item x="376"/>
        <item x="377"/>
        <item x="378"/>
        <item x="379"/>
        <item x="386"/>
        <item x="373"/>
        <item x="380"/>
        <item x="381"/>
        <item x="382"/>
        <item x="383"/>
        <item x="384"/>
        <item x="385"/>
        <item x="388"/>
        <item x="387"/>
        <item x="705"/>
        <item x="706"/>
        <item x="1087"/>
        <item x="1088"/>
        <item x="1089"/>
        <item x="1090"/>
        <item x="1091"/>
        <item x="707"/>
        <item x="708"/>
        <item x="709"/>
        <item x="710"/>
        <item x="711"/>
        <item x="712"/>
        <item x="1092"/>
        <item x="1093"/>
        <item x="713"/>
        <item x="714"/>
        <item x="715"/>
        <item x="716"/>
        <item x="717"/>
        <item x="718"/>
        <item x="719"/>
        <item x="1094"/>
        <item x="1095"/>
        <item x="1096"/>
        <item x="1097"/>
        <item x="1098"/>
        <item x="1099"/>
        <item x="389"/>
        <item x="720"/>
        <item x="390"/>
        <item x="721"/>
        <item x="722"/>
        <item x="723"/>
        <item x="724"/>
        <item x="725"/>
        <item x="726"/>
        <item x="727"/>
        <item x="1100"/>
        <item x="1101"/>
        <item x="728"/>
        <item x="729"/>
        <item x="1102"/>
        <item x="1103"/>
        <item x="1104"/>
        <item x="1105"/>
        <item x="391"/>
        <item x="730"/>
        <item x="731"/>
        <item x="732"/>
        <item x="392"/>
        <item x="733"/>
        <item x="734"/>
        <item x="735"/>
        <item x="736"/>
        <item x="1106"/>
        <item x="1107"/>
        <item x="1108"/>
        <item x="1109"/>
        <item x="1110"/>
        <item x="399"/>
        <item x="737"/>
        <item x="393"/>
        <item x="396"/>
        <item x="395"/>
        <item x="397"/>
        <item x="738"/>
        <item x="739"/>
        <item x="740"/>
        <item x="398"/>
        <item x="394"/>
        <item x="402"/>
        <item x="401"/>
        <item x="409"/>
        <item x="400"/>
        <item x="407"/>
        <item x="408"/>
        <item x="403"/>
        <item x="1111"/>
        <item x="406"/>
        <item x="404"/>
        <item x="405"/>
        <item x="741"/>
        <item x="742"/>
        <item x="743"/>
        <item x="1112"/>
        <item x="1113"/>
        <item x="1114"/>
        <item x="1115"/>
        <item x="1116"/>
        <item x="1117"/>
        <item x="744"/>
        <item x="410"/>
        <item x="745"/>
        <item x="411"/>
        <item x="746"/>
        <item x="412"/>
        <item x="416"/>
        <item x="1118"/>
        <item x="1119"/>
        <item x="418"/>
        <item x="413"/>
        <item x="415"/>
        <item x="417"/>
        <item x="414"/>
        <item x="747"/>
        <item x="748"/>
        <item x="749"/>
        <item x="750"/>
        <item x="1120"/>
        <item x="1121"/>
        <item x="1122"/>
        <item x="1123"/>
        <item x="1124"/>
        <item x="1125"/>
        <item x="751"/>
        <item x="752"/>
        <item x="419"/>
        <item x="420"/>
        <item x="421"/>
        <item x="422"/>
        <item x="423"/>
        <item x="424"/>
        <item x="425"/>
        <item x="426"/>
        <item x="1126"/>
        <item x="1127"/>
        <item x="1128"/>
        <item x="1129"/>
        <item x="1130"/>
        <item x="429"/>
        <item x="430"/>
        <item x="753"/>
        <item x="754"/>
        <item x="755"/>
        <item x="431"/>
        <item x="428"/>
        <item x="427"/>
        <item x="432"/>
        <item x="433"/>
        <item x="434"/>
        <item x="435"/>
        <item x="1131"/>
        <item x="1132"/>
        <item x="1133"/>
        <item x="1134"/>
        <item x="1135"/>
        <item x="1136"/>
        <item x="1137"/>
        <item x="1138"/>
        <item x="756"/>
        <item x="757"/>
        <item x="758"/>
        <item x="759"/>
        <item x="760"/>
        <item x="761"/>
        <item x="762"/>
        <item x="1139"/>
        <item x="1140"/>
        <item x="1141"/>
        <item x="1142"/>
        <item x="1143"/>
        <item x="1144"/>
        <item x="436"/>
        <item x="437"/>
        <item x="438"/>
        <item x="441"/>
        <item x="439"/>
        <item x="440"/>
        <item x="448"/>
        <item x="442"/>
        <item x="443"/>
        <item x="444"/>
        <item x="445"/>
        <item x="446"/>
        <item x="447"/>
        <item x="763"/>
        <item x="764"/>
        <item x="765"/>
        <item x="766"/>
        <item x="767"/>
        <item x="768"/>
        <item x="769"/>
        <item x="326"/>
        <item x="327"/>
        <item x="328"/>
        <item x="1145"/>
        <item x="1146"/>
        <item x="1147"/>
      </items>
    </pivotField>
    <pivotField axis="axisRow" compact="0" outline="0" showAll="0">
      <items count="38">
        <item sd="0" x="2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31"/>
        <item sd="0" x="19"/>
        <item sd="0" x="20"/>
        <item sd="0" x="21"/>
        <item sd="0" x="22"/>
        <item sd="0" x="32"/>
        <item sd="0" x="23"/>
        <item sd="0" x="24"/>
        <item sd="0" x="25"/>
        <item sd="0" x="26"/>
        <item sd="0" x="27"/>
        <item sd="0" x="28"/>
        <item sd="0" m="1" x="36"/>
        <item sd="0" x="30"/>
        <item sd="0" x="33"/>
        <item sd="0" x="34"/>
        <item sd="0" x="35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 defaultSubtotal="0">
      <items count="101">
        <item sd="0" x="7"/>
        <item sd="0" x="69"/>
        <item sd="0" x="8"/>
        <item sd="0" x="81"/>
        <item sd="0" x="87"/>
        <item sd="0" x="51"/>
        <item sd="0" x="52"/>
        <item sd="0" x="93"/>
        <item sd="0" x="70"/>
        <item sd="0" x="85"/>
        <item sd="0" x="88"/>
        <item sd="0" x="47"/>
        <item sd="0" x="86"/>
        <item sd="0" x="31"/>
        <item sd="0" x="32"/>
        <item sd="0" x="13"/>
        <item sd="0" x="50"/>
        <item sd="0" x="0"/>
        <item sd="0" x="12"/>
        <item sd="0" x="79"/>
        <item sd="0" x="41"/>
        <item sd="0" x="66"/>
        <item sd="0" x="10"/>
        <item sd="0" x="90"/>
        <item sd="0" x="26"/>
        <item sd="0" x="97"/>
        <item sd="0" x="4"/>
        <item sd="0" x="16"/>
        <item sd="0" x="23"/>
        <item sd="0" x="9"/>
        <item sd="0" x="68"/>
        <item sd="0" x="84"/>
        <item sd="0" x="19"/>
        <item sd="0" x="45"/>
        <item sd="0" x="1"/>
        <item sd="0" x="3"/>
        <item sd="0" x="2"/>
        <item sd="0" x="72"/>
        <item sd="0" x="43"/>
        <item sd="0" x="80"/>
        <item sd="0" x="61"/>
        <item sd="0" x="48"/>
        <item sd="0" x="44"/>
        <item sd="0" x="20"/>
        <item sd="0" x="57"/>
        <item sd="0" x="58"/>
        <item sd="0" x="55"/>
        <item sd="0" x="6"/>
        <item sd="0" x="37"/>
        <item sd="0" x="21"/>
        <item sd="0" x="24"/>
        <item sd="0" x="73"/>
        <item sd="0" x="60"/>
        <item sd="0" x="59"/>
        <item sd="0" x="42"/>
        <item sd="0" x="82"/>
        <item sd="0" x="65"/>
        <item sd="0" x="74"/>
        <item sd="0" x="64"/>
        <item sd="0" x="92"/>
        <item sd="0" x="11"/>
        <item sd="0" x="46"/>
        <item sd="0" x="25"/>
        <item sd="0" x="35"/>
        <item sd="0" x="14"/>
        <item sd="0" x="15"/>
        <item sd="0" x="22"/>
        <item sd="0" x="76"/>
        <item sd="0" x="75"/>
        <item sd="0" x="96"/>
        <item sd="0" x="36"/>
        <item sd="0" x="95"/>
        <item sd="0" x="5"/>
        <item sd="0" x="94"/>
        <item sd="0" x="34"/>
        <item sd="0" x="77"/>
        <item sd="0" x="17"/>
        <item sd="0" x="54"/>
        <item sd="0" x="40"/>
        <item sd="0" x="83"/>
        <item sd="0" x="63"/>
        <item sd="0" x="67"/>
        <item sd="0" x="49"/>
        <item sd="0" x="91"/>
        <item sd="0" x="38"/>
        <item sd="0" x="62"/>
        <item sd="0" x="29"/>
        <item sd="0" x="99"/>
        <item sd="0" x="53"/>
        <item sd="0" x="39"/>
        <item sd="0" x="56"/>
        <item sd="0" x="27"/>
        <item sd="0" x="78"/>
        <item sd="0" x="89"/>
        <item sd="0" x="30"/>
        <item sd="0" x="71"/>
        <item sd="0" x="98"/>
        <item sd="0" x="33"/>
        <item sd="0" x="28"/>
        <item sd="0" x="18"/>
        <item x="100"/>
      </items>
    </pivotField>
    <pivotField axis="axisPage" compact="0" outline="0" showAll="0" defaultSubtotal="0">
      <items count="546">
        <item x="42"/>
        <item x="34"/>
        <item x="35"/>
        <item x="36"/>
        <item x="37"/>
        <item x="38"/>
        <item x="39"/>
        <item x="40"/>
        <item x="41"/>
        <item x="45"/>
        <item x="46"/>
        <item x="47"/>
        <item x="254"/>
        <item x="489"/>
        <item x="476"/>
        <item x="428"/>
        <item x="423"/>
        <item x="205"/>
        <item x="153"/>
        <item x="137"/>
        <item x="138"/>
        <item x="150"/>
        <item x="141"/>
        <item x="135"/>
        <item x="284"/>
        <item x="271"/>
        <item x="521"/>
        <item x="336"/>
        <item x="214"/>
        <item x="493"/>
        <item x="267"/>
        <item x="246"/>
        <item x="31"/>
        <item x="496"/>
        <item x="512"/>
        <item x="218"/>
        <item x="236"/>
        <item x="534"/>
        <item x="332"/>
        <item x="372"/>
        <item x="488"/>
        <item x="142"/>
        <item x="415"/>
        <item x="263"/>
        <item x="19"/>
        <item x="21"/>
        <item x="333"/>
        <item x="429"/>
        <item x="221"/>
        <item x="335"/>
        <item x="255"/>
        <item x="264"/>
        <item x="535"/>
        <item x="266"/>
        <item x="337"/>
        <item x="26"/>
        <item x="395"/>
        <item x="396"/>
        <item x="458"/>
        <item x="33"/>
        <item x="257"/>
        <item x="339"/>
        <item x="212"/>
        <item x="233"/>
        <item x="367"/>
        <item x="248"/>
        <item x="375"/>
        <item x="513"/>
        <item x="514"/>
        <item x="515"/>
        <item x="516"/>
        <item x="250"/>
        <item x="215"/>
        <item x="433"/>
        <item x="490"/>
        <item x="424"/>
        <item x="524"/>
        <item x="224"/>
        <item x="258"/>
        <item x="414"/>
        <item x="368"/>
        <item x="369"/>
        <item x="43"/>
        <item x="294"/>
        <item x="370"/>
        <item x="252"/>
        <item x="398"/>
        <item x="371"/>
        <item x="340"/>
        <item x="230"/>
        <item x="341"/>
        <item x="22"/>
        <item x="482"/>
        <item x="408"/>
        <item x="133"/>
        <item x="129"/>
        <item x="431"/>
        <item x="416"/>
        <item x="386"/>
        <item x="399"/>
        <item x="30"/>
        <item x="343"/>
        <item x="480"/>
        <item x="239"/>
        <item x="235"/>
        <item x="384"/>
        <item x="412"/>
        <item x="479"/>
        <item x="385"/>
        <item x="32"/>
        <item x="520"/>
        <item x="401"/>
        <item x="348"/>
        <item x="130"/>
        <item x="128"/>
        <item x="259"/>
        <item x="362"/>
        <item x="237"/>
        <item x="363"/>
        <item x="457"/>
        <item x="456"/>
        <item x="487"/>
        <item x="381"/>
        <item x="134"/>
        <item x="140"/>
        <item x="164"/>
        <item x="383"/>
        <item x="539"/>
        <item x="538"/>
        <item x="328"/>
        <item x="290"/>
        <item x="144"/>
        <item x="136"/>
        <item x="243"/>
        <item x="222"/>
        <item x="485"/>
        <item x="542"/>
        <item x="528"/>
        <item x="379"/>
        <item x="338"/>
        <item x="494"/>
        <item x="265"/>
        <item x="409"/>
        <item x="382"/>
        <item x="432"/>
        <item x="377"/>
        <item x="216"/>
        <item x="200"/>
        <item x="430"/>
        <item x="219"/>
        <item x="232"/>
        <item x="226"/>
        <item x="334"/>
        <item x="405"/>
        <item x="364"/>
        <item x="387"/>
        <item x="197"/>
        <item x="397"/>
        <item x="2"/>
        <item x="517"/>
        <item x="238"/>
        <item x="210"/>
        <item x="527"/>
        <item x="286"/>
        <item x="518"/>
        <item x="388"/>
        <item x="325"/>
        <item x="207"/>
        <item x="199"/>
        <item x="245"/>
        <item x="244"/>
        <item x="420"/>
        <item x="260"/>
        <item x="419"/>
        <item x="206"/>
        <item x="132"/>
        <item x="324"/>
        <item x="223"/>
        <item x="342"/>
        <item x="234"/>
        <item x="374"/>
        <item x="373"/>
        <item x="44"/>
        <item x="125"/>
        <item x="537"/>
        <item x="213"/>
        <item x="417"/>
        <item x="227"/>
        <item x="413"/>
        <item x="498"/>
        <item x="251"/>
        <item x="481"/>
        <item x="403"/>
        <item x="201"/>
        <item x="211"/>
        <item x="249"/>
        <item x="247"/>
        <item x="323"/>
        <item x="400"/>
        <item x="378"/>
        <item x="519"/>
        <item x="502"/>
        <item x="365"/>
        <item x="366"/>
        <item x="253"/>
        <item x="242"/>
        <item x="185"/>
        <item x="495"/>
        <item x="483"/>
        <item x="262"/>
        <item x="261"/>
        <item x="523"/>
        <item x="497"/>
        <item x="503"/>
        <item x="504"/>
        <item x="505"/>
        <item x="506"/>
        <item x="507"/>
        <item x="508"/>
        <item x="525"/>
        <item x="522"/>
        <item x="347"/>
        <item x="540"/>
        <item x="532"/>
        <item x="529"/>
        <item x="533"/>
        <item x="350"/>
        <item x="541"/>
        <item x="531"/>
        <item x="351"/>
        <item x="352"/>
        <item x="353"/>
        <item x="225"/>
        <item x="354"/>
        <item x="500"/>
        <item x="511"/>
        <item x="355"/>
        <item x="499"/>
        <item x="356"/>
        <item x="357"/>
        <item x="202"/>
        <item x="198"/>
        <item x="358"/>
        <item x="131"/>
        <item x="148"/>
        <item x="146"/>
        <item x="147"/>
        <item x="359"/>
        <item x="536"/>
        <item x="478"/>
        <item x="360"/>
        <item x="361"/>
        <item x="139"/>
        <item x="269"/>
        <item x="407"/>
        <item x="509"/>
        <item x="344"/>
        <item x="484"/>
        <item x="208"/>
        <item x="411"/>
        <item x="209"/>
        <item x="404"/>
        <item x="349"/>
        <item x="152"/>
        <item x="231"/>
        <item x="402"/>
        <item x="406"/>
        <item x="410"/>
        <item x="20"/>
        <item x="145"/>
        <item x="331"/>
        <item x="327"/>
        <item x="149"/>
        <item x="330"/>
        <item x="329"/>
        <item x="256"/>
        <item x="486"/>
        <item x="376"/>
        <item x="203"/>
        <item x="217"/>
        <item x="530"/>
        <item x="510"/>
        <item x="326"/>
        <item x="228"/>
        <item x="151"/>
        <item x="492"/>
        <item x="389"/>
        <item x="491"/>
        <item x="289"/>
        <item x="3"/>
        <item x="270"/>
        <item x="1"/>
        <item x="346"/>
        <item x="345"/>
        <item x="143"/>
        <item x="501"/>
        <item x="418"/>
        <item x="175"/>
        <item x="187"/>
        <item x="314"/>
        <item x="309"/>
        <item x="70"/>
        <item x="74"/>
        <item x="66"/>
        <item x="81"/>
        <item x="65"/>
        <item x="62"/>
        <item x="173"/>
        <item x="80"/>
        <item x="73"/>
        <item x="79"/>
        <item x="181"/>
        <item x="172"/>
        <item x="85"/>
        <item x="58"/>
        <item x="86"/>
        <item x="459"/>
        <item x="461"/>
        <item x="463"/>
        <item x="464"/>
        <item x="477"/>
        <item x="468"/>
        <item x="475"/>
        <item x="467"/>
        <item x="474"/>
        <item x="16"/>
        <item x="12"/>
        <item x="14"/>
        <item x="13"/>
        <item x="7"/>
        <item x="15"/>
        <item x="460"/>
        <item x="293"/>
        <item x="273"/>
        <item x="279"/>
        <item x="306"/>
        <item x="276"/>
        <item x="277"/>
        <item x="469"/>
        <item x="471"/>
        <item x="472"/>
        <item x="470"/>
        <item x="297"/>
        <item x="295"/>
        <item x="280"/>
        <item x="303"/>
        <item x="292"/>
        <item x="321"/>
        <item x="272"/>
        <item x="316"/>
        <item x="299"/>
        <item x="302"/>
        <item x="278"/>
        <item x="296"/>
        <item x="308"/>
        <item x="304"/>
        <item x="450"/>
        <item x="435"/>
        <item x="240"/>
        <item x="163"/>
        <item x="220"/>
        <item x="285"/>
        <item x="57"/>
        <item x="447"/>
        <item x="229"/>
        <item x="543"/>
        <item x="526"/>
        <item x="545"/>
        <item x="436"/>
        <item x="127"/>
        <item x="204"/>
        <item x="53"/>
        <item x="25"/>
        <item x="186"/>
        <item x="126"/>
        <item x="307"/>
        <item x="24"/>
        <item x="115"/>
        <item x="380"/>
        <item x="291"/>
        <item x="288"/>
        <item x="287"/>
        <item x="301"/>
        <item x="114"/>
        <item x="443"/>
        <item x="190"/>
        <item x="72"/>
        <item x="184"/>
        <item x="169"/>
        <item x="318"/>
        <item x="434"/>
        <item x="268"/>
        <item x="170"/>
        <item x="177"/>
        <item x="82"/>
        <item x="192"/>
        <item x="193"/>
        <item x="194"/>
        <item x="88"/>
        <item x="158"/>
        <item x="438"/>
        <item x="311"/>
        <item x="310"/>
        <item x="421"/>
        <item x="71"/>
        <item x="422"/>
        <item x="322"/>
        <item x="300"/>
        <item x="166"/>
        <item x="191"/>
        <item x="167"/>
        <item x="473"/>
        <item x="465"/>
        <item x="89"/>
        <item x="87"/>
        <item x="52"/>
        <item x="446"/>
        <item x="319"/>
        <item x="84"/>
        <item x="179"/>
        <item x="56"/>
        <item x="448"/>
        <item x="462"/>
        <item x="69"/>
        <item x="18"/>
        <item x="442"/>
        <item x="159"/>
        <item x="281"/>
        <item x="182"/>
        <item x="29"/>
        <item x="437"/>
        <item x="544"/>
        <item x="48"/>
        <item x="161"/>
        <item x="162"/>
        <item x="441"/>
        <item x="64"/>
        <item x="439"/>
        <item x="63"/>
        <item x="155"/>
        <item x="154"/>
        <item x="156"/>
        <item x="174"/>
        <item x="180"/>
        <item x="171"/>
        <item x="315"/>
        <item x="183"/>
        <item x="196"/>
        <item x="195"/>
        <item x="320"/>
        <item x="317"/>
        <item x="5"/>
        <item x="8"/>
        <item x="391"/>
        <item x="10"/>
        <item x="4"/>
        <item x="393"/>
        <item x="394"/>
        <item x="11"/>
        <item x="392"/>
        <item x="6"/>
        <item x="390"/>
        <item x="9"/>
        <item x="275"/>
        <item x="298"/>
        <item x="188"/>
        <item x="455"/>
        <item x="454"/>
        <item x="312"/>
        <item x="59"/>
        <item x="120"/>
        <item x="119"/>
        <item x="95"/>
        <item x="101"/>
        <item x="94"/>
        <item x="100"/>
        <item x="116"/>
        <item x="111"/>
        <item x="124"/>
        <item x="110"/>
        <item x="50"/>
        <item x="109"/>
        <item x="112"/>
        <item x="106"/>
        <item x="105"/>
        <item x="76"/>
        <item x="67"/>
        <item x="123"/>
        <item x="102"/>
        <item x="103"/>
        <item x="104"/>
        <item x="77"/>
        <item x="118"/>
        <item x="75"/>
        <item x="453"/>
        <item x="49"/>
        <item x="121"/>
        <item x="108"/>
        <item x="113"/>
        <item x="90"/>
        <item x="96"/>
        <item x="68"/>
        <item x="117"/>
        <item x="452"/>
        <item x="92"/>
        <item x="93"/>
        <item x="99"/>
        <item x="107"/>
        <item x="91"/>
        <item x="97"/>
        <item x="98"/>
        <item x="466"/>
        <item x="61"/>
        <item x="17"/>
        <item x="51"/>
        <item x="274"/>
        <item x="305"/>
        <item x="78"/>
        <item x="165"/>
        <item x="451"/>
        <item x="83"/>
        <item x="445"/>
        <item x="54"/>
        <item x="176"/>
        <item x="313"/>
        <item x="241"/>
        <item x="55"/>
        <item x="449"/>
        <item x="189"/>
        <item x="27"/>
        <item x="28"/>
        <item x="440"/>
        <item x="427"/>
        <item x="425"/>
        <item x="426"/>
        <item x="444"/>
        <item x="283"/>
        <item x="282"/>
        <item x="60"/>
        <item x="23"/>
        <item x="157"/>
        <item x="168"/>
        <item x="122"/>
        <item x="178"/>
        <item x="160"/>
        <item x="0"/>
      </items>
    </pivotField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Fields count="3">
    <field x="8"/>
    <field x="7"/>
    <field x="6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 t="grand">
      <x/>
    </i>
  </rowItems>
  <colFields count="1">
    <field x="18"/>
  </colFields>
  <colItems count="2">
    <i>
      <x/>
    </i>
    <i>
      <x v="1"/>
    </i>
  </colItems>
  <pageFields count="3">
    <pageField fld="15" hier="-1"/>
    <pageField fld="16" hier="-1"/>
    <pageField fld="5" hier="-1"/>
  </pageFields>
  <dataFields count="1">
    <dataField name="Soma de valor" fld="17" baseField="15" baseItem="2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1943-23DF-4189-9B7F-9666577B1EDA}">
  <dimension ref="A1:T2455"/>
  <sheetViews>
    <sheetView tabSelected="1" workbookViewId="0">
      <selection activeCell="K13" sqref="K13"/>
    </sheetView>
  </sheetViews>
  <sheetFormatPr defaultRowHeight="15" x14ac:dyDescent="0.25"/>
  <cols>
    <col min="7" max="7" width="11.28515625" bestFit="1" customWidth="1"/>
    <col min="8" max="8" width="33.7109375" bestFit="1" customWidth="1"/>
    <col min="9" max="9" width="28.140625" customWidth="1"/>
    <col min="11" max="11" width="25.140625" bestFit="1" customWidth="1"/>
    <col min="16" max="16" width="33.42578125" customWidth="1"/>
    <col min="18" max="18" width="15.140625" style="9" bestFit="1" customWidth="1"/>
    <col min="19" max="19" width="18.28515625" bestFit="1" customWidth="1"/>
  </cols>
  <sheetData>
    <row r="1" spans="1:1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8</v>
      </c>
      <c r="Q1" t="s">
        <v>9</v>
      </c>
      <c r="R1" s="9" t="s">
        <v>10</v>
      </c>
      <c r="S1" t="s">
        <v>11</v>
      </c>
    </row>
    <row r="2" spans="1:19" x14ac:dyDescent="0.25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tr">
        <f t="shared" ref="H2:H65" si="0">_xlfn.CONCAT(A2,".",B2,".",C2,".",D2,".",E2,".",F2,".",G2)</f>
        <v>02.001.04.122.0001.2.011.3.3.90.30.00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R2" s="9">
        <v>2500</v>
      </c>
      <c r="S2" t="s">
        <v>27</v>
      </c>
    </row>
    <row r="3" spans="1:19" x14ac:dyDescent="0.25">
      <c r="A3" t="s">
        <v>12</v>
      </c>
      <c r="B3" t="s">
        <v>13</v>
      </c>
      <c r="C3" s="2" t="s">
        <v>14</v>
      </c>
      <c r="D3" t="s">
        <v>15</v>
      </c>
      <c r="E3" t="s">
        <v>16</v>
      </c>
      <c r="F3" t="s">
        <v>17</v>
      </c>
      <c r="G3" t="s">
        <v>18</v>
      </c>
      <c r="H3" t="str">
        <f t="shared" si="0"/>
        <v>02.001.04.122.0001.2.011.3.3.90.30.00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28</v>
      </c>
      <c r="R3" s="9">
        <v>36000</v>
      </c>
      <c r="S3" t="s">
        <v>27</v>
      </c>
    </row>
    <row r="4" spans="1:19" x14ac:dyDescent="0.25">
      <c r="A4" t="s">
        <v>12</v>
      </c>
      <c r="B4" t="s">
        <v>13</v>
      </c>
      <c r="C4" s="2" t="s">
        <v>14</v>
      </c>
      <c r="D4" t="s">
        <v>15</v>
      </c>
      <c r="E4" t="s">
        <v>16</v>
      </c>
      <c r="F4" t="s">
        <v>17</v>
      </c>
      <c r="G4" t="s">
        <v>18</v>
      </c>
      <c r="H4" t="str">
        <f t="shared" si="0"/>
        <v>02.001.04.122.0001.2.011.3.3.90.30.00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29</v>
      </c>
      <c r="R4" s="9">
        <v>12000</v>
      </c>
      <c r="S4" t="s">
        <v>27</v>
      </c>
    </row>
    <row r="5" spans="1:19" x14ac:dyDescent="0.25">
      <c r="A5" t="s">
        <v>12</v>
      </c>
      <c r="B5" t="s">
        <v>13</v>
      </c>
      <c r="C5" s="2" t="s">
        <v>14</v>
      </c>
      <c r="D5" t="s">
        <v>15</v>
      </c>
      <c r="E5" t="s">
        <v>16</v>
      </c>
      <c r="F5" t="s">
        <v>17</v>
      </c>
      <c r="G5" t="s">
        <v>18</v>
      </c>
      <c r="H5" t="str">
        <f t="shared" si="0"/>
        <v>02.001.04.122.0001.2.011.3.3.90.30.00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30</v>
      </c>
      <c r="R5" s="9">
        <v>6500</v>
      </c>
      <c r="S5" t="s">
        <v>27</v>
      </c>
    </row>
    <row r="6" spans="1:19" x14ac:dyDescent="0.25">
      <c r="A6" t="s">
        <v>12</v>
      </c>
      <c r="B6" t="s">
        <v>13</v>
      </c>
      <c r="C6" s="2" t="s">
        <v>14</v>
      </c>
      <c r="D6" t="s">
        <v>15</v>
      </c>
      <c r="E6" t="s">
        <v>16</v>
      </c>
      <c r="F6" t="s">
        <v>17</v>
      </c>
      <c r="G6" t="s">
        <v>31</v>
      </c>
      <c r="H6" t="str">
        <f t="shared" si="0"/>
        <v>02.001.04.122.0001.2.011.3.3.90.39.00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32</v>
      </c>
      <c r="P6" t="s">
        <v>33</v>
      </c>
      <c r="R6" s="9">
        <v>15000</v>
      </c>
      <c r="S6" t="s">
        <v>27</v>
      </c>
    </row>
    <row r="7" spans="1:19" x14ac:dyDescent="0.25">
      <c r="A7" t="s">
        <v>12</v>
      </c>
      <c r="B7" t="s">
        <v>13</v>
      </c>
      <c r="C7" s="2" t="s">
        <v>14</v>
      </c>
      <c r="D7" t="s">
        <v>15</v>
      </c>
      <c r="E7" t="s">
        <v>16</v>
      </c>
      <c r="F7" t="s">
        <v>17</v>
      </c>
      <c r="G7" t="s">
        <v>34</v>
      </c>
      <c r="H7" t="str">
        <f t="shared" si="0"/>
        <v>02.001.04.122.0001.2.011.3.1.71.70.00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35</v>
      </c>
      <c r="P7" t="s">
        <v>36</v>
      </c>
      <c r="R7" s="9">
        <v>434527.81</v>
      </c>
      <c r="S7" t="s">
        <v>27</v>
      </c>
    </row>
    <row r="8" spans="1:19" x14ac:dyDescent="0.25">
      <c r="A8" t="s">
        <v>12</v>
      </c>
      <c r="B8" t="s">
        <v>13</v>
      </c>
      <c r="C8" s="2" t="s">
        <v>14</v>
      </c>
      <c r="D8" t="s">
        <v>4316</v>
      </c>
      <c r="E8" t="s">
        <v>16</v>
      </c>
      <c r="F8" t="s">
        <v>17</v>
      </c>
      <c r="G8" t="s">
        <v>37</v>
      </c>
      <c r="H8" t="str">
        <f t="shared" si="0"/>
        <v>02.001.04.L.0001.2.011.3.3.71.70.00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38</v>
      </c>
      <c r="P8" t="s">
        <v>36</v>
      </c>
      <c r="R8" s="9">
        <v>2511423.4300000002</v>
      </c>
      <c r="S8" t="s">
        <v>27</v>
      </c>
    </row>
    <row r="9" spans="1:19" x14ac:dyDescent="0.25">
      <c r="A9" t="s">
        <v>12</v>
      </c>
      <c r="B9" t="s">
        <v>13</v>
      </c>
      <c r="C9" s="2" t="s">
        <v>14</v>
      </c>
      <c r="D9" t="s">
        <v>15</v>
      </c>
      <c r="E9" t="s">
        <v>16</v>
      </c>
      <c r="F9" t="s">
        <v>17</v>
      </c>
      <c r="G9" t="s">
        <v>18</v>
      </c>
      <c r="H9" t="str">
        <f t="shared" si="0"/>
        <v>02.001.04.122.0001.2.011.3.3.90.30.00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39</v>
      </c>
      <c r="R9" s="9">
        <v>15000</v>
      </c>
      <c r="S9" t="s">
        <v>27</v>
      </c>
    </row>
    <row r="10" spans="1:19" x14ac:dyDescent="0.25">
      <c r="A10" t="s">
        <v>12</v>
      </c>
      <c r="B10" t="s">
        <v>13</v>
      </c>
      <c r="C10" s="2" t="s">
        <v>14</v>
      </c>
      <c r="D10" t="s">
        <v>15</v>
      </c>
      <c r="E10" t="s">
        <v>16</v>
      </c>
      <c r="F10" t="s">
        <v>17</v>
      </c>
      <c r="G10" t="s">
        <v>40</v>
      </c>
      <c r="H10" t="str">
        <f t="shared" si="0"/>
        <v>02.001.04.122.0001.2.011.4.4.50.52.00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  <c r="O10" t="s">
        <v>41</v>
      </c>
      <c r="P10" t="s">
        <v>42</v>
      </c>
      <c r="R10" s="9">
        <v>22500</v>
      </c>
      <c r="S10" t="s">
        <v>27</v>
      </c>
    </row>
    <row r="11" spans="1:19" x14ac:dyDescent="0.25">
      <c r="A11" t="s">
        <v>12</v>
      </c>
      <c r="B11" t="s">
        <v>13</v>
      </c>
      <c r="C11" s="2" t="s">
        <v>14</v>
      </c>
      <c r="D11" t="s">
        <v>15</v>
      </c>
      <c r="E11" t="s">
        <v>16</v>
      </c>
      <c r="F11" t="s">
        <v>17</v>
      </c>
      <c r="G11" t="s">
        <v>31</v>
      </c>
      <c r="H11" t="str">
        <f t="shared" si="0"/>
        <v>02.001.04.122.0001.2.011.3.3.90.39.00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  <c r="O11" t="s">
        <v>32</v>
      </c>
      <c r="P11" t="s">
        <v>43</v>
      </c>
      <c r="R11" s="9">
        <v>318414</v>
      </c>
      <c r="S11" t="s">
        <v>27</v>
      </c>
    </row>
    <row r="12" spans="1:19" x14ac:dyDescent="0.25">
      <c r="A12" t="s">
        <v>12</v>
      </c>
      <c r="B12" t="s">
        <v>13</v>
      </c>
      <c r="C12" s="2" t="s">
        <v>14</v>
      </c>
      <c r="D12" t="s">
        <v>15</v>
      </c>
      <c r="E12" t="s">
        <v>16</v>
      </c>
      <c r="F12" t="s">
        <v>17</v>
      </c>
      <c r="G12" t="s">
        <v>31</v>
      </c>
      <c r="H12" t="str">
        <f t="shared" si="0"/>
        <v>02.001.04.122.0001.2.011.3.3.90.39.00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  <c r="O12" t="s">
        <v>32</v>
      </c>
      <c r="P12" t="s">
        <v>44</v>
      </c>
      <c r="R12" s="9">
        <v>15000</v>
      </c>
      <c r="S12" t="s">
        <v>27</v>
      </c>
    </row>
    <row r="13" spans="1:19" x14ac:dyDescent="0.25">
      <c r="A13" t="s">
        <v>12</v>
      </c>
      <c r="B13" t="s">
        <v>13</v>
      </c>
      <c r="C13" s="2" t="s">
        <v>14</v>
      </c>
      <c r="D13" t="s">
        <v>15</v>
      </c>
      <c r="E13" t="s">
        <v>16</v>
      </c>
      <c r="F13" t="s">
        <v>17</v>
      </c>
      <c r="G13" t="s">
        <v>31</v>
      </c>
      <c r="H13" t="str">
        <f t="shared" si="0"/>
        <v>02.001.04.122.0001.2.011.3.3.90.39.00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32</v>
      </c>
      <c r="P13" t="s">
        <v>45</v>
      </c>
      <c r="R13" s="9">
        <v>45000</v>
      </c>
      <c r="S13" t="s">
        <v>27</v>
      </c>
    </row>
    <row r="14" spans="1:19" x14ac:dyDescent="0.25">
      <c r="A14" t="s">
        <v>12</v>
      </c>
      <c r="B14" t="s">
        <v>13</v>
      </c>
      <c r="C14" s="2" t="s">
        <v>14</v>
      </c>
      <c r="D14" t="s">
        <v>15</v>
      </c>
      <c r="E14" t="s">
        <v>16</v>
      </c>
      <c r="F14" t="s">
        <v>17</v>
      </c>
      <c r="G14" t="s">
        <v>18</v>
      </c>
      <c r="H14" t="str">
        <f t="shared" si="0"/>
        <v>02.001.04.122.0001.2.011.3.3.90.30.00</v>
      </c>
      <c r="I14" t="s">
        <v>19</v>
      </c>
      <c r="J14" t="s">
        <v>20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46</v>
      </c>
      <c r="R14" s="9">
        <v>5000</v>
      </c>
      <c r="S14" t="s">
        <v>27</v>
      </c>
    </row>
    <row r="15" spans="1:19" x14ac:dyDescent="0.25">
      <c r="A15" t="s">
        <v>12</v>
      </c>
      <c r="B15" t="s">
        <v>47</v>
      </c>
      <c r="C15" s="2" t="s">
        <v>14</v>
      </c>
      <c r="D15" t="s">
        <v>15</v>
      </c>
      <c r="E15" t="s">
        <v>16</v>
      </c>
      <c r="F15" t="s">
        <v>17</v>
      </c>
      <c r="G15" t="s">
        <v>18</v>
      </c>
      <c r="H15" t="str">
        <f t="shared" si="0"/>
        <v>02.012.04.122.0001.2.011.3.3.90.30.00</v>
      </c>
      <c r="I15" t="s">
        <v>19</v>
      </c>
      <c r="J15" t="s">
        <v>48</v>
      </c>
      <c r="K15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49</v>
      </c>
      <c r="R15" s="9">
        <v>600000</v>
      </c>
      <c r="S15" t="s">
        <v>27</v>
      </c>
    </row>
    <row r="16" spans="1:19" x14ac:dyDescent="0.25">
      <c r="A16" t="s">
        <v>12</v>
      </c>
      <c r="B16" t="s">
        <v>47</v>
      </c>
      <c r="C16" s="2" t="s">
        <v>14</v>
      </c>
      <c r="D16" t="s">
        <v>15</v>
      </c>
      <c r="E16" t="s">
        <v>16</v>
      </c>
      <c r="F16" t="s">
        <v>17</v>
      </c>
      <c r="G16" t="s">
        <v>18</v>
      </c>
      <c r="H16" t="str">
        <f t="shared" si="0"/>
        <v>02.012.04.122.0001.2.011.3.3.90.30.00</v>
      </c>
      <c r="I16" t="s">
        <v>19</v>
      </c>
      <c r="J16" t="s">
        <v>48</v>
      </c>
      <c r="K16" t="s">
        <v>21</v>
      </c>
      <c r="L16" t="s">
        <v>22</v>
      </c>
      <c r="M16" t="s">
        <v>23</v>
      </c>
      <c r="N16" t="s">
        <v>24</v>
      </c>
      <c r="O16" t="s">
        <v>25</v>
      </c>
      <c r="P16" t="s">
        <v>46</v>
      </c>
      <c r="R16" s="9">
        <v>10000</v>
      </c>
      <c r="S16" t="s">
        <v>27</v>
      </c>
    </row>
    <row r="17" spans="1:19" x14ac:dyDescent="0.25">
      <c r="A17" t="s">
        <v>12</v>
      </c>
      <c r="B17" t="s">
        <v>47</v>
      </c>
      <c r="C17" s="2" t="s">
        <v>14</v>
      </c>
      <c r="D17" t="s">
        <v>15</v>
      </c>
      <c r="E17" t="s">
        <v>16</v>
      </c>
      <c r="F17" t="s">
        <v>17</v>
      </c>
      <c r="G17" t="s">
        <v>18</v>
      </c>
      <c r="H17" t="str">
        <f t="shared" si="0"/>
        <v>02.012.04.122.0001.2.011.3.3.90.30.00</v>
      </c>
      <c r="I17" t="s">
        <v>19</v>
      </c>
      <c r="J17" t="s">
        <v>48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30</v>
      </c>
      <c r="R17" s="9">
        <v>1500</v>
      </c>
      <c r="S17" t="s">
        <v>27</v>
      </c>
    </row>
    <row r="18" spans="1:19" x14ac:dyDescent="0.25">
      <c r="A18" t="s">
        <v>12</v>
      </c>
      <c r="B18" t="s">
        <v>47</v>
      </c>
      <c r="C18" s="2" t="s">
        <v>14</v>
      </c>
      <c r="D18" t="s">
        <v>15</v>
      </c>
      <c r="E18" t="s">
        <v>16</v>
      </c>
      <c r="F18" t="s">
        <v>17</v>
      </c>
      <c r="G18" t="s">
        <v>18</v>
      </c>
      <c r="H18" t="str">
        <f t="shared" si="0"/>
        <v>02.012.04.122.0001.2.011.3.3.90.30.00</v>
      </c>
      <c r="I18" t="s">
        <v>19</v>
      </c>
      <c r="J18" t="s">
        <v>48</v>
      </c>
      <c r="K18" t="s">
        <v>21</v>
      </c>
      <c r="L18" t="s">
        <v>22</v>
      </c>
      <c r="M18" t="s">
        <v>23</v>
      </c>
      <c r="N18" t="s">
        <v>24</v>
      </c>
      <c r="O18" t="s">
        <v>25</v>
      </c>
      <c r="P18" t="s">
        <v>29</v>
      </c>
      <c r="R18" s="9">
        <v>25000</v>
      </c>
      <c r="S18" t="s">
        <v>27</v>
      </c>
    </row>
    <row r="19" spans="1:19" x14ac:dyDescent="0.25">
      <c r="A19" t="s">
        <v>12</v>
      </c>
      <c r="B19" t="s">
        <v>47</v>
      </c>
      <c r="C19" s="2" t="s">
        <v>14</v>
      </c>
      <c r="D19" t="s">
        <v>15</v>
      </c>
      <c r="E19" t="s">
        <v>16</v>
      </c>
      <c r="F19" t="s">
        <v>17</v>
      </c>
      <c r="G19" t="s">
        <v>18</v>
      </c>
      <c r="H19" t="str">
        <f t="shared" si="0"/>
        <v>02.012.04.122.0001.2.011.3.3.90.30.00</v>
      </c>
      <c r="I19" t="s">
        <v>19</v>
      </c>
      <c r="J19" t="s">
        <v>48</v>
      </c>
      <c r="K19" t="s">
        <v>21</v>
      </c>
      <c r="L19" t="s">
        <v>22</v>
      </c>
      <c r="M19" t="s">
        <v>23</v>
      </c>
      <c r="N19" t="s">
        <v>24</v>
      </c>
      <c r="O19" t="s">
        <v>25</v>
      </c>
      <c r="P19" t="s">
        <v>39</v>
      </c>
      <c r="R19" s="9">
        <v>1000</v>
      </c>
      <c r="S19" t="s">
        <v>27</v>
      </c>
    </row>
    <row r="20" spans="1:19" x14ac:dyDescent="0.25">
      <c r="A20" t="s">
        <v>12</v>
      </c>
      <c r="B20" t="s">
        <v>47</v>
      </c>
      <c r="C20" s="2" t="s">
        <v>14</v>
      </c>
      <c r="D20" t="s">
        <v>15</v>
      </c>
      <c r="E20" t="s">
        <v>16</v>
      </c>
      <c r="F20" t="s">
        <v>17</v>
      </c>
      <c r="G20" t="s">
        <v>31</v>
      </c>
      <c r="H20" t="str">
        <f t="shared" si="0"/>
        <v>02.012.04.122.0001.2.011.3.3.90.39.00</v>
      </c>
      <c r="I20" t="s">
        <v>19</v>
      </c>
      <c r="J20" t="s">
        <v>48</v>
      </c>
      <c r="K20" t="s">
        <v>21</v>
      </c>
      <c r="L20" t="s">
        <v>22</v>
      </c>
      <c r="M20" t="s">
        <v>23</v>
      </c>
      <c r="N20" t="s">
        <v>24</v>
      </c>
      <c r="O20" t="s">
        <v>32</v>
      </c>
      <c r="P20" t="s">
        <v>44</v>
      </c>
      <c r="R20" s="9">
        <v>20000</v>
      </c>
      <c r="S20" t="s">
        <v>27</v>
      </c>
    </row>
    <row r="21" spans="1:19" x14ac:dyDescent="0.25">
      <c r="A21" t="s">
        <v>12</v>
      </c>
      <c r="B21" t="s">
        <v>47</v>
      </c>
      <c r="C21" s="2" t="s">
        <v>14</v>
      </c>
      <c r="D21" t="s">
        <v>15</v>
      </c>
      <c r="E21" t="s">
        <v>16</v>
      </c>
      <c r="F21" t="s">
        <v>17</v>
      </c>
      <c r="G21" t="s">
        <v>18</v>
      </c>
      <c r="H21" t="str">
        <f t="shared" si="0"/>
        <v>02.012.04.122.0001.2.011.3.3.90.30.00</v>
      </c>
      <c r="I21" t="s">
        <v>19</v>
      </c>
      <c r="J21" t="s">
        <v>48</v>
      </c>
      <c r="K21" t="s">
        <v>21</v>
      </c>
      <c r="L21" t="s">
        <v>22</v>
      </c>
      <c r="M21" t="s">
        <v>23</v>
      </c>
      <c r="N21" t="s">
        <v>24</v>
      </c>
      <c r="O21" t="s">
        <v>25</v>
      </c>
      <c r="P21" t="s">
        <v>28</v>
      </c>
      <c r="R21" s="9">
        <v>30000</v>
      </c>
      <c r="S21" t="s">
        <v>27</v>
      </c>
    </row>
    <row r="22" spans="1:19" x14ac:dyDescent="0.25">
      <c r="A22" t="s">
        <v>12</v>
      </c>
      <c r="B22" t="s">
        <v>47</v>
      </c>
      <c r="C22" s="2" t="s">
        <v>14</v>
      </c>
      <c r="D22" t="s">
        <v>15</v>
      </c>
      <c r="E22" t="s">
        <v>16</v>
      </c>
      <c r="F22" t="s">
        <v>17</v>
      </c>
      <c r="G22" t="s">
        <v>40</v>
      </c>
      <c r="H22" t="str">
        <f t="shared" si="0"/>
        <v>02.012.04.122.0001.2.011.4.4.50.52.00</v>
      </c>
      <c r="I22" t="s">
        <v>19</v>
      </c>
      <c r="J22" t="s">
        <v>48</v>
      </c>
      <c r="K22" t="s">
        <v>21</v>
      </c>
      <c r="L22" t="s">
        <v>22</v>
      </c>
      <c r="M22" t="s">
        <v>23</v>
      </c>
      <c r="N22" t="s">
        <v>24</v>
      </c>
      <c r="O22" t="s">
        <v>41</v>
      </c>
      <c r="P22" t="s">
        <v>42</v>
      </c>
      <c r="R22" s="9">
        <v>3000</v>
      </c>
      <c r="S22" t="s">
        <v>27</v>
      </c>
    </row>
    <row r="23" spans="1:19" x14ac:dyDescent="0.25">
      <c r="A23" t="s">
        <v>12</v>
      </c>
      <c r="B23" t="s">
        <v>47</v>
      </c>
      <c r="C23" s="2" t="s">
        <v>14</v>
      </c>
      <c r="D23" t="s">
        <v>15</v>
      </c>
      <c r="E23" t="s">
        <v>16</v>
      </c>
      <c r="F23" t="s">
        <v>17</v>
      </c>
      <c r="G23" t="s">
        <v>18</v>
      </c>
      <c r="H23" t="str">
        <f t="shared" si="0"/>
        <v>02.012.04.122.0001.2.011.3.3.90.30.00</v>
      </c>
      <c r="I23" t="s">
        <v>19</v>
      </c>
      <c r="J23" t="s">
        <v>48</v>
      </c>
      <c r="K23" t="s">
        <v>21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  <c r="R23" s="9">
        <v>4200</v>
      </c>
      <c r="S23" t="s">
        <v>27</v>
      </c>
    </row>
    <row r="24" spans="1:19" x14ac:dyDescent="0.25">
      <c r="A24" t="s">
        <v>12</v>
      </c>
      <c r="B24" t="s">
        <v>13</v>
      </c>
      <c r="C24" s="2" t="s">
        <v>14</v>
      </c>
      <c r="D24" t="s">
        <v>15</v>
      </c>
      <c r="E24" t="s">
        <v>16</v>
      </c>
      <c r="F24" t="s">
        <v>17</v>
      </c>
      <c r="G24" t="s">
        <v>31</v>
      </c>
      <c r="H24" t="str">
        <f t="shared" si="0"/>
        <v>02.001.04.122.0001.2.011.3.3.90.39.00</v>
      </c>
      <c r="I24" t="s">
        <v>19</v>
      </c>
      <c r="J24" t="s">
        <v>20</v>
      </c>
      <c r="K24" t="s">
        <v>21</v>
      </c>
      <c r="L24" t="s">
        <v>22</v>
      </c>
      <c r="M24" t="s">
        <v>23</v>
      </c>
      <c r="N24" t="s">
        <v>24</v>
      </c>
      <c r="O24" t="s">
        <v>32</v>
      </c>
      <c r="P24" t="s">
        <v>50</v>
      </c>
      <c r="R24" s="9">
        <v>1</v>
      </c>
      <c r="S24" t="s">
        <v>27</v>
      </c>
    </row>
    <row r="25" spans="1:19" x14ac:dyDescent="0.25">
      <c r="A25" t="s">
        <v>14</v>
      </c>
      <c r="B25" t="s">
        <v>13</v>
      </c>
      <c r="C25" s="2" t="s">
        <v>14</v>
      </c>
      <c r="D25" t="s">
        <v>51</v>
      </c>
      <c r="E25" t="s">
        <v>52</v>
      </c>
      <c r="F25" t="s">
        <v>53</v>
      </c>
      <c r="G25" t="s">
        <v>54</v>
      </c>
      <c r="H25" t="str">
        <f t="shared" si="0"/>
        <v>04.001.04.126.0002.2.007.3.3.90.40.00</v>
      </c>
      <c r="I25" t="s">
        <v>55</v>
      </c>
      <c r="J25" t="s">
        <v>56</v>
      </c>
      <c r="K25" t="s">
        <v>21</v>
      </c>
      <c r="L25" t="s">
        <v>57</v>
      </c>
      <c r="M25" t="s">
        <v>58</v>
      </c>
      <c r="N25" t="s">
        <v>59</v>
      </c>
      <c r="O25" t="s">
        <v>60</v>
      </c>
      <c r="P25" t="s">
        <v>61</v>
      </c>
      <c r="Q25" t="s">
        <v>62</v>
      </c>
      <c r="R25" s="9">
        <v>7642566.5899999999</v>
      </c>
      <c r="S25" t="s">
        <v>27</v>
      </c>
    </row>
    <row r="26" spans="1:19" x14ac:dyDescent="0.25">
      <c r="A26" t="s">
        <v>14</v>
      </c>
      <c r="B26" t="s">
        <v>13</v>
      </c>
      <c r="C26" s="2" t="s">
        <v>14</v>
      </c>
      <c r="D26" t="s">
        <v>51</v>
      </c>
      <c r="E26" t="s">
        <v>52</v>
      </c>
      <c r="F26" t="s">
        <v>53</v>
      </c>
      <c r="G26" t="s">
        <v>54</v>
      </c>
      <c r="H26" t="str">
        <f t="shared" si="0"/>
        <v>04.001.04.126.0002.2.007.3.3.90.40.00</v>
      </c>
      <c r="I26" t="s">
        <v>55</v>
      </c>
      <c r="J26" t="s">
        <v>56</v>
      </c>
      <c r="K26" t="s">
        <v>21</v>
      </c>
      <c r="L26" t="s">
        <v>57</v>
      </c>
      <c r="M26" t="s">
        <v>58</v>
      </c>
      <c r="N26" t="s">
        <v>59</v>
      </c>
      <c r="O26" t="s">
        <v>60</v>
      </c>
      <c r="P26" t="s">
        <v>39</v>
      </c>
      <c r="Q26" t="s">
        <v>63</v>
      </c>
      <c r="R26" s="9">
        <v>32880000</v>
      </c>
      <c r="S26" t="s">
        <v>27</v>
      </c>
    </row>
    <row r="27" spans="1:19" x14ac:dyDescent="0.25">
      <c r="A27" t="s">
        <v>14</v>
      </c>
      <c r="B27" t="s">
        <v>13</v>
      </c>
      <c r="C27" s="2" t="s">
        <v>14</v>
      </c>
      <c r="D27" t="s">
        <v>51</v>
      </c>
      <c r="E27" t="s">
        <v>52</v>
      </c>
      <c r="F27" t="s">
        <v>53</v>
      </c>
      <c r="G27" t="s">
        <v>31</v>
      </c>
      <c r="H27" t="str">
        <f t="shared" si="0"/>
        <v>04.001.04.126.0002.2.007.3.3.90.39.00</v>
      </c>
      <c r="I27" t="s">
        <v>55</v>
      </c>
      <c r="J27" t="s">
        <v>56</v>
      </c>
      <c r="K27" t="s">
        <v>21</v>
      </c>
      <c r="L27" t="s">
        <v>57</v>
      </c>
      <c r="M27" t="s">
        <v>58</v>
      </c>
      <c r="N27" t="s">
        <v>59</v>
      </c>
      <c r="O27" t="s">
        <v>32</v>
      </c>
      <c r="P27" t="s">
        <v>43</v>
      </c>
      <c r="Q27" t="s">
        <v>64</v>
      </c>
      <c r="R27" s="9">
        <v>100000</v>
      </c>
      <c r="S27" t="s">
        <v>27</v>
      </c>
    </row>
    <row r="28" spans="1:19" x14ac:dyDescent="0.25">
      <c r="A28" t="s">
        <v>14</v>
      </c>
      <c r="B28" t="s">
        <v>13</v>
      </c>
      <c r="C28" s="2" t="s">
        <v>14</v>
      </c>
      <c r="D28" t="s">
        <v>15</v>
      </c>
      <c r="E28" t="s">
        <v>16</v>
      </c>
      <c r="F28" t="s">
        <v>17</v>
      </c>
      <c r="G28" t="s">
        <v>31</v>
      </c>
      <c r="H28" t="str">
        <f t="shared" si="0"/>
        <v>04.001.04.122.0001.2.011.3.3.90.39.00</v>
      </c>
      <c r="I28" t="s">
        <v>55</v>
      </c>
      <c r="J28" t="s">
        <v>56</v>
      </c>
      <c r="K28" t="s">
        <v>21</v>
      </c>
      <c r="L28" t="s">
        <v>22</v>
      </c>
      <c r="M28" t="s">
        <v>23</v>
      </c>
      <c r="N28" t="s">
        <v>24</v>
      </c>
      <c r="O28" t="s">
        <v>32</v>
      </c>
      <c r="P28" t="s">
        <v>65</v>
      </c>
      <c r="Q28" t="s">
        <v>66</v>
      </c>
      <c r="R28" s="9">
        <v>16500</v>
      </c>
      <c r="S28" t="s">
        <v>27</v>
      </c>
    </row>
    <row r="29" spans="1:19" x14ac:dyDescent="0.25">
      <c r="A29" t="s">
        <v>14</v>
      </c>
      <c r="B29" t="s">
        <v>13</v>
      </c>
      <c r="C29" s="2" t="s">
        <v>14</v>
      </c>
      <c r="D29" t="s">
        <v>15</v>
      </c>
      <c r="E29" t="s">
        <v>16</v>
      </c>
      <c r="F29" t="s">
        <v>17</v>
      </c>
      <c r="G29" t="s">
        <v>31</v>
      </c>
      <c r="H29" t="str">
        <f t="shared" si="0"/>
        <v>04.001.04.122.0001.2.011.3.3.90.39.00</v>
      </c>
      <c r="I29" t="s">
        <v>55</v>
      </c>
      <c r="J29" t="s">
        <v>56</v>
      </c>
      <c r="K29" t="s">
        <v>21</v>
      </c>
      <c r="L29" t="s">
        <v>22</v>
      </c>
      <c r="M29" t="s">
        <v>23</v>
      </c>
      <c r="N29" t="s">
        <v>24</v>
      </c>
      <c r="O29" t="s">
        <v>32</v>
      </c>
      <c r="P29" t="s">
        <v>67</v>
      </c>
      <c r="Q29" t="s">
        <v>68</v>
      </c>
      <c r="R29" s="9">
        <v>20000</v>
      </c>
      <c r="S29" t="s">
        <v>27</v>
      </c>
    </row>
    <row r="30" spans="1:19" x14ac:dyDescent="0.25">
      <c r="A30" t="s">
        <v>14</v>
      </c>
      <c r="B30" t="s">
        <v>13</v>
      </c>
      <c r="C30" s="2" t="s">
        <v>14</v>
      </c>
      <c r="D30" t="s">
        <v>15</v>
      </c>
      <c r="E30" t="s">
        <v>16</v>
      </c>
      <c r="F30" t="s">
        <v>17</v>
      </c>
      <c r="G30" t="s">
        <v>69</v>
      </c>
      <c r="H30" t="str">
        <f t="shared" si="0"/>
        <v>04.001.04.122.0001.2.011.3.3.90.93.00</v>
      </c>
      <c r="I30" t="s">
        <v>55</v>
      </c>
      <c r="J30" t="s">
        <v>56</v>
      </c>
      <c r="K30" t="s">
        <v>21</v>
      </c>
      <c r="L30" t="s">
        <v>22</v>
      </c>
      <c r="M30" t="s">
        <v>23</v>
      </c>
      <c r="N30" t="s">
        <v>24</v>
      </c>
      <c r="O30" t="s">
        <v>70</v>
      </c>
      <c r="P30" t="s">
        <v>71</v>
      </c>
      <c r="Q30" t="s">
        <v>72</v>
      </c>
      <c r="R30" s="9">
        <v>10000</v>
      </c>
      <c r="S30" t="s">
        <v>27</v>
      </c>
    </row>
    <row r="31" spans="1:19" x14ac:dyDescent="0.25">
      <c r="A31" t="s">
        <v>14</v>
      </c>
      <c r="B31" t="s">
        <v>13</v>
      </c>
      <c r="C31" s="2" t="s">
        <v>14</v>
      </c>
      <c r="D31" t="s">
        <v>15</v>
      </c>
      <c r="E31" t="s">
        <v>52</v>
      </c>
      <c r="F31" t="s">
        <v>17</v>
      </c>
      <c r="G31" t="s">
        <v>73</v>
      </c>
      <c r="H31" t="str">
        <f t="shared" si="0"/>
        <v>04.001.04.122.0002.2.011.3.3.90.33.00</v>
      </c>
      <c r="I31" t="s">
        <v>55</v>
      </c>
      <c r="J31" t="s">
        <v>56</v>
      </c>
      <c r="K31" t="s">
        <v>21</v>
      </c>
      <c r="L31" t="s">
        <v>22</v>
      </c>
      <c r="M31" t="s">
        <v>58</v>
      </c>
      <c r="N31" t="s">
        <v>24</v>
      </c>
      <c r="O31" t="s">
        <v>74</v>
      </c>
      <c r="Q31" t="s">
        <v>75</v>
      </c>
      <c r="R31" s="9">
        <v>40000</v>
      </c>
      <c r="S31" t="s">
        <v>27</v>
      </c>
    </row>
    <row r="32" spans="1:19" x14ac:dyDescent="0.25">
      <c r="A32" t="s">
        <v>14</v>
      </c>
      <c r="B32" t="s">
        <v>13</v>
      </c>
      <c r="C32" s="2" t="s">
        <v>14</v>
      </c>
      <c r="D32" t="s">
        <v>15</v>
      </c>
      <c r="E32" t="s">
        <v>16</v>
      </c>
      <c r="F32" t="s">
        <v>17</v>
      </c>
      <c r="G32" t="s">
        <v>31</v>
      </c>
      <c r="H32" t="str">
        <f t="shared" si="0"/>
        <v>04.001.04.122.0001.2.011.3.3.90.39.00</v>
      </c>
      <c r="I32" t="s">
        <v>55</v>
      </c>
      <c r="J32" t="s">
        <v>56</v>
      </c>
      <c r="K32" t="s">
        <v>21</v>
      </c>
      <c r="L32" t="s">
        <v>22</v>
      </c>
      <c r="M32" t="s">
        <v>23</v>
      </c>
      <c r="N32" t="s">
        <v>24</v>
      </c>
      <c r="O32" t="s">
        <v>32</v>
      </c>
      <c r="P32" t="s">
        <v>67</v>
      </c>
      <c r="Q32" t="s">
        <v>76</v>
      </c>
      <c r="R32" s="9">
        <v>25000</v>
      </c>
      <c r="S32" t="s">
        <v>27</v>
      </c>
    </row>
    <row r="33" spans="1:19" x14ac:dyDescent="0.25">
      <c r="A33" t="s">
        <v>14</v>
      </c>
      <c r="B33" t="s">
        <v>13</v>
      </c>
      <c r="C33" s="2" t="s">
        <v>14</v>
      </c>
      <c r="D33" t="s">
        <v>15</v>
      </c>
      <c r="E33" t="s">
        <v>16</v>
      </c>
      <c r="F33" t="s">
        <v>17</v>
      </c>
      <c r="G33" t="s">
        <v>31</v>
      </c>
      <c r="H33" t="str">
        <f t="shared" si="0"/>
        <v>04.001.04.122.0001.2.011.3.3.90.39.00</v>
      </c>
      <c r="I33" t="s">
        <v>55</v>
      </c>
      <c r="J33" t="s">
        <v>56</v>
      </c>
      <c r="K33" t="s">
        <v>21</v>
      </c>
      <c r="L33" t="s">
        <v>22</v>
      </c>
      <c r="M33" t="s">
        <v>23</v>
      </c>
      <c r="N33" t="s">
        <v>24</v>
      </c>
      <c r="O33" t="s">
        <v>32</v>
      </c>
      <c r="P33" t="s">
        <v>67</v>
      </c>
      <c r="Q33" t="s">
        <v>77</v>
      </c>
      <c r="R33" s="9">
        <v>10000</v>
      </c>
      <c r="S33" t="s">
        <v>27</v>
      </c>
    </row>
    <row r="34" spans="1:19" x14ac:dyDescent="0.25">
      <c r="A34" t="s">
        <v>14</v>
      </c>
      <c r="B34" t="s">
        <v>13</v>
      </c>
      <c r="C34" s="2" t="s">
        <v>14</v>
      </c>
      <c r="D34" t="s">
        <v>15</v>
      </c>
      <c r="E34" t="s">
        <v>16</v>
      </c>
      <c r="F34" t="s">
        <v>17</v>
      </c>
      <c r="G34" t="s">
        <v>31</v>
      </c>
      <c r="H34" t="str">
        <f t="shared" si="0"/>
        <v>04.001.04.122.0001.2.011.3.3.90.39.00</v>
      </c>
      <c r="I34" t="s">
        <v>55</v>
      </c>
      <c r="J34" t="s">
        <v>56</v>
      </c>
      <c r="K34" t="s">
        <v>21</v>
      </c>
      <c r="L34" t="s">
        <v>22</v>
      </c>
      <c r="M34" t="s">
        <v>23</v>
      </c>
      <c r="N34" t="s">
        <v>24</v>
      </c>
      <c r="O34" t="s">
        <v>32</v>
      </c>
      <c r="P34" t="s">
        <v>67</v>
      </c>
      <c r="Q34" t="s">
        <v>78</v>
      </c>
      <c r="R34" s="9">
        <v>2000</v>
      </c>
      <c r="S34" t="s">
        <v>27</v>
      </c>
    </row>
    <row r="35" spans="1:19" x14ac:dyDescent="0.25">
      <c r="A35" t="s">
        <v>14</v>
      </c>
      <c r="B35" t="s">
        <v>13</v>
      </c>
      <c r="C35" s="2" t="s">
        <v>14</v>
      </c>
      <c r="D35" t="s">
        <v>15</v>
      </c>
      <c r="E35" t="s">
        <v>16</v>
      </c>
      <c r="F35" t="s">
        <v>17</v>
      </c>
      <c r="G35" t="s">
        <v>31</v>
      </c>
      <c r="H35" t="str">
        <f t="shared" si="0"/>
        <v>04.001.04.122.0001.2.011.3.3.90.39.00</v>
      </c>
      <c r="I35" t="s">
        <v>55</v>
      </c>
      <c r="J35" t="s">
        <v>56</v>
      </c>
      <c r="K35" t="s">
        <v>21</v>
      </c>
      <c r="L35" t="s">
        <v>22</v>
      </c>
      <c r="M35" t="s">
        <v>23</v>
      </c>
      <c r="N35" t="s">
        <v>24</v>
      </c>
      <c r="O35" t="s">
        <v>32</v>
      </c>
      <c r="P35" t="s">
        <v>67</v>
      </c>
      <c r="Q35" t="s">
        <v>79</v>
      </c>
      <c r="R35" s="9">
        <v>5000</v>
      </c>
      <c r="S35" t="s">
        <v>27</v>
      </c>
    </row>
    <row r="36" spans="1:19" x14ac:dyDescent="0.25">
      <c r="A36" t="s">
        <v>14</v>
      </c>
      <c r="B36" t="s">
        <v>13</v>
      </c>
      <c r="C36" s="2" t="s">
        <v>14</v>
      </c>
      <c r="D36" t="s">
        <v>15</v>
      </c>
      <c r="E36" t="s">
        <v>16</v>
      </c>
      <c r="F36" t="s">
        <v>17</v>
      </c>
      <c r="G36" t="s">
        <v>80</v>
      </c>
      <c r="H36" t="str">
        <f t="shared" si="0"/>
        <v>04.001.04.122.0001.2.011.4.4.90.52.00</v>
      </c>
      <c r="I36" t="s">
        <v>55</v>
      </c>
      <c r="J36" t="s">
        <v>56</v>
      </c>
      <c r="K36" t="s">
        <v>21</v>
      </c>
      <c r="L36" t="s">
        <v>22</v>
      </c>
      <c r="M36" t="s">
        <v>23</v>
      </c>
      <c r="N36" t="s">
        <v>24</v>
      </c>
      <c r="O36" t="s">
        <v>81</v>
      </c>
      <c r="P36" t="s">
        <v>82</v>
      </c>
      <c r="Q36" t="s">
        <v>76</v>
      </c>
      <c r="R36" s="9">
        <v>40000</v>
      </c>
      <c r="S36" t="s">
        <v>27</v>
      </c>
    </row>
    <row r="37" spans="1:19" x14ac:dyDescent="0.25">
      <c r="A37" t="s">
        <v>14</v>
      </c>
      <c r="B37" t="s">
        <v>13</v>
      </c>
      <c r="C37" s="2" t="s">
        <v>14</v>
      </c>
      <c r="D37" t="s">
        <v>15</v>
      </c>
      <c r="E37" t="s">
        <v>16</v>
      </c>
      <c r="F37" t="s">
        <v>17</v>
      </c>
      <c r="G37" t="s">
        <v>18</v>
      </c>
      <c r="H37" t="str">
        <f t="shared" si="0"/>
        <v>04.001.04.122.0001.2.011.3.3.90.30.00</v>
      </c>
      <c r="I37" t="s">
        <v>55</v>
      </c>
      <c r="J37" t="s">
        <v>56</v>
      </c>
      <c r="K37" t="s">
        <v>21</v>
      </c>
      <c r="L37" t="s">
        <v>22</v>
      </c>
      <c r="M37" t="s">
        <v>23</v>
      </c>
      <c r="N37" t="s">
        <v>24</v>
      </c>
      <c r="O37" t="s">
        <v>25</v>
      </c>
      <c r="P37" t="s">
        <v>28</v>
      </c>
      <c r="Q37" t="s">
        <v>83</v>
      </c>
      <c r="R37" s="9">
        <v>16000</v>
      </c>
      <c r="S37" t="s">
        <v>27</v>
      </c>
    </row>
    <row r="38" spans="1:19" x14ac:dyDescent="0.25">
      <c r="A38" t="s">
        <v>14</v>
      </c>
      <c r="B38" t="s">
        <v>13</v>
      </c>
      <c r="C38" s="2" t="s">
        <v>14</v>
      </c>
      <c r="D38" t="s">
        <v>15</v>
      </c>
      <c r="E38" t="s">
        <v>16</v>
      </c>
      <c r="F38" t="s">
        <v>17</v>
      </c>
      <c r="G38" t="s">
        <v>18</v>
      </c>
      <c r="H38" t="str">
        <f t="shared" si="0"/>
        <v>04.001.04.122.0001.2.011.3.3.90.30.00</v>
      </c>
      <c r="I38" t="s">
        <v>55</v>
      </c>
      <c r="J38" t="s">
        <v>56</v>
      </c>
      <c r="K38" t="s">
        <v>21</v>
      </c>
      <c r="L38" t="s">
        <v>22</v>
      </c>
      <c r="M38" t="s">
        <v>23</v>
      </c>
      <c r="N38" t="s">
        <v>24</v>
      </c>
      <c r="O38" t="s">
        <v>25</v>
      </c>
      <c r="P38" t="s">
        <v>28</v>
      </c>
      <c r="Q38" t="s">
        <v>84</v>
      </c>
      <c r="R38" s="9">
        <v>2000</v>
      </c>
      <c r="S38" t="s">
        <v>27</v>
      </c>
    </row>
    <row r="39" spans="1:19" x14ac:dyDescent="0.25">
      <c r="A39" t="s">
        <v>14</v>
      </c>
      <c r="B39" t="s">
        <v>13</v>
      </c>
      <c r="C39" s="2" t="s">
        <v>14</v>
      </c>
      <c r="D39" t="s">
        <v>15</v>
      </c>
      <c r="E39" t="s">
        <v>16</v>
      </c>
      <c r="F39" t="s">
        <v>17</v>
      </c>
      <c r="G39" t="s">
        <v>18</v>
      </c>
      <c r="H39" t="str">
        <f t="shared" si="0"/>
        <v>04.001.04.122.0001.2.011.3.3.90.30.00</v>
      </c>
      <c r="I39" t="s">
        <v>55</v>
      </c>
      <c r="J39" t="s">
        <v>56</v>
      </c>
      <c r="K39" t="s">
        <v>21</v>
      </c>
      <c r="L39" t="s">
        <v>22</v>
      </c>
      <c r="M39" t="s">
        <v>23</v>
      </c>
      <c r="N39" t="s">
        <v>24</v>
      </c>
      <c r="O39" t="s">
        <v>25</v>
      </c>
      <c r="P39" t="s">
        <v>29</v>
      </c>
      <c r="Q39" t="s">
        <v>85</v>
      </c>
      <c r="R39" s="9">
        <v>10000</v>
      </c>
      <c r="S39" t="s">
        <v>27</v>
      </c>
    </row>
    <row r="40" spans="1:19" x14ac:dyDescent="0.25">
      <c r="A40" t="s">
        <v>14</v>
      </c>
      <c r="B40" t="s">
        <v>13</v>
      </c>
      <c r="C40" s="2" t="s">
        <v>14</v>
      </c>
      <c r="D40" t="s">
        <v>15</v>
      </c>
      <c r="E40" t="s">
        <v>16</v>
      </c>
      <c r="F40" t="s">
        <v>17</v>
      </c>
      <c r="G40" t="s">
        <v>18</v>
      </c>
      <c r="H40" t="str">
        <f t="shared" si="0"/>
        <v>04.001.04.122.0001.2.011.3.3.90.30.00</v>
      </c>
      <c r="I40" t="s">
        <v>55</v>
      </c>
      <c r="J40" t="s">
        <v>56</v>
      </c>
      <c r="K40" t="s">
        <v>21</v>
      </c>
      <c r="L40" t="s">
        <v>22</v>
      </c>
      <c r="M40" t="s">
        <v>23</v>
      </c>
      <c r="N40" t="s">
        <v>24</v>
      </c>
      <c r="O40" t="s">
        <v>25</v>
      </c>
      <c r="P40" t="s">
        <v>29</v>
      </c>
      <c r="Q40" t="s">
        <v>86</v>
      </c>
      <c r="R40" s="9">
        <v>28000</v>
      </c>
      <c r="S40" t="s">
        <v>27</v>
      </c>
    </row>
    <row r="41" spans="1:19" x14ac:dyDescent="0.25">
      <c r="A41" t="s">
        <v>14</v>
      </c>
      <c r="B41" t="s">
        <v>13</v>
      </c>
      <c r="C41" s="2" t="s">
        <v>14</v>
      </c>
      <c r="D41" t="s">
        <v>15</v>
      </c>
      <c r="E41" t="s">
        <v>16</v>
      </c>
      <c r="F41" t="s">
        <v>17</v>
      </c>
      <c r="G41" t="s">
        <v>18</v>
      </c>
      <c r="H41" t="str">
        <f t="shared" si="0"/>
        <v>04.001.04.122.0001.2.011.3.3.90.30.00</v>
      </c>
      <c r="I41" t="s">
        <v>55</v>
      </c>
      <c r="J41" t="s">
        <v>56</v>
      </c>
      <c r="K41" t="s">
        <v>21</v>
      </c>
      <c r="L41" t="s">
        <v>22</v>
      </c>
      <c r="M41" t="s">
        <v>23</v>
      </c>
      <c r="N41" t="s">
        <v>24</v>
      </c>
      <c r="O41" t="s">
        <v>25</v>
      </c>
      <c r="P41" t="s">
        <v>87</v>
      </c>
      <c r="Q41" t="s">
        <v>88</v>
      </c>
      <c r="R41" s="9">
        <v>5000</v>
      </c>
      <c r="S41" t="s">
        <v>27</v>
      </c>
    </row>
    <row r="42" spans="1:19" x14ac:dyDescent="0.25">
      <c r="A42" t="s">
        <v>14</v>
      </c>
      <c r="B42" t="s">
        <v>13</v>
      </c>
      <c r="C42" s="2" t="s">
        <v>14</v>
      </c>
      <c r="D42" t="s">
        <v>15</v>
      </c>
      <c r="E42" t="s">
        <v>16</v>
      </c>
      <c r="F42" t="s">
        <v>17</v>
      </c>
      <c r="G42" t="s">
        <v>18</v>
      </c>
      <c r="H42" t="str">
        <f t="shared" si="0"/>
        <v>04.001.04.122.0001.2.011.3.3.90.30.00</v>
      </c>
      <c r="I42" t="s">
        <v>55</v>
      </c>
      <c r="J42" t="s">
        <v>56</v>
      </c>
      <c r="K42" t="s">
        <v>21</v>
      </c>
      <c r="L42" t="s">
        <v>22</v>
      </c>
      <c r="M42" t="s">
        <v>23</v>
      </c>
      <c r="N42" t="s">
        <v>24</v>
      </c>
      <c r="O42" t="s">
        <v>25</v>
      </c>
      <c r="P42" t="s">
        <v>89</v>
      </c>
      <c r="Q42" t="s">
        <v>77</v>
      </c>
      <c r="R42" s="9">
        <v>10000</v>
      </c>
      <c r="S42" t="s">
        <v>27</v>
      </c>
    </row>
    <row r="43" spans="1:19" x14ac:dyDescent="0.25">
      <c r="A43" t="s">
        <v>90</v>
      </c>
      <c r="B43" t="s">
        <v>13</v>
      </c>
      <c r="C43" s="2" t="s">
        <v>14</v>
      </c>
      <c r="D43" t="s">
        <v>15</v>
      </c>
      <c r="E43" t="s">
        <v>16</v>
      </c>
      <c r="F43" t="s">
        <v>17</v>
      </c>
      <c r="G43" t="s">
        <v>18</v>
      </c>
      <c r="H43" t="str">
        <f t="shared" si="0"/>
        <v>05.001.04.122.0001.2.011.3.3.90.30.00</v>
      </c>
      <c r="I43" t="s">
        <v>91</v>
      </c>
      <c r="J43" t="s">
        <v>92</v>
      </c>
      <c r="K43" t="s">
        <v>21</v>
      </c>
      <c r="L43" t="s">
        <v>22</v>
      </c>
      <c r="M43" t="s">
        <v>23</v>
      </c>
      <c r="N43" t="s">
        <v>24</v>
      </c>
      <c r="O43" t="s">
        <v>25</v>
      </c>
      <c r="P43" t="s">
        <v>28</v>
      </c>
      <c r="R43" s="9">
        <v>25000</v>
      </c>
      <c r="S43" t="s">
        <v>27</v>
      </c>
    </row>
    <row r="44" spans="1:19" x14ac:dyDescent="0.25">
      <c r="A44" t="s">
        <v>90</v>
      </c>
      <c r="B44" t="s">
        <v>13</v>
      </c>
      <c r="C44" s="2" t="s">
        <v>14</v>
      </c>
      <c r="D44" t="s">
        <v>15</v>
      </c>
      <c r="E44" t="s">
        <v>16</v>
      </c>
      <c r="F44" t="s">
        <v>17</v>
      </c>
      <c r="G44" t="s">
        <v>18</v>
      </c>
      <c r="H44" t="str">
        <f t="shared" si="0"/>
        <v>05.001.04.122.0001.2.011.3.3.90.30.00</v>
      </c>
      <c r="I44" t="s">
        <v>91</v>
      </c>
      <c r="J44" t="s">
        <v>92</v>
      </c>
      <c r="K44" t="s">
        <v>21</v>
      </c>
      <c r="L44" t="s">
        <v>22</v>
      </c>
      <c r="M44" t="s">
        <v>23</v>
      </c>
      <c r="N44" t="s">
        <v>24</v>
      </c>
      <c r="O44" t="s">
        <v>25</v>
      </c>
      <c r="P44" t="s">
        <v>30</v>
      </c>
      <c r="R44" s="9">
        <v>25000</v>
      </c>
      <c r="S44" t="s">
        <v>27</v>
      </c>
    </row>
    <row r="45" spans="1:19" x14ac:dyDescent="0.25">
      <c r="A45" t="s">
        <v>90</v>
      </c>
      <c r="B45" t="s">
        <v>13</v>
      </c>
      <c r="C45" s="2" t="s">
        <v>14</v>
      </c>
      <c r="D45" t="s">
        <v>15</v>
      </c>
      <c r="E45" t="s">
        <v>16</v>
      </c>
      <c r="F45" t="s">
        <v>17</v>
      </c>
      <c r="G45" t="s">
        <v>18</v>
      </c>
      <c r="H45" t="str">
        <f t="shared" si="0"/>
        <v>05.001.04.122.0001.2.011.3.3.90.30.00</v>
      </c>
      <c r="I45" t="s">
        <v>91</v>
      </c>
      <c r="J45" t="s">
        <v>92</v>
      </c>
      <c r="K45" t="s">
        <v>21</v>
      </c>
      <c r="L45" t="s">
        <v>22</v>
      </c>
      <c r="M45" t="s">
        <v>23</v>
      </c>
      <c r="N45" t="s">
        <v>24</v>
      </c>
      <c r="O45" t="s">
        <v>25</v>
      </c>
      <c r="P45" t="s">
        <v>29</v>
      </c>
      <c r="R45" s="9">
        <v>35000</v>
      </c>
      <c r="S45" t="s">
        <v>27</v>
      </c>
    </row>
    <row r="46" spans="1:19" x14ac:dyDescent="0.25">
      <c r="A46" t="s">
        <v>90</v>
      </c>
      <c r="B46" t="s">
        <v>13</v>
      </c>
      <c r="C46" s="2" t="s">
        <v>14</v>
      </c>
      <c r="D46" t="s">
        <v>15</v>
      </c>
      <c r="E46" t="s">
        <v>16</v>
      </c>
      <c r="F46" t="s">
        <v>17</v>
      </c>
      <c r="G46" t="s">
        <v>31</v>
      </c>
      <c r="H46" t="str">
        <f t="shared" si="0"/>
        <v>05.001.04.122.0001.2.011.3.3.90.39.00</v>
      </c>
      <c r="I46" t="s">
        <v>91</v>
      </c>
      <c r="J46" t="s">
        <v>92</v>
      </c>
      <c r="K46" t="s">
        <v>21</v>
      </c>
      <c r="L46" t="s">
        <v>22</v>
      </c>
      <c r="M46" t="s">
        <v>23</v>
      </c>
      <c r="N46" t="s">
        <v>24</v>
      </c>
      <c r="O46" t="s">
        <v>32</v>
      </c>
      <c r="P46" t="s">
        <v>93</v>
      </c>
      <c r="Q46" t="s">
        <v>94</v>
      </c>
      <c r="R46" s="9">
        <v>100000</v>
      </c>
      <c r="S46" t="s">
        <v>27</v>
      </c>
    </row>
    <row r="47" spans="1:19" x14ac:dyDescent="0.25">
      <c r="A47" t="s">
        <v>90</v>
      </c>
      <c r="B47" t="s">
        <v>13</v>
      </c>
      <c r="C47" s="2" t="s">
        <v>14</v>
      </c>
      <c r="D47" t="s">
        <v>15</v>
      </c>
      <c r="E47" t="s">
        <v>16</v>
      </c>
      <c r="F47" t="s">
        <v>17</v>
      </c>
      <c r="G47" t="s">
        <v>31</v>
      </c>
      <c r="H47" t="str">
        <f t="shared" si="0"/>
        <v>05.001.04.122.0001.2.011.3.3.90.39.00</v>
      </c>
      <c r="I47" t="s">
        <v>91</v>
      </c>
      <c r="J47" t="s">
        <v>92</v>
      </c>
      <c r="K47" t="s">
        <v>21</v>
      </c>
      <c r="L47" t="s">
        <v>22</v>
      </c>
      <c r="M47" t="s">
        <v>23</v>
      </c>
      <c r="N47" t="s">
        <v>24</v>
      </c>
      <c r="O47" t="s">
        <v>32</v>
      </c>
      <c r="P47" t="s">
        <v>93</v>
      </c>
      <c r="Q47" t="s">
        <v>95</v>
      </c>
      <c r="R47" s="9">
        <v>44279</v>
      </c>
      <c r="S47" t="s">
        <v>27</v>
      </c>
    </row>
    <row r="48" spans="1:19" x14ac:dyDescent="0.25">
      <c r="A48" t="s">
        <v>90</v>
      </c>
      <c r="B48" t="s">
        <v>13</v>
      </c>
      <c r="C48" s="2" t="s">
        <v>14</v>
      </c>
      <c r="D48" t="s">
        <v>15</v>
      </c>
      <c r="E48" t="s">
        <v>16</v>
      </c>
      <c r="F48" t="s">
        <v>17</v>
      </c>
      <c r="G48" t="s">
        <v>31</v>
      </c>
      <c r="H48" t="str">
        <f t="shared" si="0"/>
        <v>05.001.04.122.0001.2.011.3.3.90.39.00</v>
      </c>
      <c r="I48" t="s">
        <v>91</v>
      </c>
      <c r="J48" t="s">
        <v>92</v>
      </c>
      <c r="K48" t="s">
        <v>21</v>
      </c>
      <c r="L48" t="s">
        <v>22</v>
      </c>
      <c r="M48" t="s">
        <v>23</v>
      </c>
      <c r="N48" t="s">
        <v>24</v>
      </c>
      <c r="O48" t="s">
        <v>32</v>
      </c>
      <c r="P48" t="s">
        <v>93</v>
      </c>
      <c r="Q48" t="s">
        <v>96</v>
      </c>
      <c r="R48" s="9">
        <v>27784.02</v>
      </c>
      <c r="S48" t="s">
        <v>27</v>
      </c>
    </row>
    <row r="49" spans="1:19" x14ac:dyDescent="0.25">
      <c r="A49" t="s">
        <v>90</v>
      </c>
      <c r="B49" t="s">
        <v>13</v>
      </c>
      <c r="C49" s="2" t="s">
        <v>14</v>
      </c>
      <c r="D49" t="s">
        <v>15</v>
      </c>
      <c r="E49" t="s">
        <v>16</v>
      </c>
      <c r="F49" t="s">
        <v>17</v>
      </c>
      <c r="G49" t="s">
        <v>31</v>
      </c>
      <c r="H49" t="str">
        <f t="shared" si="0"/>
        <v>05.001.04.122.0001.2.011.3.3.90.39.00</v>
      </c>
      <c r="I49" t="s">
        <v>91</v>
      </c>
      <c r="J49" t="s">
        <v>92</v>
      </c>
      <c r="K49" t="s">
        <v>21</v>
      </c>
      <c r="L49" t="s">
        <v>22</v>
      </c>
      <c r="M49" t="s">
        <v>23</v>
      </c>
      <c r="N49" t="s">
        <v>24</v>
      </c>
      <c r="O49" t="s">
        <v>32</v>
      </c>
      <c r="P49" t="s">
        <v>93</v>
      </c>
      <c r="Q49" t="s">
        <v>97</v>
      </c>
      <c r="R49" s="9">
        <v>15000</v>
      </c>
      <c r="S49" t="s">
        <v>27</v>
      </c>
    </row>
    <row r="50" spans="1:19" x14ac:dyDescent="0.25">
      <c r="A50" t="s">
        <v>90</v>
      </c>
      <c r="B50" t="s">
        <v>13</v>
      </c>
      <c r="C50" s="2" t="s">
        <v>14</v>
      </c>
      <c r="D50" t="s">
        <v>15</v>
      </c>
      <c r="E50" t="s">
        <v>16</v>
      </c>
      <c r="F50" t="s">
        <v>17</v>
      </c>
      <c r="G50" t="s">
        <v>31</v>
      </c>
      <c r="H50" t="str">
        <f t="shared" si="0"/>
        <v>05.001.04.122.0001.2.011.3.3.90.39.00</v>
      </c>
      <c r="I50" t="s">
        <v>91</v>
      </c>
      <c r="J50" t="s">
        <v>92</v>
      </c>
      <c r="K50" t="s">
        <v>21</v>
      </c>
      <c r="L50" t="s">
        <v>22</v>
      </c>
      <c r="M50" t="s">
        <v>23</v>
      </c>
      <c r="N50" t="s">
        <v>24</v>
      </c>
      <c r="O50" t="s">
        <v>32</v>
      </c>
      <c r="P50" t="s">
        <v>93</v>
      </c>
      <c r="Q50" t="s">
        <v>98</v>
      </c>
      <c r="R50" s="9">
        <v>49472</v>
      </c>
      <c r="S50" t="s">
        <v>27</v>
      </c>
    </row>
    <row r="51" spans="1:19" x14ac:dyDescent="0.25">
      <c r="A51" t="s">
        <v>90</v>
      </c>
      <c r="B51" t="s">
        <v>13</v>
      </c>
      <c r="C51" s="2" t="s">
        <v>14</v>
      </c>
      <c r="D51" t="s">
        <v>15</v>
      </c>
      <c r="E51" t="s">
        <v>16</v>
      </c>
      <c r="F51" t="s">
        <v>17</v>
      </c>
      <c r="G51" t="s">
        <v>31</v>
      </c>
      <c r="H51" t="str">
        <f t="shared" si="0"/>
        <v>05.001.04.122.0001.2.011.3.3.90.39.00</v>
      </c>
      <c r="I51" t="s">
        <v>91</v>
      </c>
      <c r="J51" t="s">
        <v>92</v>
      </c>
      <c r="K51" t="s">
        <v>21</v>
      </c>
      <c r="L51" t="s">
        <v>22</v>
      </c>
      <c r="M51" t="s">
        <v>23</v>
      </c>
      <c r="N51" t="s">
        <v>24</v>
      </c>
      <c r="O51" t="s">
        <v>32</v>
      </c>
      <c r="P51" t="s">
        <v>93</v>
      </c>
      <c r="Q51" t="s">
        <v>99</v>
      </c>
      <c r="R51" s="9">
        <v>64000</v>
      </c>
      <c r="S51" t="s">
        <v>27</v>
      </c>
    </row>
    <row r="52" spans="1:19" x14ac:dyDescent="0.25">
      <c r="A52" t="s">
        <v>90</v>
      </c>
      <c r="B52" t="s">
        <v>13</v>
      </c>
      <c r="C52" s="2" t="s">
        <v>14</v>
      </c>
      <c r="D52" t="s">
        <v>15</v>
      </c>
      <c r="E52" t="s">
        <v>16</v>
      </c>
      <c r="F52" t="s">
        <v>17</v>
      </c>
      <c r="G52" t="s">
        <v>31</v>
      </c>
      <c r="H52" t="str">
        <f t="shared" si="0"/>
        <v>05.001.04.122.0001.2.011.3.3.90.39.00</v>
      </c>
      <c r="I52" t="s">
        <v>91</v>
      </c>
      <c r="J52" t="s">
        <v>92</v>
      </c>
      <c r="K52" t="s">
        <v>21</v>
      </c>
      <c r="L52" t="s">
        <v>22</v>
      </c>
      <c r="M52" t="s">
        <v>23</v>
      </c>
      <c r="N52" t="s">
        <v>24</v>
      </c>
      <c r="O52" t="s">
        <v>32</v>
      </c>
      <c r="P52" t="s">
        <v>93</v>
      </c>
      <c r="Q52" t="s">
        <v>100</v>
      </c>
      <c r="R52" s="9">
        <v>800000</v>
      </c>
      <c r="S52" t="s">
        <v>27</v>
      </c>
    </row>
    <row r="53" spans="1:19" x14ac:dyDescent="0.25">
      <c r="A53" t="s">
        <v>90</v>
      </c>
      <c r="B53" t="s">
        <v>13</v>
      </c>
      <c r="C53" s="2" t="s">
        <v>14</v>
      </c>
      <c r="D53" t="s">
        <v>15</v>
      </c>
      <c r="E53" t="s">
        <v>16</v>
      </c>
      <c r="F53" t="s">
        <v>17</v>
      </c>
      <c r="G53" t="s">
        <v>31</v>
      </c>
      <c r="H53" t="str">
        <f t="shared" si="0"/>
        <v>05.001.04.122.0001.2.011.3.3.90.39.00</v>
      </c>
      <c r="I53" t="s">
        <v>91</v>
      </c>
      <c r="J53" t="s">
        <v>92</v>
      </c>
      <c r="K53" t="s">
        <v>21</v>
      </c>
      <c r="L53" t="s">
        <v>22</v>
      </c>
      <c r="M53" t="s">
        <v>23</v>
      </c>
      <c r="N53" t="s">
        <v>24</v>
      </c>
      <c r="O53" t="s">
        <v>32</v>
      </c>
      <c r="P53" t="s">
        <v>93</v>
      </c>
      <c r="Q53" t="s">
        <v>101</v>
      </c>
      <c r="R53" s="9">
        <v>300000</v>
      </c>
      <c r="S53" t="s">
        <v>27</v>
      </c>
    </row>
    <row r="54" spans="1:19" x14ac:dyDescent="0.25">
      <c r="A54" t="s">
        <v>90</v>
      </c>
      <c r="B54" t="s">
        <v>13</v>
      </c>
      <c r="C54" s="2" t="s">
        <v>14</v>
      </c>
      <c r="D54" t="s">
        <v>15</v>
      </c>
      <c r="E54" t="s">
        <v>16</v>
      </c>
      <c r="F54" t="s">
        <v>17</v>
      </c>
      <c r="G54" t="s">
        <v>31</v>
      </c>
      <c r="H54" t="str">
        <f t="shared" si="0"/>
        <v>05.001.04.122.0001.2.011.3.3.90.39.00</v>
      </c>
      <c r="I54" t="s">
        <v>91</v>
      </c>
      <c r="J54" t="s">
        <v>92</v>
      </c>
      <c r="K54" t="s">
        <v>21</v>
      </c>
      <c r="L54" t="s">
        <v>22</v>
      </c>
      <c r="M54" t="s">
        <v>23</v>
      </c>
      <c r="N54" t="s">
        <v>24</v>
      </c>
      <c r="O54" t="s">
        <v>32</v>
      </c>
      <c r="Q54" t="s">
        <v>102</v>
      </c>
      <c r="R54" s="9">
        <v>1320000</v>
      </c>
      <c r="S54" t="s">
        <v>27</v>
      </c>
    </row>
    <row r="55" spans="1:19" x14ac:dyDescent="0.25">
      <c r="A55" t="s">
        <v>90</v>
      </c>
      <c r="B55" t="s">
        <v>13</v>
      </c>
      <c r="C55" s="2" t="s">
        <v>14</v>
      </c>
      <c r="D55" t="s">
        <v>51</v>
      </c>
      <c r="E55" t="s">
        <v>52</v>
      </c>
      <c r="F55" t="s">
        <v>53</v>
      </c>
      <c r="G55" t="s">
        <v>54</v>
      </c>
      <c r="H55" t="str">
        <f t="shared" si="0"/>
        <v>05.001.04.126.0002.2.007.3.3.90.40.00</v>
      </c>
      <c r="I55" t="s">
        <v>91</v>
      </c>
      <c r="J55" t="s">
        <v>92</v>
      </c>
      <c r="K55" t="s">
        <v>21</v>
      </c>
      <c r="L55" t="s">
        <v>57</v>
      </c>
      <c r="M55" t="s">
        <v>58</v>
      </c>
      <c r="N55" t="s">
        <v>59</v>
      </c>
      <c r="O55" t="s">
        <v>60</v>
      </c>
      <c r="Q55" t="s">
        <v>103</v>
      </c>
      <c r="R55" s="9">
        <v>1100000</v>
      </c>
      <c r="S55" t="s">
        <v>27</v>
      </c>
    </row>
    <row r="56" spans="1:19" x14ac:dyDescent="0.25">
      <c r="A56" t="s">
        <v>90</v>
      </c>
      <c r="B56" t="s">
        <v>13</v>
      </c>
      <c r="C56" s="2" t="s">
        <v>14</v>
      </c>
      <c r="D56" t="s">
        <v>15</v>
      </c>
      <c r="E56" t="s">
        <v>16</v>
      </c>
      <c r="F56" t="s">
        <v>17</v>
      </c>
      <c r="G56" t="s">
        <v>80</v>
      </c>
      <c r="H56" t="str">
        <f t="shared" si="0"/>
        <v>05.001.04.122.0001.2.011.4.4.90.52.00</v>
      </c>
      <c r="I56" t="s">
        <v>91</v>
      </c>
      <c r="J56" t="s">
        <v>92</v>
      </c>
      <c r="K56" t="s">
        <v>21</v>
      </c>
      <c r="L56" t="s">
        <v>22</v>
      </c>
      <c r="M56" t="s">
        <v>23</v>
      </c>
      <c r="N56" t="s">
        <v>24</v>
      </c>
      <c r="O56" t="s">
        <v>81</v>
      </c>
      <c r="P56" t="s">
        <v>82</v>
      </c>
      <c r="Q56" t="s">
        <v>104</v>
      </c>
      <c r="R56" s="9">
        <v>10000</v>
      </c>
      <c r="S56" t="s">
        <v>27</v>
      </c>
    </row>
    <row r="57" spans="1:19" x14ac:dyDescent="0.25">
      <c r="A57" t="s">
        <v>90</v>
      </c>
      <c r="B57" t="s">
        <v>13</v>
      </c>
      <c r="C57" s="2" t="s">
        <v>14</v>
      </c>
      <c r="D57" t="s">
        <v>15</v>
      </c>
      <c r="E57" t="s">
        <v>16</v>
      </c>
      <c r="F57" t="s">
        <v>17</v>
      </c>
      <c r="G57" t="s">
        <v>31</v>
      </c>
      <c r="H57" t="str">
        <f t="shared" si="0"/>
        <v>05.001.04.122.0001.2.011.3.3.90.39.00</v>
      </c>
      <c r="I57" t="s">
        <v>91</v>
      </c>
      <c r="J57" t="s">
        <v>92</v>
      </c>
      <c r="K57" t="s">
        <v>21</v>
      </c>
      <c r="L57" t="s">
        <v>22</v>
      </c>
      <c r="M57" t="s">
        <v>23</v>
      </c>
      <c r="N57" t="s">
        <v>24</v>
      </c>
      <c r="O57" t="s">
        <v>32</v>
      </c>
      <c r="P57" t="s">
        <v>105</v>
      </c>
      <c r="Q57" t="s">
        <v>106</v>
      </c>
      <c r="R57" s="9">
        <v>8000</v>
      </c>
      <c r="S57" t="s">
        <v>27</v>
      </c>
    </row>
    <row r="58" spans="1:19" x14ac:dyDescent="0.25">
      <c r="A58" t="s">
        <v>90</v>
      </c>
      <c r="B58" t="s">
        <v>13</v>
      </c>
      <c r="C58" s="2" t="s">
        <v>14</v>
      </c>
      <c r="D58" t="s">
        <v>15</v>
      </c>
      <c r="E58" t="s">
        <v>16</v>
      </c>
      <c r="F58" t="s">
        <v>17</v>
      </c>
      <c r="G58" t="s">
        <v>31</v>
      </c>
      <c r="H58" t="str">
        <f t="shared" si="0"/>
        <v>05.001.04.122.0001.2.011.3.3.90.39.00</v>
      </c>
      <c r="I58" t="s">
        <v>91</v>
      </c>
      <c r="J58" t="s">
        <v>92</v>
      </c>
      <c r="K58" t="s">
        <v>21</v>
      </c>
      <c r="L58" t="s">
        <v>22</v>
      </c>
      <c r="M58" t="s">
        <v>23</v>
      </c>
      <c r="N58" t="s">
        <v>24</v>
      </c>
      <c r="O58" t="s">
        <v>32</v>
      </c>
      <c r="P58" t="s">
        <v>105</v>
      </c>
      <c r="Q58" t="s">
        <v>107</v>
      </c>
      <c r="R58" s="9">
        <v>10000</v>
      </c>
      <c r="S58" t="s">
        <v>27</v>
      </c>
    </row>
    <row r="59" spans="1:19" x14ac:dyDescent="0.25">
      <c r="A59" t="s">
        <v>108</v>
      </c>
      <c r="B59" t="s">
        <v>13</v>
      </c>
      <c r="C59" s="2" t="s">
        <v>14</v>
      </c>
      <c r="D59" t="s">
        <v>15</v>
      </c>
      <c r="E59" t="s">
        <v>16</v>
      </c>
      <c r="F59" t="s">
        <v>17</v>
      </c>
      <c r="G59" t="s">
        <v>18</v>
      </c>
      <c r="H59" t="str">
        <f t="shared" si="0"/>
        <v>06.001.04.122.0001.2.011.3.3.90.30.00</v>
      </c>
      <c r="I59" t="s">
        <v>109</v>
      </c>
      <c r="J59" t="s">
        <v>110</v>
      </c>
      <c r="K59" t="s">
        <v>21</v>
      </c>
      <c r="L59" t="s">
        <v>22</v>
      </c>
      <c r="M59" t="s">
        <v>23</v>
      </c>
      <c r="N59" t="s">
        <v>24</v>
      </c>
      <c r="O59" t="s">
        <v>25</v>
      </c>
      <c r="P59" t="s">
        <v>29</v>
      </c>
      <c r="R59" s="9">
        <v>150000</v>
      </c>
      <c r="S59" t="s">
        <v>27</v>
      </c>
    </row>
    <row r="60" spans="1:19" x14ac:dyDescent="0.25">
      <c r="A60" t="s">
        <v>108</v>
      </c>
      <c r="B60" t="s">
        <v>13</v>
      </c>
      <c r="C60" s="2" t="s">
        <v>14</v>
      </c>
      <c r="D60" t="s">
        <v>15</v>
      </c>
      <c r="E60" t="s">
        <v>16</v>
      </c>
      <c r="F60" t="s">
        <v>17</v>
      </c>
      <c r="G60" t="s">
        <v>18</v>
      </c>
      <c r="H60" t="str">
        <f t="shared" si="0"/>
        <v>06.001.04.122.0001.2.011.3.3.90.30.00</v>
      </c>
      <c r="I60" t="s">
        <v>109</v>
      </c>
      <c r="J60" t="s">
        <v>110</v>
      </c>
      <c r="K60" t="s">
        <v>21</v>
      </c>
      <c r="L60" t="s">
        <v>22</v>
      </c>
      <c r="M60" t="s">
        <v>23</v>
      </c>
      <c r="N60" t="s">
        <v>24</v>
      </c>
      <c r="O60" t="s">
        <v>25</v>
      </c>
      <c r="P60" t="s">
        <v>30</v>
      </c>
      <c r="R60" s="9">
        <v>40468</v>
      </c>
      <c r="S60" t="s">
        <v>27</v>
      </c>
    </row>
    <row r="61" spans="1:19" x14ac:dyDescent="0.25">
      <c r="A61" t="s">
        <v>108</v>
      </c>
      <c r="B61" t="s">
        <v>13</v>
      </c>
      <c r="C61" s="2" t="s">
        <v>14</v>
      </c>
      <c r="D61" t="s">
        <v>15</v>
      </c>
      <c r="E61" t="s">
        <v>16</v>
      </c>
      <c r="F61" t="s">
        <v>17</v>
      </c>
      <c r="G61" t="s">
        <v>18</v>
      </c>
      <c r="H61" t="str">
        <f t="shared" si="0"/>
        <v>06.001.04.122.0001.2.011.3.3.90.30.00</v>
      </c>
      <c r="I61" t="s">
        <v>109</v>
      </c>
      <c r="J61" t="s">
        <v>110</v>
      </c>
      <c r="K61" t="s">
        <v>21</v>
      </c>
      <c r="L61" t="s">
        <v>22</v>
      </c>
      <c r="M61" t="s">
        <v>23</v>
      </c>
      <c r="N61" t="s">
        <v>24</v>
      </c>
      <c r="O61" t="s">
        <v>25</v>
      </c>
      <c r="P61" t="s">
        <v>28</v>
      </c>
      <c r="R61" s="9">
        <v>30000</v>
      </c>
      <c r="S61" t="s">
        <v>27</v>
      </c>
    </row>
    <row r="62" spans="1:19" x14ac:dyDescent="0.25">
      <c r="A62" t="s">
        <v>108</v>
      </c>
      <c r="B62" t="s">
        <v>13</v>
      </c>
      <c r="C62" s="2" t="s">
        <v>14</v>
      </c>
      <c r="D62" t="s">
        <v>15</v>
      </c>
      <c r="E62" t="s">
        <v>16</v>
      </c>
      <c r="F62" t="s">
        <v>17</v>
      </c>
      <c r="G62" t="s">
        <v>18</v>
      </c>
      <c r="H62" t="str">
        <f t="shared" si="0"/>
        <v>06.001.04.122.0001.2.011.3.3.90.30.00</v>
      </c>
      <c r="I62" t="s">
        <v>109</v>
      </c>
      <c r="J62" t="s">
        <v>110</v>
      </c>
      <c r="K62" t="s">
        <v>21</v>
      </c>
      <c r="L62" t="s">
        <v>22</v>
      </c>
      <c r="M62" t="s">
        <v>23</v>
      </c>
      <c r="N62" t="s">
        <v>24</v>
      </c>
      <c r="O62" t="s">
        <v>25</v>
      </c>
      <c r="P62" t="s">
        <v>39</v>
      </c>
      <c r="R62" s="9">
        <v>10000</v>
      </c>
      <c r="S62" t="s">
        <v>27</v>
      </c>
    </row>
    <row r="63" spans="1:19" x14ac:dyDescent="0.25">
      <c r="A63" t="s">
        <v>108</v>
      </c>
      <c r="B63" t="s">
        <v>13</v>
      </c>
      <c r="C63" s="2" t="s">
        <v>14</v>
      </c>
      <c r="D63" t="s">
        <v>15</v>
      </c>
      <c r="E63" t="s">
        <v>16</v>
      </c>
      <c r="F63" t="s">
        <v>17</v>
      </c>
      <c r="G63" t="s">
        <v>18</v>
      </c>
      <c r="H63" t="str">
        <f t="shared" si="0"/>
        <v>06.001.04.122.0001.2.011.3.3.90.30.00</v>
      </c>
      <c r="I63" t="s">
        <v>109</v>
      </c>
      <c r="J63" t="s">
        <v>110</v>
      </c>
      <c r="K63" t="s">
        <v>21</v>
      </c>
      <c r="L63" t="s">
        <v>22</v>
      </c>
      <c r="M63" t="s">
        <v>23</v>
      </c>
      <c r="N63" t="s">
        <v>24</v>
      </c>
      <c r="O63" t="s">
        <v>25</v>
      </c>
      <c r="P63" t="s">
        <v>89</v>
      </c>
      <c r="R63" s="9">
        <v>30000</v>
      </c>
      <c r="S63" t="s">
        <v>27</v>
      </c>
    </row>
    <row r="64" spans="1:19" x14ac:dyDescent="0.25">
      <c r="A64" t="s">
        <v>108</v>
      </c>
      <c r="B64" t="s">
        <v>13</v>
      </c>
      <c r="C64" s="2" t="s">
        <v>14</v>
      </c>
      <c r="D64" t="s">
        <v>15</v>
      </c>
      <c r="E64" t="s">
        <v>16</v>
      </c>
      <c r="F64" t="s">
        <v>17</v>
      </c>
      <c r="G64" t="s">
        <v>18</v>
      </c>
      <c r="H64" t="str">
        <f t="shared" si="0"/>
        <v>06.001.04.122.0001.2.011.3.3.90.30.00</v>
      </c>
      <c r="I64" t="s">
        <v>109</v>
      </c>
      <c r="J64" t="s">
        <v>110</v>
      </c>
      <c r="K64" t="s">
        <v>21</v>
      </c>
      <c r="L64" t="s">
        <v>22</v>
      </c>
      <c r="M64" t="s">
        <v>23</v>
      </c>
      <c r="N64" t="s">
        <v>24</v>
      </c>
      <c r="O64" t="s">
        <v>25</v>
      </c>
      <c r="P64" t="s">
        <v>111</v>
      </c>
      <c r="R64" s="9">
        <v>10000</v>
      </c>
      <c r="S64" t="s">
        <v>27</v>
      </c>
    </row>
    <row r="65" spans="1:19" x14ac:dyDescent="0.25">
      <c r="A65" t="s">
        <v>108</v>
      </c>
      <c r="B65" t="s">
        <v>13</v>
      </c>
      <c r="C65" s="2" t="s">
        <v>14</v>
      </c>
      <c r="D65" t="s">
        <v>15</v>
      </c>
      <c r="E65" t="s">
        <v>16</v>
      </c>
      <c r="F65" t="s">
        <v>17</v>
      </c>
      <c r="G65" t="s">
        <v>80</v>
      </c>
      <c r="H65" t="str">
        <f t="shared" si="0"/>
        <v>06.001.04.122.0001.2.011.4.4.90.52.00</v>
      </c>
      <c r="I65" t="s">
        <v>109</v>
      </c>
      <c r="J65" t="s">
        <v>110</v>
      </c>
      <c r="K65" t="s">
        <v>21</v>
      </c>
      <c r="L65" t="s">
        <v>22</v>
      </c>
      <c r="M65" t="s">
        <v>23</v>
      </c>
      <c r="N65" t="s">
        <v>24</v>
      </c>
      <c r="O65" t="s">
        <v>81</v>
      </c>
      <c r="P65" t="s">
        <v>112</v>
      </c>
      <c r="R65" s="9">
        <v>100000</v>
      </c>
      <c r="S65" t="s">
        <v>27</v>
      </c>
    </row>
    <row r="66" spans="1:19" x14ac:dyDescent="0.25">
      <c r="A66" t="s">
        <v>108</v>
      </c>
      <c r="B66" t="s">
        <v>13</v>
      </c>
      <c r="C66" s="2" t="s">
        <v>14</v>
      </c>
      <c r="D66" t="s">
        <v>15</v>
      </c>
      <c r="E66" t="s">
        <v>16</v>
      </c>
      <c r="F66" t="s">
        <v>17</v>
      </c>
      <c r="G66" t="s">
        <v>31</v>
      </c>
      <c r="H66" t="str">
        <f t="shared" ref="H66:H129" si="1">_xlfn.CONCAT(A66,".",B66,".",C66,".",D66,".",E66,".",F66,".",G66)</f>
        <v>06.001.04.122.0001.2.011.3.3.90.39.00</v>
      </c>
      <c r="I66" t="s">
        <v>109</v>
      </c>
      <c r="J66" t="s">
        <v>110</v>
      </c>
      <c r="K66" t="s">
        <v>21</v>
      </c>
      <c r="L66" t="s">
        <v>22</v>
      </c>
      <c r="M66" t="s">
        <v>23</v>
      </c>
      <c r="N66" t="s">
        <v>24</v>
      </c>
      <c r="O66" t="s">
        <v>32</v>
      </c>
      <c r="P66" t="s">
        <v>93</v>
      </c>
      <c r="Q66" t="s">
        <v>113</v>
      </c>
      <c r="R66" s="9">
        <v>12898089.6</v>
      </c>
      <c r="S66" t="s">
        <v>27</v>
      </c>
    </row>
    <row r="67" spans="1:19" x14ac:dyDescent="0.25">
      <c r="A67" t="s">
        <v>108</v>
      </c>
      <c r="B67" t="s">
        <v>13</v>
      </c>
      <c r="C67" s="2" t="s">
        <v>14</v>
      </c>
      <c r="D67" t="s">
        <v>15</v>
      </c>
      <c r="E67" t="s">
        <v>16</v>
      </c>
      <c r="F67" t="s">
        <v>17</v>
      </c>
      <c r="G67" t="s">
        <v>31</v>
      </c>
      <c r="H67" t="str">
        <f t="shared" si="1"/>
        <v>06.001.04.122.0001.2.011.3.3.90.39.00</v>
      </c>
      <c r="I67" t="s">
        <v>109</v>
      </c>
      <c r="J67" t="s">
        <v>110</v>
      </c>
      <c r="K67" t="s">
        <v>21</v>
      </c>
      <c r="L67" t="s">
        <v>22</v>
      </c>
      <c r="M67" t="s">
        <v>23</v>
      </c>
      <c r="N67" t="s">
        <v>24</v>
      </c>
      <c r="O67" t="s">
        <v>32</v>
      </c>
      <c r="P67" t="s">
        <v>114</v>
      </c>
      <c r="Q67" t="s">
        <v>115</v>
      </c>
      <c r="R67" s="9">
        <v>72000</v>
      </c>
      <c r="S67" t="s">
        <v>27</v>
      </c>
    </row>
    <row r="68" spans="1:19" x14ac:dyDescent="0.25">
      <c r="A68" t="s">
        <v>108</v>
      </c>
      <c r="B68" t="s">
        <v>13</v>
      </c>
      <c r="C68" s="2" t="s">
        <v>14</v>
      </c>
      <c r="D68" t="s">
        <v>15</v>
      </c>
      <c r="E68" t="s">
        <v>16</v>
      </c>
      <c r="F68" t="s">
        <v>17</v>
      </c>
      <c r="G68" t="s">
        <v>31</v>
      </c>
      <c r="H68" t="str">
        <f t="shared" si="1"/>
        <v>06.001.04.122.0001.2.011.3.3.90.39.00</v>
      </c>
      <c r="I68" t="s">
        <v>109</v>
      </c>
      <c r="J68" t="s">
        <v>110</v>
      </c>
      <c r="K68" t="s">
        <v>21</v>
      </c>
      <c r="L68" t="s">
        <v>22</v>
      </c>
      <c r="M68" t="s">
        <v>23</v>
      </c>
      <c r="N68" t="s">
        <v>24</v>
      </c>
      <c r="O68" t="s">
        <v>32</v>
      </c>
      <c r="P68" t="s">
        <v>67</v>
      </c>
      <c r="Q68" t="s">
        <v>116</v>
      </c>
      <c r="R68" s="9">
        <v>82000</v>
      </c>
      <c r="S68" t="s">
        <v>27</v>
      </c>
    </row>
    <row r="69" spans="1:19" x14ac:dyDescent="0.25">
      <c r="A69" t="s">
        <v>108</v>
      </c>
      <c r="B69" t="s">
        <v>13</v>
      </c>
      <c r="C69" s="2" t="s">
        <v>14</v>
      </c>
      <c r="D69" t="s">
        <v>15</v>
      </c>
      <c r="E69" t="s">
        <v>16</v>
      </c>
      <c r="F69" t="s">
        <v>17</v>
      </c>
      <c r="G69" t="s">
        <v>31</v>
      </c>
      <c r="H69" t="str">
        <f t="shared" si="1"/>
        <v>06.001.04.122.0001.2.011.3.3.90.39.00</v>
      </c>
      <c r="I69" t="s">
        <v>109</v>
      </c>
      <c r="J69" t="s">
        <v>110</v>
      </c>
      <c r="K69" t="s">
        <v>21</v>
      </c>
      <c r="L69" t="s">
        <v>22</v>
      </c>
      <c r="M69" t="s">
        <v>23</v>
      </c>
      <c r="N69" t="s">
        <v>24</v>
      </c>
      <c r="O69" t="s">
        <v>32</v>
      </c>
      <c r="P69" t="s">
        <v>93</v>
      </c>
      <c r="Q69" t="s">
        <v>117</v>
      </c>
      <c r="R69" s="9">
        <v>1433376</v>
      </c>
      <c r="S69" t="s">
        <v>27</v>
      </c>
    </row>
    <row r="70" spans="1:19" x14ac:dyDescent="0.25">
      <c r="A70" t="s">
        <v>108</v>
      </c>
      <c r="B70" t="s">
        <v>13</v>
      </c>
      <c r="C70" s="2" t="s">
        <v>14</v>
      </c>
      <c r="D70" t="s">
        <v>15</v>
      </c>
      <c r="E70" t="s">
        <v>16</v>
      </c>
      <c r="F70" t="s">
        <v>17</v>
      </c>
      <c r="G70" t="s">
        <v>31</v>
      </c>
      <c r="H70" t="str">
        <f t="shared" si="1"/>
        <v>06.001.04.122.0001.2.011.3.3.90.39.00</v>
      </c>
      <c r="I70" t="s">
        <v>109</v>
      </c>
      <c r="J70" t="s">
        <v>110</v>
      </c>
      <c r="K70" t="s">
        <v>21</v>
      </c>
      <c r="L70" t="s">
        <v>22</v>
      </c>
      <c r="M70" t="s">
        <v>23</v>
      </c>
      <c r="N70" t="s">
        <v>24</v>
      </c>
      <c r="O70" t="s">
        <v>32</v>
      </c>
      <c r="P70" t="s">
        <v>44</v>
      </c>
      <c r="R70" s="9">
        <v>34432</v>
      </c>
      <c r="S70" t="s">
        <v>27</v>
      </c>
    </row>
    <row r="71" spans="1:19" x14ac:dyDescent="0.25">
      <c r="A71" t="s">
        <v>108</v>
      </c>
      <c r="B71" t="s">
        <v>13</v>
      </c>
      <c r="C71" s="2" t="s">
        <v>14</v>
      </c>
      <c r="D71" t="s">
        <v>15</v>
      </c>
      <c r="E71" t="s">
        <v>16</v>
      </c>
      <c r="F71" t="s">
        <v>17</v>
      </c>
      <c r="G71" t="s">
        <v>118</v>
      </c>
      <c r="H71" t="str">
        <f t="shared" si="1"/>
        <v>06.001.04.122.0001.2.011.3.3.90.92.00</v>
      </c>
      <c r="I71" t="s">
        <v>109</v>
      </c>
      <c r="J71" t="s">
        <v>110</v>
      </c>
      <c r="K71" t="s">
        <v>21</v>
      </c>
      <c r="L71" t="s">
        <v>22</v>
      </c>
      <c r="M71" t="s">
        <v>23</v>
      </c>
      <c r="N71" t="s">
        <v>24</v>
      </c>
      <c r="O71" t="s">
        <v>119</v>
      </c>
      <c r="P71" t="s">
        <v>93</v>
      </c>
      <c r="R71" s="9">
        <v>1</v>
      </c>
      <c r="S71" t="s">
        <v>27</v>
      </c>
    </row>
    <row r="72" spans="1:19" x14ac:dyDescent="0.25">
      <c r="A72" t="s">
        <v>108</v>
      </c>
      <c r="B72" t="s">
        <v>13</v>
      </c>
      <c r="C72" s="2" t="s">
        <v>14</v>
      </c>
      <c r="D72" t="s">
        <v>15</v>
      </c>
      <c r="E72" t="s">
        <v>16</v>
      </c>
      <c r="F72" t="s">
        <v>17</v>
      </c>
      <c r="G72" t="s">
        <v>69</v>
      </c>
      <c r="H72" t="str">
        <f t="shared" si="1"/>
        <v>06.001.04.122.0001.2.011.3.3.90.93.00</v>
      </c>
      <c r="I72" t="s">
        <v>109</v>
      </c>
      <c r="J72" t="s">
        <v>110</v>
      </c>
      <c r="K72" t="s">
        <v>21</v>
      </c>
      <c r="L72" t="s">
        <v>22</v>
      </c>
      <c r="M72" t="s">
        <v>23</v>
      </c>
      <c r="N72" t="s">
        <v>24</v>
      </c>
      <c r="O72" t="s">
        <v>70</v>
      </c>
      <c r="R72" s="9">
        <v>1</v>
      </c>
      <c r="S72" t="s">
        <v>27</v>
      </c>
    </row>
    <row r="73" spans="1:19" x14ac:dyDescent="0.25">
      <c r="A73" t="s">
        <v>108</v>
      </c>
      <c r="B73" t="s">
        <v>120</v>
      </c>
      <c r="C73" s="2" t="s">
        <v>14</v>
      </c>
      <c r="D73" t="s">
        <v>121</v>
      </c>
      <c r="E73" t="s">
        <v>52</v>
      </c>
      <c r="F73" t="s">
        <v>122</v>
      </c>
      <c r="G73" t="s">
        <v>18</v>
      </c>
      <c r="H73" t="str">
        <f t="shared" si="1"/>
        <v>06.011.04.128.0002.2.003.3.3.90.30.00</v>
      </c>
      <c r="I73" t="s">
        <v>109</v>
      </c>
      <c r="J73" t="s">
        <v>123</v>
      </c>
      <c r="K73" t="s">
        <v>21</v>
      </c>
      <c r="L73" t="s">
        <v>124</v>
      </c>
      <c r="M73" t="s">
        <v>58</v>
      </c>
      <c r="N73" t="s">
        <v>125</v>
      </c>
      <c r="O73" t="s">
        <v>25</v>
      </c>
      <c r="P73" t="s">
        <v>30</v>
      </c>
      <c r="R73" s="9">
        <v>100000</v>
      </c>
      <c r="S73" t="s">
        <v>27</v>
      </c>
    </row>
    <row r="74" spans="1:19" x14ac:dyDescent="0.25">
      <c r="A74" t="s">
        <v>108</v>
      </c>
      <c r="B74" t="s">
        <v>120</v>
      </c>
      <c r="C74" s="2" t="s">
        <v>14</v>
      </c>
      <c r="D74" t="s">
        <v>121</v>
      </c>
      <c r="E74" t="s">
        <v>52</v>
      </c>
      <c r="F74" t="s">
        <v>122</v>
      </c>
      <c r="G74" t="s">
        <v>31</v>
      </c>
      <c r="H74" t="str">
        <f t="shared" si="1"/>
        <v>06.011.04.128.0002.2.003.3.3.90.39.00</v>
      </c>
      <c r="I74" t="s">
        <v>109</v>
      </c>
      <c r="J74" t="s">
        <v>123</v>
      </c>
      <c r="K74" t="s">
        <v>21</v>
      </c>
      <c r="L74" t="s">
        <v>124</v>
      </c>
      <c r="M74" t="s">
        <v>58</v>
      </c>
      <c r="N74" t="s">
        <v>125</v>
      </c>
      <c r="O74" t="s">
        <v>32</v>
      </c>
      <c r="P74" t="s">
        <v>93</v>
      </c>
      <c r="R74" s="9">
        <v>100000</v>
      </c>
      <c r="S74" t="s">
        <v>27</v>
      </c>
    </row>
    <row r="75" spans="1:19" x14ac:dyDescent="0.25">
      <c r="A75" t="s">
        <v>108</v>
      </c>
      <c r="B75" t="s">
        <v>120</v>
      </c>
      <c r="C75" s="2" t="s">
        <v>14</v>
      </c>
      <c r="D75" t="s">
        <v>121</v>
      </c>
      <c r="E75" t="s">
        <v>52</v>
      </c>
      <c r="F75" t="s">
        <v>122</v>
      </c>
      <c r="G75" t="s">
        <v>54</v>
      </c>
      <c r="H75" t="str">
        <f t="shared" si="1"/>
        <v>06.011.04.128.0002.2.003.3.3.90.40.00</v>
      </c>
      <c r="I75" t="s">
        <v>109</v>
      </c>
      <c r="J75" t="s">
        <v>123</v>
      </c>
      <c r="K75" t="s">
        <v>21</v>
      </c>
      <c r="L75" t="s">
        <v>124</v>
      </c>
      <c r="M75" t="s">
        <v>58</v>
      </c>
      <c r="N75" t="s">
        <v>125</v>
      </c>
      <c r="O75" t="s">
        <v>60</v>
      </c>
      <c r="P75" t="s">
        <v>61</v>
      </c>
      <c r="R75" s="9">
        <v>100000</v>
      </c>
      <c r="S75" t="s">
        <v>27</v>
      </c>
    </row>
    <row r="76" spans="1:19" x14ac:dyDescent="0.25">
      <c r="A76" t="s">
        <v>108</v>
      </c>
      <c r="B76" t="s">
        <v>120</v>
      </c>
      <c r="C76" s="2" t="s">
        <v>14</v>
      </c>
      <c r="D76" t="s">
        <v>121</v>
      </c>
      <c r="E76" t="s">
        <v>52</v>
      </c>
      <c r="F76" t="s">
        <v>122</v>
      </c>
      <c r="G76" t="s">
        <v>80</v>
      </c>
      <c r="H76" t="str">
        <f t="shared" si="1"/>
        <v>06.011.04.128.0002.2.003.4.4.90.52.00</v>
      </c>
      <c r="I76" t="s">
        <v>109</v>
      </c>
      <c r="J76" t="s">
        <v>123</v>
      </c>
      <c r="K76" t="s">
        <v>21</v>
      </c>
      <c r="L76" t="s">
        <v>124</v>
      </c>
      <c r="M76" t="s">
        <v>58</v>
      </c>
      <c r="N76" t="s">
        <v>125</v>
      </c>
      <c r="O76" t="s">
        <v>81</v>
      </c>
      <c r="P76" t="s">
        <v>82</v>
      </c>
      <c r="R76" s="9">
        <v>100000</v>
      </c>
      <c r="S76" t="s">
        <v>27</v>
      </c>
    </row>
    <row r="77" spans="1:19" x14ac:dyDescent="0.25">
      <c r="A77" t="s">
        <v>126</v>
      </c>
      <c r="B77" t="s">
        <v>13</v>
      </c>
      <c r="C77" s="2" t="s">
        <v>14</v>
      </c>
      <c r="D77" t="s">
        <v>15</v>
      </c>
      <c r="E77" t="s">
        <v>16</v>
      </c>
      <c r="F77" t="s">
        <v>127</v>
      </c>
      <c r="G77" t="s">
        <v>73</v>
      </c>
      <c r="H77" t="str">
        <f t="shared" si="1"/>
        <v>07.001.04.122.0001.2.006.3.3.90.33.00</v>
      </c>
      <c r="I77" t="s">
        <v>128</v>
      </c>
      <c r="J77" t="s">
        <v>129</v>
      </c>
      <c r="K77" t="s">
        <v>21</v>
      </c>
      <c r="L77" t="s">
        <v>22</v>
      </c>
      <c r="M77" t="s">
        <v>23</v>
      </c>
      <c r="N77" t="s">
        <v>130</v>
      </c>
      <c r="O77" t="s">
        <v>74</v>
      </c>
      <c r="Q77">
        <v>88</v>
      </c>
      <c r="R77" s="9">
        <v>15000</v>
      </c>
      <c r="S77" t="s">
        <v>27</v>
      </c>
    </row>
    <row r="78" spans="1:19" x14ac:dyDescent="0.25">
      <c r="A78" t="s">
        <v>126</v>
      </c>
      <c r="B78" t="s">
        <v>13</v>
      </c>
      <c r="C78" s="2" t="s">
        <v>14</v>
      </c>
      <c r="D78" t="s">
        <v>15</v>
      </c>
      <c r="E78" t="s">
        <v>16</v>
      </c>
      <c r="F78" t="s">
        <v>127</v>
      </c>
      <c r="G78" t="s">
        <v>31</v>
      </c>
      <c r="H78" t="str">
        <f t="shared" si="1"/>
        <v>07.001.04.122.0001.2.006.3.3.90.39.00</v>
      </c>
      <c r="I78" t="s">
        <v>128</v>
      </c>
      <c r="J78" t="s">
        <v>129</v>
      </c>
      <c r="K78" t="s">
        <v>21</v>
      </c>
      <c r="L78" t="s">
        <v>22</v>
      </c>
      <c r="M78" t="s">
        <v>23</v>
      </c>
      <c r="N78" t="s">
        <v>130</v>
      </c>
      <c r="O78" t="s">
        <v>32</v>
      </c>
      <c r="P78" t="s">
        <v>65</v>
      </c>
      <c r="Q78">
        <v>89</v>
      </c>
      <c r="R78" s="9">
        <v>15000</v>
      </c>
      <c r="S78" t="s">
        <v>27</v>
      </c>
    </row>
    <row r="79" spans="1:19" x14ac:dyDescent="0.25">
      <c r="A79" t="s">
        <v>126</v>
      </c>
      <c r="B79" t="s">
        <v>13</v>
      </c>
      <c r="C79" s="2" t="s">
        <v>14</v>
      </c>
      <c r="D79" t="s">
        <v>15</v>
      </c>
      <c r="E79" t="s">
        <v>52</v>
      </c>
      <c r="F79" t="s">
        <v>122</v>
      </c>
      <c r="G79" t="s">
        <v>131</v>
      </c>
      <c r="H79" t="str">
        <f t="shared" si="1"/>
        <v>07.001.04.122.0002.2.003.3.3.90.36.00</v>
      </c>
      <c r="I79" t="s">
        <v>128</v>
      </c>
      <c r="J79" t="s">
        <v>129</v>
      </c>
      <c r="K79" t="s">
        <v>21</v>
      </c>
      <c r="L79" t="s">
        <v>22</v>
      </c>
      <c r="M79" t="s">
        <v>58</v>
      </c>
      <c r="N79" t="s">
        <v>125</v>
      </c>
      <c r="O79" t="s">
        <v>132</v>
      </c>
      <c r="Q79">
        <v>90</v>
      </c>
      <c r="R79" s="9">
        <v>1</v>
      </c>
      <c r="S79" t="s">
        <v>27</v>
      </c>
    </row>
    <row r="80" spans="1:19" x14ac:dyDescent="0.25">
      <c r="A80" t="s">
        <v>126</v>
      </c>
      <c r="B80" t="s">
        <v>13</v>
      </c>
      <c r="C80" s="2" t="s">
        <v>14</v>
      </c>
      <c r="D80" t="s">
        <v>15</v>
      </c>
      <c r="E80" t="s">
        <v>52</v>
      </c>
      <c r="F80" t="s">
        <v>122</v>
      </c>
      <c r="G80" t="s">
        <v>31</v>
      </c>
      <c r="H80" t="str">
        <f t="shared" si="1"/>
        <v>07.001.04.122.0002.2.003.3.3.90.39.00</v>
      </c>
      <c r="I80" t="s">
        <v>128</v>
      </c>
      <c r="J80" t="s">
        <v>129</v>
      </c>
      <c r="K80" t="s">
        <v>21</v>
      </c>
      <c r="L80" t="s">
        <v>22</v>
      </c>
      <c r="M80" t="s">
        <v>58</v>
      </c>
      <c r="N80" t="s">
        <v>125</v>
      </c>
      <c r="O80" t="s">
        <v>32</v>
      </c>
      <c r="P80" t="s">
        <v>65</v>
      </c>
      <c r="Q80">
        <v>91</v>
      </c>
      <c r="R80" s="9">
        <v>1</v>
      </c>
      <c r="S80" t="s">
        <v>27</v>
      </c>
    </row>
    <row r="81" spans="1:19" x14ac:dyDescent="0.25">
      <c r="A81" t="s">
        <v>126</v>
      </c>
      <c r="B81" t="s">
        <v>13</v>
      </c>
      <c r="C81" s="2" t="s">
        <v>14</v>
      </c>
      <c r="D81" t="s">
        <v>15</v>
      </c>
      <c r="E81" t="s">
        <v>52</v>
      </c>
      <c r="F81" t="s">
        <v>133</v>
      </c>
      <c r="G81" t="s">
        <v>18</v>
      </c>
      <c r="H81" t="str">
        <f t="shared" si="1"/>
        <v>07.001.04.122.0002.2.005.3.3.90.30.00</v>
      </c>
      <c r="I81" t="s">
        <v>128</v>
      </c>
      <c r="J81" t="s">
        <v>129</v>
      </c>
      <c r="K81" t="s">
        <v>21</v>
      </c>
      <c r="L81" t="s">
        <v>22</v>
      </c>
      <c r="M81" t="s">
        <v>58</v>
      </c>
      <c r="N81" t="s">
        <v>134</v>
      </c>
      <c r="O81" t="s">
        <v>25</v>
      </c>
      <c r="P81" t="s">
        <v>49</v>
      </c>
      <c r="Q81">
        <v>92</v>
      </c>
      <c r="S81" t="s">
        <v>27</v>
      </c>
    </row>
    <row r="82" spans="1:19" x14ac:dyDescent="0.25">
      <c r="A82" t="s">
        <v>126</v>
      </c>
      <c r="B82" t="s">
        <v>13</v>
      </c>
      <c r="C82" s="2" t="s">
        <v>14</v>
      </c>
      <c r="D82" t="s">
        <v>15</v>
      </c>
      <c r="E82" t="s">
        <v>52</v>
      </c>
      <c r="F82" t="s">
        <v>133</v>
      </c>
      <c r="G82" t="s">
        <v>31</v>
      </c>
      <c r="H82" t="str">
        <f t="shared" si="1"/>
        <v>07.001.04.122.0002.2.005.3.3.90.39.00</v>
      </c>
      <c r="I82" t="s">
        <v>128</v>
      </c>
      <c r="J82" t="s">
        <v>129</v>
      </c>
      <c r="K82" t="s">
        <v>21</v>
      </c>
      <c r="L82" t="s">
        <v>22</v>
      </c>
      <c r="M82" t="s">
        <v>58</v>
      </c>
      <c r="N82" t="s">
        <v>134</v>
      </c>
      <c r="O82" t="s">
        <v>32</v>
      </c>
      <c r="P82" t="s">
        <v>135</v>
      </c>
      <c r="Q82">
        <v>93</v>
      </c>
      <c r="S82" t="s">
        <v>27</v>
      </c>
    </row>
    <row r="83" spans="1:19" x14ac:dyDescent="0.25">
      <c r="A83" t="s">
        <v>126</v>
      </c>
      <c r="B83" t="s">
        <v>13</v>
      </c>
      <c r="C83" s="2" t="s">
        <v>136</v>
      </c>
      <c r="D83" t="s">
        <v>137</v>
      </c>
      <c r="E83" t="s">
        <v>138</v>
      </c>
      <c r="F83" t="s">
        <v>139</v>
      </c>
      <c r="G83" t="s">
        <v>31</v>
      </c>
      <c r="H83" t="str">
        <f t="shared" si="1"/>
        <v>07.001.11.334.0017.1.002.3.3.90.39.00</v>
      </c>
      <c r="I83" t="s">
        <v>128</v>
      </c>
      <c r="J83" t="s">
        <v>129</v>
      </c>
      <c r="K83" t="s">
        <v>140</v>
      </c>
      <c r="L83" t="s">
        <v>141</v>
      </c>
      <c r="M83" t="s">
        <v>142</v>
      </c>
      <c r="N83" t="s">
        <v>143</v>
      </c>
      <c r="O83" t="s">
        <v>32</v>
      </c>
      <c r="P83" t="s">
        <v>65</v>
      </c>
      <c r="Q83">
        <v>94</v>
      </c>
      <c r="S83" t="s">
        <v>27</v>
      </c>
    </row>
    <row r="84" spans="1:19" x14ac:dyDescent="0.25">
      <c r="A84" t="s">
        <v>126</v>
      </c>
      <c r="B84" t="s">
        <v>13</v>
      </c>
      <c r="C84" s="2" t="s">
        <v>136</v>
      </c>
      <c r="D84" t="s">
        <v>137</v>
      </c>
      <c r="E84" t="s">
        <v>138</v>
      </c>
      <c r="F84" t="s">
        <v>17</v>
      </c>
      <c r="G84" t="s">
        <v>18</v>
      </c>
      <c r="H84" t="str">
        <f t="shared" si="1"/>
        <v>07.001.11.334.0017.2.011.3.3.90.30.00</v>
      </c>
      <c r="I84" t="s">
        <v>128</v>
      </c>
      <c r="J84" t="s">
        <v>129</v>
      </c>
      <c r="K84" t="s">
        <v>140</v>
      </c>
      <c r="L84" t="s">
        <v>141</v>
      </c>
      <c r="M84" t="s">
        <v>142</v>
      </c>
      <c r="N84" t="s">
        <v>24</v>
      </c>
      <c r="O84" t="s">
        <v>25</v>
      </c>
      <c r="P84" t="s">
        <v>49</v>
      </c>
      <c r="Q84">
        <v>95</v>
      </c>
      <c r="R84" s="9">
        <v>15000</v>
      </c>
      <c r="S84" t="s">
        <v>27</v>
      </c>
    </row>
    <row r="85" spans="1:19" x14ac:dyDescent="0.25">
      <c r="A85" t="s">
        <v>126</v>
      </c>
      <c r="B85" t="s">
        <v>13</v>
      </c>
      <c r="C85" s="2" t="s">
        <v>136</v>
      </c>
      <c r="D85" t="s">
        <v>137</v>
      </c>
      <c r="E85" t="s">
        <v>138</v>
      </c>
      <c r="F85" t="s">
        <v>17</v>
      </c>
      <c r="G85" t="s">
        <v>18</v>
      </c>
      <c r="H85" t="str">
        <f t="shared" si="1"/>
        <v>07.001.11.334.0017.2.011.3.3.90.30.00</v>
      </c>
      <c r="I85" t="s">
        <v>128</v>
      </c>
      <c r="J85" t="s">
        <v>129</v>
      </c>
      <c r="K85" t="s">
        <v>140</v>
      </c>
      <c r="L85" t="s">
        <v>141</v>
      </c>
      <c r="M85" t="s">
        <v>142</v>
      </c>
      <c r="N85" t="s">
        <v>24</v>
      </c>
      <c r="O85" t="s">
        <v>25</v>
      </c>
      <c r="P85" t="s">
        <v>29</v>
      </c>
      <c r="Q85">
        <v>95</v>
      </c>
      <c r="R85" s="9">
        <v>60000</v>
      </c>
      <c r="S85" t="s">
        <v>27</v>
      </c>
    </row>
    <row r="86" spans="1:19" x14ac:dyDescent="0.25">
      <c r="A86" t="s">
        <v>126</v>
      </c>
      <c r="B86" t="s">
        <v>13</v>
      </c>
      <c r="C86" s="2" t="s">
        <v>136</v>
      </c>
      <c r="D86" t="s">
        <v>137</v>
      </c>
      <c r="E86" t="s">
        <v>138</v>
      </c>
      <c r="F86" t="s">
        <v>17</v>
      </c>
      <c r="G86" t="s">
        <v>18</v>
      </c>
      <c r="H86" t="str">
        <f t="shared" si="1"/>
        <v>07.001.11.334.0017.2.011.3.3.90.30.00</v>
      </c>
      <c r="I86" t="s">
        <v>128</v>
      </c>
      <c r="J86" t="s">
        <v>129</v>
      </c>
      <c r="K86" t="s">
        <v>140</v>
      </c>
      <c r="L86" t="s">
        <v>141</v>
      </c>
      <c r="M86" t="s">
        <v>142</v>
      </c>
      <c r="N86" t="s">
        <v>24</v>
      </c>
      <c r="O86" t="s">
        <v>25</v>
      </c>
      <c r="P86" t="s">
        <v>30</v>
      </c>
      <c r="Q86">
        <v>95</v>
      </c>
      <c r="R86" s="9">
        <v>50000</v>
      </c>
      <c r="S86" t="s">
        <v>27</v>
      </c>
    </row>
    <row r="87" spans="1:19" x14ac:dyDescent="0.25">
      <c r="A87" t="s">
        <v>126</v>
      </c>
      <c r="B87" t="s">
        <v>13</v>
      </c>
      <c r="C87" s="2" t="s">
        <v>136</v>
      </c>
      <c r="D87" t="s">
        <v>137</v>
      </c>
      <c r="E87" t="s">
        <v>138</v>
      </c>
      <c r="F87" t="s">
        <v>17</v>
      </c>
      <c r="G87" t="s">
        <v>18</v>
      </c>
      <c r="H87" t="str">
        <f t="shared" si="1"/>
        <v>07.001.11.334.0017.2.011.3.3.90.30.00</v>
      </c>
      <c r="I87" t="s">
        <v>128</v>
      </c>
      <c r="J87" t="s">
        <v>129</v>
      </c>
      <c r="K87" t="s">
        <v>140</v>
      </c>
      <c r="L87" t="s">
        <v>141</v>
      </c>
      <c r="M87" t="s">
        <v>142</v>
      </c>
      <c r="N87" t="s">
        <v>24</v>
      </c>
      <c r="O87" t="s">
        <v>25</v>
      </c>
      <c r="P87" t="s">
        <v>28</v>
      </c>
      <c r="Q87">
        <v>95</v>
      </c>
      <c r="R87" s="9">
        <v>40000</v>
      </c>
      <c r="S87" t="s">
        <v>27</v>
      </c>
    </row>
    <row r="88" spans="1:19" x14ac:dyDescent="0.25">
      <c r="A88" t="s">
        <v>126</v>
      </c>
      <c r="B88" t="s">
        <v>13</v>
      </c>
      <c r="C88" s="2" t="s">
        <v>136</v>
      </c>
      <c r="D88" t="s">
        <v>137</v>
      </c>
      <c r="E88" t="s">
        <v>138</v>
      </c>
      <c r="F88" t="s">
        <v>17</v>
      </c>
      <c r="G88" t="s">
        <v>18</v>
      </c>
      <c r="H88" t="str">
        <f t="shared" si="1"/>
        <v>07.001.11.334.0017.2.011.3.3.90.30.00</v>
      </c>
      <c r="I88" t="s">
        <v>128</v>
      </c>
      <c r="J88" t="s">
        <v>129</v>
      </c>
      <c r="K88" t="s">
        <v>140</v>
      </c>
      <c r="L88" t="s">
        <v>141</v>
      </c>
      <c r="M88" t="s">
        <v>142</v>
      </c>
      <c r="N88" t="s">
        <v>24</v>
      </c>
      <c r="O88" t="s">
        <v>25</v>
      </c>
      <c r="P88" t="s">
        <v>87</v>
      </c>
      <c r="Q88">
        <v>95</v>
      </c>
      <c r="R88" s="9">
        <v>15000</v>
      </c>
      <c r="S88" t="s">
        <v>27</v>
      </c>
    </row>
    <row r="89" spans="1:19" x14ac:dyDescent="0.25">
      <c r="A89" t="s">
        <v>126</v>
      </c>
      <c r="B89" t="s">
        <v>13</v>
      </c>
      <c r="C89" s="2" t="s">
        <v>136</v>
      </c>
      <c r="D89" t="s">
        <v>137</v>
      </c>
      <c r="E89" t="s">
        <v>138</v>
      </c>
      <c r="F89" t="s">
        <v>17</v>
      </c>
      <c r="G89" t="s">
        <v>31</v>
      </c>
      <c r="H89" t="str">
        <f t="shared" si="1"/>
        <v>07.001.11.334.0017.2.011.3.3.90.39.00</v>
      </c>
      <c r="I89" t="s">
        <v>128</v>
      </c>
      <c r="J89" t="s">
        <v>129</v>
      </c>
      <c r="K89" t="s">
        <v>140</v>
      </c>
      <c r="L89" t="s">
        <v>141</v>
      </c>
      <c r="M89" t="s">
        <v>142</v>
      </c>
      <c r="N89" t="s">
        <v>24</v>
      </c>
      <c r="O89" t="s">
        <v>32</v>
      </c>
      <c r="P89" t="s">
        <v>135</v>
      </c>
      <c r="Q89">
        <v>0</v>
      </c>
      <c r="R89" s="9">
        <v>80000</v>
      </c>
      <c r="S89" t="s">
        <v>27</v>
      </c>
    </row>
    <row r="90" spans="1:19" x14ac:dyDescent="0.25">
      <c r="A90" t="s">
        <v>126</v>
      </c>
      <c r="B90" t="s">
        <v>13</v>
      </c>
      <c r="C90" s="2" t="s">
        <v>136</v>
      </c>
      <c r="D90" t="s">
        <v>137</v>
      </c>
      <c r="E90" t="s">
        <v>138</v>
      </c>
      <c r="F90" t="s">
        <v>17</v>
      </c>
      <c r="G90" t="s">
        <v>31</v>
      </c>
      <c r="H90" t="str">
        <f t="shared" si="1"/>
        <v>07.001.11.334.0017.2.011.3.3.90.39.00</v>
      </c>
      <c r="I90" t="s">
        <v>128</v>
      </c>
      <c r="J90" t="s">
        <v>129</v>
      </c>
      <c r="K90" t="s">
        <v>140</v>
      </c>
      <c r="L90" t="s">
        <v>141</v>
      </c>
      <c r="M90" t="s">
        <v>142</v>
      </c>
      <c r="N90" t="s">
        <v>24</v>
      </c>
      <c r="O90" t="s">
        <v>32</v>
      </c>
      <c r="P90" t="s">
        <v>65</v>
      </c>
      <c r="Q90">
        <v>0</v>
      </c>
      <c r="R90" s="9">
        <v>120000</v>
      </c>
      <c r="S90" t="s">
        <v>27</v>
      </c>
    </row>
    <row r="91" spans="1:19" x14ac:dyDescent="0.25">
      <c r="A91" t="s">
        <v>126</v>
      </c>
      <c r="B91" t="s">
        <v>13</v>
      </c>
      <c r="C91" s="2" t="s">
        <v>136</v>
      </c>
      <c r="D91" t="s">
        <v>137</v>
      </c>
      <c r="E91" t="s">
        <v>138</v>
      </c>
      <c r="F91" t="s">
        <v>17</v>
      </c>
      <c r="G91" t="s">
        <v>80</v>
      </c>
      <c r="H91" t="str">
        <f t="shared" si="1"/>
        <v>07.001.11.334.0017.2.011.4.4.90.52.00</v>
      </c>
      <c r="I91" t="s">
        <v>128</v>
      </c>
      <c r="J91" t="s">
        <v>129</v>
      </c>
      <c r="K91" t="s">
        <v>140</v>
      </c>
      <c r="L91" t="s">
        <v>141</v>
      </c>
      <c r="M91" t="s">
        <v>142</v>
      </c>
      <c r="N91" t="s">
        <v>24</v>
      </c>
      <c r="O91" t="s">
        <v>81</v>
      </c>
      <c r="P91" t="s">
        <v>42</v>
      </c>
      <c r="Q91">
        <v>0</v>
      </c>
      <c r="R91" s="9">
        <v>35000</v>
      </c>
      <c r="S91" t="s">
        <v>27</v>
      </c>
    </row>
    <row r="92" spans="1:19" x14ac:dyDescent="0.25">
      <c r="A92" t="s">
        <v>126</v>
      </c>
      <c r="B92" t="s">
        <v>13</v>
      </c>
      <c r="C92" s="2" t="s">
        <v>136</v>
      </c>
      <c r="D92" t="s">
        <v>137</v>
      </c>
      <c r="E92" t="s">
        <v>138</v>
      </c>
      <c r="F92" t="s">
        <v>17</v>
      </c>
      <c r="G92" t="s">
        <v>80</v>
      </c>
      <c r="H92" t="str">
        <f t="shared" si="1"/>
        <v>07.001.11.334.0017.2.011.4.4.90.52.00</v>
      </c>
      <c r="I92" t="s">
        <v>128</v>
      </c>
      <c r="J92" t="s">
        <v>129</v>
      </c>
      <c r="K92" t="s">
        <v>140</v>
      </c>
      <c r="L92" t="s">
        <v>141</v>
      </c>
      <c r="M92" t="s">
        <v>142</v>
      </c>
      <c r="N92" t="s">
        <v>24</v>
      </c>
      <c r="O92" t="s">
        <v>81</v>
      </c>
      <c r="P92" t="s">
        <v>144</v>
      </c>
      <c r="Q92">
        <v>0</v>
      </c>
      <c r="R92" s="9">
        <v>150000</v>
      </c>
      <c r="S92" t="s">
        <v>27</v>
      </c>
    </row>
    <row r="93" spans="1:19" x14ac:dyDescent="0.25">
      <c r="A93" t="s">
        <v>126</v>
      </c>
      <c r="B93" t="s">
        <v>13</v>
      </c>
      <c r="C93" s="2" t="s">
        <v>136</v>
      </c>
      <c r="D93" t="s">
        <v>145</v>
      </c>
      <c r="E93" t="s">
        <v>138</v>
      </c>
      <c r="F93" t="s">
        <v>146</v>
      </c>
      <c r="G93" t="s">
        <v>18</v>
      </c>
      <c r="H93" t="str">
        <f t="shared" si="1"/>
        <v>07.001.11.333.0017.2.027.3.3.90.30.00</v>
      </c>
      <c r="I93" t="s">
        <v>128</v>
      </c>
      <c r="J93" t="s">
        <v>129</v>
      </c>
      <c r="K93" t="s">
        <v>140</v>
      </c>
      <c r="L93" t="s">
        <v>147</v>
      </c>
      <c r="M93" t="s">
        <v>142</v>
      </c>
      <c r="N93" t="s">
        <v>148</v>
      </c>
      <c r="O93" t="s">
        <v>25</v>
      </c>
      <c r="P93" t="s">
        <v>49</v>
      </c>
      <c r="Q93">
        <v>0</v>
      </c>
      <c r="R93" s="9">
        <v>10000</v>
      </c>
      <c r="S93" t="s">
        <v>27</v>
      </c>
    </row>
    <row r="94" spans="1:19" x14ac:dyDescent="0.25">
      <c r="A94" t="s">
        <v>126</v>
      </c>
      <c r="B94" t="s">
        <v>13</v>
      </c>
      <c r="C94" s="2" t="s">
        <v>136</v>
      </c>
      <c r="D94" t="s">
        <v>145</v>
      </c>
      <c r="E94" t="s">
        <v>138</v>
      </c>
      <c r="F94" t="s">
        <v>146</v>
      </c>
      <c r="G94" t="s">
        <v>31</v>
      </c>
      <c r="H94" t="str">
        <f t="shared" si="1"/>
        <v>07.001.11.333.0017.2.027.3.3.90.39.00</v>
      </c>
      <c r="I94" t="s">
        <v>128</v>
      </c>
      <c r="J94" t="s">
        <v>129</v>
      </c>
      <c r="K94" t="s">
        <v>140</v>
      </c>
      <c r="L94" t="s">
        <v>147</v>
      </c>
      <c r="M94" t="s">
        <v>142</v>
      </c>
      <c r="N94" t="s">
        <v>148</v>
      </c>
      <c r="O94" t="s">
        <v>32</v>
      </c>
      <c r="P94" t="s">
        <v>65</v>
      </c>
      <c r="Q94" t="s">
        <v>149</v>
      </c>
      <c r="R94" s="9">
        <v>16069995.26</v>
      </c>
      <c r="S94" t="s">
        <v>27</v>
      </c>
    </row>
    <row r="95" spans="1:19" x14ac:dyDescent="0.25">
      <c r="A95" t="s">
        <v>126</v>
      </c>
      <c r="B95" t="s">
        <v>13</v>
      </c>
      <c r="C95" s="2" t="s">
        <v>136</v>
      </c>
      <c r="D95" t="s">
        <v>145</v>
      </c>
      <c r="E95" t="s">
        <v>138</v>
      </c>
      <c r="F95" t="s">
        <v>146</v>
      </c>
      <c r="G95" t="s">
        <v>31</v>
      </c>
      <c r="H95" t="str">
        <f t="shared" si="1"/>
        <v>07.001.11.333.0017.2.027.3.3.90.39.00</v>
      </c>
      <c r="I95" t="s">
        <v>128</v>
      </c>
      <c r="J95" t="s">
        <v>129</v>
      </c>
      <c r="K95" t="s">
        <v>140</v>
      </c>
      <c r="L95" t="s">
        <v>147</v>
      </c>
      <c r="M95" t="s">
        <v>142</v>
      </c>
      <c r="N95" t="s">
        <v>148</v>
      </c>
      <c r="O95" t="s">
        <v>32</v>
      </c>
      <c r="P95" t="s">
        <v>135</v>
      </c>
      <c r="Q95">
        <v>0</v>
      </c>
      <c r="R95" s="9">
        <v>30000</v>
      </c>
      <c r="S95" t="s">
        <v>27</v>
      </c>
    </row>
    <row r="96" spans="1:19" x14ac:dyDescent="0.25">
      <c r="A96" t="s">
        <v>126</v>
      </c>
      <c r="B96" t="s">
        <v>13</v>
      </c>
      <c r="C96" s="2" t="s">
        <v>136</v>
      </c>
      <c r="D96" t="s">
        <v>145</v>
      </c>
      <c r="E96" t="s">
        <v>138</v>
      </c>
      <c r="F96" t="s">
        <v>146</v>
      </c>
      <c r="G96" t="s">
        <v>31</v>
      </c>
      <c r="H96" t="str">
        <f t="shared" si="1"/>
        <v>07.001.11.333.0017.2.027.3.3.90.39.00</v>
      </c>
      <c r="I96" t="s">
        <v>128</v>
      </c>
      <c r="J96" t="s">
        <v>129</v>
      </c>
      <c r="K96" t="s">
        <v>140</v>
      </c>
      <c r="L96" t="s">
        <v>147</v>
      </c>
      <c r="M96" t="s">
        <v>142</v>
      </c>
      <c r="N96" t="s">
        <v>148</v>
      </c>
      <c r="O96" t="s">
        <v>32</v>
      </c>
      <c r="P96" t="s">
        <v>50</v>
      </c>
      <c r="Q96">
        <v>0</v>
      </c>
      <c r="R96" s="9">
        <v>15000</v>
      </c>
      <c r="S96" t="s">
        <v>27</v>
      </c>
    </row>
    <row r="97" spans="1:19" x14ac:dyDescent="0.25">
      <c r="A97" t="s">
        <v>126</v>
      </c>
      <c r="B97" t="s">
        <v>13</v>
      </c>
      <c r="C97" s="2" t="s">
        <v>136</v>
      </c>
      <c r="D97" t="s">
        <v>145</v>
      </c>
      <c r="E97" t="s">
        <v>138</v>
      </c>
      <c r="F97" t="s">
        <v>146</v>
      </c>
      <c r="G97" t="s">
        <v>31</v>
      </c>
      <c r="H97" t="str">
        <f t="shared" si="1"/>
        <v>07.001.11.333.0017.2.027.3.3.90.39.00</v>
      </c>
      <c r="I97" t="s">
        <v>128</v>
      </c>
      <c r="J97" t="s">
        <v>129</v>
      </c>
      <c r="K97" t="s">
        <v>140</v>
      </c>
      <c r="L97" t="s">
        <v>147</v>
      </c>
      <c r="M97" t="s">
        <v>142</v>
      </c>
      <c r="N97" t="s">
        <v>148</v>
      </c>
      <c r="O97" t="s">
        <v>32</v>
      </c>
      <c r="P97" t="s">
        <v>150</v>
      </c>
      <c r="Q97">
        <v>0</v>
      </c>
      <c r="R97" s="9">
        <v>15000</v>
      </c>
      <c r="S97" t="s">
        <v>27</v>
      </c>
    </row>
    <row r="98" spans="1:19" x14ac:dyDescent="0.25">
      <c r="A98" t="s">
        <v>126</v>
      </c>
      <c r="B98" t="s">
        <v>13</v>
      </c>
      <c r="C98" s="2" t="s">
        <v>136</v>
      </c>
      <c r="D98" t="s">
        <v>145</v>
      </c>
      <c r="E98" t="s">
        <v>138</v>
      </c>
      <c r="F98" t="s">
        <v>146</v>
      </c>
      <c r="G98" t="s">
        <v>80</v>
      </c>
      <c r="H98" t="str">
        <f t="shared" si="1"/>
        <v>07.001.11.333.0017.2.027.4.4.90.52.00</v>
      </c>
      <c r="I98" t="s">
        <v>128</v>
      </c>
      <c r="J98" t="s">
        <v>129</v>
      </c>
      <c r="K98" t="s">
        <v>140</v>
      </c>
      <c r="L98" t="s">
        <v>147</v>
      </c>
      <c r="M98" t="s">
        <v>142</v>
      </c>
      <c r="N98" t="s">
        <v>148</v>
      </c>
      <c r="O98" t="s">
        <v>81</v>
      </c>
      <c r="P98" t="s">
        <v>144</v>
      </c>
      <c r="Q98">
        <v>0</v>
      </c>
      <c r="R98" s="9">
        <v>150000</v>
      </c>
      <c r="S98" t="s">
        <v>27</v>
      </c>
    </row>
    <row r="99" spans="1:19" x14ac:dyDescent="0.25">
      <c r="A99" t="s">
        <v>126</v>
      </c>
      <c r="B99" t="s">
        <v>13</v>
      </c>
      <c r="C99" s="2" t="s">
        <v>136</v>
      </c>
      <c r="D99" t="s">
        <v>145</v>
      </c>
      <c r="E99" t="s">
        <v>138</v>
      </c>
      <c r="F99" t="s">
        <v>151</v>
      </c>
      <c r="G99" t="s">
        <v>152</v>
      </c>
      <c r="H99" t="str">
        <f t="shared" si="1"/>
        <v>07.001.11.333.0017.2.004.3.3.50.39.00</v>
      </c>
      <c r="I99" t="s">
        <v>128</v>
      </c>
      <c r="J99" t="s">
        <v>129</v>
      </c>
      <c r="K99" t="s">
        <v>140</v>
      </c>
      <c r="L99" t="s">
        <v>147</v>
      </c>
      <c r="M99" t="s">
        <v>142</v>
      </c>
      <c r="N99" t="s">
        <v>153</v>
      </c>
      <c r="O99" t="s">
        <v>154</v>
      </c>
      <c r="P99" t="s">
        <v>155</v>
      </c>
      <c r="Q99" t="s">
        <v>156</v>
      </c>
      <c r="R99" s="9">
        <v>2834440</v>
      </c>
      <c r="S99" t="s">
        <v>27</v>
      </c>
    </row>
    <row r="100" spans="1:19" x14ac:dyDescent="0.25">
      <c r="A100" t="s">
        <v>126</v>
      </c>
      <c r="B100" t="s">
        <v>13</v>
      </c>
      <c r="C100" s="2" t="s">
        <v>136</v>
      </c>
      <c r="D100" t="s">
        <v>145</v>
      </c>
      <c r="E100" t="s">
        <v>138</v>
      </c>
      <c r="F100" t="s">
        <v>151</v>
      </c>
      <c r="G100" t="s">
        <v>18</v>
      </c>
      <c r="H100" t="str">
        <f t="shared" si="1"/>
        <v>07.001.11.333.0017.2.004.3.3.90.30.00</v>
      </c>
      <c r="I100" t="s">
        <v>128</v>
      </c>
      <c r="J100" t="s">
        <v>129</v>
      </c>
      <c r="K100" t="s">
        <v>140</v>
      </c>
      <c r="L100" t="s">
        <v>147</v>
      </c>
      <c r="M100" t="s">
        <v>142</v>
      </c>
      <c r="N100" t="s">
        <v>153</v>
      </c>
      <c r="O100" t="s">
        <v>25</v>
      </c>
      <c r="P100" t="s">
        <v>30</v>
      </c>
      <c r="Q100">
        <v>0</v>
      </c>
      <c r="R100" s="9">
        <v>45000</v>
      </c>
      <c r="S100" t="s">
        <v>27</v>
      </c>
    </row>
    <row r="101" spans="1:19" x14ac:dyDescent="0.25">
      <c r="A101" t="s">
        <v>126</v>
      </c>
      <c r="B101" t="s">
        <v>13</v>
      </c>
      <c r="C101" s="2" t="s">
        <v>136</v>
      </c>
      <c r="D101" t="s">
        <v>145</v>
      </c>
      <c r="E101" t="s">
        <v>138</v>
      </c>
      <c r="F101" t="s">
        <v>151</v>
      </c>
      <c r="G101" t="s">
        <v>31</v>
      </c>
      <c r="H101" t="str">
        <f t="shared" si="1"/>
        <v>07.001.11.333.0017.2.004.3.3.90.39.00</v>
      </c>
      <c r="I101" t="s">
        <v>128</v>
      </c>
      <c r="J101" t="s">
        <v>129</v>
      </c>
      <c r="K101" t="s">
        <v>140</v>
      </c>
      <c r="L101" t="s">
        <v>147</v>
      </c>
      <c r="M101" t="s">
        <v>142</v>
      </c>
      <c r="N101" t="s">
        <v>153</v>
      </c>
      <c r="O101" t="s">
        <v>32</v>
      </c>
      <c r="P101" t="s">
        <v>135</v>
      </c>
      <c r="Q101">
        <v>0</v>
      </c>
      <c r="R101" s="9">
        <v>30000</v>
      </c>
      <c r="S101" t="s">
        <v>27</v>
      </c>
    </row>
    <row r="102" spans="1:19" x14ac:dyDescent="0.25">
      <c r="A102" t="s">
        <v>126</v>
      </c>
      <c r="B102" t="s">
        <v>13</v>
      </c>
      <c r="C102" s="2" t="s">
        <v>136</v>
      </c>
      <c r="D102" t="s">
        <v>145</v>
      </c>
      <c r="E102" t="s">
        <v>138</v>
      </c>
      <c r="F102" t="s">
        <v>151</v>
      </c>
      <c r="G102" t="s">
        <v>31</v>
      </c>
      <c r="H102" t="str">
        <f t="shared" si="1"/>
        <v>07.001.11.333.0017.2.004.3.3.90.39.00</v>
      </c>
      <c r="I102" t="s">
        <v>128</v>
      </c>
      <c r="J102" t="s">
        <v>129</v>
      </c>
      <c r="K102" t="s">
        <v>140</v>
      </c>
      <c r="L102" t="s">
        <v>147</v>
      </c>
      <c r="M102" t="s">
        <v>142</v>
      </c>
      <c r="N102" t="s">
        <v>153</v>
      </c>
      <c r="O102" t="s">
        <v>32</v>
      </c>
      <c r="P102" t="s">
        <v>50</v>
      </c>
      <c r="Q102">
        <v>0</v>
      </c>
      <c r="R102" s="9">
        <v>30000</v>
      </c>
      <c r="S102" t="s">
        <v>27</v>
      </c>
    </row>
    <row r="103" spans="1:19" x14ac:dyDescent="0.25">
      <c r="A103" t="s">
        <v>126</v>
      </c>
      <c r="B103" t="s">
        <v>13</v>
      </c>
      <c r="C103" s="2" t="s">
        <v>136</v>
      </c>
      <c r="D103" t="s">
        <v>145</v>
      </c>
      <c r="E103" t="s">
        <v>138</v>
      </c>
      <c r="F103" t="s">
        <v>151</v>
      </c>
      <c r="G103" t="s">
        <v>31</v>
      </c>
      <c r="H103" t="str">
        <f t="shared" si="1"/>
        <v>07.001.11.333.0017.2.004.3.3.90.39.00</v>
      </c>
      <c r="I103" t="s">
        <v>128</v>
      </c>
      <c r="J103" t="s">
        <v>129</v>
      </c>
      <c r="K103" t="s">
        <v>140</v>
      </c>
      <c r="L103" t="s">
        <v>147</v>
      </c>
      <c r="M103" t="s">
        <v>142</v>
      </c>
      <c r="N103" t="s">
        <v>153</v>
      </c>
      <c r="O103" t="s">
        <v>32</v>
      </c>
      <c r="P103" t="s">
        <v>65</v>
      </c>
      <c r="Q103">
        <v>0</v>
      </c>
      <c r="R103" s="9">
        <v>30000</v>
      </c>
      <c r="S103" t="s">
        <v>27</v>
      </c>
    </row>
    <row r="104" spans="1:19" x14ac:dyDescent="0.25">
      <c r="A104" t="s">
        <v>126</v>
      </c>
      <c r="B104" t="s">
        <v>13</v>
      </c>
      <c r="C104" s="2" t="s">
        <v>136</v>
      </c>
      <c r="D104" t="s">
        <v>137</v>
      </c>
      <c r="E104" t="s">
        <v>138</v>
      </c>
      <c r="F104" t="s">
        <v>157</v>
      </c>
      <c r="G104" t="s">
        <v>18</v>
      </c>
      <c r="H104" t="str">
        <f t="shared" si="1"/>
        <v>07.001.11.334.0017.2.033.3.3.90.30.00</v>
      </c>
      <c r="I104" t="s">
        <v>128</v>
      </c>
      <c r="J104" t="s">
        <v>129</v>
      </c>
      <c r="K104" t="s">
        <v>140</v>
      </c>
      <c r="L104" t="s">
        <v>141</v>
      </c>
      <c r="M104" t="s">
        <v>142</v>
      </c>
      <c r="N104" t="s">
        <v>158</v>
      </c>
      <c r="O104" t="s">
        <v>25</v>
      </c>
      <c r="P104" t="s">
        <v>39</v>
      </c>
      <c r="Q104">
        <v>102</v>
      </c>
      <c r="R104" s="9">
        <v>63200</v>
      </c>
      <c r="S104" t="s">
        <v>27</v>
      </c>
    </row>
    <row r="105" spans="1:19" x14ac:dyDescent="0.25">
      <c r="A105" t="s">
        <v>126</v>
      </c>
      <c r="B105" t="s">
        <v>13</v>
      </c>
      <c r="C105" s="2" t="s">
        <v>136</v>
      </c>
      <c r="D105" t="s">
        <v>137</v>
      </c>
      <c r="E105" t="s">
        <v>138</v>
      </c>
      <c r="F105" t="s">
        <v>157</v>
      </c>
      <c r="G105" t="s">
        <v>18</v>
      </c>
      <c r="H105" t="str">
        <f t="shared" si="1"/>
        <v>07.001.11.334.0017.2.033.3.3.90.30.00</v>
      </c>
      <c r="I105" t="s">
        <v>128</v>
      </c>
      <c r="J105" t="s">
        <v>129</v>
      </c>
      <c r="K105" t="s">
        <v>140</v>
      </c>
      <c r="L105" t="s">
        <v>141</v>
      </c>
      <c r="M105" t="s">
        <v>142</v>
      </c>
      <c r="N105" t="s">
        <v>158</v>
      </c>
      <c r="O105" t="s">
        <v>25</v>
      </c>
      <c r="P105" t="s">
        <v>159</v>
      </c>
      <c r="Q105">
        <v>102</v>
      </c>
      <c r="R105" s="9">
        <v>30000</v>
      </c>
      <c r="S105" t="s">
        <v>27</v>
      </c>
    </row>
    <row r="106" spans="1:19" x14ac:dyDescent="0.25">
      <c r="A106" t="s">
        <v>126</v>
      </c>
      <c r="B106" t="s">
        <v>13</v>
      </c>
      <c r="C106" s="2" t="s">
        <v>136</v>
      </c>
      <c r="D106" t="s">
        <v>137</v>
      </c>
      <c r="E106" t="s">
        <v>138</v>
      </c>
      <c r="F106" t="s">
        <v>157</v>
      </c>
      <c r="G106" t="s">
        <v>31</v>
      </c>
      <c r="H106" t="str">
        <f t="shared" si="1"/>
        <v>07.001.11.334.0017.2.033.3.3.90.39.00</v>
      </c>
      <c r="I106" t="s">
        <v>128</v>
      </c>
      <c r="J106" t="s">
        <v>129</v>
      </c>
      <c r="K106" t="s">
        <v>140</v>
      </c>
      <c r="L106" t="s">
        <v>141</v>
      </c>
      <c r="M106" t="s">
        <v>142</v>
      </c>
      <c r="N106" t="s">
        <v>158</v>
      </c>
      <c r="O106" t="s">
        <v>32</v>
      </c>
      <c r="P106" t="s">
        <v>50</v>
      </c>
      <c r="Q106">
        <v>103</v>
      </c>
      <c r="R106" s="9">
        <v>20000</v>
      </c>
      <c r="S106" t="s">
        <v>27</v>
      </c>
    </row>
    <row r="107" spans="1:19" x14ac:dyDescent="0.25">
      <c r="A107" t="s">
        <v>126</v>
      </c>
      <c r="B107" t="s">
        <v>13</v>
      </c>
      <c r="C107" s="2" t="s">
        <v>136</v>
      </c>
      <c r="D107" t="s">
        <v>137</v>
      </c>
      <c r="E107" t="s">
        <v>138</v>
      </c>
      <c r="F107" t="s">
        <v>157</v>
      </c>
      <c r="G107" t="s">
        <v>31</v>
      </c>
      <c r="H107" t="str">
        <f t="shared" si="1"/>
        <v>07.001.11.334.0017.2.033.3.3.90.39.00</v>
      </c>
      <c r="I107" t="s">
        <v>128</v>
      </c>
      <c r="J107" t="s">
        <v>129</v>
      </c>
      <c r="K107" t="s">
        <v>140</v>
      </c>
      <c r="L107" t="s">
        <v>141</v>
      </c>
      <c r="M107" t="s">
        <v>142</v>
      </c>
      <c r="N107" t="s">
        <v>158</v>
      </c>
      <c r="O107" t="s">
        <v>32</v>
      </c>
      <c r="P107" t="s">
        <v>160</v>
      </c>
      <c r="Q107">
        <v>103</v>
      </c>
      <c r="R107" s="9">
        <v>15000</v>
      </c>
      <c r="S107" t="s">
        <v>27</v>
      </c>
    </row>
    <row r="108" spans="1:19" x14ac:dyDescent="0.25">
      <c r="A108" t="s">
        <v>126</v>
      </c>
      <c r="B108" t="s">
        <v>13</v>
      </c>
      <c r="C108" s="2" t="s">
        <v>136</v>
      </c>
      <c r="D108" t="s">
        <v>137</v>
      </c>
      <c r="E108" t="s">
        <v>138</v>
      </c>
      <c r="F108" t="s">
        <v>157</v>
      </c>
      <c r="G108" t="s">
        <v>31</v>
      </c>
      <c r="H108" t="str">
        <f t="shared" si="1"/>
        <v>07.001.11.334.0017.2.033.3.3.90.39.00</v>
      </c>
      <c r="I108" t="s">
        <v>128</v>
      </c>
      <c r="J108" t="s">
        <v>129</v>
      </c>
      <c r="K108" t="s">
        <v>140</v>
      </c>
      <c r="L108" t="s">
        <v>141</v>
      </c>
      <c r="M108" t="s">
        <v>142</v>
      </c>
      <c r="N108" t="s">
        <v>158</v>
      </c>
      <c r="O108" t="s">
        <v>32</v>
      </c>
      <c r="P108" t="s">
        <v>135</v>
      </c>
      <c r="Q108">
        <v>103</v>
      </c>
      <c r="R108" s="9">
        <v>25000</v>
      </c>
      <c r="S108" t="s">
        <v>27</v>
      </c>
    </row>
    <row r="109" spans="1:19" x14ac:dyDescent="0.25">
      <c r="A109" t="s">
        <v>126</v>
      </c>
      <c r="B109" t="s">
        <v>13</v>
      </c>
      <c r="C109" s="2" t="s">
        <v>136</v>
      </c>
      <c r="D109" t="s">
        <v>137</v>
      </c>
      <c r="E109" t="s">
        <v>138</v>
      </c>
      <c r="F109" t="s">
        <v>157</v>
      </c>
      <c r="G109" t="s">
        <v>80</v>
      </c>
      <c r="H109" t="str">
        <f t="shared" si="1"/>
        <v>07.001.11.334.0017.2.033.4.4.90.52.00</v>
      </c>
      <c r="I109" t="s">
        <v>128</v>
      </c>
      <c r="J109" t="s">
        <v>129</v>
      </c>
      <c r="K109" t="s">
        <v>140</v>
      </c>
      <c r="L109" t="s">
        <v>141</v>
      </c>
      <c r="M109" t="s">
        <v>142</v>
      </c>
      <c r="N109" t="s">
        <v>158</v>
      </c>
      <c r="O109" t="s">
        <v>81</v>
      </c>
      <c r="P109" t="s">
        <v>82</v>
      </c>
      <c r="Q109">
        <v>0</v>
      </c>
      <c r="R109" s="9">
        <v>40000</v>
      </c>
      <c r="S109" t="s">
        <v>27</v>
      </c>
    </row>
    <row r="110" spans="1:19" x14ac:dyDescent="0.25">
      <c r="A110" t="s">
        <v>126</v>
      </c>
      <c r="B110" t="s">
        <v>13</v>
      </c>
      <c r="C110" s="2" t="s">
        <v>136</v>
      </c>
      <c r="D110" t="s">
        <v>137</v>
      </c>
      <c r="E110" t="s">
        <v>138</v>
      </c>
      <c r="F110" t="s">
        <v>146</v>
      </c>
      <c r="G110" t="s">
        <v>18</v>
      </c>
      <c r="H110" t="str">
        <f t="shared" si="1"/>
        <v>07.001.11.334.0017.2.027.3.3.90.30.00</v>
      </c>
      <c r="I110" t="s">
        <v>128</v>
      </c>
      <c r="J110" t="s">
        <v>161</v>
      </c>
      <c r="K110" t="s">
        <v>140</v>
      </c>
      <c r="L110" t="s">
        <v>141</v>
      </c>
      <c r="M110" t="s">
        <v>142</v>
      </c>
      <c r="N110" t="s">
        <v>148</v>
      </c>
      <c r="O110" t="s">
        <v>25</v>
      </c>
      <c r="P110" t="s">
        <v>39</v>
      </c>
      <c r="Q110">
        <v>0</v>
      </c>
      <c r="R110" s="9">
        <v>1</v>
      </c>
      <c r="S110" t="s">
        <v>27</v>
      </c>
    </row>
    <row r="111" spans="1:19" x14ac:dyDescent="0.25">
      <c r="A111" t="s">
        <v>126</v>
      </c>
      <c r="B111" t="s">
        <v>13</v>
      </c>
      <c r="C111" s="2" t="s">
        <v>136</v>
      </c>
      <c r="D111" t="s">
        <v>137</v>
      </c>
      <c r="E111" t="s">
        <v>138</v>
      </c>
      <c r="F111" t="s">
        <v>146</v>
      </c>
      <c r="G111" t="s">
        <v>31</v>
      </c>
      <c r="H111" t="str">
        <f t="shared" si="1"/>
        <v>07.001.11.334.0017.2.027.3.3.90.39.00</v>
      </c>
      <c r="I111" t="s">
        <v>128</v>
      </c>
      <c r="J111" t="s">
        <v>161</v>
      </c>
      <c r="K111" t="s">
        <v>140</v>
      </c>
      <c r="L111" t="s">
        <v>141</v>
      </c>
      <c r="M111" t="s">
        <v>142</v>
      </c>
      <c r="N111" t="s">
        <v>148</v>
      </c>
      <c r="O111" t="s">
        <v>32</v>
      </c>
      <c r="P111" t="s">
        <v>65</v>
      </c>
      <c r="Q111">
        <v>106</v>
      </c>
      <c r="R111" s="9">
        <v>1</v>
      </c>
      <c r="S111" t="s">
        <v>27</v>
      </c>
    </row>
    <row r="112" spans="1:19" x14ac:dyDescent="0.25">
      <c r="A112" t="s">
        <v>126</v>
      </c>
      <c r="B112" t="s">
        <v>13</v>
      </c>
      <c r="C112" s="2" t="s">
        <v>136</v>
      </c>
      <c r="D112" t="s">
        <v>137</v>
      </c>
      <c r="E112" t="s">
        <v>138</v>
      </c>
      <c r="F112" t="s">
        <v>146</v>
      </c>
      <c r="G112" t="s">
        <v>80</v>
      </c>
      <c r="H112" t="str">
        <f t="shared" si="1"/>
        <v>07.001.11.334.0017.2.027.4.4.90.52.00</v>
      </c>
      <c r="I112" t="s">
        <v>128</v>
      </c>
      <c r="J112" t="s">
        <v>161</v>
      </c>
      <c r="K112" t="s">
        <v>140</v>
      </c>
      <c r="L112" t="s">
        <v>141</v>
      </c>
      <c r="M112" t="s">
        <v>142</v>
      </c>
      <c r="N112" t="s">
        <v>148</v>
      </c>
      <c r="O112" t="s">
        <v>81</v>
      </c>
      <c r="P112" t="s">
        <v>144</v>
      </c>
      <c r="Q112">
        <v>0</v>
      </c>
      <c r="R112" s="9">
        <v>1</v>
      </c>
      <c r="S112" t="s">
        <v>27</v>
      </c>
    </row>
    <row r="113" spans="1:19" x14ac:dyDescent="0.25">
      <c r="A113" t="s">
        <v>126</v>
      </c>
      <c r="B113" t="s">
        <v>13</v>
      </c>
      <c r="C113" s="2" t="s">
        <v>136</v>
      </c>
      <c r="D113" t="s">
        <v>137</v>
      </c>
      <c r="E113" t="s">
        <v>138</v>
      </c>
      <c r="F113" t="s">
        <v>162</v>
      </c>
      <c r="G113" t="s">
        <v>18</v>
      </c>
      <c r="H113" t="str">
        <f t="shared" si="1"/>
        <v>07.001.11.334.0017.2.025.3.3.90.30.00</v>
      </c>
      <c r="I113" t="s">
        <v>128</v>
      </c>
      <c r="J113" t="s">
        <v>129</v>
      </c>
      <c r="K113" t="s">
        <v>140</v>
      </c>
      <c r="L113" t="s">
        <v>141</v>
      </c>
      <c r="M113" t="s">
        <v>142</v>
      </c>
      <c r="N113" t="s">
        <v>163</v>
      </c>
      <c r="O113" t="s">
        <v>25</v>
      </c>
      <c r="P113" t="s">
        <v>30</v>
      </c>
      <c r="Q113">
        <v>0</v>
      </c>
      <c r="R113" s="9">
        <v>40000</v>
      </c>
      <c r="S113" t="s">
        <v>27</v>
      </c>
    </row>
    <row r="114" spans="1:19" x14ac:dyDescent="0.25">
      <c r="A114" t="s">
        <v>126</v>
      </c>
      <c r="B114" t="s">
        <v>13</v>
      </c>
      <c r="C114" s="2" t="s">
        <v>136</v>
      </c>
      <c r="D114" t="s">
        <v>137</v>
      </c>
      <c r="E114" t="s">
        <v>138</v>
      </c>
      <c r="F114" t="s">
        <v>162</v>
      </c>
      <c r="G114" t="s">
        <v>18</v>
      </c>
      <c r="H114" t="str">
        <f t="shared" si="1"/>
        <v>07.001.11.334.0017.2.025.3.3.90.30.00</v>
      </c>
      <c r="I114" t="s">
        <v>128</v>
      </c>
      <c r="J114" t="s">
        <v>129</v>
      </c>
      <c r="K114" t="s">
        <v>140</v>
      </c>
      <c r="L114" t="s">
        <v>141</v>
      </c>
      <c r="M114" t="s">
        <v>142</v>
      </c>
      <c r="N114" t="s">
        <v>163</v>
      </c>
      <c r="O114" t="s">
        <v>25</v>
      </c>
      <c r="P114" t="s">
        <v>164</v>
      </c>
      <c r="Q114">
        <v>0</v>
      </c>
      <c r="R114" s="9">
        <v>50000</v>
      </c>
      <c r="S114" t="s">
        <v>27</v>
      </c>
    </row>
    <row r="115" spans="1:19" x14ac:dyDescent="0.25">
      <c r="A115" t="s">
        <v>126</v>
      </c>
      <c r="B115" t="s">
        <v>13</v>
      </c>
      <c r="C115" s="2" t="s">
        <v>136</v>
      </c>
      <c r="D115" t="s">
        <v>137</v>
      </c>
      <c r="E115" t="s">
        <v>138</v>
      </c>
      <c r="F115" t="s">
        <v>162</v>
      </c>
      <c r="G115" t="s">
        <v>31</v>
      </c>
      <c r="H115" t="str">
        <f t="shared" si="1"/>
        <v>07.001.11.334.0017.2.025.3.3.90.39.00</v>
      </c>
      <c r="I115" t="s">
        <v>128</v>
      </c>
      <c r="J115" t="s">
        <v>129</v>
      </c>
      <c r="K115" t="s">
        <v>140</v>
      </c>
      <c r="L115" t="s">
        <v>141</v>
      </c>
      <c r="M115" t="s">
        <v>142</v>
      </c>
      <c r="N115" t="s">
        <v>163</v>
      </c>
      <c r="O115" t="s">
        <v>32</v>
      </c>
      <c r="P115" t="s">
        <v>135</v>
      </c>
      <c r="Q115">
        <v>0</v>
      </c>
      <c r="R115" s="9">
        <v>150000</v>
      </c>
      <c r="S115" t="s">
        <v>27</v>
      </c>
    </row>
    <row r="116" spans="1:19" x14ac:dyDescent="0.25">
      <c r="A116" t="s">
        <v>165</v>
      </c>
      <c r="B116" t="s">
        <v>13</v>
      </c>
      <c r="C116" s="2" t="s">
        <v>166</v>
      </c>
      <c r="D116" t="s">
        <v>15</v>
      </c>
      <c r="E116" t="s">
        <v>16</v>
      </c>
      <c r="F116" t="s">
        <v>139</v>
      </c>
      <c r="G116" t="s">
        <v>31</v>
      </c>
      <c r="H116" t="str">
        <f t="shared" si="1"/>
        <v>08.001.12.122.0001.1.002.3.3.90.39.00</v>
      </c>
      <c r="I116" t="s">
        <v>167</v>
      </c>
      <c r="J116" t="s">
        <v>168</v>
      </c>
      <c r="K116" t="s">
        <v>169</v>
      </c>
      <c r="L116" t="s">
        <v>22</v>
      </c>
      <c r="M116" t="s">
        <v>23</v>
      </c>
      <c r="N116" t="s">
        <v>143</v>
      </c>
      <c r="O116" t="s">
        <v>32</v>
      </c>
      <c r="P116" t="s">
        <v>33</v>
      </c>
      <c r="Q116" t="s">
        <v>170</v>
      </c>
      <c r="R116" s="9">
        <v>500000</v>
      </c>
      <c r="S116" t="s">
        <v>27</v>
      </c>
    </row>
    <row r="117" spans="1:19" x14ac:dyDescent="0.25">
      <c r="A117" t="s">
        <v>165</v>
      </c>
      <c r="B117" t="s">
        <v>13</v>
      </c>
      <c r="C117" s="2" t="s">
        <v>166</v>
      </c>
      <c r="D117" t="s">
        <v>171</v>
      </c>
      <c r="E117" t="s">
        <v>172</v>
      </c>
      <c r="F117" t="s">
        <v>139</v>
      </c>
      <c r="G117" t="s">
        <v>31</v>
      </c>
      <c r="H117" t="str">
        <f t="shared" si="1"/>
        <v>08.001.12.361.0016.1.002.3.3.90.39.00</v>
      </c>
      <c r="I117" t="s">
        <v>167</v>
      </c>
      <c r="J117" t="s">
        <v>168</v>
      </c>
      <c r="K117" t="s">
        <v>169</v>
      </c>
      <c r="L117" t="s">
        <v>173</v>
      </c>
      <c r="M117" t="s">
        <v>174</v>
      </c>
      <c r="N117" t="s">
        <v>143</v>
      </c>
      <c r="O117" t="s">
        <v>32</v>
      </c>
      <c r="P117" t="s">
        <v>33</v>
      </c>
      <c r="Q117" t="s">
        <v>170</v>
      </c>
      <c r="R117" s="9">
        <v>19500000</v>
      </c>
      <c r="S117" t="s">
        <v>27</v>
      </c>
    </row>
    <row r="118" spans="1:19" x14ac:dyDescent="0.25">
      <c r="A118" t="s">
        <v>165</v>
      </c>
      <c r="B118" t="s">
        <v>13</v>
      </c>
      <c r="C118" s="2" t="s">
        <v>166</v>
      </c>
      <c r="D118" t="s">
        <v>175</v>
      </c>
      <c r="E118" t="s">
        <v>172</v>
      </c>
      <c r="F118" t="s">
        <v>139</v>
      </c>
      <c r="G118" t="s">
        <v>31</v>
      </c>
      <c r="H118" t="str">
        <f t="shared" si="1"/>
        <v>08.001.12.365.0016.1.002.3.3.90.39.00</v>
      </c>
      <c r="I118" t="s">
        <v>167</v>
      </c>
      <c r="J118" t="s">
        <v>168</v>
      </c>
      <c r="K118" t="s">
        <v>169</v>
      </c>
      <c r="L118" t="s">
        <v>176</v>
      </c>
      <c r="M118" t="s">
        <v>174</v>
      </c>
      <c r="N118" t="s">
        <v>143</v>
      </c>
      <c r="O118" t="s">
        <v>32</v>
      </c>
      <c r="P118" t="s">
        <v>33</v>
      </c>
      <c r="Q118" t="s">
        <v>170</v>
      </c>
      <c r="R118" s="9">
        <v>10000000</v>
      </c>
      <c r="S118" t="s">
        <v>27</v>
      </c>
    </row>
    <row r="119" spans="1:19" x14ac:dyDescent="0.25">
      <c r="A119" t="s">
        <v>165</v>
      </c>
      <c r="B119" t="s">
        <v>13</v>
      </c>
      <c r="C119" s="2" t="s">
        <v>166</v>
      </c>
      <c r="D119" t="s">
        <v>171</v>
      </c>
      <c r="E119" t="s">
        <v>172</v>
      </c>
      <c r="F119" t="s">
        <v>177</v>
      </c>
      <c r="G119" t="s">
        <v>178</v>
      </c>
      <c r="H119" t="str">
        <f t="shared" si="1"/>
        <v>08.001.12.361.0016.1.003.4.4.90.51.00</v>
      </c>
      <c r="I119" t="s">
        <v>167</v>
      </c>
      <c r="J119" t="s">
        <v>168</v>
      </c>
      <c r="K119" t="s">
        <v>169</v>
      </c>
      <c r="L119" t="s">
        <v>173</v>
      </c>
      <c r="M119" t="s">
        <v>174</v>
      </c>
      <c r="N119" t="s">
        <v>179</v>
      </c>
      <c r="O119" t="s">
        <v>180</v>
      </c>
      <c r="Q119" t="s">
        <v>181</v>
      </c>
      <c r="R119" s="9">
        <v>0</v>
      </c>
      <c r="S119" t="s">
        <v>27</v>
      </c>
    </row>
    <row r="120" spans="1:19" x14ac:dyDescent="0.25">
      <c r="A120" t="s">
        <v>165</v>
      </c>
      <c r="B120" t="s">
        <v>13</v>
      </c>
      <c r="C120" s="2" t="s">
        <v>166</v>
      </c>
      <c r="D120" t="s">
        <v>15</v>
      </c>
      <c r="E120" t="s">
        <v>16</v>
      </c>
      <c r="F120" t="s">
        <v>182</v>
      </c>
      <c r="G120" t="s">
        <v>118</v>
      </c>
      <c r="H120" t="str">
        <f t="shared" si="1"/>
        <v>08.001.12.122.0001.2.001.3.3.90.92.00</v>
      </c>
      <c r="I120" t="s">
        <v>167</v>
      </c>
      <c r="J120" t="s">
        <v>168</v>
      </c>
      <c r="K120" t="s">
        <v>169</v>
      </c>
      <c r="L120" t="s">
        <v>22</v>
      </c>
      <c r="M120" t="s">
        <v>23</v>
      </c>
      <c r="N120" t="s">
        <v>183</v>
      </c>
      <c r="O120" t="s">
        <v>119</v>
      </c>
      <c r="P120" t="s">
        <v>184</v>
      </c>
      <c r="Q120" t="s">
        <v>185</v>
      </c>
      <c r="R120" s="9">
        <v>84000</v>
      </c>
      <c r="S120" t="s">
        <v>27</v>
      </c>
    </row>
    <row r="121" spans="1:19" x14ac:dyDescent="0.25">
      <c r="A121" t="s">
        <v>165</v>
      </c>
      <c r="B121" t="s">
        <v>13</v>
      </c>
      <c r="C121" s="2" t="s">
        <v>166</v>
      </c>
      <c r="D121" t="s">
        <v>15</v>
      </c>
      <c r="E121" t="s">
        <v>16</v>
      </c>
      <c r="F121" t="s">
        <v>182</v>
      </c>
      <c r="G121" t="s">
        <v>186</v>
      </c>
      <c r="H121" t="str">
        <f t="shared" si="1"/>
        <v>08.001.12.122.0001.2.001.3.3.90.96.00</v>
      </c>
      <c r="I121" t="s">
        <v>167</v>
      </c>
      <c r="J121" t="s">
        <v>168</v>
      </c>
      <c r="K121" t="s">
        <v>169</v>
      </c>
      <c r="L121" t="s">
        <v>22</v>
      </c>
      <c r="M121" t="s">
        <v>23</v>
      </c>
      <c r="N121" t="s">
        <v>183</v>
      </c>
      <c r="O121" t="s">
        <v>187</v>
      </c>
      <c r="P121" t="s">
        <v>184</v>
      </c>
      <c r="Q121" t="s">
        <v>185</v>
      </c>
      <c r="R121" s="9">
        <v>320000</v>
      </c>
      <c r="S121" t="s">
        <v>27</v>
      </c>
    </row>
    <row r="122" spans="1:19" x14ac:dyDescent="0.25">
      <c r="A122" t="s">
        <v>165</v>
      </c>
      <c r="B122" t="s">
        <v>13</v>
      </c>
      <c r="C122" s="2" t="s">
        <v>166</v>
      </c>
      <c r="D122" t="s">
        <v>15</v>
      </c>
      <c r="E122" t="s">
        <v>52</v>
      </c>
      <c r="F122" t="s">
        <v>122</v>
      </c>
      <c r="G122" t="s">
        <v>131</v>
      </c>
      <c r="H122" t="str">
        <f t="shared" si="1"/>
        <v>08.001.12.122.0002.2.003.3.3.90.36.00</v>
      </c>
      <c r="I122" t="s">
        <v>167</v>
      </c>
      <c r="J122" t="s">
        <v>168</v>
      </c>
      <c r="K122" t="s">
        <v>169</v>
      </c>
      <c r="L122" t="s">
        <v>22</v>
      </c>
      <c r="M122" t="s">
        <v>58</v>
      </c>
      <c r="N122" t="s">
        <v>125</v>
      </c>
      <c r="O122" t="s">
        <v>132</v>
      </c>
      <c r="P122" t="s">
        <v>188</v>
      </c>
      <c r="R122" s="9">
        <v>1</v>
      </c>
      <c r="S122" t="s">
        <v>27</v>
      </c>
    </row>
    <row r="123" spans="1:19" x14ac:dyDescent="0.25">
      <c r="A123" t="s">
        <v>165</v>
      </c>
      <c r="B123" t="s">
        <v>13</v>
      </c>
      <c r="C123" s="2" t="s">
        <v>166</v>
      </c>
      <c r="D123" t="s">
        <v>15</v>
      </c>
      <c r="E123" t="s">
        <v>52</v>
      </c>
      <c r="F123" t="s">
        <v>122</v>
      </c>
      <c r="G123" t="s">
        <v>31</v>
      </c>
      <c r="H123" t="str">
        <f t="shared" si="1"/>
        <v>08.001.12.122.0002.2.003.3.3.90.39.00</v>
      </c>
      <c r="I123" t="s">
        <v>167</v>
      </c>
      <c r="J123" t="s">
        <v>168</v>
      </c>
      <c r="K123" t="s">
        <v>169</v>
      </c>
      <c r="L123" t="s">
        <v>22</v>
      </c>
      <c r="M123" t="s">
        <v>58</v>
      </c>
      <c r="N123" t="s">
        <v>125</v>
      </c>
      <c r="O123" t="s">
        <v>32</v>
      </c>
      <c r="R123" s="9">
        <v>1</v>
      </c>
      <c r="S123" t="s">
        <v>27</v>
      </c>
    </row>
    <row r="124" spans="1:19" x14ac:dyDescent="0.25">
      <c r="A124" t="s">
        <v>165</v>
      </c>
      <c r="B124" t="s">
        <v>13</v>
      </c>
      <c r="C124" s="2" t="s">
        <v>166</v>
      </c>
      <c r="D124" t="s">
        <v>15</v>
      </c>
      <c r="E124" t="s">
        <v>52</v>
      </c>
      <c r="F124" t="s">
        <v>133</v>
      </c>
      <c r="G124" t="s">
        <v>18</v>
      </c>
      <c r="H124" t="str">
        <f t="shared" si="1"/>
        <v>08.001.12.122.0002.2.005.3.3.90.30.00</v>
      </c>
      <c r="I124" t="s">
        <v>167</v>
      </c>
      <c r="J124" t="s">
        <v>168</v>
      </c>
      <c r="K124" t="s">
        <v>169</v>
      </c>
      <c r="L124" t="s">
        <v>22</v>
      </c>
      <c r="M124" t="s">
        <v>58</v>
      </c>
      <c r="N124" t="s">
        <v>134</v>
      </c>
      <c r="O124" t="s">
        <v>25</v>
      </c>
      <c r="P124" t="s">
        <v>30</v>
      </c>
      <c r="Q124" t="s">
        <v>189</v>
      </c>
      <c r="R124" s="9">
        <v>420000</v>
      </c>
      <c r="S124" t="s">
        <v>27</v>
      </c>
    </row>
    <row r="125" spans="1:19" x14ac:dyDescent="0.25">
      <c r="A125" t="s">
        <v>165</v>
      </c>
      <c r="B125" t="s">
        <v>13</v>
      </c>
      <c r="C125" s="2" t="s">
        <v>166</v>
      </c>
      <c r="D125" t="s">
        <v>15</v>
      </c>
      <c r="E125" t="s">
        <v>52</v>
      </c>
      <c r="F125" t="s">
        <v>133</v>
      </c>
      <c r="G125" t="s">
        <v>18</v>
      </c>
      <c r="H125" t="str">
        <f t="shared" si="1"/>
        <v>08.001.12.122.0002.2.005.3.3.90.30.00</v>
      </c>
      <c r="I125" t="s">
        <v>167</v>
      </c>
      <c r="J125" t="s">
        <v>168</v>
      </c>
      <c r="K125" t="s">
        <v>169</v>
      </c>
      <c r="L125" t="s">
        <v>22</v>
      </c>
      <c r="M125" t="s">
        <v>58</v>
      </c>
      <c r="N125" t="s">
        <v>134</v>
      </c>
      <c r="O125" t="s">
        <v>25</v>
      </c>
      <c r="P125" t="s">
        <v>49</v>
      </c>
      <c r="Q125" t="s">
        <v>190</v>
      </c>
      <c r="R125" s="9">
        <v>1000000</v>
      </c>
      <c r="S125" t="s">
        <v>27</v>
      </c>
    </row>
    <row r="126" spans="1:19" x14ac:dyDescent="0.25">
      <c r="A126" t="s">
        <v>165</v>
      </c>
      <c r="B126" t="s">
        <v>13</v>
      </c>
      <c r="C126" s="2" t="s">
        <v>166</v>
      </c>
      <c r="D126" t="s">
        <v>15</v>
      </c>
      <c r="E126" t="s">
        <v>52</v>
      </c>
      <c r="F126" t="s">
        <v>133</v>
      </c>
      <c r="G126" t="s">
        <v>31</v>
      </c>
      <c r="H126" t="str">
        <f t="shared" si="1"/>
        <v>08.001.12.122.0002.2.005.3.3.90.39.00</v>
      </c>
      <c r="I126" t="s">
        <v>167</v>
      </c>
      <c r="J126" t="s">
        <v>168</v>
      </c>
      <c r="K126" t="s">
        <v>169</v>
      </c>
      <c r="L126" t="s">
        <v>22</v>
      </c>
      <c r="M126" t="s">
        <v>58</v>
      </c>
      <c r="N126" t="s">
        <v>134</v>
      </c>
      <c r="O126" t="s">
        <v>32</v>
      </c>
      <c r="P126" t="s">
        <v>160</v>
      </c>
      <c r="Q126" t="s">
        <v>191</v>
      </c>
      <c r="R126" s="9">
        <v>1655000</v>
      </c>
      <c r="S126" t="s">
        <v>27</v>
      </c>
    </row>
    <row r="127" spans="1:19" x14ac:dyDescent="0.25">
      <c r="A127" t="s">
        <v>165</v>
      </c>
      <c r="B127" t="s">
        <v>13</v>
      </c>
      <c r="C127" s="2" t="s">
        <v>166</v>
      </c>
      <c r="D127" t="s">
        <v>15</v>
      </c>
      <c r="E127" t="s">
        <v>52</v>
      </c>
      <c r="F127" t="s">
        <v>133</v>
      </c>
      <c r="G127" t="s">
        <v>192</v>
      </c>
      <c r="H127" t="str">
        <f t="shared" si="1"/>
        <v>08.001.12.122.0002.2.005.3.3.90.31.00</v>
      </c>
      <c r="I127" t="s">
        <v>167</v>
      </c>
      <c r="J127" t="s">
        <v>168</v>
      </c>
      <c r="K127" t="s">
        <v>169</v>
      </c>
      <c r="L127" t="s">
        <v>22</v>
      </c>
      <c r="M127" t="s">
        <v>58</v>
      </c>
      <c r="N127" t="s">
        <v>134</v>
      </c>
      <c r="O127" t="s">
        <v>193</v>
      </c>
      <c r="P127" t="s">
        <v>194</v>
      </c>
      <c r="Q127" t="s">
        <v>195</v>
      </c>
      <c r="R127" s="9">
        <v>294000</v>
      </c>
      <c r="S127" t="s">
        <v>27</v>
      </c>
    </row>
    <row r="128" spans="1:19" x14ac:dyDescent="0.25">
      <c r="A128" t="s">
        <v>165</v>
      </c>
      <c r="B128" t="s">
        <v>13</v>
      </c>
      <c r="C128" s="2" t="s">
        <v>166</v>
      </c>
      <c r="D128" t="s">
        <v>171</v>
      </c>
      <c r="E128" t="s">
        <v>52</v>
      </c>
      <c r="F128" t="s">
        <v>133</v>
      </c>
      <c r="G128" t="s">
        <v>31</v>
      </c>
      <c r="H128" t="str">
        <f t="shared" si="1"/>
        <v>08.001.12.361.0002.2.005.3.3.90.39.00</v>
      </c>
      <c r="I128" t="s">
        <v>167</v>
      </c>
      <c r="J128" t="s">
        <v>168</v>
      </c>
      <c r="K128" t="s">
        <v>169</v>
      </c>
      <c r="L128" t="s">
        <v>173</v>
      </c>
      <c r="M128" t="s">
        <v>58</v>
      </c>
      <c r="N128" t="s">
        <v>134</v>
      </c>
      <c r="O128" t="s">
        <v>32</v>
      </c>
      <c r="P128" t="s">
        <v>135</v>
      </c>
      <c r="Q128" t="s">
        <v>196</v>
      </c>
      <c r="R128" s="9">
        <v>4560901</v>
      </c>
      <c r="S128" t="s">
        <v>27</v>
      </c>
    </row>
    <row r="129" spans="1:19" x14ac:dyDescent="0.25">
      <c r="A129" t="s">
        <v>165</v>
      </c>
      <c r="B129" t="s">
        <v>13</v>
      </c>
      <c r="C129" s="2" t="s">
        <v>166</v>
      </c>
      <c r="D129" t="s">
        <v>171</v>
      </c>
      <c r="E129" t="s">
        <v>52</v>
      </c>
      <c r="F129" t="s">
        <v>133</v>
      </c>
      <c r="G129" t="s">
        <v>31</v>
      </c>
      <c r="H129" t="str">
        <f t="shared" si="1"/>
        <v>08.001.12.361.0002.2.005.3.3.90.39.00</v>
      </c>
      <c r="I129" t="s">
        <v>167</v>
      </c>
      <c r="J129" t="s">
        <v>168</v>
      </c>
      <c r="K129" t="s">
        <v>169</v>
      </c>
      <c r="L129" t="s">
        <v>173</v>
      </c>
      <c r="M129" t="s">
        <v>58</v>
      </c>
      <c r="N129" t="s">
        <v>134</v>
      </c>
      <c r="O129" t="s">
        <v>32</v>
      </c>
      <c r="P129" t="s">
        <v>114</v>
      </c>
      <c r="Q129" t="s">
        <v>197</v>
      </c>
      <c r="R129" s="9">
        <v>2848522</v>
      </c>
      <c r="S129" t="s">
        <v>27</v>
      </c>
    </row>
    <row r="130" spans="1:19" x14ac:dyDescent="0.25">
      <c r="A130" t="s">
        <v>165</v>
      </c>
      <c r="B130" t="s">
        <v>13</v>
      </c>
      <c r="C130" s="2" t="s">
        <v>166</v>
      </c>
      <c r="D130" t="s">
        <v>171</v>
      </c>
      <c r="E130" t="s">
        <v>52</v>
      </c>
      <c r="F130" t="s">
        <v>133</v>
      </c>
      <c r="G130" t="s">
        <v>31</v>
      </c>
      <c r="H130" t="str">
        <f t="shared" ref="H130:H193" si="2">_xlfn.CONCAT(A130,".",B130,".",C130,".",D130,".",E130,".",F130,".",G130)</f>
        <v>08.001.12.361.0002.2.005.3.3.90.39.00</v>
      </c>
      <c r="I130" t="s">
        <v>167</v>
      </c>
      <c r="J130" t="s">
        <v>168</v>
      </c>
      <c r="K130" t="s">
        <v>169</v>
      </c>
      <c r="L130" t="s">
        <v>173</v>
      </c>
      <c r="M130" t="s">
        <v>58</v>
      </c>
      <c r="N130" t="s">
        <v>134</v>
      </c>
      <c r="O130" t="s">
        <v>32</v>
      </c>
      <c r="P130" t="s">
        <v>93</v>
      </c>
      <c r="Q130" t="s">
        <v>198</v>
      </c>
      <c r="R130" s="9">
        <v>153840</v>
      </c>
      <c r="S130" t="s">
        <v>27</v>
      </c>
    </row>
    <row r="131" spans="1:19" x14ac:dyDescent="0.25">
      <c r="A131" t="s">
        <v>165</v>
      </c>
      <c r="B131" t="s">
        <v>13</v>
      </c>
      <c r="C131" s="2" t="s">
        <v>166</v>
      </c>
      <c r="D131" t="s">
        <v>175</v>
      </c>
      <c r="E131" t="s">
        <v>52</v>
      </c>
      <c r="F131" t="s">
        <v>133</v>
      </c>
      <c r="G131" t="s">
        <v>31</v>
      </c>
      <c r="H131" t="str">
        <f t="shared" si="2"/>
        <v>08.001.12.365.0002.2.005.3.3.90.39.00</v>
      </c>
      <c r="I131" t="s">
        <v>167</v>
      </c>
      <c r="J131" t="s">
        <v>168</v>
      </c>
      <c r="K131" t="s">
        <v>169</v>
      </c>
      <c r="L131" t="s">
        <v>176</v>
      </c>
      <c r="M131" t="s">
        <v>58</v>
      </c>
      <c r="N131" t="s">
        <v>134</v>
      </c>
      <c r="O131" t="s">
        <v>32</v>
      </c>
      <c r="P131" t="s">
        <v>135</v>
      </c>
      <c r="Q131" t="s">
        <v>196</v>
      </c>
      <c r="R131" s="9">
        <v>4026072</v>
      </c>
      <c r="S131" t="s">
        <v>27</v>
      </c>
    </row>
    <row r="132" spans="1:19" x14ac:dyDescent="0.25">
      <c r="A132" t="s">
        <v>165</v>
      </c>
      <c r="B132" t="s">
        <v>13</v>
      </c>
      <c r="C132" s="2" t="s">
        <v>166</v>
      </c>
      <c r="D132" t="s">
        <v>175</v>
      </c>
      <c r="E132" t="s">
        <v>52</v>
      </c>
      <c r="F132" t="s">
        <v>133</v>
      </c>
      <c r="G132" t="s">
        <v>31</v>
      </c>
      <c r="H132" t="str">
        <f t="shared" si="2"/>
        <v>08.001.12.365.0002.2.005.3.3.90.39.00</v>
      </c>
      <c r="I132" t="s">
        <v>167</v>
      </c>
      <c r="J132" t="s">
        <v>168</v>
      </c>
      <c r="K132" t="s">
        <v>169</v>
      </c>
      <c r="L132" t="s">
        <v>176</v>
      </c>
      <c r="M132" t="s">
        <v>58</v>
      </c>
      <c r="N132" t="s">
        <v>134</v>
      </c>
      <c r="O132" t="s">
        <v>32</v>
      </c>
      <c r="P132" t="s">
        <v>114</v>
      </c>
      <c r="Q132" t="s">
        <v>197</v>
      </c>
      <c r="R132" s="9">
        <v>1122045</v>
      </c>
      <c r="S132" t="s">
        <v>27</v>
      </c>
    </row>
    <row r="133" spans="1:19" x14ac:dyDescent="0.25">
      <c r="A133" t="s">
        <v>165</v>
      </c>
      <c r="B133" t="s">
        <v>13</v>
      </c>
      <c r="C133" s="2" t="s">
        <v>166</v>
      </c>
      <c r="D133" t="s">
        <v>175</v>
      </c>
      <c r="E133" t="s">
        <v>52</v>
      </c>
      <c r="F133" t="s">
        <v>133</v>
      </c>
      <c r="G133" t="s">
        <v>31</v>
      </c>
      <c r="H133" t="str">
        <f t="shared" si="2"/>
        <v>08.001.12.365.0002.2.005.3.3.90.39.00</v>
      </c>
      <c r="I133" t="s">
        <v>167</v>
      </c>
      <c r="J133" t="s">
        <v>168</v>
      </c>
      <c r="K133" t="s">
        <v>169</v>
      </c>
      <c r="L133" t="s">
        <v>176</v>
      </c>
      <c r="M133" t="s">
        <v>58</v>
      </c>
      <c r="N133" t="s">
        <v>134</v>
      </c>
      <c r="O133" t="s">
        <v>32</v>
      </c>
      <c r="P133" t="s">
        <v>93</v>
      </c>
      <c r="Q133" t="s">
        <v>198</v>
      </c>
      <c r="R133" s="9">
        <v>103575</v>
      </c>
      <c r="S133" t="s">
        <v>27</v>
      </c>
    </row>
    <row r="134" spans="1:19" x14ac:dyDescent="0.25">
      <c r="A134" t="s">
        <v>165</v>
      </c>
      <c r="B134" t="s">
        <v>13</v>
      </c>
      <c r="C134" s="2" t="s">
        <v>166</v>
      </c>
      <c r="D134" t="s">
        <v>15</v>
      </c>
      <c r="E134" t="s">
        <v>16</v>
      </c>
      <c r="F134" t="s">
        <v>127</v>
      </c>
      <c r="G134" t="s">
        <v>73</v>
      </c>
      <c r="H134" t="str">
        <f t="shared" si="2"/>
        <v>08.001.12.122.0001.2.006.3.3.90.33.00</v>
      </c>
      <c r="I134" t="s">
        <v>167</v>
      </c>
      <c r="J134" t="s">
        <v>168</v>
      </c>
      <c r="K134" t="s">
        <v>169</v>
      </c>
      <c r="L134" t="s">
        <v>22</v>
      </c>
      <c r="M134" t="s">
        <v>23</v>
      </c>
      <c r="N134" t="s">
        <v>130</v>
      </c>
      <c r="O134" t="s">
        <v>74</v>
      </c>
      <c r="Q134" t="s">
        <v>199</v>
      </c>
      <c r="R134" s="9">
        <v>1</v>
      </c>
      <c r="S134" t="s">
        <v>27</v>
      </c>
    </row>
    <row r="135" spans="1:19" x14ac:dyDescent="0.25">
      <c r="A135" t="s">
        <v>165</v>
      </c>
      <c r="B135" t="s">
        <v>13</v>
      </c>
      <c r="C135" s="2" t="s">
        <v>166</v>
      </c>
      <c r="D135" t="s">
        <v>15</v>
      </c>
      <c r="E135" t="s">
        <v>16</v>
      </c>
      <c r="F135" t="s">
        <v>127</v>
      </c>
      <c r="G135" t="s">
        <v>31</v>
      </c>
      <c r="H135" t="str">
        <f t="shared" si="2"/>
        <v>08.001.12.122.0001.2.006.3.3.90.39.00</v>
      </c>
      <c r="I135" t="s">
        <v>167</v>
      </c>
      <c r="J135" t="s">
        <v>168</v>
      </c>
      <c r="K135" t="s">
        <v>169</v>
      </c>
      <c r="L135" t="s">
        <v>22</v>
      </c>
      <c r="M135" t="s">
        <v>23</v>
      </c>
      <c r="N135" t="s">
        <v>130</v>
      </c>
      <c r="O135" t="s">
        <v>32</v>
      </c>
      <c r="P135" t="s">
        <v>160</v>
      </c>
      <c r="R135" s="9">
        <v>1</v>
      </c>
      <c r="S135" t="s">
        <v>27</v>
      </c>
    </row>
    <row r="136" spans="1:19" x14ac:dyDescent="0.25">
      <c r="A136" t="s">
        <v>165</v>
      </c>
      <c r="B136" t="s">
        <v>13</v>
      </c>
      <c r="C136" s="2" t="s">
        <v>166</v>
      </c>
      <c r="D136" t="s">
        <v>171</v>
      </c>
      <c r="E136" t="s">
        <v>52</v>
      </c>
      <c r="F136" t="s">
        <v>53</v>
      </c>
      <c r="G136" t="s">
        <v>54</v>
      </c>
      <c r="H136" t="str">
        <f t="shared" si="2"/>
        <v>08.001.12.361.0002.2.007.3.3.90.40.00</v>
      </c>
      <c r="I136" t="s">
        <v>167</v>
      </c>
      <c r="J136" t="s">
        <v>168</v>
      </c>
      <c r="K136" t="s">
        <v>169</v>
      </c>
      <c r="L136" t="s">
        <v>173</v>
      </c>
      <c r="M136" t="s">
        <v>58</v>
      </c>
      <c r="N136" t="s">
        <v>59</v>
      </c>
      <c r="O136" t="s">
        <v>60</v>
      </c>
      <c r="P136" t="s">
        <v>61</v>
      </c>
      <c r="Q136" t="s">
        <v>200</v>
      </c>
      <c r="R136" s="9">
        <v>17720015</v>
      </c>
      <c r="S136" t="s">
        <v>27</v>
      </c>
    </row>
    <row r="137" spans="1:19" x14ac:dyDescent="0.25">
      <c r="A137" t="s">
        <v>165</v>
      </c>
      <c r="B137" t="s">
        <v>13</v>
      </c>
      <c r="C137" s="2" t="s">
        <v>166</v>
      </c>
      <c r="D137" t="s">
        <v>175</v>
      </c>
      <c r="E137" t="s">
        <v>52</v>
      </c>
      <c r="F137" t="s">
        <v>53</v>
      </c>
      <c r="G137" t="s">
        <v>54</v>
      </c>
      <c r="H137" t="str">
        <f t="shared" si="2"/>
        <v>08.001.12.365.0002.2.007.3.3.90.40.00</v>
      </c>
      <c r="I137" t="s">
        <v>167</v>
      </c>
      <c r="J137" t="s">
        <v>168</v>
      </c>
      <c r="K137" t="s">
        <v>169</v>
      </c>
      <c r="L137" t="s">
        <v>176</v>
      </c>
      <c r="M137" t="s">
        <v>58</v>
      </c>
      <c r="N137" t="s">
        <v>59</v>
      </c>
      <c r="O137" t="s">
        <v>60</v>
      </c>
      <c r="P137" t="s">
        <v>61</v>
      </c>
      <c r="Q137" t="s">
        <v>200</v>
      </c>
      <c r="R137" s="9">
        <v>10179986</v>
      </c>
      <c r="S137" t="s">
        <v>27</v>
      </c>
    </row>
    <row r="138" spans="1:19" x14ac:dyDescent="0.25">
      <c r="A138" t="s">
        <v>165</v>
      </c>
      <c r="B138" t="s">
        <v>13</v>
      </c>
      <c r="C138" s="2" t="s">
        <v>166</v>
      </c>
      <c r="D138" t="s">
        <v>15</v>
      </c>
      <c r="E138" t="s">
        <v>16</v>
      </c>
      <c r="F138" t="s">
        <v>201</v>
      </c>
      <c r="G138" t="s">
        <v>31</v>
      </c>
      <c r="H138" t="str">
        <f t="shared" si="2"/>
        <v>08.001.12.122.0001.2.008.3.3.90.39.00</v>
      </c>
      <c r="I138" t="s">
        <v>167</v>
      </c>
      <c r="J138" t="s">
        <v>168</v>
      </c>
      <c r="K138" t="s">
        <v>169</v>
      </c>
      <c r="L138" t="s">
        <v>22</v>
      </c>
      <c r="M138" t="s">
        <v>23</v>
      </c>
      <c r="N138" t="s">
        <v>202</v>
      </c>
      <c r="O138" t="s">
        <v>32</v>
      </c>
      <c r="P138" t="s">
        <v>93</v>
      </c>
      <c r="Q138" t="s">
        <v>203</v>
      </c>
      <c r="R138" s="9">
        <v>638280</v>
      </c>
      <c r="S138" t="s">
        <v>27</v>
      </c>
    </row>
    <row r="139" spans="1:19" x14ac:dyDescent="0.25">
      <c r="A139" t="s">
        <v>165</v>
      </c>
      <c r="B139" t="s">
        <v>13</v>
      </c>
      <c r="C139" s="2" t="s">
        <v>166</v>
      </c>
      <c r="D139" t="s">
        <v>15</v>
      </c>
      <c r="E139" t="s">
        <v>16</v>
      </c>
      <c r="F139" t="s">
        <v>201</v>
      </c>
      <c r="G139" t="s">
        <v>204</v>
      </c>
      <c r="H139" t="str">
        <f t="shared" si="2"/>
        <v>08.001.12.122.0001.2.008.3.3.90.48.00</v>
      </c>
      <c r="I139" t="s">
        <v>167</v>
      </c>
      <c r="J139" t="s">
        <v>168</v>
      </c>
      <c r="K139" t="s">
        <v>169</v>
      </c>
      <c r="L139" t="s">
        <v>22</v>
      </c>
      <c r="M139" t="s">
        <v>23</v>
      </c>
      <c r="N139" t="s">
        <v>202</v>
      </c>
      <c r="O139" t="s">
        <v>205</v>
      </c>
      <c r="Q139" t="s">
        <v>206</v>
      </c>
      <c r="R139" s="9">
        <v>9500565</v>
      </c>
      <c r="S139" t="s">
        <v>27</v>
      </c>
    </row>
    <row r="140" spans="1:19" x14ac:dyDescent="0.25">
      <c r="A140" t="s">
        <v>165</v>
      </c>
      <c r="B140" t="s">
        <v>13</v>
      </c>
      <c r="C140" s="2" t="s">
        <v>166</v>
      </c>
      <c r="D140" t="s">
        <v>207</v>
      </c>
      <c r="E140" t="s">
        <v>16</v>
      </c>
      <c r="F140" t="s">
        <v>17</v>
      </c>
      <c r="G140" t="s">
        <v>18</v>
      </c>
      <c r="H140" t="str">
        <f t="shared" si="2"/>
        <v>08.001.12.364.0001.2.011.3.3.90.30.00</v>
      </c>
      <c r="I140" t="s">
        <v>167</v>
      </c>
      <c r="J140" t="s">
        <v>168</v>
      </c>
      <c r="K140" t="s">
        <v>169</v>
      </c>
      <c r="L140" t="s">
        <v>208</v>
      </c>
      <c r="M140" t="s">
        <v>23</v>
      </c>
      <c r="N140" t="s">
        <v>24</v>
      </c>
      <c r="O140" t="s">
        <v>25</v>
      </c>
      <c r="P140" t="s">
        <v>46</v>
      </c>
      <c r="Q140" t="s">
        <v>209</v>
      </c>
      <c r="R140" s="9">
        <v>50000</v>
      </c>
      <c r="S140" t="s">
        <v>27</v>
      </c>
    </row>
    <row r="141" spans="1:19" x14ac:dyDescent="0.25">
      <c r="A141" t="s">
        <v>165</v>
      </c>
      <c r="B141" t="s">
        <v>13</v>
      </c>
      <c r="C141" s="2" t="s">
        <v>166</v>
      </c>
      <c r="D141" t="s">
        <v>15</v>
      </c>
      <c r="E141" t="s">
        <v>16</v>
      </c>
      <c r="F141" t="s">
        <v>17</v>
      </c>
      <c r="G141" t="s">
        <v>18</v>
      </c>
      <c r="H141" t="str">
        <f t="shared" si="2"/>
        <v>08.001.12.122.0001.2.011.3.3.90.30.00</v>
      </c>
      <c r="I141" t="s">
        <v>167</v>
      </c>
      <c r="J141" t="s">
        <v>168</v>
      </c>
      <c r="K141" t="s">
        <v>169</v>
      </c>
      <c r="L141" t="s">
        <v>22</v>
      </c>
      <c r="M141" t="s">
        <v>23</v>
      </c>
      <c r="N141" t="s">
        <v>24</v>
      </c>
      <c r="O141" t="s">
        <v>25</v>
      </c>
      <c r="P141" t="s">
        <v>29</v>
      </c>
      <c r="Q141" t="s">
        <v>210</v>
      </c>
      <c r="R141" s="9">
        <v>500000</v>
      </c>
      <c r="S141" t="s">
        <v>27</v>
      </c>
    </row>
    <row r="142" spans="1:19" x14ac:dyDescent="0.25">
      <c r="A142" t="s">
        <v>165</v>
      </c>
      <c r="B142" t="s">
        <v>13</v>
      </c>
      <c r="C142" s="2" t="s">
        <v>166</v>
      </c>
      <c r="D142" t="s">
        <v>15</v>
      </c>
      <c r="E142" t="s">
        <v>16</v>
      </c>
      <c r="F142" t="s">
        <v>17</v>
      </c>
      <c r="G142" t="s">
        <v>18</v>
      </c>
      <c r="H142" t="str">
        <f t="shared" si="2"/>
        <v>08.001.12.122.0001.2.011.3.3.90.30.00</v>
      </c>
      <c r="I142" t="s">
        <v>167</v>
      </c>
      <c r="J142" t="s">
        <v>168</v>
      </c>
      <c r="K142" t="s">
        <v>169</v>
      </c>
      <c r="L142" t="s">
        <v>22</v>
      </c>
      <c r="M142" t="s">
        <v>23</v>
      </c>
      <c r="N142" t="s">
        <v>24</v>
      </c>
      <c r="O142" t="s">
        <v>25</v>
      </c>
      <c r="P142" t="s">
        <v>30</v>
      </c>
      <c r="Q142" t="s">
        <v>211</v>
      </c>
      <c r="R142" s="9">
        <v>200000</v>
      </c>
      <c r="S142" t="s">
        <v>27</v>
      </c>
    </row>
    <row r="143" spans="1:19" x14ac:dyDescent="0.25">
      <c r="A143" t="s">
        <v>165</v>
      </c>
      <c r="B143" t="s">
        <v>13</v>
      </c>
      <c r="C143" s="2" t="s">
        <v>166</v>
      </c>
      <c r="D143" t="s">
        <v>15</v>
      </c>
      <c r="E143" t="s">
        <v>16</v>
      </c>
      <c r="F143" t="s">
        <v>17</v>
      </c>
      <c r="G143" t="s">
        <v>18</v>
      </c>
      <c r="H143" t="str">
        <f t="shared" si="2"/>
        <v>08.001.12.122.0001.2.011.3.3.90.30.00</v>
      </c>
      <c r="I143" t="s">
        <v>167</v>
      </c>
      <c r="J143" t="s">
        <v>168</v>
      </c>
      <c r="K143" t="s">
        <v>169</v>
      </c>
      <c r="L143" t="s">
        <v>22</v>
      </c>
      <c r="M143" t="s">
        <v>23</v>
      </c>
      <c r="N143" t="s">
        <v>24</v>
      </c>
      <c r="O143" t="s">
        <v>25</v>
      </c>
      <c r="P143" t="s">
        <v>212</v>
      </c>
      <c r="Q143" t="s">
        <v>213</v>
      </c>
      <c r="R143" s="9">
        <v>150000</v>
      </c>
      <c r="S143" t="s">
        <v>27</v>
      </c>
    </row>
    <row r="144" spans="1:19" x14ac:dyDescent="0.25">
      <c r="A144" t="s">
        <v>165</v>
      </c>
      <c r="B144" t="s">
        <v>13</v>
      </c>
      <c r="C144" s="2" t="s">
        <v>166</v>
      </c>
      <c r="D144" t="s">
        <v>15</v>
      </c>
      <c r="E144" t="s">
        <v>16</v>
      </c>
      <c r="F144" t="s">
        <v>17</v>
      </c>
      <c r="G144" t="s">
        <v>18</v>
      </c>
      <c r="H144" t="str">
        <f t="shared" si="2"/>
        <v>08.001.12.122.0001.2.011.3.3.90.30.00</v>
      </c>
      <c r="I144" t="s">
        <v>167</v>
      </c>
      <c r="J144" t="s">
        <v>168</v>
      </c>
      <c r="K144" t="s">
        <v>169</v>
      </c>
      <c r="L144" t="s">
        <v>22</v>
      </c>
      <c r="M144" t="s">
        <v>23</v>
      </c>
      <c r="N144" t="s">
        <v>24</v>
      </c>
      <c r="O144" t="s">
        <v>25</v>
      </c>
      <c r="P144" t="s">
        <v>28</v>
      </c>
      <c r="Q144" t="s">
        <v>214</v>
      </c>
      <c r="R144" s="9">
        <v>100000</v>
      </c>
      <c r="S144" t="s">
        <v>27</v>
      </c>
    </row>
    <row r="145" spans="1:19" x14ac:dyDescent="0.25">
      <c r="A145" t="s">
        <v>165</v>
      </c>
      <c r="B145" t="s">
        <v>13</v>
      </c>
      <c r="C145" s="2" t="s">
        <v>166</v>
      </c>
      <c r="D145" t="s">
        <v>15</v>
      </c>
      <c r="E145" t="s">
        <v>16</v>
      </c>
      <c r="F145" t="s">
        <v>17</v>
      </c>
      <c r="G145" t="s">
        <v>31</v>
      </c>
      <c r="H145" t="str">
        <f t="shared" si="2"/>
        <v>08.001.12.122.0001.2.011.3.3.90.39.00</v>
      </c>
      <c r="I145" t="s">
        <v>167</v>
      </c>
      <c r="J145" t="s">
        <v>168</v>
      </c>
      <c r="K145" t="s">
        <v>169</v>
      </c>
      <c r="L145" t="s">
        <v>22</v>
      </c>
      <c r="M145" t="s">
        <v>23</v>
      </c>
      <c r="N145" t="s">
        <v>24</v>
      </c>
      <c r="O145" t="s">
        <v>32</v>
      </c>
      <c r="P145" t="s">
        <v>215</v>
      </c>
      <c r="Q145" t="s">
        <v>216</v>
      </c>
      <c r="R145" s="9">
        <v>336000</v>
      </c>
      <c r="S145" t="s">
        <v>27</v>
      </c>
    </row>
    <row r="146" spans="1:19" x14ac:dyDescent="0.25">
      <c r="A146" t="s">
        <v>165</v>
      </c>
      <c r="B146" t="s">
        <v>13</v>
      </c>
      <c r="C146" s="2" t="s">
        <v>166</v>
      </c>
      <c r="D146" t="s">
        <v>15</v>
      </c>
      <c r="E146" t="s">
        <v>16</v>
      </c>
      <c r="F146" t="s">
        <v>17</v>
      </c>
      <c r="G146" t="s">
        <v>31</v>
      </c>
      <c r="H146" t="str">
        <f t="shared" si="2"/>
        <v>08.001.12.122.0001.2.011.3.3.90.39.00</v>
      </c>
      <c r="I146" t="s">
        <v>167</v>
      </c>
      <c r="J146" t="s">
        <v>168</v>
      </c>
      <c r="K146" t="s">
        <v>169</v>
      </c>
      <c r="L146" t="s">
        <v>22</v>
      </c>
      <c r="M146" t="s">
        <v>23</v>
      </c>
      <c r="N146" t="s">
        <v>24</v>
      </c>
      <c r="O146" t="s">
        <v>32</v>
      </c>
      <c r="P146" t="s">
        <v>217</v>
      </c>
      <c r="Q146" t="s">
        <v>218</v>
      </c>
      <c r="R146" s="9">
        <v>252000</v>
      </c>
      <c r="S146" t="s">
        <v>27</v>
      </c>
    </row>
    <row r="147" spans="1:19" x14ac:dyDescent="0.25">
      <c r="A147" t="s">
        <v>165</v>
      </c>
      <c r="B147" t="s">
        <v>13</v>
      </c>
      <c r="C147" s="2" t="s">
        <v>166</v>
      </c>
      <c r="D147" t="s">
        <v>15</v>
      </c>
      <c r="E147" t="s">
        <v>16</v>
      </c>
      <c r="F147" t="s">
        <v>17</v>
      </c>
      <c r="G147" t="s">
        <v>31</v>
      </c>
      <c r="H147" t="str">
        <f t="shared" si="2"/>
        <v>08.001.12.122.0001.2.011.3.3.90.39.00</v>
      </c>
      <c r="I147" t="s">
        <v>167</v>
      </c>
      <c r="J147" t="s">
        <v>168</v>
      </c>
      <c r="K147" t="s">
        <v>169</v>
      </c>
      <c r="L147" t="s">
        <v>22</v>
      </c>
      <c r="M147" t="s">
        <v>23</v>
      </c>
      <c r="N147" t="s">
        <v>24</v>
      </c>
      <c r="O147" t="s">
        <v>32</v>
      </c>
      <c r="P147" t="s">
        <v>114</v>
      </c>
      <c r="Q147" t="s">
        <v>219</v>
      </c>
      <c r="R147" s="9">
        <v>103000</v>
      </c>
      <c r="S147" t="s">
        <v>27</v>
      </c>
    </row>
    <row r="148" spans="1:19" x14ac:dyDescent="0.25">
      <c r="A148" t="s">
        <v>165</v>
      </c>
      <c r="B148" t="s">
        <v>13</v>
      </c>
      <c r="C148" s="2" t="s">
        <v>166</v>
      </c>
      <c r="D148" t="s">
        <v>15</v>
      </c>
      <c r="E148" t="s">
        <v>16</v>
      </c>
      <c r="F148" t="s">
        <v>17</v>
      </c>
      <c r="G148" t="s">
        <v>31</v>
      </c>
      <c r="H148" t="str">
        <f t="shared" si="2"/>
        <v>08.001.12.122.0001.2.011.3.3.90.39.00</v>
      </c>
      <c r="I148" t="s">
        <v>167</v>
      </c>
      <c r="J148" t="s">
        <v>168</v>
      </c>
      <c r="K148" t="s">
        <v>169</v>
      </c>
      <c r="L148" t="s">
        <v>22</v>
      </c>
      <c r="M148" t="s">
        <v>23</v>
      </c>
      <c r="N148" t="s">
        <v>24</v>
      </c>
      <c r="O148" t="s">
        <v>32</v>
      </c>
      <c r="P148" t="s">
        <v>220</v>
      </c>
      <c r="R148" s="9">
        <v>100000</v>
      </c>
      <c r="S148" t="s">
        <v>27</v>
      </c>
    </row>
    <row r="149" spans="1:19" x14ac:dyDescent="0.25">
      <c r="A149" t="s">
        <v>165</v>
      </c>
      <c r="B149" t="s">
        <v>13</v>
      </c>
      <c r="C149" s="2" t="s">
        <v>166</v>
      </c>
      <c r="D149" t="s">
        <v>15</v>
      </c>
      <c r="E149" t="s">
        <v>16</v>
      </c>
      <c r="F149" t="s">
        <v>17</v>
      </c>
      <c r="G149" t="s">
        <v>31</v>
      </c>
      <c r="H149" t="str">
        <f t="shared" si="2"/>
        <v>08.001.12.122.0001.2.011.3.3.90.39.00</v>
      </c>
      <c r="I149" t="s">
        <v>167</v>
      </c>
      <c r="J149" t="s">
        <v>168</v>
      </c>
      <c r="K149" t="s">
        <v>169</v>
      </c>
      <c r="L149" t="s">
        <v>22</v>
      </c>
      <c r="M149" t="s">
        <v>23</v>
      </c>
      <c r="N149" t="s">
        <v>24</v>
      </c>
      <c r="O149" t="s">
        <v>32</v>
      </c>
      <c r="P149" t="s">
        <v>43</v>
      </c>
      <c r="Q149" t="s">
        <v>221</v>
      </c>
      <c r="R149" s="9">
        <v>15000</v>
      </c>
      <c r="S149" t="s">
        <v>27</v>
      </c>
    </row>
    <row r="150" spans="1:19" x14ac:dyDescent="0.25">
      <c r="A150" t="s">
        <v>165</v>
      </c>
      <c r="B150" t="s">
        <v>13</v>
      </c>
      <c r="C150" s="2" t="s">
        <v>166</v>
      </c>
      <c r="D150" t="s">
        <v>15</v>
      </c>
      <c r="E150" t="s">
        <v>16</v>
      </c>
      <c r="F150" t="s">
        <v>17</v>
      </c>
      <c r="G150" t="s">
        <v>69</v>
      </c>
      <c r="H150" t="str">
        <f t="shared" si="2"/>
        <v>08.001.12.122.0001.2.011.3.3.90.93.00</v>
      </c>
      <c r="I150" t="s">
        <v>167</v>
      </c>
      <c r="J150" t="s">
        <v>168</v>
      </c>
      <c r="K150" t="s">
        <v>169</v>
      </c>
      <c r="L150" t="s">
        <v>22</v>
      </c>
      <c r="M150" t="s">
        <v>23</v>
      </c>
      <c r="N150" t="s">
        <v>24</v>
      </c>
      <c r="O150" t="s">
        <v>70</v>
      </c>
      <c r="P150" t="s">
        <v>222</v>
      </c>
      <c r="Q150" t="s">
        <v>223</v>
      </c>
      <c r="R150" s="9">
        <v>5000</v>
      </c>
      <c r="S150" t="s">
        <v>27</v>
      </c>
    </row>
    <row r="151" spans="1:19" x14ac:dyDescent="0.25">
      <c r="A151" t="s">
        <v>165</v>
      </c>
      <c r="B151" t="s">
        <v>13</v>
      </c>
      <c r="C151" s="2" t="s">
        <v>166</v>
      </c>
      <c r="D151" t="s">
        <v>15</v>
      </c>
      <c r="E151" t="s">
        <v>16</v>
      </c>
      <c r="F151" t="s">
        <v>17</v>
      </c>
      <c r="G151" t="s">
        <v>80</v>
      </c>
      <c r="H151" t="str">
        <f t="shared" si="2"/>
        <v>08.001.12.122.0001.2.011.4.4.90.52.00</v>
      </c>
      <c r="I151" t="s">
        <v>167</v>
      </c>
      <c r="J151" t="s">
        <v>168</v>
      </c>
      <c r="K151" t="s">
        <v>169</v>
      </c>
      <c r="L151" t="s">
        <v>22</v>
      </c>
      <c r="M151" t="s">
        <v>23</v>
      </c>
      <c r="N151" t="s">
        <v>24</v>
      </c>
      <c r="O151" t="s">
        <v>81</v>
      </c>
      <c r="P151" t="s">
        <v>224</v>
      </c>
      <c r="R151" s="9">
        <v>100000</v>
      </c>
      <c r="S151" t="s">
        <v>27</v>
      </c>
    </row>
    <row r="152" spans="1:19" x14ac:dyDescent="0.25">
      <c r="A152" t="s">
        <v>165</v>
      </c>
      <c r="B152" t="s">
        <v>13</v>
      </c>
      <c r="C152" s="2" t="s">
        <v>166</v>
      </c>
      <c r="D152" t="s">
        <v>15</v>
      </c>
      <c r="E152" t="s">
        <v>16</v>
      </c>
      <c r="F152" t="s">
        <v>17</v>
      </c>
      <c r="G152" t="s">
        <v>80</v>
      </c>
      <c r="H152" t="str">
        <f t="shared" si="2"/>
        <v>08.001.12.122.0001.2.011.4.4.90.52.00</v>
      </c>
      <c r="I152" t="s">
        <v>167</v>
      </c>
      <c r="J152" t="s">
        <v>168</v>
      </c>
      <c r="K152" t="s">
        <v>169</v>
      </c>
      <c r="L152" t="s">
        <v>22</v>
      </c>
      <c r="M152" t="s">
        <v>23</v>
      </c>
      <c r="N152" t="s">
        <v>24</v>
      </c>
      <c r="O152" t="s">
        <v>81</v>
      </c>
      <c r="P152" t="s">
        <v>82</v>
      </c>
      <c r="R152" s="9">
        <v>100000</v>
      </c>
      <c r="S152" t="s">
        <v>27</v>
      </c>
    </row>
    <row r="153" spans="1:19" x14ac:dyDescent="0.25">
      <c r="A153" t="s">
        <v>165</v>
      </c>
      <c r="B153" t="s">
        <v>13</v>
      </c>
      <c r="C153" s="2" t="s">
        <v>166</v>
      </c>
      <c r="D153" t="s">
        <v>171</v>
      </c>
      <c r="E153" t="s">
        <v>172</v>
      </c>
      <c r="F153" t="s">
        <v>17</v>
      </c>
      <c r="G153" t="s">
        <v>18</v>
      </c>
      <c r="H153" t="str">
        <f t="shared" si="2"/>
        <v>08.001.12.361.0016.2.011.3.3.90.30.00</v>
      </c>
      <c r="I153" t="s">
        <v>167</v>
      </c>
      <c r="J153" t="s">
        <v>168</v>
      </c>
      <c r="K153" t="s">
        <v>169</v>
      </c>
      <c r="L153" t="s">
        <v>173</v>
      </c>
      <c r="M153" t="s">
        <v>174</v>
      </c>
      <c r="N153" t="s">
        <v>24</v>
      </c>
      <c r="O153" t="s">
        <v>25</v>
      </c>
      <c r="P153" t="s">
        <v>29</v>
      </c>
      <c r="Q153" t="s">
        <v>210</v>
      </c>
      <c r="R153" s="9">
        <v>6000000</v>
      </c>
      <c r="S153" t="s">
        <v>27</v>
      </c>
    </row>
    <row r="154" spans="1:19" x14ac:dyDescent="0.25">
      <c r="A154" t="s">
        <v>165</v>
      </c>
      <c r="B154" t="s">
        <v>13</v>
      </c>
      <c r="C154" s="2" t="s">
        <v>166</v>
      </c>
      <c r="D154" t="s">
        <v>171</v>
      </c>
      <c r="E154" t="s">
        <v>172</v>
      </c>
      <c r="F154" t="s">
        <v>17</v>
      </c>
      <c r="G154" t="s">
        <v>18</v>
      </c>
      <c r="H154" t="str">
        <f t="shared" si="2"/>
        <v>08.001.12.361.0016.2.011.3.3.90.30.00</v>
      </c>
      <c r="I154" t="s">
        <v>167</v>
      </c>
      <c r="J154" t="s">
        <v>168</v>
      </c>
      <c r="K154" t="s">
        <v>169</v>
      </c>
      <c r="L154" t="s">
        <v>173</v>
      </c>
      <c r="M154" t="s">
        <v>174</v>
      </c>
      <c r="N154" t="s">
        <v>24</v>
      </c>
      <c r="O154" t="s">
        <v>25</v>
      </c>
      <c r="P154" t="s">
        <v>30</v>
      </c>
      <c r="Q154" t="s">
        <v>211</v>
      </c>
      <c r="R154" s="9">
        <v>1000000</v>
      </c>
      <c r="S154" t="s">
        <v>27</v>
      </c>
    </row>
    <row r="155" spans="1:19" x14ac:dyDescent="0.25">
      <c r="A155" t="s">
        <v>165</v>
      </c>
      <c r="B155" t="s">
        <v>13</v>
      </c>
      <c r="C155" s="2" t="s">
        <v>166</v>
      </c>
      <c r="D155" t="s">
        <v>171</v>
      </c>
      <c r="E155" t="s">
        <v>172</v>
      </c>
      <c r="F155" t="s">
        <v>17</v>
      </c>
      <c r="G155" t="s">
        <v>18</v>
      </c>
      <c r="H155" t="str">
        <f t="shared" si="2"/>
        <v>08.001.12.361.0016.2.011.3.3.90.30.00</v>
      </c>
      <c r="I155" t="s">
        <v>167</v>
      </c>
      <c r="J155" t="s">
        <v>168</v>
      </c>
      <c r="K155" t="s">
        <v>169</v>
      </c>
      <c r="L155" t="s">
        <v>173</v>
      </c>
      <c r="M155" t="s">
        <v>174</v>
      </c>
      <c r="N155" t="s">
        <v>24</v>
      </c>
      <c r="O155" t="s">
        <v>25</v>
      </c>
      <c r="P155" t="s">
        <v>212</v>
      </c>
      <c r="Q155" t="s">
        <v>213</v>
      </c>
      <c r="R155" s="9">
        <v>2000000</v>
      </c>
      <c r="S155" t="s">
        <v>27</v>
      </c>
    </row>
    <row r="156" spans="1:19" x14ac:dyDescent="0.25">
      <c r="A156" t="s">
        <v>165</v>
      </c>
      <c r="B156" t="s">
        <v>13</v>
      </c>
      <c r="C156" s="2" t="s">
        <v>166</v>
      </c>
      <c r="D156" t="s">
        <v>171</v>
      </c>
      <c r="E156" t="s">
        <v>172</v>
      </c>
      <c r="F156" t="s">
        <v>17</v>
      </c>
      <c r="G156" t="s">
        <v>18</v>
      </c>
      <c r="H156" t="str">
        <f t="shared" si="2"/>
        <v>08.001.12.361.0016.2.011.3.3.90.30.00</v>
      </c>
      <c r="I156" t="s">
        <v>167</v>
      </c>
      <c r="J156" t="s">
        <v>168</v>
      </c>
      <c r="K156" t="s">
        <v>169</v>
      </c>
      <c r="L156" t="s">
        <v>173</v>
      </c>
      <c r="M156" t="s">
        <v>174</v>
      </c>
      <c r="N156" t="s">
        <v>24</v>
      </c>
      <c r="O156" t="s">
        <v>25</v>
      </c>
      <c r="P156" t="s">
        <v>225</v>
      </c>
      <c r="Q156" t="s">
        <v>226</v>
      </c>
      <c r="R156" s="9">
        <v>400000</v>
      </c>
      <c r="S156" t="s">
        <v>27</v>
      </c>
    </row>
    <row r="157" spans="1:19" x14ac:dyDescent="0.25">
      <c r="A157" t="s">
        <v>165</v>
      </c>
      <c r="B157" t="s">
        <v>13</v>
      </c>
      <c r="C157" s="2" t="s">
        <v>166</v>
      </c>
      <c r="D157" t="s">
        <v>171</v>
      </c>
      <c r="E157" t="s">
        <v>172</v>
      </c>
      <c r="F157" t="s">
        <v>17</v>
      </c>
      <c r="G157" t="s">
        <v>18</v>
      </c>
      <c r="H157" t="str">
        <f t="shared" si="2"/>
        <v>08.001.12.361.0016.2.011.3.3.90.30.00</v>
      </c>
      <c r="I157" t="s">
        <v>167</v>
      </c>
      <c r="J157" t="s">
        <v>168</v>
      </c>
      <c r="K157" t="s">
        <v>169</v>
      </c>
      <c r="L157" t="s">
        <v>173</v>
      </c>
      <c r="M157" t="s">
        <v>174</v>
      </c>
      <c r="N157" t="s">
        <v>24</v>
      </c>
      <c r="O157" t="s">
        <v>25</v>
      </c>
      <c r="P157" t="s">
        <v>46</v>
      </c>
      <c r="Q157" t="s">
        <v>213</v>
      </c>
      <c r="R157" s="9">
        <v>3700000</v>
      </c>
      <c r="S157" t="s">
        <v>27</v>
      </c>
    </row>
    <row r="158" spans="1:19" x14ac:dyDescent="0.25">
      <c r="A158" t="s">
        <v>165</v>
      </c>
      <c r="B158" t="s">
        <v>13</v>
      </c>
      <c r="C158" s="2" t="s">
        <v>166</v>
      </c>
      <c r="D158" t="s">
        <v>171</v>
      </c>
      <c r="E158" t="s">
        <v>172</v>
      </c>
      <c r="F158" t="s">
        <v>17</v>
      </c>
      <c r="G158" t="s">
        <v>18</v>
      </c>
      <c r="H158" t="str">
        <f t="shared" si="2"/>
        <v>08.001.12.361.0016.2.011.3.3.90.30.00</v>
      </c>
      <c r="I158" t="s">
        <v>167</v>
      </c>
      <c r="J158" t="s">
        <v>168</v>
      </c>
      <c r="K158" t="s">
        <v>169</v>
      </c>
      <c r="L158" t="s">
        <v>173</v>
      </c>
      <c r="M158" t="s">
        <v>174</v>
      </c>
      <c r="N158" t="s">
        <v>24</v>
      </c>
      <c r="O158" t="s">
        <v>25</v>
      </c>
      <c r="P158" t="s">
        <v>227</v>
      </c>
      <c r="Q158" t="s">
        <v>228</v>
      </c>
      <c r="R158" s="9">
        <v>300000</v>
      </c>
      <c r="S158" t="s">
        <v>27</v>
      </c>
    </row>
    <row r="159" spans="1:19" x14ac:dyDescent="0.25">
      <c r="A159" t="s">
        <v>165</v>
      </c>
      <c r="B159" t="s">
        <v>13</v>
      </c>
      <c r="C159" s="2" t="s">
        <v>166</v>
      </c>
      <c r="D159" t="s">
        <v>171</v>
      </c>
      <c r="E159" t="s">
        <v>172</v>
      </c>
      <c r="F159" t="s">
        <v>17</v>
      </c>
      <c r="G159" t="s">
        <v>18</v>
      </c>
      <c r="H159" t="str">
        <f t="shared" si="2"/>
        <v>08.001.12.361.0016.2.011.3.3.90.30.00</v>
      </c>
      <c r="I159" t="s">
        <v>167</v>
      </c>
      <c r="J159" t="s">
        <v>168</v>
      </c>
      <c r="K159" t="s">
        <v>169</v>
      </c>
      <c r="L159" t="s">
        <v>173</v>
      </c>
      <c r="M159" t="s">
        <v>174</v>
      </c>
      <c r="N159" t="s">
        <v>24</v>
      </c>
      <c r="O159" t="s">
        <v>25</v>
      </c>
      <c r="P159" t="s">
        <v>46</v>
      </c>
      <c r="Q159" t="s">
        <v>229</v>
      </c>
      <c r="R159" s="9">
        <v>200000</v>
      </c>
      <c r="S159" t="s">
        <v>27</v>
      </c>
    </row>
    <row r="160" spans="1:19" x14ac:dyDescent="0.25">
      <c r="A160" t="s">
        <v>165</v>
      </c>
      <c r="B160" t="s">
        <v>13</v>
      </c>
      <c r="C160" s="2" t="s">
        <v>166</v>
      </c>
      <c r="D160" t="s">
        <v>171</v>
      </c>
      <c r="E160" t="s">
        <v>172</v>
      </c>
      <c r="F160" t="s">
        <v>17</v>
      </c>
      <c r="G160" t="s">
        <v>31</v>
      </c>
      <c r="H160" t="str">
        <f t="shared" si="2"/>
        <v>08.001.12.361.0016.2.011.3.3.90.39.00</v>
      </c>
      <c r="I160" t="s">
        <v>167</v>
      </c>
      <c r="J160" t="s">
        <v>168</v>
      </c>
      <c r="K160" t="s">
        <v>169</v>
      </c>
      <c r="L160" t="s">
        <v>173</v>
      </c>
      <c r="M160" t="s">
        <v>174</v>
      </c>
      <c r="N160" t="s">
        <v>24</v>
      </c>
      <c r="O160" t="s">
        <v>32</v>
      </c>
      <c r="P160" t="s">
        <v>215</v>
      </c>
      <c r="Q160" t="s">
        <v>216</v>
      </c>
      <c r="R160" s="9">
        <v>3125000</v>
      </c>
      <c r="S160" t="s">
        <v>27</v>
      </c>
    </row>
    <row r="161" spans="1:19" x14ac:dyDescent="0.25">
      <c r="A161" t="s">
        <v>165</v>
      </c>
      <c r="B161" t="s">
        <v>13</v>
      </c>
      <c r="C161" s="2" t="s">
        <v>166</v>
      </c>
      <c r="D161" t="s">
        <v>171</v>
      </c>
      <c r="E161" t="s">
        <v>172</v>
      </c>
      <c r="F161" t="s">
        <v>17</v>
      </c>
      <c r="G161" t="s">
        <v>31</v>
      </c>
      <c r="H161" t="str">
        <f t="shared" si="2"/>
        <v>08.001.12.361.0016.2.011.3.3.90.39.00</v>
      </c>
      <c r="I161" t="s">
        <v>167</v>
      </c>
      <c r="J161" t="s">
        <v>168</v>
      </c>
      <c r="K161" t="s">
        <v>169</v>
      </c>
      <c r="L161" t="s">
        <v>173</v>
      </c>
      <c r="M161" t="s">
        <v>174</v>
      </c>
      <c r="N161" t="s">
        <v>24</v>
      </c>
      <c r="O161" t="s">
        <v>32</v>
      </c>
      <c r="P161" t="s">
        <v>217</v>
      </c>
      <c r="Q161" t="s">
        <v>218</v>
      </c>
      <c r="R161" s="9">
        <v>350000</v>
      </c>
      <c r="S161" t="s">
        <v>27</v>
      </c>
    </row>
    <row r="162" spans="1:19" x14ac:dyDescent="0.25">
      <c r="A162" t="s">
        <v>165</v>
      </c>
      <c r="B162" t="s">
        <v>13</v>
      </c>
      <c r="C162" s="2" t="s">
        <v>166</v>
      </c>
      <c r="D162" t="s">
        <v>171</v>
      </c>
      <c r="E162" t="s">
        <v>172</v>
      </c>
      <c r="F162" t="s">
        <v>17</v>
      </c>
      <c r="G162" t="s">
        <v>31</v>
      </c>
      <c r="H162" t="str">
        <f t="shared" si="2"/>
        <v>08.001.12.361.0016.2.011.3.3.90.39.00</v>
      </c>
      <c r="I162" t="s">
        <v>167</v>
      </c>
      <c r="J162" t="s">
        <v>168</v>
      </c>
      <c r="K162" t="s">
        <v>169</v>
      </c>
      <c r="L162" t="s">
        <v>173</v>
      </c>
      <c r="M162" t="s">
        <v>174</v>
      </c>
      <c r="N162" t="s">
        <v>24</v>
      </c>
      <c r="O162" t="s">
        <v>32</v>
      </c>
      <c r="P162" t="s">
        <v>114</v>
      </c>
      <c r="Q162" t="s">
        <v>230</v>
      </c>
      <c r="R162" s="9">
        <v>1</v>
      </c>
      <c r="S162" t="s">
        <v>27</v>
      </c>
    </row>
    <row r="163" spans="1:19" x14ac:dyDescent="0.25">
      <c r="A163" t="s">
        <v>165</v>
      </c>
      <c r="B163" t="s">
        <v>13</v>
      </c>
      <c r="C163" s="2" t="s">
        <v>166</v>
      </c>
      <c r="D163" t="s">
        <v>171</v>
      </c>
      <c r="E163" t="s">
        <v>172</v>
      </c>
      <c r="F163" t="s">
        <v>17</v>
      </c>
      <c r="G163" t="s">
        <v>31</v>
      </c>
      <c r="H163" t="str">
        <f t="shared" si="2"/>
        <v>08.001.12.361.0016.2.011.3.3.90.39.00</v>
      </c>
      <c r="I163" t="s">
        <v>167</v>
      </c>
      <c r="J163" t="s">
        <v>168</v>
      </c>
      <c r="K163" t="s">
        <v>169</v>
      </c>
      <c r="L163" t="s">
        <v>173</v>
      </c>
      <c r="M163" t="s">
        <v>174</v>
      </c>
      <c r="N163" t="s">
        <v>24</v>
      </c>
      <c r="O163" t="s">
        <v>32</v>
      </c>
      <c r="P163" t="s">
        <v>33</v>
      </c>
      <c r="Q163" t="s">
        <v>231</v>
      </c>
      <c r="R163" s="9">
        <v>1573582</v>
      </c>
      <c r="S163" t="s">
        <v>27</v>
      </c>
    </row>
    <row r="164" spans="1:19" x14ac:dyDescent="0.25">
      <c r="A164" t="s">
        <v>165</v>
      </c>
      <c r="B164" t="s">
        <v>13</v>
      </c>
      <c r="C164" s="2" t="s">
        <v>166</v>
      </c>
      <c r="D164" t="s">
        <v>171</v>
      </c>
      <c r="E164" t="s">
        <v>172</v>
      </c>
      <c r="F164" t="s">
        <v>17</v>
      </c>
      <c r="G164" t="s">
        <v>31</v>
      </c>
      <c r="H164" t="str">
        <f t="shared" si="2"/>
        <v>08.001.12.361.0016.2.011.3.3.90.39.00</v>
      </c>
      <c r="I164" t="s">
        <v>167</v>
      </c>
      <c r="J164" t="s">
        <v>168</v>
      </c>
      <c r="K164" t="s">
        <v>169</v>
      </c>
      <c r="L164" t="s">
        <v>173</v>
      </c>
      <c r="M164" t="s">
        <v>174</v>
      </c>
      <c r="N164" t="s">
        <v>24</v>
      </c>
      <c r="O164" t="s">
        <v>32</v>
      </c>
      <c r="P164" t="s">
        <v>33</v>
      </c>
      <c r="Q164" t="s">
        <v>232</v>
      </c>
      <c r="R164" s="9">
        <v>2331241.98</v>
      </c>
      <c r="S164" t="s">
        <v>27</v>
      </c>
    </row>
    <row r="165" spans="1:19" x14ac:dyDescent="0.25">
      <c r="A165" t="s">
        <v>165</v>
      </c>
      <c r="B165" t="s">
        <v>13</v>
      </c>
      <c r="C165" s="2" t="s">
        <v>166</v>
      </c>
      <c r="D165" t="s">
        <v>171</v>
      </c>
      <c r="E165" t="s">
        <v>172</v>
      </c>
      <c r="F165" t="s">
        <v>17</v>
      </c>
      <c r="G165" t="s">
        <v>80</v>
      </c>
      <c r="H165" t="str">
        <f t="shared" si="2"/>
        <v>08.001.12.361.0016.2.011.4.4.90.52.00</v>
      </c>
      <c r="I165" t="s">
        <v>167</v>
      </c>
      <c r="J165" t="s">
        <v>168</v>
      </c>
      <c r="K165" t="s">
        <v>169</v>
      </c>
      <c r="L165" t="s">
        <v>173</v>
      </c>
      <c r="M165" t="s">
        <v>174</v>
      </c>
      <c r="N165" t="s">
        <v>24</v>
      </c>
      <c r="O165" t="s">
        <v>81</v>
      </c>
      <c r="P165" t="s">
        <v>224</v>
      </c>
      <c r="R165" s="9">
        <v>100000</v>
      </c>
      <c r="S165" t="s">
        <v>27</v>
      </c>
    </row>
    <row r="166" spans="1:19" x14ac:dyDescent="0.25">
      <c r="A166" t="s">
        <v>165</v>
      </c>
      <c r="B166" t="s">
        <v>13</v>
      </c>
      <c r="C166" s="2" t="s">
        <v>166</v>
      </c>
      <c r="D166" t="s">
        <v>171</v>
      </c>
      <c r="E166" t="s">
        <v>172</v>
      </c>
      <c r="F166" t="s">
        <v>17</v>
      </c>
      <c r="G166" t="s">
        <v>80</v>
      </c>
      <c r="H166" t="str">
        <f t="shared" si="2"/>
        <v>08.001.12.361.0016.2.011.4.4.90.52.00</v>
      </c>
      <c r="I166" t="s">
        <v>167</v>
      </c>
      <c r="J166" t="s">
        <v>168</v>
      </c>
      <c r="K166" t="s">
        <v>169</v>
      </c>
      <c r="L166" t="s">
        <v>173</v>
      </c>
      <c r="M166" t="s">
        <v>174</v>
      </c>
      <c r="N166" t="s">
        <v>24</v>
      </c>
      <c r="O166" t="s">
        <v>81</v>
      </c>
      <c r="P166" t="s">
        <v>224</v>
      </c>
      <c r="Q166" t="s">
        <v>233</v>
      </c>
      <c r="R166" s="9">
        <v>560000</v>
      </c>
      <c r="S166" t="s">
        <v>27</v>
      </c>
    </row>
    <row r="167" spans="1:19" x14ac:dyDescent="0.25">
      <c r="A167" t="s">
        <v>165</v>
      </c>
      <c r="B167" t="s">
        <v>13</v>
      </c>
      <c r="C167" s="2" t="s">
        <v>166</v>
      </c>
      <c r="D167" t="s">
        <v>171</v>
      </c>
      <c r="E167" t="s">
        <v>172</v>
      </c>
      <c r="F167" t="s">
        <v>17</v>
      </c>
      <c r="G167" t="s">
        <v>80</v>
      </c>
      <c r="H167" t="str">
        <f t="shared" si="2"/>
        <v>08.001.12.361.0016.2.011.4.4.90.52.00</v>
      </c>
      <c r="I167" t="s">
        <v>167</v>
      </c>
      <c r="J167" t="s">
        <v>168</v>
      </c>
      <c r="K167" t="s">
        <v>169</v>
      </c>
      <c r="L167" t="s">
        <v>173</v>
      </c>
      <c r="M167" t="s">
        <v>174</v>
      </c>
      <c r="N167" t="s">
        <v>24</v>
      </c>
      <c r="O167" t="s">
        <v>81</v>
      </c>
      <c r="P167" t="s">
        <v>227</v>
      </c>
      <c r="Q167" t="s">
        <v>234</v>
      </c>
      <c r="R167" s="9">
        <v>1</v>
      </c>
      <c r="S167" t="s">
        <v>27</v>
      </c>
    </row>
    <row r="168" spans="1:19" x14ac:dyDescent="0.25">
      <c r="A168" t="s">
        <v>165</v>
      </c>
      <c r="B168" t="s">
        <v>13</v>
      </c>
      <c r="C168" s="2" t="s">
        <v>166</v>
      </c>
      <c r="D168" t="s">
        <v>175</v>
      </c>
      <c r="E168" t="s">
        <v>172</v>
      </c>
      <c r="F168" t="s">
        <v>17</v>
      </c>
      <c r="G168" t="s">
        <v>18</v>
      </c>
      <c r="H168" t="str">
        <f t="shared" si="2"/>
        <v>08.001.12.365.0016.2.011.3.3.90.30.00</v>
      </c>
      <c r="I168" t="s">
        <v>167</v>
      </c>
      <c r="J168" t="s">
        <v>168</v>
      </c>
      <c r="K168" t="s">
        <v>169</v>
      </c>
      <c r="L168" t="s">
        <v>176</v>
      </c>
      <c r="M168" t="s">
        <v>174</v>
      </c>
      <c r="N168" t="s">
        <v>24</v>
      </c>
      <c r="O168" t="s">
        <v>25</v>
      </c>
      <c r="P168" t="s">
        <v>29</v>
      </c>
      <c r="Q168" t="s">
        <v>210</v>
      </c>
      <c r="R168" s="9">
        <v>6000000</v>
      </c>
      <c r="S168" t="s">
        <v>27</v>
      </c>
    </row>
    <row r="169" spans="1:19" x14ac:dyDescent="0.25">
      <c r="A169" t="s">
        <v>165</v>
      </c>
      <c r="B169" t="s">
        <v>13</v>
      </c>
      <c r="C169" s="2" t="s">
        <v>166</v>
      </c>
      <c r="D169" t="s">
        <v>175</v>
      </c>
      <c r="E169" t="s">
        <v>172</v>
      </c>
      <c r="F169" t="s">
        <v>17</v>
      </c>
      <c r="G169" t="s">
        <v>18</v>
      </c>
      <c r="H169" t="str">
        <f t="shared" si="2"/>
        <v>08.001.12.365.0016.2.011.3.3.90.30.00</v>
      </c>
      <c r="I169" t="s">
        <v>167</v>
      </c>
      <c r="J169" t="s">
        <v>168</v>
      </c>
      <c r="K169" t="s">
        <v>169</v>
      </c>
      <c r="L169" t="s">
        <v>176</v>
      </c>
      <c r="M169" t="s">
        <v>174</v>
      </c>
      <c r="N169" t="s">
        <v>24</v>
      </c>
      <c r="O169" t="s">
        <v>25</v>
      </c>
      <c r="P169" t="s">
        <v>30</v>
      </c>
      <c r="Q169" t="s">
        <v>211</v>
      </c>
      <c r="R169" s="9">
        <v>1200000</v>
      </c>
      <c r="S169" t="s">
        <v>27</v>
      </c>
    </row>
    <row r="170" spans="1:19" x14ac:dyDescent="0.25">
      <c r="A170" t="s">
        <v>165</v>
      </c>
      <c r="B170" t="s">
        <v>13</v>
      </c>
      <c r="C170" s="2" t="s">
        <v>166</v>
      </c>
      <c r="D170" t="s">
        <v>175</v>
      </c>
      <c r="E170" t="s">
        <v>172</v>
      </c>
      <c r="F170" t="s">
        <v>17</v>
      </c>
      <c r="G170" t="s">
        <v>18</v>
      </c>
      <c r="H170" t="str">
        <f t="shared" si="2"/>
        <v>08.001.12.365.0016.2.011.3.3.90.30.00</v>
      </c>
      <c r="I170" t="s">
        <v>167</v>
      </c>
      <c r="J170" t="s">
        <v>168</v>
      </c>
      <c r="K170" t="s">
        <v>169</v>
      </c>
      <c r="L170" t="s">
        <v>176</v>
      </c>
      <c r="M170" t="s">
        <v>174</v>
      </c>
      <c r="N170" t="s">
        <v>24</v>
      </c>
      <c r="O170" t="s">
        <v>25</v>
      </c>
      <c r="P170" t="s">
        <v>212</v>
      </c>
      <c r="Q170" t="s">
        <v>213</v>
      </c>
      <c r="R170" s="9">
        <v>5000000</v>
      </c>
      <c r="S170" t="s">
        <v>27</v>
      </c>
    </row>
    <row r="171" spans="1:19" x14ac:dyDescent="0.25">
      <c r="A171" t="s">
        <v>165</v>
      </c>
      <c r="B171" t="s">
        <v>13</v>
      </c>
      <c r="C171" s="2" t="s">
        <v>166</v>
      </c>
      <c r="D171" t="s">
        <v>175</v>
      </c>
      <c r="E171" t="s">
        <v>172</v>
      </c>
      <c r="F171" t="s">
        <v>17</v>
      </c>
      <c r="G171" t="s">
        <v>18</v>
      </c>
      <c r="H171" t="str">
        <f t="shared" si="2"/>
        <v>08.001.12.365.0016.2.011.3.3.90.30.00</v>
      </c>
      <c r="I171" t="s">
        <v>167</v>
      </c>
      <c r="J171" t="s">
        <v>168</v>
      </c>
      <c r="K171" t="s">
        <v>169</v>
      </c>
      <c r="L171" t="s">
        <v>176</v>
      </c>
      <c r="M171" t="s">
        <v>174</v>
      </c>
      <c r="N171" t="s">
        <v>24</v>
      </c>
      <c r="O171" t="s">
        <v>25</v>
      </c>
      <c r="P171" t="s">
        <v>225</v>
      </c>
      <c r="Q171" t="s">
        <v>226</v>
      </c>
      <c r="R171" s="9">
        <v>400000</v>
      </c>
      <c r="S171" t="s">
        <v>27</v>
      </c>
    </row>
    <row r="172" spans="1:19" x14ac:dyDescent="0.25">
      <c r="A172" t="s">
        <v>165</v>
      </c>
      <c r="B172" t="s">
        <v>13</v>
      </c>
      <c r="C172" s="2" t="s">
        <v>166</v>
      </c>
      <c r="D172" t="s">
        <v>175</v>
      </c>
      <c r="E172" t="s">
        <v>172</v>
      </c>
      <c r="F172" t="s">
        <v>17</v>
      </c>
      <c r="G172" t="s">
        <v>18</v>
      </c>
      <c r="H172" t="str">
        <f t="shared" si="2"/>
        <v>08.001.12.365.0016.2.011.3.3.90.30.00</v>
      </c>
      <c r="I172" t="s">
        <v>167</v>
      </c>
      <c r="J172" t="s">
        <v>168</v>
      </c>
      <c r="K172" t="s">
        <v>169</v>
      </c>
      <c r="L172" t="s">
        <v>176</v>
      </c>
      <c r="M172" t="s">
        <v>174</v>
      </c>
      <c r="N172" t="s">
        <v>24</v>
      </c>
      <c r="O172" t="s">
        <v>25</v>
      </c>
      <c r="P172" t="s">
        <v>235</v>
      </c>
      <c r="Q172" t="s">
        <v>236</v>
      </c>
      <c r="R172" s="9">
        <v>300000</v>
      </c>
      <c r="S172" t="s">
        <v>27</v>
      </c>
    </row>
    <row r="173" spans="1:19" x14ac:dyDescent="0.25">
      <c r="A173" t="s">
        <v>165</v>
      </c>
      <c r="B173" t="s">
        <v>13</v>
      </c>
      <c r="C173" s="2" t="s">
        <v>166</v>
      </c>
      <c r="D173" t="s">
        <v>175</v>
      </c>
      <c r="E173" t="s">
        <v>172</v>
      </c>
      <c r="F173" t="s">
        <v>17</v>
      </c>
      <c r="G173" t="s">
        <v>18</v>
      </c>
      <c r="H173" t="str">
        <f t="shared" si="2"/>
        <v>08.001.12.365.0016.2.011.3.3.90.30.00</v>
      </c>
      <c r="I173" t="s">
        <v>167</v>
      </c>
      <c r="J173" t="s">
        <v>168</v>
      </c>
      <c r="K173" t="s">
        <v>169</v>
      </c>
      <c r="L173" t="s">
        <v>176</v>
      </c>
      <c r="M173" t="s">
        <v>174</v>
      </c>
      <c r="N173" t="s">
        <v>24</v>
      </c>
      <c r="O173" t="s">
        <v>25</v>
      </c>
      <c r="P173" t="s">
        <v>46</v>
      </c>
      <c r="Q173" t="s">
        <v>213</v>
      </c>
      <c r="R173" s="9">
        <v>3600000</v>
      </c>
      <c r="S173" t="s">
        <v>27</v>
      </c>
    </row>
    <row r="174" spans="1:19" x14ac:dyDescent="0.25">
      <c r="A174" t="s">
        <v>165</v>
      </c>
      <c r="B174" t="s">
        <v>13</v>
      </c>
      <c r="C174" s="2" t="s">
        <v>166</v>
      </c>
      <c r="D174" t="s">
        <v>175</v>
      </c>
      <c r="E174" t="s">
        <v>172</v>
      </c>
      <c r="F174" t="s">
        <v>17</v>
      </c>
      <c r="G174" t="s">
        <v>18</v>
      </c>
      <c r="H174" t="str">
        <f t="shared" si="2"/>
        <v>08.001.12.365.0016.2.011.3.3.90.30.00</v>
      </c>
      <c r="I174" t="s">
        <v>167</v>
      </c>
      <c r="J174" t="s">
        <v>168</v>
      </c>
      <c r="K174" t="s">
        <v>169</v>
      </c>
      <c r="L174" t="s">
        <v>176</v>
      </c>
      <c r="M174" t="s">
        <v>174</v>
      </c>
      <c r="N174" t="s">
        <v>24</v>
      </c>
      <c r="O174" t="s">
        <v>25</v>
      </c>
      <c r="P174" t="s">
        <v>46</v>
      </c>
      <c r="Q174" t="s">
        <v>237</v>
      </c>
      <c r="R174" s="9">
        <v>700000</v>
      </c>
      <c r="S174" t="s">
        <v>27</v>
      </c>
    </row>
    <row r="175" spans="1:19" x14ac:dyDescent="0.25">
      <c r="A175" t="s">
        <v>165</v>
      </c>
      <c r="B175" t="s">
        <v>13</v>
      </c>
      <c r="C175" s="2" t="s">
        <v>166</v>
      </c>
      <c r="D175" t="s">
        <v>175</v>
      </c>
      <c r="E175" t="s">
        <v>172</v>
      </c>
      <c r="F175" t="s">
        <v>17</v>
      </c>
      <c r="G175" t="s">
        <v>18</v>
      </c>
      <c r="H175" t="str">
        <f t="shared" si="2"/>
        <v>08.001.12.365.0016.2.011.3.3.90.30.00</v>
      </c>
      <c r="I175" t="s">
        <v>167</v>
      </c>
      <c r="J175" t="s">
        <v>168</v>
      </c>
      <c r="K175" t="s">
        <v>169</v>
      </c>
      <c r="L175" t="s">
        <v>176</v>
      </c>
      <c r="M175" t="s">
        <v>174</v>
      </c>
      <c r="N175" t="s">
        <v>24</v>
      </c>
      <c r="O175" t="s">
        <v>25</v>
      </c>
      <c r="P175" t="s">
        <v>46</v>
      </c>
      <c r="Q175" t="s">
        <v>229</v>
      </c>
      <c r="R175" s="9">
        <v>400000</v>
      </c>
      <c r="S175" t="s">
        <v>27</v>
      </c>
    </row>
    <row r="176" spans="1:19" x14ac:dyDescent="0.25">
      <c r="A176" t="s">
        <v>165</v>
      </c>
      <c r="B176" t="s">
        <v>13</v>
      </c>
      <c r="C176" s="2" t="s">
        <v>166</v>
      </c>
      <c r="D176" t="s">
        <v>175</v>
      </c>
      <c r="E176" t="s">
        <v>172</v>
      </c>
      <c r="F176" t="s">
        <v>17</v>
      </c>
      <c r="G176" t="s">
        <v>31</v>
      </c>
      <c r="H176" t="str">
        <f t="shared" si="2"/>
        <v>08.001.12.365.0016.2.011.3.3.90.39.00</v>
      </c>
      <c r="I176" t="s">
        <v>167</v>
      </c>
      <c r="J176" t="s">
        <v>168</v>
      </c>
      <c r="K176" t="s">
        <v>169</v>
      </c>
      <c r="L176" t="s">
        <v>176</v>
      </c>
      <c r="M176" t="s">
        <v>174</v>
      </c>
      <c r="N176" t="s">
        <v>24</v>
      </c>
      <c r="O176" t="s">
        <v>32</v>
      </c>
      <c r="P176" t="s">
        <v>215</v>
      </c>
      <c r="Q176" t="s">
        <v>216</v>
      </c>
      <c r="R176" s="9">
        <v>1860000</v>
      </c>
      <c r="S176" t="s">
        <v>27</v>
      </c>
    </row>
    <row r="177" spans="1:19" x14ac:dyDescent="0.25">
      <c r="A177" t="s">
        <v>165</v>
      </c>
      <c r="B177" t="s">
        <v>13</v>
      </c>
      <c r="C177" s="2" t="s">
        <v>166</v>
      </c>
      <c r="D177" t="s">
        <v>175</v>
      </c>
      <c r="E177" t="s">
        <v>172</v>
      </c>
      <c r="F177" t="s">
        <v>17</v>
      </c>
      <c r="G177" t="s">
        <v>31</v>
      </c>
      <c r="H177" t="str">
        <f t="shared" si="2"/>
        <v>08.001.12.365.0016.2.011.3.3.90.39.00</v>
      </c>
      <c r="I177" t="s">
        <v>167</v>
      </c>
      <c r="J177" t="s">
        <v>168</v>
      </c>
      <c r="K177" t="s">
        <v>169</v>
      </c>
      <c r="L177" t="s">
        <v>176</v>
      </c>
      <c r="M177" t="s">
        <v>174</v>
      </c>
      <c r="N177" t="s">
        <v>24</v>
      </c>
      <c r="O177" t="s">
        <v>32</v>
      </c>
      <c r="P177" t="s">
        <v>217</v>
      </c>
      <c r="Q177" t="s">
        <v>218</v>
      </c>
      <c r="R177" s="9">
        <v>288000</v>
      </c>
      <c r="S177" t="s">
        <v>27</v>
      </c>
    </row>
    <row r="178" spans="1:19" x14ac:dyDescent="0.25">
      <c r="A178" t="s">
        <v>165</v>
      </c>
      <c r="B178" t="s">
        <v>13</v>
      </c>
      <c r="C178" s="2" t="s">
        <v>166</v>
      </c>
      <c r="D178" t="s">
        <v>175</v>
      </c>
      <c r="E178" t="s">
        <v>172</v>
      </c>
      <c r="F178" t="s">
        <v>17</v>
      </c>
      <c r="G178" t="s">
        <v>31</v>
      </c>
      <c r="H178" t="str">
        <f t="shared" si="2"/>
        <v>08.001.12.365.0016.2.011.3.3.90.39.00</v>
      </c>
      <c r="I178" t="s">
        <v>167</v>
      </c>
      <c r="J178" t="s">
        <v>168</v>
      </c>
      <c r="K178" t="s">
        <v>169</v>
      </c>
      <c r="L178" t="s">
        <v>176</v>
      </c>
      <c r="M178" t="s">
        <v>174</v>
      </c>
      <c r="N178" t="s">
        <v>24</v>
      </c>
      <c r="O178" t="s">
        <v>32</v>
      </c>
      <c r="P178" t="s">
        <v>93</v>
      </c>
      <c r="Q178" t="s">
        <v>238</v>
      </c>
      <c r="R178" s="9">
        <v>500000</v>
      </c>
      <c r="S178" t="s">
        <v>27</v>
      </c>
    </row>
    <row r="179" spans="1:19" x14ac:dyDescent="0.25">
      <c r="A179" t="s">
        <v>165</v>
      </c>
      <c r="B179" t="s">
        <v>13</v>
      </c>
      <c r="C179" s="2" t="s">
        <v>166</v>
      </c>
      <c r="D179" t="s">
        <v>175</v>
      </c>
      <c r="E179" t="s">
        <v>172</v>
      </c>
      <c r="F179" t="s">
        <v>17</v>
      </c>
      <c r="G179" t="s">
        <v>31</v>
      </c>
      <c r="H179" t="str">
        <f t="shared" si="2"/>
        <v>08.001.12.365.0016.2.011.3.3.90.39.00</v>
      </c>
      <c r="I179" t="s">
        <v>167</v>
      </c>
      <c r="J179" t="s">
        <v>168</v>
      </c>
      <c r="K179" t="s">
        <v>169</v>
      </c>
      <c r="L179" t="s">
        <v>176</v>
      </c>
      <c r="M179" t="s">
        <v>174</v>
      </c>
      <c r="N179" t="s">
        <v>24</v>
      </c>
      <c r="O179" t="s">
        <v>32</v>
      </c>
      <c r="P179" t="s">
        <v>33</v>
      </c>
      <c r="Q179" t="s">
        <v>239</v>
      </c>
      <c r="R179" s="9">
        <v>1573582</v>
      </c>
      <c r="S179" t="s">
        <v>27</v>
      </c>
    </row>
    <row r="180" spans="1:19" x14ac:dyDescent="0.25">
      <c r="A180" t="s">
        <v>165</v>
      </c>
      <c r="B180" t="s">
        <v>13</v>
      </c>
      <c r="C180" s="2" t="s">
        <v>166</v>
      </c>
      <c r="D180" t="s">
        <v>175</v>
      </c>
      <c r="E180" t="s">
        <v>172</v>
      </c>
      <c r="F180" t="s">
        <v>17</v>
      </c>
      <c r="G180" t="s">
        <v>31</v>
      </c>
      <c r="H180" t="str">
        <f t="shared" si="2"/>
        <v>08.001.12.365.0016.2.011.3.3.90.39.00</v>
      </c>
      <c r="I180" t="s">
        <v>167</v>
      </c>
      <c r="J180" t="s">
        <v>168</v>
      </c>
      <c r="K180" t="s">
        <v>169</v>
      </c>
      <c r="L180" t="s">
        <v>176</v>
      </c>
      <c r="M180" t="s">
        <v>174</v>
      </c>
      <c r="N180" t="s">
        <v>24</v>
      </c>
      <c r="O180" t="s">
        <v>32</v>
      </c>
      <c r="P180" t="s">
        <v>33</v>
      </c>
      <c r="Q180" t="s">
        <v>240</v>
      </c>
      <c r="R180" s="9">
        <v>1554161.32</v>
      </c>
      <c r="S180" t="s">
        <v>27</v>
      </c>
    </row>
    <row r="181" spans="1:19" x14ac:dyDescent="0.25">
      <c r="A181" t="s">
        <v>165</v>
      </c>
      <c r="B181" t="s">
        <v>13</v>
      </c>
      <c r="C181" s="2" t="s">
        <v>166</v>
      </c>
      <c r="D181" t="s">
        <v>175</v>
      </c>
      <c r="E181" t="s">
        <v>172</v>
      </c>
      <c r="F181" t="s">
        <v>17</v>
      </c>
      <c r="G181" t="s">
        <v>80</v>
      </c>
      <c r="H181" t="str">
        <f t="shared" si="2"/>
        <v>08.001.12.365.0016.2.011.4.4.90.52.00</v>
      </c>
      <c r="I181" t="s">
        <v>167</v>
      </c>
      <c r="J181" t="s">
        <v>168</v>
      </c>
      <c r="K181" t="s">
        <v>169</v>
      </c>
      <c r="L181" t="s">
        <v>176</v>
      </c>
      <c r="M181" t="s">
        <v>174</v>
      </c>
      <c r="N181" t="s">
        <v>24</v>
      </c>
      <c r="O181" t="s">
        <v>81</v>
      </c>
      <c r="P181" t="s">
        <v>224</v>
      </c>
      <c r="Q181" t="s">
        <v>241</v>
      </c>
      <c r="R181" s="9">
        <v>500000</v>
      </c>
      <c r="S181" t="s">
        <v>27</v>
      </c>
    </row>
    <row r="182" spans="1:19" x14ac:dyDescent="0.25">
      <c r="A182" t="s">
        <v>165</v>
      </c>
      <c r="B182" t="s">
        <v>13</v>
      </c>
      <c r="C182" s="2" t="s">
        <v>166</v>
      </c>
      <c r="D182" t="s">
        <v>175</v>
      </c>
      <c r="E182" t="s">
        <v>172</v>
      </c>
      <c r="F182" t="s">
        <v>17</v>
      </c>
      <c r="G182" t="s">
        <v>80</v>
      </c>
      <c r="H182" t="str">
        <f t="shared" si="2"/>
        <v>08.001.12.365.0016.2.011.4.4.90.52.00</v>
      </c>
      <c r="I182" t="s">
        <v>167</v>
      </c>
      <c r="J182" t="s">
        <v>168</v>
      </c>
      <c r="K182" t="s">
        <v>169</v>
      </c>
      <c r="L182" t="s">
        <v>176</v>
      </c>
      <c r="M182" t="s">
        <v>174</v>
      </c>
      <c r="N182" t="s">
        <v>24</v>
      </c>
      <c r="O182" t="s">
        <v>81</v>
      </c>
      <c r="P182" t="s">
        <v>224</v>
      </c>
      <c r="Q182" t="s">
        <v>242</v>
      </c>
      <c r="R182" s="9">
        <v>2240000</v>
      </c>
      <c r="S182" t="s">
        <v>27</v>
      </c>
    </row>
    <row r="183" spans="1:19" x14ac:dyDescent="0.25">
      <c r="A183" t="s">
        <v>165</v>
      </c>
      <c r="B183" t="s">
        <v>13</v>
      </c>
      <c r="C183" s="2" t="s">
        <v>166</v>
      </c>
      <c r="D183" t="s">
        <v>243</v>
      </c>
      <c r="E183" t="s">
        <v>172</v>
      </c>
      <c r="F183" t="s">
        <v>17</v>
      </c>
      <c r="G183" t="s">
        <v>18</v>
      </c>
      <c r="H183" t="str">
        <f t="shared" si="2"/>
        <v>08.001.12.306.0016.2.011.3.3.90.30.00</v>
      </c>
      <c r="I183" t="s">
        <v>167</v>
      </c>
      <c r="J183" t="s">
        <v>168</v>
      </c>
      <c r="K183" t="s">
        <v>169</v>
      </c>
      <c r="L183" t="s">
        <v>244</v>
      </c>
      <c r="M183" t="s">
        <v>174</v>
      </c>
      <c r="N183" t="s">
        <v>24</v>
      </c>
      <c r="O183" t="s">
        <v>25</v>
      </c>
      <c r="P183" t="s">
        <v>49</v>
      </c>
      <c r="Q183" t="s">
        <v>245</v>
      </c>
      <c r="R183" s="9">
        <v>750000</v>
      </c>
      <c r="S183" t="s">
        <v>27</v>
      </c>
    </row>
    <row r="184" spans="1:19" x14ac:dyDescent="0.25">
      <c r="A184" t="s">
        <v>165</v>
      </c>
      <c r="B184" t="s">
        <v>13</v>
      </c>
      <c r="C184" s="2" t="s">
        <v>166</v>
      </c>
      <c r="D184" t="s">
        <v>243</v>
      </c>
      <c r="E184" t="s">
        <v>172</v>
      </c>
      <c r="F184" t="s">
        <v>17</v>
      </c>
      <c r="G184" t="s">
        <v>18</v>
      </c>
      <c r="H184" t="str">
        <f t="shared" si="2"/>
        <v>08.001.12.306.0016.2.011.3.3.90.30.00</v>
      </c>
      <c r="I184" t="s">
        <v>167</v>
      </c>
      <c r="J184" t="s">
        <v>168</v>
      </c>
      <c r="K184" t="s">
        <v>169</v>
      </c>
      <c r="L184" t="s">
        <v>244</v>
      </c>
      <c r="M184" t="s">
        <v>174</v>
      </c>
      <c r="N184" t="s">
        <v>24</v>
      </c>
      <c r="O184" t="s">
        <v>25</v>
      </c>
      <c r="P184" t="s">
        <v>26</v>
      </c>
      <c r="Q184" t="s">
        <v>246</v>
      </c>
      <c r="R184" s="9">
        <v>1200000</v>
      </c>
      <c r="S184" t="s">
        <v>27</v>
      </c>
    </row>
    <row r="185" spans="1:19" x14ac:dyDescent="0.25">
      <c r="A185" t="s">
        <v>165</v>
      </c>
      <c r="B185" t="s">
        <v>13</v>
      </c>
      <c r="C185" s="2" t="s">
        <v>166</v>
      </c>
      <c r="D185" t="s">
        <v>243</v>
      </c>
      <c r="E185" t="s">
        <v>172</v>
      </c>
      <c r="F185" t="s">
        <v>17</v>
      </c>
      <c r="G185" t="s">
        <v>80</v>
      </c>
      <c r="H185" t="str">
        <f t="shared" si="2"/>
        <v>08.001.12.306.0016.2.011.4.4.90.52.00</v>
      </c>
      <c r="I185" t="s">
        <v>167</v>
      </c>
      <c r="J185" t="s">
        <v>168</v>
      </c>
      <c r="K185" t="s">
        <v>169</v>
      </c>
      <c r="L185" t="s">
        <v>244</v>
      </c>
      <c r="M185" t="s">
        <v>174</v>
      </c>
      <c r="N185" t="s">
        <v>24</v>
      </c>
      <c r="O185" t="s">
        <v>81</v>
      </c>
      <c r="P185" t="s">
        <v>42</v>
      </c>
      <c r="Q185" t="s">
        <v>247</v>
      </c>
      <c r="R185" s="9">
        <v>500000</v>
      </c>
      <c r="S185" t="s">
        <v>27</v>
      </c>
    </row>
    <row r="186" spans="1:19" x14ac:dyDescent="0.25">
      <c r="A186" t="s">
        <v>165</v>
      </c>
      <c r="B186" t="s">
        <v>13</v>
      </c>
      <c r="C186" s="2" t="s">
        <v>166</v>
      </c>
      <c r="D186" t="s">
        <v>243</v>
      </c>
      <c r="E186" t="s">
        <v>172</v>
      </c>
      <c r="F186" t="s">
        <v>248</v>
      </c>
      <c r="G186" t="s">
        <v>18</v>
      </c>
      <c r="H186" t="str">
        <f t="shared" si="2"/>
        <v>08.001.12.306.0016.2.017.3.3.90.30.00</v>
      </c>
      <c r="I186" t="s">
        <v>167</v>
      </c>
      <c r="J186" t="s">
        <v>168</v>
      </c>
      <c r="K186" t="s">
        <v>169</v>
      </c>
      <c r="L186" t="s">
        <v>244</v>
      </c>
      <c r="M186" t="s">
        <v>174</v>
      </c>
      <c r="N186" t="s">
        <v>249</v>
      </c>
      <c r="O186" t="s">
        <v>25</v>
      </c>
      <c r="P186" t="s">
        <v>49</v>
      </c>
      <c r="Q186" t="s">
        <v>250</v>
      </c>
      <c r="R186" s="9">
        <v>32890542</v>
      </c>
      <c r="S186" t="s">
        <v>27</v>
      </c>
    </row>
    <row r="187" spans="1:19" x14ac:dyDescent="0.25">
      <c r="A187" t="s">
        <v>165</v>
      </c>
      <c r="B187" t="s">
        <v>13</v>
      </c>
      <c r="C187" s="2" t="s">
        <v>166</v>
      </c>
      <c r="D187" t="s">
        <v>243</v>
      </c>
      <c r="E187" t="s">
        <v>172</v>
      </c>
      <c r="F187" t="s">
        <v>248</v>
      </c>
      <c r="G187" t="s">
        <v>18</v>
      </c>
      <c r="H187" t="str">
        <f t="shared" si="2"/>
        <v>08.001.12.306.0016.2.017.3.3.90.30.00</v>
      </c>
      <c r="I187" t="s">
        <v>167</v>
      </c>
      <c r="J187" t="s">
        <v>168</v>
      </c>
      <c r="K187" t="s">
        <v>169</v>
      </c>
      <c r="L187" t="s">
        <v>244</v>
      </c>
      <c r="M187" t="s">
        <v>174</v>
      </c>
      <c r="N187" t="s">
        <v>249</v>
      </c>
      <c r="O187" t="s">
        <v>25</v>
      </c>
      <c r="P187" t="s">
        <v>49</v>
      </c>
      <c r="Q187" t="s">
        <v>251</v>
      </c>
      <c r="R187" s="9">
        <v>35361465</v>
      </c>
      <c r="S187" t="s">
        <v>27</v>
      </c>
    </row>
    <row r="188" spans="1:19" x14ac:dyDescent="0.25">
      <c r="A188" t="s">
        <v>165</v>
      </c>
      <c r="B188" t="s">
        <v>13</v>
      </c>
      <c r="C188" s="2" t="s">
        <v>166</v>
      </c>
      <c r="D188" t="s">
        <v>243</v>
      </c>
      <c r="E188" t="s">
        <v>172</v>
      </c>
      <c r="F188" t="s">
        <v>248</v>
      </c>
      <c r="G188" t="s">
        <v>18</v>
      </c>
      <c r="H188" t="str">
        <f t="shared" si="2"/>
        <v>08.001.12.306.0016.2.017.3.3.90.30.00</v>
      </c>
      <c r="I188" t="s">
        <v>167</v>
      </c>
      <c r="J188" t="s">
        <v>168</v>
      </c>
      <c r="K188" t="s">
        <v>169</v>
      </c>
      <c r="L188" t="s">
        <v>244</v>
      </c>
      <c r="M188" t="s">
        <v>174</v>
      </c>
      <c r="N188" t="s">
        <v>249</v>
      </c>
      <c r="O188" t="s">
        <v>25</v>
      </c>
      <c r="P188" t="s">
        <v>49</v>
      </c>
      <c r="Q188" t="s">
        <v>252</v>
      </c>
      <c r="R188" s="9">
        <v>84910803</v>
      </c>
      <c r="S188" t="s">
        <v>27</v>
      </c>
    </row>
    <row r="189" spans="1:19" x14ac:dyDescent="0.25">
      <c r="A189" t="s">
        <v>165</v>
      </c>
      <c r="B189" t="s">
        <v>13</v>
      </c>
      <c r="C189" s="2" t="s">
        <v>166</v>
      </c>
      <c r="D189" t="s">
        <v>243</v>
      </c>
      <c r="E189" t="s">
        <v>172</v>
      </c>
      <c r="F189" t="s">
        <v>248</v>
      </c>
      <c r="G189" t="s">
        <v>18</v>
      </c>
      <c r="H189" t="str">
        <f t="shared" si="2"/>
        <v>08.001.12.306.0016.2.017.3.3.90.30.00</v>
      </c>
      <c r="I189" t="s">
        <v>167</v>
      </c>
      <c r="J189" t="s">
        <v>168</v>
      </c>
      <c r="K189" t="s">
        <v>169</v>
      </c>
      <c r="L189" t="s">
        <v>244</v>
      </c>
      <c r="M189" t="s">
        <v>174</v>
      </c>
      <c r="N189" t="s">
        <v>249</v>
      </c>
      <c r="O189" t="s">
        <v>25</v>
      </c>
      <c r="P189" t="s">
        <v>49</v>
      </c>
      <c r="Q189" t="s">
        <v>253</v>
      </c>
      <c r="R189" s="9">
        <v>5999457</v>
      </c>
      <c r="S189" t="s">
        <v>27</v>
      </c>
    </row>
    <row r="190" spans="1:19" x14ac:dyDescent="0.25">
      <c r="A190" t="s">
        <v>165</v>
      </c>
      <c r="B190" t="s">
        <v>13</v>
      </c>
      <c r="C190" s="2" t="s">
        <v>166</v>
      </c>
      <c r="D190" t="s">
        <v>243</v>
      </c>
      <c r="E190" t="s">
        <v>172</v>
      </c>
      <c r="F190" t="s">
        <v>248</v>
      </c>
      <c r="G190" t="s">
        <v>18</v>
      </c>
      <c r="H190" t="str">
        <f t="shared" si="2"/>
        <v>08.001.12.306.0016.2.017.3.3.90.30.00</v>
      </c>
      <c r="I190" t="s">
        <v>167</v>
      </c>
      <c r="J190" t="s">
        <v>168</v>
      </c>
      <c r="K190" t="s">
        <v>169</v>
      </c>
      <c r="L190" t="s">
        <v>244</v>
      </c>
      <c r="M190" t="s">
        <v>174</v>
      </c>
      <c r="N190" t="s">
        <v>249</v>
      </c>
      <c r="O190" t="s">
        <v>25</v>
      </c>
      <c r="P190" t="s">
        <v>49</v>
      </c>
      <c r="Q190" t="s">
        <v>254</v>
      </c>
      <c r="R190" s="9">
        <v>12583500</v>
      </c>
      <c r="S190" t="s">
        <v>27</v>
      </c>
    </row>
    <row r="191" spans="1:19" x14ac:dyDescent="0.25">
      <c r="A191" t="s">
        <v>165</v>
      </c>
      <c r="B191" t="s">
        <v>13</v>
      </c>
      <c r="C191" s="2" t="s">
        <v>166</v>
      </c>
      <c r="D191" t="s">
        <v>243</v>
      </c>
      <c r="E191" t="s">
        <v>172</v>
      </c>
      <c r="F191" t="s">
        <v>248</v>
      </c>
      <c r="G191" t="s">
        <v>18</v>
      </c>
      <c r="H191" t="str">
        <f t="shared" si="2"/>
        <v>08.001.12.306.0016.2.017.3.3.90.30.00</v>
      </c>
      <c r="I191" t="s">
        <v>167</v>
      </c>
      <c r="J191" t="s">
        <v>168</v>
      </c>
      <c r="K191" t="s">
        <v>169</v>
      </c>
      <c r="L191" t="s">
        <v>244</v>
      </c>
      <c r="M191" t="s">
        <v>174</v>
      </c>
      <c r="N191" t="s">
        <v>249</v>
      </c>
      <c r="O191" t="s">
        <v>25</v>
      </c>
      <c r="P191" t="s">
        <v>49</v>
      </c>
      <c r="Q191" t="s">
        <v>255</v>
      </c>
      <c r="R191" s="9">
        <v>4967518</v>
      </c>
      <c r="S191" t="s">
        <v>27</v>
      </c>
    </row>
    <row r="192" spans="1:19" x14ac:dyDescent="0.25">
      <c r="A192" t="s">
        <v>165</v>
      </c>
      <c r="B192" t="s">
        <v>13</v>
      </c>
      <c r="C192" s="2" t="s">
        <v>166</v>
      </c>
      <c r="D192" t="s">
        <v>243</v>
      </c>
      <c r="E192" t="s">
        <v>172</v>
      </c>
      <c r="F192" t="s">
        <v>248</v>
      </c>
      <c r="G192" t="s">
        <v>18</v>
      </c>
      <c r="H192" t="str">
        <f t="shared" si="2"/>
        <v>08.001.12.306.0016.2.017.3.3.90.30.00</v>
      </c>
      <c r="I192" t="s">
        <v>167</v>
      </c>
      <c r="J192" t="s">
        <v>168</v>
      </c>
      <c r="K192" t="s">
        <v>169</v>
      </c>
      <c r="L192" t="s">
        <v>244</v>
      </c>
      <c r="M192" t="s">
        <v>174</v>
      </c>
      <c r="N192" t="s">
        <v>249</v>
      </c>
      <c r="O192" t="s">
        <v>25</v>
      </c>
      <c r="P192" t="s">
        <v>49</v>
      </c>
      <c r="Q192" t="s">
        <v>256</v>
      </c>
      <c r="R192" s="9">
        <v>0</v>
      </c>
      <c r="S192" t="s">
        <v>27</v>
      </c>
    </row>
    <row r="193" spans="1:19" x14ac:dyDescent="0.25">
      <c r="A193" t="s">
        <v>165</v>
      </c>
      <c r="B193" t="s">
        <v>13</v>
      </c>
      <c r="C193" s="2" t="s">
        <v>166</v>
      </c>
      <c r="D193" t="s">
        <v>243</v>
      </c>
      <c r="E193" t="s">
        <v>172</v>
      </c>
      <c r="F193" t="s">
        <v>248</v>
      </c>
      <c r="G193" t="s">
        <v>18</v>
      </c>
      <c r="H193" t="str">
        <f t="shared" si="2"/>
        <v>08.001.12.306.0016.2.017.3.3.90.30.00</v>
      </c>
      <c r="I193" t="s">
        <v>167</v>
      </c>
      <c r="J193" t="s">
        <v>168</v>
      </c>
      <c r="K193" t="s">
        <v>169</v>
      </c>
      <c r="L193" t="s">
        <v>244</v>
      </c>
      <c r="M193" t="s">
        <v>174</v>
      </c>
      <c r="N193" t="s">
        <v>249</v>
      </c>
      <c r="O193" t="s">
        <v>25</v>
      </c>
      <c r="P193" t="s">
        <v>49</v>
      </c>
      <c r="Q193" t="s">
        <v>257</v>
      </c>
      <c r="R193" s="9">
        <v>0</v>
      </c>
      <c r="S193" t="s">
        <v>27</v>
      </c>
    </row>
    <row r="194" spans="1:19" x14ac:dyDescent="0.25">
      <c r="A194" t="s">
        <v>165</v>
      </c>
      <c r="B194" t="s">
        <v>13</v>
      </c>
      <c r="C194" s="2" t="s">
        <v>166</v>
      </c>
      <c r="D194" t="s">
        <v>243</v>
      </c>
      <c r="E194" t="s">
        <v>172</v>
      </c>
      <c r="F194" t="s">
        <v>248</v>
      </c>
      <c r="G194" t="s">
        <v>18</v>
      </c>
      <c r="H194" t="str">
        <f t="shared" ref="H194:H257" si="3">_xlfn.CONCAT(A194,".",B194,".",C194,".",D194,".",E194,".",F194,".",G194)</f>
        <v>08.001.12.306.0016.2.017.3.3.90.30.00</v>
      </c>
      <c r="I194" t="s">
        <v>167</v>
      </c>
      <c r="J194" t="s">
        <v>168</v>
      </c>
      <c r="K194" t="s">
        <v>169</v>
      </c>
      <c r="L194" t="s">
        <v>244</v>
      </c>
      <c r="M194" t="s">
        <v>174</v>
      </c>
      <c r="N194" t="s">
        <v>249</v>
      </c>
      <c r="O194" t="s">
        <v>25</v>
      </c>
      <c r="P194" t="s">
        <v>49</v>
      </c>
      <c r="Q194" t="s">
        <v>258</v>
      </c>
      <c r="R194" s="9">
        <v>0</v>
      </c>
      <c r="S194" t="s">
        <v>27</v>
      </c>
    </row>
    <row r="195" spans="1:19" x14ac:dyDescent="0.25">
      <c r="A195" t="s">
        <v>165</v>
      </c>
      <c r="B195" t="s">
        <v>13</v>
      </c>
      <c r="C195" s="2" t="s">
        <v>166</v>
      </c>
      <c r="D195" t="s">
        <v>243</v>
      </c>
      <c r="E195" t="s">
        <v>172</v>
      </c>
      <c r="F195" t="s">
        <v>248</v>
      </c>
      <c r="G195" t="s">
        <v>18</v>
      </c>
      <c r="H195" t="str">
        <f t="shared" si="3"/>
        <v>08.001.12.306.0016.2.017.3.3.90.30.00</v>
      </c>
      <c r="I195" t="s">
        <v>167</v>
      </c>
      <c r="J195" t="s">
        <v>168</v>
      </c>
      <c r="K195" t="s">
        <v>169</v>
      </c>
      <c r="L195" t="s">
        <v>244</v>
      </c>
      <c r="M195" t="s">
        <v>174</v>
      </c>
      <c r="N195" t="s">
        <v>249</v>
      </c>
      <c r="O195" t="s">
        <v>25</v>
      </c>
      <c r="P195" t="s">
        <v>49</v>
      </c>
      <c r="Q195" t="s">
        <v>259</v>
      </c>
      <c r="R195" s="9">
        <v>0</v>
      </c>
      <c r="S195" t="s">
        <v>27</v>
      </c>
    </row>
    <row r="196" spans="1:19" x14ac:dyDescent="0.25">
      <c r="A196" t="s">
        <v>165</v>
      </c>
      <c r="B196" t="s">
        <v>13</v>
      </c>
      <c r="C196" s="2" t="s">
        <v>166</v>
      </c>
      <c r="D196" t="s">
        <v>243</v>
      </c>
      <c r="E196" t="s">
        <v>172</v>
      </c>
      <c r="F196" t="s">
        <v>248</v>
      </c>
      <c r="G196" t="s">
        <v>18</v>
      </c>
      <c r="H196" t="str">
        <f t="shared" si="3"/>
        <v>08.001.12.306.0016.2.017.3.3.90.30.00</v>
      </c>
      <c r="I196" t="s">
        <v>167</v>
      </c>
      <c r="J196" t="s">
        <v>168</v>
      </c>
      <c r="K196" t="s">
        <v>169</v>
      </c>
      <c r="L196" t="s">
        <v>244</v>
      </c>
      <c r="M196" t="s">
        <v>174</v>
      </c>
      <c r="N196" t="s">
        <v>249</v>
      </c>
      <c r="O196" t="s">
        <v>25</v>
      </c>
      <c r="P196" t="s">
        <v>49</v>
      </c>
      <c r="Q196" t="s">
        <v>260</v>
      </c>
      <c r="R196" s="9">
        <v>0</v>
      </c>
      <c r="S196" t="s">
        <v>27</v>
      </c>
    </row>
    <row r="197" spans="1:19" x14ac:dyDescent="0.25">
      <c r="A197" t="s">
        <v>165</v>
      </c>
      <c r="B197" t="s">
        <v>13</v>
      </c>
      <c r="C197" s="2" t="s">
        <v>166</v>
      </c>
      <c r="D197" t="s">
        <v>243</v>
      </c>
      <c r="E197" t="s">
        <v>172</v>
      </c>
      <c r="F197" t="s">
        <v>248</v>
      </c>
      <c r="G197" t="s">
        <v>18</v>
      </c>
      <c r="H197" t="str">
        <f t="shared" si="3"/>
        <v>08.001.12.306.0016.2.017.3.3.90.30.00</v>
      </c>
      <c r="I197" t="s">
        <v>167</v>
      </c>
      <c r="J197" t="s">
        <v>168</v>
      </c>
      <c r="K197" t="s">
        <v>169</v>
      </c>
      <c r="L197" t="s">
        <v>244</v>
      </c>
      <c r="M197" t="s">
        <v>174</v>
      </c>
      <c r="N197" t="s">
        <v>249</v>
      </c>
      <c r="O197" t="s">
        <v>25</v>
      </c>
      <c r="P197" t="s">
        <v>49</v>
      </c>
      <c r="Q197" t="s">
        <v>261</v>
      </c>
      <c r="R197" s="9">
        <v>0</v>
      </c>
      <c r="S197" t="s">
        <v>27</v>
      </c>
    </row>
    <row r="198" spans="1:19" x14ac:dyDescent="0.25">
      <c r="A198" t="s">
        <v>165</v>
      </c>
      <c r="B198" t="s">
        <v>13</v>
      </c>
      <c r="C198" s="2" t="s">
        <v>166</v>
      </c>
      <c r="D198" t="s">
        <v>243</v>
      </c>
      <c r="E198" t="s">
        <v>172</v>
      </c>
      <c r="F198" t="s">
        <v>248</v>
      </c>
      <c r="G198" t="s">
        <v>18</v>
      </c>
      <c r="H198" t="str">
        <f t="shared" si="3"/>
        <v>08.001.12.306.0016.2.017.3.3.90.30.00</v>
      </c>
      <c r="I198" t="s">
        <v>167</v>
      </c>
      <c r="J198" t="s">
        <v>168</v>
      </c>
      <c r="K198" t="s">
        <v>169</v>
      </c>
      <c r="L198" t="s">
        <v>244</v>
      </c>
      <c r="M198" t="s">
        <v>174</v>
      </c>
      <c r="N198" t="s">
        <v>249</v>
      </c>
      <c r="O198" t="s">
        <v>25</v>
      </c>
      <c r="P198" t="s">
        <v>49</v>
      </c>
      <c r="Q198" t="s">
        <v>262</v>
      </c>
      <c r="R198" s="9">
        <v>12000000</v>
      </c>
      <c r="S198" t="s">
        <v>27</v>
      </c>
    </row>
    <row r="199" spans="1:19" x14ac:dyDescent="0.25">
      <c r="A199" t="s">
        <v>165</v>
      </c>
      <c r="B199" t="s">
        <v>13</v>
      </c>
      <c r="C199" s="2" t="s">
        <v>166</v>
      </c>
      <c r="D199" t="s">
        <v>171</v>
      </c>
      <c r="E199" t="s">
        <v>172</v>
      </c>
      <c r="F199" t="s">
        <v>248</v>
      </c>
      <c r="G199" t="s">
        <v>263</v>
      </c>
      <c r="H199" t="str">
        <f t="shared" si="3"/>
        <v>08.001.12.361.0016.2.017.3.3.90.32.00</v>
      </c>
      <c r="I199" t="s">
        <v>167</v>
      </c>
      <c r="J199" t="s">
        <v>168</v>
      </c>
      <c r="K199" t="s">
        <v>169</v>
      </c>
      <c r="L199" t="s">
        <v>173</v>
      </c>
      <c r="M199" t="s">
        <v>174</v>
      </c>
      <c r="N199" t="s">
        <v>249</v>
      </c>
      <c r="O199" t="s">
        <v>264</v>
      </c>
      <c r="P199" t="s">
        <v>265</v>
      </c>
      <c r="Q199" t="s">
        <v>266</v>
      </c>
      <c r="R199" s="9">
        <v>3757214</v>
      </c>
      <c r="S199" t="s">
        <v>27</v>
      </c>
    </row>
    <row r="200" spans="1:19" x14ac:dyDescent="0.25">
      <c r="A200" t="s">
        <v>165</v>
      </c>
      <c r="B200" t="s">
        <v>13</v>
      </c>
      <c r="C200" s="2" t="s">
        <v>166</v>
      </c>
      <c r="D200" t="s">
        <v>175</v>
      </c>
      <c r="E200" t="s">
        <v>172</v>
      </c>
      <c r="F200" t="s">
        <v>248</v>
      </c>
      <c r="G200" t="s">
        <v>263</v>
      </c>
      <c r="H200" t="str">
        <f t="shared" si="3"/>
        <v>08.001.12.365.0016.2.017.3.3.90.32.00</v>
      </c>
      <c r="I200" t="s">
        <v>167</v>
      </c>
      <c r="J200" t="s">
        <v>168</v>
      </c>
      <c r="K200" t="s">
        <v>169</v>
      </c>
      <c r="L200" t="s">
        <v>176</v>
      </c>
      <c r="M200" t="s">
        <v>174</v>
      </c>
      <c r="N200" t="s">
        <v>249</v>
      </c>
      <c r="O200" t="s">
        <v>264</v>
      </c>
      <c r="P200" t="s">
        <v>265</v>
      </c>
      <c r="Q200" t="s">
        <v>266</v>
      </c>
      <c r="R200" s="9">
        <v>1269017</v>
      </c>
      <c r="S200" t="s">
        <v>27</v>
      </c>
    </row>
    <row r="201" spans="1:19" x14ac:dyDescent="0.25">
      <c r="A201" t="s">
        <v>165</v>
      </c>
      <c r="B201" t="s">
        <v>13</v>
      </c>
      <c r="C201" s="2" t="s">
        <v>166</v>
      </c>
      <c r="D201" t="s">
        <v>171</v>
      </c>
      <c r="E201" t="s">
        <v>172</v>
      </c>
      <c r="F201" t="s">
        <v>248</v>
      </c>
      <c r="G201" t="s">
        <v>263</v>
      </c>
      <c r="H201" t="str">
        <f t="shared" si="3"/>
        <v>08.001.12.361.0016.2.017.3.3.90.32.00</v>
      </c>
      <c r="I201" t="s">
        <v>167</v>
      </c>
      <c r="J201" t="s">
        <v>168</v>
      </c>
      <c r="K201" t="s">
        <v>169</v>
      </c>
      <c r="L201" t="s">
        <v>173</v>
      </c>
      <c r="M201" t="s">
        <v>174</v>
      </c>
      <c r="N201" t="s">
        <v>249</v>
      </c>
      <c r="O201" t="s">
        <v>264</v>
      </c>
      <c r="P201" t="s">
        <v>265</v>
      </c>
      <c r="Q201" t="s">
        <v>267</v>
      </c>
      <c r="R201" s="9">
        <v>20840984</v>
      </c>
      <c r="S201" t="s">
        <v>27</v>
      </c>
    </row>
    <row r="202" spans="1:19" x14ac:dyDescent="0.25">
      <c r="A202" t="s">
        <v>165</v>
      </c>
      <c r="B202" t="s">
        <v>13</v>
      </c>
      <c r="C202" s="2" t="s">
        <v>166</v>
      </c>
      <c r="D202" t="s">
        <v>175</v>
      </c>
      <c r="E202" t="s">
        <v>172</v>
      </c>
      <c r="F202" t="s">
        <v>248</v>
      </c>
      <c r="G202" t="s">
        <v>263</v>
      </c>
      <c r="H202" t="str">
        <f t="shared" si="3"/>
        <v>08.001.12.365.0016.2.017.3.3.90.32.00</v>
      </c>
      <c r="I202" t="s">
        <v>167</v>
      </c>
      <c r="J202" t="s">
        <v>168</v>
      </c>
      <c r="K202" t="s">
        <v>169</v>
      </c>
      <c r="L202" t="s">
        <v>176</v>
      </c>
      <c r="M202" t="s">
        <v>174</v>
      </c>
      <c r="N202" t="s">
        <v>249</v>
      </c>
      <c r="O202" t="s">
        <v>264</v>
      </c>
      <c r="P202" t="s">
        <v>265</v>
      </c>
      <c r="Q202" t="s">
        <v>267</v>
      </c>
      <c r="R202" s="9">
        <v>9098414</v>
      </c>
      <c r="S202" t="s">
        <v>27</v>
      </c>
    </row>
    <row r="203" spans="1:19" x14ac:dyDescent="0.25">
      <c r="A203" t="s">
        <v>165</v>
      </c>
      <c r="B203" t="s">
        <v>13</v>
      </c>
      <c r="C203" s="2" t="s">
        <v>166</v>
      </c>
      <c r="D203" t="s">
        <v>171</v>
      </c>
      <c r="E203" t="s">
        <v>172</v>
      </c>
      <c r="F203" t="s">
        <v>248</v>
      </c>
      <c r="G203" t="s">
        <v>263</v>
      </c>
      <c r="H203" t="str">
        <f t="shared" si="3"/>
        <v>08.001.12.361.0016.2.017.3.3.90.32.00</v>
      </c>
      <c r="I203" t="s">
        <v>167</v>
      </c>
      <c r="J203" t="s">
        <v>168</v>
      </c>
      <c r="K203" t="s">
        <v>169</v>
      </c>
      <c r="L203" t="s">
        <v>173</v>
      </c>
      <c r="M203" t="s">
        <v>174</v>
      </c>
      <c r="N203" t="s">
        <v>249</v>
      </c>
      <c r="O203" t="s">
        <v>264</v>
      </c>
      <c r="P203" t="s">
        <v>265</v>
      </c>
      <c r="Q203" t="s">
        <v>268</v>
      </c>
      <c r="R203" s="9">
        <v>23586363</v>
      </c>
      <c r="S203" t="s">
        <v>27</v>
      </c>
    </row>
    <row r="204" spans="1:19" x14ac:dyDescent="0.25">
      <c r="A204" t="s">
        <v>165</v>
      </c>
      <c r="B204" t="s">
        <v>13</v>
      </c>
      <c r="C204" s="2" t="s">
        <v>166</v>
      </c>
      <c r="D204" t="s">
        <v>171</v>
      </c>
      <c r="E204" t="s">
        <v>172</v>
      </c>
      <c r="F204" t="s">
        <v>248</v>
      </c>
      <c r="G204" t="s">
        <v>263</v>
      </c>
      <c r="H204" t="str">
        <f t="shared" si="3"/>
        <v>08.001.12.361.0016.2.017.3.3.90.32.00</v>
      </c>
      <c r="I204" t="s">
        <v>167</v>
      </c>
      <c r="J204" t="s">
        <v>168</v>
      </c>
      <c r="K204" t="s">
        <v>169</v>
      </c>
      <c r="L204" t="s">
        <v>173</v>
      </c>
      <c r="M204" t="s">
        <v>174</v>
      </c>
      <c r="N204" t="s">
        <v>249</v>
      </c>
      <c r="O204" t="s">
        <v>264</v>
      </c>
      <c r="P204" t="s">
        <v>265</v>
      </c>
      <c r="Q204" t="s">
        <v>269</v>
      </c>
      <c r="R204" s="9">
        <v>4012093</v>
      </c>
      <c r="S204" t="s">
        <v>27</v>
      </c>
    </row>
    <row r="205" spans="1:19" x14ac:dyDescent="0.25">
      <c r="A205" t="s">
        <v>165</v>
      </c>
      <c r="B205" t="s">
        <v>13</v>
      </c>
      <c r="C205" s="2" t="s">
        <v>166</v>
      </c>
      <c r="D205" t="s">
        <v>175</v>
      </c>
      <c r="E205" t="s">
        <v>172</v>
      </c>
      <c r="F205" t="s">
        <v>248</v>
      </c>
      <c r="G205" t="s">
        <v>263</v>
      </c>
      <c r="H205" t="str">
        <f t="shared" si="3"/>
        <v>08.001.12.365.0016.2.017.3.3.90.32.00</v>
      </c>
      <c r="I205" t="s">
        <v>167</v>
      </c>
      <c r="J205" t="s">
        <v>168</v>
      </c>
      <c r="K205" t="s">
        <v>169</v>
      </c>
      <c r="L205" t="s">
        <v>176</v>
      </c>
      <c r="M205" t="s">
        <v>174</v>
      </c>
      <c r="N205" t="s">
        <v>249</v>
      </c>
      <c r="O205" t="s">
        <v>264</v>
      </c>
      <c r="P205" t="s">
        <v>265</v>
      </c>
      <c r="Q205" t="s">
        <v>268</v>
      </c>
      <c r="R205" s="9">
        <v>17745907</v>
      </c>
      <c r="S205" t="s">
        <v>27</v>
      </c>
    </row>
    <row r="206" spans="1:19" x14ac:dyDescent="0.25">
      <c r="A206" t="s">
        <v>165</v>
      </c>
      <c r="B206" t="s">
        <v>13</v>
      </c>
      <c r="C206" s="2" t="s">
        <v>166</v>
      </c>
      <c r="D206" t="s">
        <v>175</v>
      </c>
      <c r="E206" t="s">
        <v>172</v>
      </c>
      <c r="F206" t="s">
        <v>248</v>
      </c>
      <c r="G206" t="s">
        <v>263</v>
      </c>
      <c r="H206" t="str">
        <f t="shared" si="3"/>
        <v>08.001.12.365.0016.2.017.3.3.90.32.00</v>
      </c>
      <c r="I206" t="s">
        <v>167</v>
      </c>
      <c r="J206" t="s">
        <v>168</v>
      </c>
      <c r="K206" t="s">
        <v>169</v>
      </c>
      <c r="L206" t="s">
        <v>176</v>
      </c>
      <c r="M206" t="s">
        <v>174</v>
      </c>
      <c r="N206" t="s">
        <v>249</v>
      </c>
      <c r="O206" t="s">
        <v>264</v>
      </c>
      <c r="P206" t="s">
        <v>265</v>
      </c>
      <c r="Q206" t="s">
        <v>269</v>
      </c>
      <c r="R206" s="9">
        <v>3206578</v>
      </c>
      <c r="S206" t="s">
        <v>27</v>
      </c>
    </row>
    <row r="207" spans="1:19" x14ac:dyDescent="0.25">
      <c r="A207" t="s">
        <v>165</v>
      </c>
      <c r="B207" t="s">
        <v>13</v>
      </c>
      <c r="C207" s="2" t="s">
        <v>166</v>
      </c>
      <c r="D207" t="s">
        <v>171</v>
      </c>
      <c r="E207" t="s">
        <v>172</v>
      </c>
      <c r="F207" t="s">
        <v>270</v>
      </c>
      <c r="G207" t="s">
        <v>54</v>
      </c>
      <c r="H207" t="str">
        <f t="shared" si="3"/>
        <v>08.001.12.361.0016.2.018.3.3.90.40.00</v>
      </c>
      <c r="I207" t="s">
        <v>167</v>
      </c>
      <c r="J207" t="s">
        <v>168</v>
      </c>
      <c r="K207" t="s">
        <v>169</v>
      </c>
      <c r="L207" t="s">
        <v>173</v>
      </c>
      <c r="M207" t="s">
        <v>174</v>
      </c>
      <c r="N207" t="s">
        <v>271</v>
      </c>
      <c r="O207" t="s">
        <v>60</v>
      </c>
      <c r="P207" t="s">
        <v>61</v>
      </c>
      <c r="Q207" t="s">
        <v>272</v>
      </c>
      <c r="R207" s="9">
        <v>48301742.159999996</v>
      </c>
      <c r="S207" t="s">
        <v>27</v>
      </c>
    </row>
    <row r="208" spans="1:19" x14ac:dyDescent="0.25">
      <c r="A208" t="s">
        <v>165</v>
      </c>
      <c r="B208" t="s">
        <v>13</v>
      </c>
      <c r="C208" s="2" t="s">
        <v>166</v>
      </c>
      <c r="D208" t="s">
        <v>171</v>
      </c>
      <c r="E208" t="s">
        <v>172</v>
      </c>
      <c r="F208" t="s">
        <v>270</v>
      </c>
      <c r="G208" t="s">
        <v>54</v>
      </c>
      <c r="H208" t="str">
        <f t="shared" si="3"/>
        <v>08.001.12.361.0016.2.018.3.3.90.40.00</v>
      </c>
      <c r="I208" t="s">
        <v>167</v>
      </c>
      <c r="J208" t="s">
        <v>168</v>
      </c>
      <c r="K208" t="s">
        <v>169</v>
      </c>
      <c r="L208" t="s">
        <v>173</v>
      </c>
      <c r="M208" t="s">
        <v>174</v>
      </c>
      <c r="N208" t="s">
        <v>271</v>
      </c>
      <c r="O208" t="s">
        <v>60</v>
      </c>
      <c r="P208" t="s">
        <v>61</v>
      </c>
      <c r="Q208" t="s">
        <v>273</v>
      </c>
      <c r="R208" s="9">
        <v>5390478.2199999997</v>
      </c>
      <c r="S208" t="s">
        <v>27</v>
      </c>
    </row>
    <row r="209" spans="1:19" x14ac:dyDescent="0.25">
      <c r="A209" t="s">
        <v>165</v>
      </c>
      <c r="B209" t="s">
        <v>13</v>
      </c>
      <c r="C209" s="2" t="s">
        <v>166</v>
      </c>
      <c r="D209" t="s">
        <v>171</v>
      </c>
      <c r="E209" t="s">
        <v>172</v>
      </c>
      <c r="F209" t="s">
        <v>270</v>
      </c>
      <c r="G209" t="s">
        <v>54</v>
      </c>
      <c r="H209" t="str">
        <f t="shared" si="3"/>
        <v>08.001.12.361.0016.2.018.3.3.90.40.00</v>
      </c>
      <c r="I209" t="s">
        <v>167</v>
      </c>
      <c r="J209" t="s">
        <v>168</v>
      </c>
      <c r="K209" t="s">
        <v>169</v>
      </c>
      <c r="L209" t="s">
        <v>173</v>
      </c>
      <c r="M209" t="s">
        <v>174</v>
      </c>
      <c r="N209" t="s">
        <v>271</v>
      </c>
      <c r="O209" t="s">
        <v>60</v>
      </c>
      <c r="P209" t="s">
        <v>61</v>
      </c>
      <c r="Q209" t="s">
        <v>274</v>
      </c>
      <c r="R209" s="9">
        <v>6234310</v>
      </c>
      <c r="S209" t="s">
        <v>27</v>
      </c>
    </row>
    <row r="210" spans="1:19" x14ac:dyDescent="0.25">
      <c r="A210" t="s">
        <v>165</v>
      </c>
      <c r="B210" t="s">
        <v>13</v>
      </c>
      <c r="C210" s="2" t="s">
        <v>166</v>
      </c>
      <c r="D210" t="s">
        <v>171</v>
      </c>
      <c r="E210" t="s">
        <v>172</v>
      </c>
      <c r="F210" t="s">
        <v>270</v>
      </c>
      <c r="G210" t="s">
        <v>54</v>
      </c>
      <c r="H210" t="str">
        <f t="shared" si="3"/>
        <v>08.001.12.361.0016.2.018.3.3.90.40.00</v>
      </c>
      <c r="I210" t="s">
        <v>167</v>
      </c>
      <c r="J210" t="s">
        <v>168</v>
      </c>
      <c r="K210" t="s">
        <v>169</v>
      </c>
      <c r="L210" t="s">
        <v>173</v>
      </c>
      <c r="M210" t="s">
        <v>174</v>
      </c>
      <c r="N210" t="s">
        <v>271</v>
      </c>
      <c r="O210" t="s">
        <v>60</v>
      </c>
      <c r="P210" t="s">
        <v>61</v>
      </c>
      <c r="Q210" t="s">
        <v>275</v>
      </c>
      <c r="R210" s="9">
        <v>10735121.529999999</v>
      </c>
      <c r="S210" t="s">
        <v>27</v>
      </c>
    </row>
    <row r="211" spans="1:19" x14ac:dyDescent="0.25">
      <c r="A211" t="s">
        <v>165</v>
      </c>
      <c r="B211" t="s">
        <v>13</v>
      </c>
      <c r="C211" s="2" t="s">
        <v>166</v>
      </c>
      <c r="D211" t="s">
        <v>171</v>
      </c>
      <c r="E211" t="s">
        <v>172</v>
      </c>
      <c r="F211" t="s">
        <v>270</v>
      </c>
      <c r="G211" t="s">
        <v>54</v>
      </c>
      <c r="H211" t="str">
        <f t="shared" si="3"/>
        <v>08.001.12.361.0016.2.018.3.3.90.40.00</v>
      </c>
      <c r="I211" t="s">
        <v>167</v>
      </c>
      <c r="J211" t="s">
        <v>168</v>
      </c>
      <c r="K211" t="s">
        <v>169</v>
      </c>
      <c r="L211" t="s">
        <v>173</v>
      </c>
      <c r="M211" t="s">
        <v>174</v>
      </c>
      <c r="N211" t="s">
        <v>271</v>
      </c>
      <c r="O211" t="s">
        <v>60</v>
      </c>
      <c r="P211" t="s">
        <v>61</v>
      </c>
      <c r="Q211" t="s">
        <v>276</v>
      </c>
      <c r="R211" s="9">
        <v>3069880</v>
      </c>
      <c r="S211" t="s">
        <v>27</v>
      </c>
    </row>
    <row r="212" spans="1:19" x14ac:dyDescent="0.25">
      <c r="A212" t="s">
        <v>165</v>
      </c>
      <c r="B212" t="s">
        <v>13</v>
      </c>
      <c r="C212" s="2" t="s">
        <v>166</v>
      </c>
      <c r="D212" t="s">
        <v>171</v>
      </c>
      <c r="E212" t="s">
        <v>172</v>
      </c>
      <c r="F212" t="s">
        <v>270</v>
      </c>
      <c r="G212" t="s">
        <v>18</v>
      </c>
      <c r="H212" t="str">
        <f t="shared" si="3"/>
        <v>08.001.12.361.0016.2.018.3.3.90.30.00</v>
      </c>
      <c r="I212" t="s">
        <v>167</v>
      </c>
      <c r="J212" t="s">
        <v>168</v>
      </c>
      <c r="K212" t="s">
        <v>169</v>
      </c>
      <c r="L212" t="s">
        <v>173</v>
      </c>
      <c r="M212" t="s">
        <v>174</v>
      </c>
      <c r="N212" t="s">
        <v>271</v>
      </c>
      <c r="O212" t="s">
        <v>25</v>
      </c>
      <c r="P212" t="s">
        <v>46</v>
      </c>
      <c r="Q212" t="s">
        <v>277</v>
      </c>
      <c r="R212" s="9">
        <v>1</v>
      </c>
      <c r="S212" t="s">
        <v>27</v>
      </c>
    </row>
    <row r="213" spans="1:19" x14ac:dyDescent="0.25">
      <c r="A213" t="s">
        <v>165</v>
      </c>
      <c r="B213" t="s">
        <v>13</v>
      </c>
      <c r="C213" s="2" t="s">
        <v>166</v>
      </c>
      <c r="D213" t="s">
        <v>171</v>
      </c>
      <c r="E213" t="s">
        <v>172</v>
      </c>
      <c r="F213" t="s">
        <v>270</v>
      </c>
      <c r="G213" t="s">
        <v>80</v>
      </c>
      <c r="H213" t="str">
        <f t="shared" si="3"/>
        <v>08.001.12.361.0016.2.018.4.4.90.52.00</v>
      </c>
      <c r="I213" t="s">
        <v>167</v>
      </c>
      <c r="J213" t="s">
        <v>168</v>
      </c>
      <c r="K213" t="s">
        <v>169</v>
      </c>
      <c r="L213" t="s">
        <v>173</v>
      </c>
      <c r="M213" t="s">
        <v>174</v>
      </c>
      <c r="N213" t="s">
        <v>271</v>
      </c>
      <c r="O213" t="s">
        <v>81</v>
      </c>
      <c r="P213" t="s">
        <v>278</v>
      </c>
      <c r="Q213" t="s">
        <v>277</v>
      </c>
      <c r="R213" s="9">
        <v>3440397.84</v>
      </c>
      <c r="S213" t="s">
        <v>27</v>
      </c>
    </row>
    <row r="214" spans="1:19" x14ac:dyDescent="0.25">
      <c r="A214" t="s">
        <v>165</v>
      </c>
      <c r="B214" t="s">
        <v>13</v>
      </c>
      <c r="C214" s="2" t="s">
        <v>166</v>
      </c>
      <c r="D214" t="s">
        <v>175</v>
      </c>
      <c r="E214" t="s">
        <v>172</v>
      </c>
      <c r="F214" t="s">
        <v>270</v>
      </c>
      <c r="G214" t="s">
        <v>54</v>
      </c>
      <c r="H214" t="str">
        <f t="shared" si="3"/>
        <v>08.001.12.365.0016.2.018.3.3.90.40.00</v>
      </c>
      <c r="I214" t="s">
        <v>167</v>
      </c>
      <c r="J214" t="s">
        <v>168</v>
      </c>
      <c r="K214" t="s">
        <v>169</v>
      </c>
      <c r="L214" t="s">
        <v>176</v>
      </c>
      <c r="M214" t="s">
        <v>174</v>
      </c>
      <c r="N214" t="s">
        <v>271</v>
      </c>
      <c r="O214" t="s">
        <v>60</v>
      </c>
      <c r="P214" t="s">
        <v>61</v>
      </c>
      <c r="Q214" t="s">
        <v>272</v>
      </c>
      <c r="R214" s="9">
        <v>11496140.460000001</v>
      </c>
      <c r="S214" t="s">
        <v>27</v>
      </c>
    </row>
    <row r="215" spans="1:19" x14ac:dyDescent="0.25">
      <c r="A215" t="s">
        <v>165</v>
      </c>
      <c r="B215" t="s">
        <v>13</v>
      </c>
      <c r="C215" s="2" t="s">
        <v>166</v>
      </c>
      <c r="D215" t="s">
        <v>175</v>
      </c>
      <c r="E215" t="s">
        <v>172</v>
      </c>
      <c r="F215" t="s">
        <v>270</v>
      </c>
      <c r="G215" t="s">
        <v>54</v>
      </c>
      <c r="H215" t="str">
        <f t="shared" si="3"/>
        <v>08.001.12.365.0016.2.018.3.3.90.40.00</v>
      </c>
      <c r="I215" t="s">
        <v>167</v>
      </c>
      <c r="J215" t="s">
        <v>168</v>
      </c>
      <c r="K215" t="s">
        <v>169</v>
      </c>
      <c r="L215" t="s">
        <v>176</v>
      </c>
      <c r="M215" t="s">
        <v>174</v>
      </c>
      <c r="N215" t="s">
        <v>271</v>
      </c>
      <c r="O215" t="s">
        <v>60</v>
      </c>
      <c r="P215" t="s">
        <v>61</v>
      </c>
      <c r="Q215" t="s">
        <v>279</v>
      </c>
      <c r="R215" s="9">
        <v>3593651.14</v>
      </c>
      <c r="S215" t="s">
        <v>27</v>
      </c>
    </row>
    <row r="216" spans="1:19" x14ac:dyDescent="0.25">
      <c r="A216" t="s">
        <v>165</v>
      </c>
      <c r="B216" t="s">
        <v>13</v>
      </c>
      <c r="C216" s="2" t="s">
        <v>166</v>
      </c>
      <c r="D216" t="s">
        <v>280</v>
      </c>
      <c r="E216" t="s">
        <v>172</v>
      </c>
      <c r="F216" t="s">
        <v>281</v>
      </c>
      <c r="G216" t="s">
        <v>152</v>
      </c>
      <c r="H216" t="str">
        <f t="shared" si="3"/>
        <v>08.001.12.366.0016.2.019.3.3.50.39.00</v>
      </c>
      <c r="I216" t="s">
        <v>167</v>
      </c>
      <c r="J216" t="s">
        <v>168</v>
      </c>
      <c r="K216" t="s">
        <v>169</v>
      </c>
      <c r="L216" t="s">
        <v>282</v>
      </c>
      <c r="M216" t="s">
        <v>174</v>
      </c>
      <c r="N216" t="s">
        <v>283</v>
      </c>
      <c r="O216" t="s">
        <v>154</v>
      </c>
      <c r="P216" t="s">
        <v>155</v>
      </c>
      <c r="Q216" t="s">
        <v>284</v>
      </c>
      <c r="R216" s="9">
        <v>3018178</v>
      </c>
      <c r="S216" t="s">
        <v>27</v>
      </c>
    </row>
    <row r="217" spans="1:19" x14ac:dyDescent="0.25">
      <c r="A217" t="s">
        <v>165</v>
      </c>
      <c r="B217" t="s">
        <v>13</v>
      </c>
      <c r="C217" s="2" t="s">
        <v>166</v>
      </c>
      <c r="D217" t="s">
        <v>171</v>
      </c>
      <c r="E217" t="s">
        <v>172</v>
      </c>
      <c r="F217" t="s">
        <v>281</v>
      </c>
      <c r="G217" t="s">
        <v>263</v>
      </c>
      <c r="H217" t="str">
        <f t="shared" si="3"/>
        <v>08.001.12.361.0016.2.019.3.3.90.32.00</v>
      </c>
      <c r="I217" t="s">
        <v>167</v>
      </c>
      <c r="J217" t="s">
        <v>168</v>
      </c>
      <c r="K217" t="s">
        <v>169</v>
      </c>
      <c r="L217" t="s">
        <v>173</v>
      </c>
      <c r="M217" t="s">
        <v>174</v>
      </c>
      <c r="N217" t="s">
        <v>283</v>
      </c>
      <c r="O217" t="s">
        <v>264</v>
      </c>
      <c r="P217" t="s">
        <v>285</v>
      </c>
      <c r="Q217" t="s">
        <v>286</v>
      </c>
      <c r="R217" s="9">
        <v>1</v>
      </c>
      <c r="S217" t="s">
        <v>27</v>
      </c>
    </row>
    <row r="218" spans="1:19" x14ac:dyDescent="0.25">
      <c r="A218" t="s">
        <v>165</v>
      </c>
      <c r="B218" t="s">
        <v>13</v>
      </c>
      <c r="C218" s="2" t="s">
        <v>166</v>
      </c>
      <c r="D218" t="s">
        <v>175</v>
      </c>
      <c r="E218" t="s">
        <v>172</v>
      </c>
      <c r="F218" t="s">
        <v>281</v>
      </c>
      <c r="G218" t="s">
        <v>263</v>
      </c>
      <c r="H218" t="str">
        <f t="shared" si="3"/>
        <v>08.001.12.365.0016.2.019.3.3.90.32.00</v>
      </c>
      <c r="I218" t="s">
        <v>167</v>
      </c>
      <c r="J218" t="s">
        <v>168</v>
      </c>
      <c r="K218" t="s">
        <v>169</v>
      </c>
      <c r="L218" t="s">
        <v>176</v>
      </c>
      <c r="M218" t="s">
        <v>174</v>
      </c>
      <c r="N218" t="s">
        <v>283</v>
      </c>
      <c r="O218" t="s">
        <v>264</v>
      </c>
      <c r="P218" t="s">
        <v>285</v>
      </c>
      <c r="Q218" t="s">
        <v>286</v>
      </c>
      <c r="R218" s="9">
        <v>1</v>
      </c>
      <c r="S218" t="s">
        <v>27</v>
      </c>
    </row>
    <row r="219" spans="1:19" x14ac:dyDescent="0.25">
      <c r="A219" t="s">
        <v>165</v>
      </c>
      <c r="B219" t="s">
        <v>13</v>
      </c>
      <c r="C219" s="2" t="s">
        <v>166</v>
      </c>
      <c r="D219" t="s">
        <v>287</v>
      </c>
      <c r="E219" t="s">
        <v>172</v>
      </c>
      <c r="F219" t="s">
        <v>281</v>
      </c>
      <c r="G219" t="s">
        <v>31</v>
      </c>
      <c r="H219" t="str">
        <f t="shared" si="3"/>
        <v>08.001.12.367.0016.2.019.3.3.90.39.00</v>
      </c>
      <c r="I219" t="s">
        <v>167</v>
      </c>
      <c r="J219" t="s">
        <v>168</v>
      </c>
      <c r="K219" t="s">
        <v>169</v>
      </c>
      <c r="L219" t="s">
        <v>288</v>
      </c>
      <c r="M219" t="s">
        <v>174</v>
      </c>
      <c r="N219" t="s">
        <v>283</v>
      </c>
      <c r="O219" t="s">
        <v>32</v>
      </c>
      <c r="P219" t="s">
        <v>289</v>
      </c>
      <c r="Q219" t="s">
        <v>290</v>
      </c>
      <c r="R219" s="9">
        <v>2586416.7999999998</v>
      </c>
      <c r="S219" t="s">
        <v>27</v>
      </c>
    </row>
    <row r="220" spans="1:19" x14ac:dyDescent="0.25">
      <c r="A220" t="s">
        <v>165</v>
      </c>
      <c r="B220" t="s">
        <v>13</v>
      </c>
      <c r="C220" s="2" t="s">
        <v>166</v>
      </c>
      <c r="D220" t="s">
        <v>287</v>
      </c>
      <c r="E220" t="s">
        <v>172</v>
      </c>
      <c r="F220" t="s">
        <v>281</v>
      </c>
      <c r="G220" t="s">
        <v>31</v>
      </c>
      <c r="H220" t="str">
        <f t="shared" si="3"/>
        <v>08.001.12.367.0016.2.019.3.3.90.39.00</v>
      </c>
      <c r="I220" t="s">
        <v>167</v>
      </c>
      <c r="J220" t="s">
        <v>168</v>
      </c>
      <c r="K220" t="s">
        <v>169</v>
      </c>
      <c r="L220" t="s">
        <v>288</v>
      </c>
      <c r="M220" t="s">
        <v>174</v>
      </c>
      <c r="N220" t="s">
        <v>283</v>
      </c>
      <c r="O220" t="s">
        <v>32</v>
      </c>
      <c r="P220" t="s">
        <v>289</v>
      </c>
      <c r="Q220" t="s">
        <v>291</v>
      </c>
      <c r="R220" s="9">
        <v>2439650</v>
      </c>
      <c r="S220" t="s">
        <v>27</v>
      </c>
    </row>
    <row r="221" spans="1:19" x14ac:dyDescent="0.25">
      <c r="A221" t="s">
        <v>165</v>
      </c>
      <c r="B221" t="s">
        <v>13</v>
      </c>
      <c r="C221" s="2" t="s">
        <v>166</v>
      </c>
      <c r="D221" t="s">
        <v>171</v>
      </c>
      <c r="E221" t="s">
        <v>172</v>
      </c>
      <c r="F221" t="s">
        <v>281</v>
      </c>
      <c r="G221" t="s">
        <v>31</v>
      </c>
      <c r="H221" t="str">
        <f t="shared" si="3"/>
        <v>08.001.12.361.0016.2.019.3.3.90.39.00</v>
      </c>
      <c r="I221" t="s">
        <v>167</v>
      </c>
      <c r="J221" t="s">
        <v>168</v>
      </c>
      <c r="K221" t="s">
        <v>169</v>
      </c>
      <c r="L221" t="s">
        <v>173</v>
      </c>
      <c r="M221" t="s">
        <v>174</v>
      </c>
      <c r="N221" t="s">
        <v>283</v>
      </c>
      <c r="O221" t="s">
        <v>32</v>
      </c>
      <c r="P221" t="s">
        <v>289</v>
      </c>
      <c r="Q221" t="s">
        <v>292</v>
      </c>
      <c r="R221" s="9">
        <v>55574467</v>
      </c>
      <c r="S221" t="s">
        <v>27</v>
      </c>
    </row>
    <row r="222" spans="1:19" x14ac:dyDescent="0.25">
      <c r="A222" t="s">
        <v>165</v>
      </c>
      <c r="B222" t="s">
        <v>13</v>
      </c>
      <c r="C222" s="2" t="s">
        <v>166</v>
      </c>
      <c r="D222" t="s">
        <v>280</v>
      </c>
      <c r="E222" t="s">
        <v>172</v>
      </c>
      <c r="F222" t="s">
        <v>281</v>
      </c>
      <c r="G222" t="s">
        <v>31</v>
      </c>
      <c r="H222" t="str">
        <f t="shared" si="3"/>
        <v>08.001.12.366.0016.2.019.3.3.90.39.00</v>
      </c>
      <c r="I222" t="s">
        <v>167</v>
      </c>
      <c r="J222" t="s">
        <v>168</v>
      </c>
      <c r="K222" t="s">
        <v>169</v>
      </c>
      <c r="L222" t="s">
        <v>282</v>
      </c>
      <c r="M222" t="s">
        <v>174</v>
      </c>
      <c r="N222" t="s">
        <v>283</v>
      </c>
      <c r="O222" t="s">
        <v>32</v>
      </c>
      <c r="P222" t="s">
        <v>93</v>
      </c>
      <c r="Q222" t="s">
        <v>293</v>
      </c>
      <c r="R222" s="9">
        <v>79200</v>
      </c>
      <c r="S222" t="s">
        <v>27</v>
      </c>
    </row>
    <row r="223" spans="1:19" x14ac:dyDescent="0.25">
      <c r="A223" t="s">
        <v>165</v>
      </c>
      <c r="B223" t="s">
        <v>13</v>
      </c>
      <c r="C223" s="2" t="s">
        <v>166</v>
      </c>
      <c r="D223" t="s">
        <v>280</v>
      </c>
      <c r="E223" t="s">
        <v>172</v>
      </c>
      <c r="F223" t="s">
        <v>281</v>
      </c>
      <c r="G223" t="s">
        <v>204</v>
      </c>
      <c r="H223" t="str">
        <f t="shared" si="3"/>
        <v>08.001.12.366.0016.2.019.3.3.90.48.00</v>
      </c>
      <c r="I223" t="s">
        <v>167</v>
      </c>
      <c r="J223" t="s">
        <v>168</v>
      </c>
      <c r="K223" t="s">
        <v>169</v>
      </c>
      <c r="L223" t="s">
        <v>282</v>
      </c>
      <c r="M223" t="s">
        <v>174</v>
      </c>
      <c r="N223" t="s">
        <v>283</v>
      </c>
      <c r="O223" t="s">
        <v>205</v>
      </c>
      <c r="Q223" t="s">
        <v>294</v>
      </c>
      <c r="R223" s="9">
        <v>1150000</v>
      </c>
      <c r="S223" t="s">
        <v>27</v>
      </c>
    </row>
    <row r="224" spans="1:19" x14ac:dyDescent="0.25">
      <c r="A224" t="s">
        <v>165</v>
      </c>
      <c r="B224" t="s">
        <v>13</v>
      </c>
      <c r="C224" s="2" t="s">
        <v>166</v>
      </c>
      <c r="D224" t="s">
        <v>171</v>
      </c>
      <c r="E224" t="s">
        <v>172</v>
      </c>
      <c r="F224" t="s">
        <v>295</v>
      </c>
      <c r="G224" t="s">
        <v>31</v>
      </c>
      <c r="H224" t="str">
        <f t="shared" si="3"/>
        <v>08.001.12.361.0016.2.020.3.3.90.39.00</v>
      </c>
      <c r="I224" t="s">
        <v>167</v>
      </c>
      <c r="J224" t="s">
        <v>168</v>
      </c>
      <c r="K224" t="s">
        <v>169</v>
      </c>
      <c r="L224" t="s">
        <v>173</v>
      </c>
      <c r="M224" t="s">
        <v>174</v>
      </c>
      <c r="N224" t="s">
        <v>296</v>
      </c>
      <c r="O224" t="s">
        <v>32</v>
      </c>
      <c r="P224" t="s">
        <v>297</v>
      </c>
      <c r="Q224" t="s">
        <v>298</v>
      </c>
      <c r="R224" s="9">
        <v>13120263</v>
      </c>
      <c r="S224" t="s">
        <v>27</v>
      </c>
    </row>
    <row r="225" spans="1:19" x14ac:dyDescent="0.25">
      <c r="A225" t="s">
        <v>165</v>
      </c>
      <c r="B225" t="s">
        <v>13</v>
      </c>
      <c r="C225" s="2" t="s">
        <v>166</v>
      </c>
      <c r="D225" t="s">
        <v>175</v>
      </c>
      <c r="E225" t="s">
        <v>172</v>
      </c>
      <c r="F225" t="s">
        <v>295</v>
      </c>
      <c r="G225" t="s">
        <v>31</v>
      </c>
      <c r="H225" t="str">
        <f t="shared" si="3"/>
        <v>08.001.12.365.0016.2.020.3.3.90.39.00</v>
      </c>
      <c r="I225" t="s">
        <v>167</v>
      </c>
      <c r="J225" t="s">
        <v>168</v>
      </c>
      <c r="K225" t="s">
        <v>169</v>
      </c>
      <c r="L225" t="s">
        <v>176</v>
      </c>
      <c r="M225" t="s">
        <v>174</v>
      </c>
      <c r="N225" t="s">
        <v>296</v>
      </c>
      <c r="O225" t="s">
        <v>32</v>
      </c>
      <c r="P225" t="s">
        <v>297</v>
      </c>
      <c r="Q225" t="s">
        <v>298</v>
      </c>
      <c r="R225" s="9">
        <v>7996842</v>
      </c>
      <c r="S225" t="s">
        <v>27</v>
      </c>
    </row>
    <row r="226" spans="1:19" x14ac:dyDescent="0.25">
      <c r="A226" t="s">
        <v>165</v>
      </c>
      <c r="B226" t="s">
        <v>13</v>
      </c>
      <c r="C226" s="2" t="s">
        <v>166</v>
      </c>
      <c r="D226" t="s">
        <v>175</v>
      </c>
      <c r="E226" t="s">
        <v>172</v>
      </c>
      <c r="F226" t="s">
        <v>295</v>
      </c>
      <c r="G226" t="s">
        <v>31</v>
      </c>
      <c r="H226" t="str">
        <f t="shared" si="3"/>
        <v>08.001.12.365.0016.2.020.3.3.90.39.00</v>
      </c>
      <c r="I226" t="s">
        <v>167</v>
      </c>
      <c r="J226" t="s">
        <v>168</v>
      </c>
      <c r="K226" t="s">
        <v>169</v>
      </c>
      <c r="L226" t="s">
        <v>176</v>
      </c>
      <c r="M226" t="s">
        <v>174</v>
      </c>
      <c r="N226" t="s">
        <v>296</v>
      </c>
      <c r="O226" t="s">
        <v>32</v>
      </c>
      <c r="P226" t="s">
        <v>297</v>
      </c>
      <c r="Q226" t="s">
        <v>299</v>
      </c>
      <c r="R226" s="9">
        <v>1</v>
      </c>
      <c r="S226" t="s">
        <v>27</v>
      </c>
    </row>
    <row r="227" spans="1:19" x14ac:dyDescent="0.25">
      <c r="A227" t="s">
        <v>165</v>
      </c>
      <c r="B227" t="s">
        <v>13</v>
      </c>
      <c r="C227" s="2" t="s">
        <v>166</v>
      </c>
      <c r="D227" t="s">
        <v>171</v>
      </c>
      <c r="E227" t="s">
        <v>172</v>
      </c>
      <c r="F227" t="s">
        <v>295</v>
      </c>
      <c r="G227" t="s">
        <v>31</v>
      </c>
      <c r="H227" t="str">
        <f t="shared" si="3"/>
        <v>08.001.12.361.0016.2.020.3.3.90.39.00</v>
      </c>
      <c r="I227" t="s">
        <v>167</v>
      </c>
      <c r="J227" t="s">
        <v>168</v>
      </c>
      <c r="K227" t="s">
        <v>169</v>
      </c>
      <c r="L227" t="s">
        <v>173</v>
      </c>
      <c r="M227" t="s">
        <v>174</v>
      </c>
      <c r="N227" t="s">
        <v>296</v>
      </c>
      <c r="O227" t="s">
        <v>32</v>
      </c>
      <c r="P227" t="s">
        <v>297</v>
      </c>
      <c r="Q227" t="s">
        <v>299</v>
      </c>
      <c r="R227" s="9">
        <v>3525840</v>
      </c>
      <c r="S227" t="s">
        <v>27</v>
      </c>
    </row>
    <row r="228" spans="1:19" x14ac:dyDescent="0.25">
      <c r="A228" t="s">
        <v>165</v>
      </c>
      <c r="B228" t="s">
        <v>13</v>
      </c>
      <c r="C228" s="2" t="s">
        <v>166</v>
      </c>
      <c r="D228" t="s">
        <v>175</v>
      </c>
      <c r="E228" t="s">
        <v>172</v>
      </c>
      <c r="F228" t="s">
        <v>300</v>
      </c>
      <c r="G228" t="s">
        <v>152</v>
      </c>
      <c r="H228" t="str">
        <f t="shared" si="3"/>
        <v>08.001.12.365.0016.2.022.3.3.50.39.00</v>
      </c>
      <c r="I228" t="s">
        <v>167</v>
      </c>
      <c r="J228" t="s">
        <v>168</v>
      </c>
      <c r="K228" t="s">
        <v>169</v>
      </c>
      <c r="L228" t="s">
        <v>176</v>
      </c>
      <c r="M228" t="s">
        <v>174</v>
      </c>
      <c r="N228" t="s">
        <v>301</v>
      </c>
      <c r="O228" t="s">
        <v>154</v>
      </c>
      <c r="P228" t="s">
        <v>155</v>
      </c>
      <c r="Q228" t="s">
        <v>302</v>
      </c>
      <c r="R228" s="9">
        <v>60497859</v>
      </c>
      <c r="S228" t="s">
        <v>27</v>
      </c>
    </row>
    <row r="229" spans="1:19" x14ac:dyDescent="0.25">
      <c r="A229" t="s">
        <v>165</v>
      </c>
      <c r="B229" t="s">
        <v>13</v>
      </c>
      <c r="C229" s="2" t="s">
        <v>166</v>
      </c>
      <c r="D229" t="s">
        <v>175</v>
      </c>
      <c r="E229" t="s">
        <v>172</v>
      </c>
      <c r="F229" t="s">
        <v>300</v>
      </c>
      <c r="G229" t="s">
        <v>303</v>
      </c>
      <c r="H229" t="str">
        <f t="shared" si="3"/>
        <v>08.001.12.365.0016.2.022.4.4.50.39.00</v>
      </c>
      <c r="I229" t="s">
        <v>167</v>
      </c>
      <c r="J229" t="s">
        <v>168</v>
      </c>
      <c r="K229" t="s">
        <v>169</v>
      </c>
      <c r="L229" t="s">
        <v>176</v>
      </c>
      <c r="M229" t="s">
        <v>174</v>
      </c>
      <c r="N229" t="s">
        <v>301</v>
      </c>
      <c r="O229" t="s">
        <v>304</v>
      </c>
      <c r="P229" t="s">
        <v>155</v>
      </c>
      <c r="Q229" t="s">
        <v>302</v>
      </c>
      <c r="R229" s="9">
        <v>157080</v>
      </c>
      <c r="S229" t="s">
        <v>27</v>
      </c>
    </row>
    <row r="230" spans="1:19" x14ac:dyDescent="0.25">
      <c r="A230" t="s">
        <v>165</v>
      </c>
      <c r="B230" t="s">
        <v>13</v>
      </c>
      <c r="C230" s="2" t="s">
        <v>166</v>
      </c>
      <c r="D230" t="s">
        <v>15</v>
      </c>
      <c r="E230" t="s">
        <v>172</v>
      </c>
      <c r="F230" t="s">
        <v>305</v>
      </c>
      <c r="G230" t="s">
        <v>152</v>
      </c>
      <c r="H230" t="str">
        <f t="shared" si="3"/>
        <v>08.001.12.122.0016.2.023.3.3.50.39.00</v>
      </c>
      <c r="I230" t="s">
        <v>167</v>
      </c>
      <c r="J230" t="s">
        <v>168</v>
      </c>
      <c r="K230" t="s">
        <v>169</v>
      </c>
      <c r="L230" t="s">
        <v>22</v>
      </c>
      <c r="M230" t="s">
        <v>174</v>
      </c>
      <c r="N230" t="s">
        <v>306</v>
      </c>
      <c r="O230" t="s">
        <v>154</v>
      </c>
      <c r="P230" t="s">
        <v>155</v>
      </c>
      <c r="Q230" t="s">
        <v>307</v>
      </c>
      <c r="R230" s="9">
        <v>6524118</v>
      </c>
      <c r="S230" t="s">
        <v>27</v>
      </c>
    </row>
    <row r="231" spans="1:19" x14ac:dyDescent="0.25">
      <c r="A231" t="s">
        <v>165</v>
      </c>
      <c r="B231" t="s">
        <v>13</v>
      </c>
      <c r="C231" s="2" t="s">
        <v>166</v>
      </c>
      <c r="D231" t="s">
        <v>171</v>
      </c>
      <c r="E231" t="s">
        <v>172</v>
      </c>
      <c r="F231" t="s">
        <v>305</v>
      </c>
      <c r="G231" t="s">
        <v>152</v>
      </c>
      <c r="H231" t="str">
        <f t="shared" si="3"/>
        <v>08.001.12.361.0016.2.023.3.3.50.39.00</v>
      </c>
      <c r="I231" t="s">
        <v>167</v>
      </c>
      <c r="J231" t="s">
        <v>168</v>
      </c>
      <c r="K231" t="s">
        <v>169</v>
      </c>
      <c r="L231" t="s">
        <v>173</v>
      </c>
      <c r="M231" t="s">
        <v>174</v>
      </c>
      <c r="N231" t="s">
        <v>306</v>
      </c>
      <c r="O231" t="s">
        <v>154</v>
      </c>
      <c r="P231" t="s">
        <v>155</v>
      </c>
      <c r="Q231" t="s">
        <v>307</v>
      </c>
      <c r="R231" s="9">
        <v>8250825</v>
      </c>
      <c r="S231" t="s">
        <v>27</v>
      </c>
    </row>
    <row r="232" spans="1:19" x14ac:dyDescent="0.25">
      <c r="A232" t="s">
        <v>165</v>
      </c>
      <c r="B232" t="s">
        <v>13</v>
      </c>
      <c r="C232" s="2" t="s">
        <v>166</v>
      </c>
      <c r="D232" t="s">
        <v>175</v>
      </c>
      <c r="E232" t="s">
        <v>172</v>
      </c>
      <c r="F232" t="s">
        <v>305</v>
      </c>
      <c r="G232" t="s">
        <v>152</v>
      </c>
      <c r="H232" t="str">
        <f t="shared" si="3"/>
        <v>08.001.12.365.0016.2.023.3.3.50.39.00</v>
      </c>
      <c r="I232" t="s">
        <v>167</v>
      </c>
      <c r="J232" t="s">
        <v>168</v>
      </c>
      <c r="K232" t="s">
        <v>169</v>
      </c>
      <c r="L232" t="s">
        <v>176</v>
      </c>
      <c r="M232" t="s">
        <v>174</v>
      </c>
      <c r="N232" t="s">
        <v>306</v>
      </c>
      <c r="O232" t="s">
        <v>154</v>
      </c>
      <c r="P232" t="s">
        <v>155</v>
      </c>
      <c r="Q232" t="s">
        <v>307</v>
      </c>
      <c r="R232" s="9">
        <v>2357637</v>
      </c>
      <c r="S232" t="s">
        <v>27</v>
      </c>
    </row>
    <row r="233" spans="1:19" x14ac:dyDescent="0.25">
      <c r="A233" t="s">
        <v>165</v>
      </c>
      <c r="B233" t="s">
        <v>13</v>
      </c>
      <c r="C233" s="2" t="s">
        <v>166</v>
      </c>
      <c r="D233" t="s">
        <v>15</v>
      </c>
      <c r="E233" t="s">
        <v>172</v>
      </c>
      <c r="F233" t="s">
        <v>305</v>
      </c>
      <c r="G233" t="s">
        <v>303</v>
      </c>
      <c r="H233" t="str">
        <f t="shared" si="3"/>
        <v>08.001.12.122.0016.2.023.4.4.50.39.00</v>
      </c>
      <c r="I233" t="s">
        <v>167</v>
      </c>
      <c r="J233" t="s">
        <v>168</v>
      </c>
      <c r="K233" t="s">
        <v>169</v>
      </c>
      <c r="L233" t="s">
        <v>22</v>
      </c>
      <c r="M233" t="s">
        <v>174</v>
      </c>
      <c r="N233" t="s">
        <v>306</v>
      </c>
      <c r="O233" t="s">
        <v>304</v>
      </c>
      <c r="P233" t="s">
        <v>155</v>
      </c>
      <c r="Q233" t="s">
        <v>307</v>
      </c>
      <c r="R233" s="9">
        <v>1461076</v>
      </c>
      <c r="S233" t="s">
        <v>27</v>
      </c>
    </row>
    <row r="234" spans="1:19" x14ac:dyDescent="0.25">
      <c r="A234" t="s">
        <v>165</v>
      </c>
      <c r="B234" t="s">
        <v>13</v>
      </c>
      <c r="C234" s="2" t="s">
        <v>166</v>
      </c>
      <c r="D234" t="s">
        <v>171</v>
      </c>
      <c r="E234" t="s">
        <v>172</v>
      </c>
      <c r="F234" t="s">
        <v>305</v>
      </c>
      <c r="G234" t="s">
        <v>303</v>
      </c>
      <c r="H234" t="str">
        <f t="shared" si="3"/>
        <v>08.001.12.361.0016.2.023.4.4.50.39.00</v>
      </c>
      <c r="I234" t="s">
        <v>167</v>
      </c>
      <c r="J234" t="s">
        <v>168</v>
      </c>
      <c r="K234" t="s">
        <v>169</v>
      </c>
      <c r="L234" t="s">
        <v>173</v>
      </c>
      <c r="M234" t="s">
        <v>174</v>
      </c>
      <c r="N234" t="s">
        <v>306</v>
      </c>
      <c r="O234" t="s">
        <v>304</v>
      </c>
      <c r="P234" t="s">
        <v>155</v>
      </c>
      <c r="Q234" t="s">
        <v>307</v>
      </c>
      <c r="R234" s="9">
        <v>2062707</v>
      </c>
      <c r="S234" t="s">
        <v>27</v>
      </c>
    </row>
    <row r="235" spans="1:19" x14ac:dyDescent="0.25">
      <c r="A235" t="s">
        <v>165</v>
      </c>
      <c r="B235" t="s">
        <v>13</v>
      </c>
      <c r="C235" s="2" t="s">
        <v>166</v>
      </c>
      <c r="D235" t="s">
        <v>175</v>
      </c>
      <c r="E235" t="s">
        <v>172</v>
      </c>
      <c r="F235" t="s">
        <v>305</v>
      </c>
      <c r="G235" t="s">
        <v>303</v>
      </c>
      <c r="H235" t="str">
        <f t="shared" si="3"/>
        <v>08.001.12.365.0016.2.023.4.4.50.39.00</v>
      </c>
      <c r="I235" t="s">
        <v>167</v>
      </c>
      <c r="J235" t="s">
        <v>168</v>
      </c>
      <c r="K235" t="s">
        <v>169</v>
      </c>
      <c r="L235" t="s">
        <v>176</v>
      </c>
      <c r="M235" t="s">
        <v>174</v>
      </c>
      <c r="N235" t="s">
        <v>306</v>
      </c>
      <c r="O235" t="s">
        <v>304</v>
      </c>
      <c r="P235" t="s">
        <v>155</v>
      </c>
      <c r="Q235" t="s">
        <v>307</v>
      </c>
      <c r="R235" s="9">
        <v>589409</v>
      </c>
      <c r="S235" t="s">
        <v>27</v>
      </c>
    </row>
    <row r="236" spans="1:19" x14ac:dyDescent="0.25">
      <c r="A236" t="s">
        <v>308</v>
      </c>
      <c r="B236" t="s">
        <v>13</v>
      </c>
      <c r="C236" s="2" t="s">
        <v>14</v>
      </c>
      <c r="D236" t="s">
        <v>51</v>
      </c>
      <c r="E236" t="s">
        <v>52</v>
      </c>
      <c r="F236" t="s">
        <v>53</v>
      </c>
      <c r="G236" t="s">
        <v>31</v>
      </c>
      <c r="H236" t="str">
        <f t="shared" si="3"/>
        <v>09.001.04.126.0002.2.007.3.3.90.39.00</v>
      </c>
      <c r="I236" t="s">
        <v>309</v>
      </c>
      <c r="J236" t="s">
        <v>310</v>
      </c>
      <c r="K236" t="s">
        <v>21</v>
      </c>
      <c r="L236" t="s">
        <v>57</v>
      </c>
      <c r="M236" t="s">
        <v>58</v>
      </c>
      <c r="N236" t="s">
        <v>59</v>
      </c>
      <c r="O236" t="s">
        <v>32</v>
      </c>
      <c r="Q236" t="s">
        <v>311</v>
      </c>
      <c r="R236" s="9">
        <v>12378931.68</v>
      </c>
      <c r="S236" t="s">
        <v>27</v>
      </c>
    </row>
    <row r="237" spans="1:19" x14ac:dyDescent="0.25">
      <c r="A237" t="s">
        <v>308</v>
      </c>
      <c r="B237" t="s">
        <v>13</v>
      </c>
      <c r="C237" s="2" t="s">
        <v>14</v>
      </c>
      <c r="D237" t="s">
        <v>312</v>
      </c>
      <c r="E237" t="s">
        <v>52</v>
      </c>
      <c r="F237" t="s">
        <v>133</v>
      </c>
      <c r="G237" t="s">
        <v>31</v>
      </c>
      <c r="H237" t="str">
        <f t="shared" si="3"/>
        <v>09.001.04.131.0002.2.005.3.3.90.39.00</v>
      </c>
      <c r="I237" t="s">
        <v>309</v>
      </c>
      <c r="J237" t="s">
        <v>310</v>
      </c>
      <c r="K237" t="s">
        <v>21</v>
      </c>
      <c r="L237" t="s">
        <v>313</v>
      </c>
      <c r="M237" t="s">
        <v>58</v>
      </c>
      <c r="N237" t="s">
        <v>134</v>
      </c>
      <c r="O237" t="s">
        <v>32</v>
      </c>
      <c r="P237" t="s">
        <v>93</v>
      </c>
      <c r="Q237" t="s">
        <v>314</v>
      </c>
      <c r="R237" s="9">
        <v>20000</v>
      </c>
      <c r="S237" t="s">
        <v>27</v>
      </c>
    </row>
    <row r="238" spans="1:19" x14ac:dyDescent="0.25">
      <c r="A238" t="s">
        <v>308</v>
      </c>
      <c r="B238" t="s">
        <v>13</v>
      </c>
      <c r="C238" s="2" t="s">
        <v>14</v>
      </c>
      <c r="D238" t="s">
        <v>312</v>
      </c>
      <c r="E238" t="s">
        <v>52</v>
      </c>
      <c r="F238" t="s">
        <v>133</v>
      </c>
      <c r="G238" t="s">
        <v>18</v>
      </c>
      <c r="H238" t="str">
        <f t="shared" si="3"/>
        <v>09.001.04.131.0002.2.005.3.3.90.30.00</v>
      </c>
      <c r="I238" t="s">
        <v>309</v>
      </c>
      <c r="J238" t="s">
        <v>310</v>
      </c>
      <c r="K238" t="s">
        <v>21</v>
      </c>
      <c r="L238" t="s">
        <v>313</v>
      </c>
      <c r="M238" t="s">
        <v>58</v>
      </c>
      <c r="N238" t="s">
        <v>134</v>
      </c>
      <c r="O238" t="s">
        <v>25</v>
      </c>
      <c r="P238" t="s">
        <v>49</v>
      </c>
      <c r="Q238" t="s">
        <v>315</v>
      </c>
      <c r="R238" s="9">
        <v>200000</v>
      </c>
      <c r="S238" t="s">
        <v>27</v>
      </c>
    </row>
    <row r="239" spans="1:19" x14ac:dyDescent="0.25">
      <c r="A239" t="s">
        <v>308</v>
      </c>
      <c r="B239" t="s">
        <v>13</v>
      </c>
      <c r="C239" s="2" t="s">
        <v>14</v>
      </c>
      <c r="D239" t="s">
        <v>312</v>
      </c>
      <c r="E239" t="s">
        <v>52</v>
      </c>
      <c r="F239" t="s">
        <v>133</v>
      </c>
      <c r="G239" t="s">
        <v>31</v>
      </c>
      <c r="H239" t="str">
        <f t="shared" si="3"/>
        <v>09.001.04.131.0002.2.005.3.3.90.39.00</v>
      </c>
      <c r="I239" t="s">
        <v>309</v>
      </c>
      <c r="J239" t="s">
        <v>310</v>
      </c>
      <c r="K239" t="s">
        <v>21</v>
      </c>
      <c r="L239" t="s">
        <v>313</v>
      </c>
      <c r="M239" t="s">
        <v>58</v>
      </c>
      <c r="N239" t="s">
        <v>134</v>
      </c>
      <c r="O239" t="s">
        <v>32</v>
      </c>
      <c r="P239" t="s">
        <v>50</v>
      </c>
      <c r="Q239" t="s">
        <v>316</v>
      </c>
      <c r="R239" s="9">
        <v>565781.76000000001</v>
      </c>
      <c r="S239" t="s">
        <v>27</v>
      </c>
    </row>
    <row r="240" spans="1:19" x14ac:dyDescent="0.25">
      <c r="A240" t="s">
        <v>308</v>
      </c>
      <c r="B240" t="s">
        <v>13</v>
      </c>
      <c r="C240" s="2" t="s">
        <v>14</v>
      </c>
      <c r="D240" t="s">
        <v>312</v>
      </c>
      <c r="E240" t="s">
        <v>52</v>
      </c>
      <c r="F240" t="s">
        <v>133</v>
      </c>
      <c r="G240" t="s">
        <v>31</v>
      </c>
      <c r="H240" t="str">
        <f t="shared" si="3"/>
        <v>09.001.04.131.0002.2.005.3.3.90.39.00</v>
      </c>
      <c r="I240" t="s">
        <v>309</v>
      </c>
      <c r="J240" t="s">
        <v>310</v>
      </c>
      <c r="K240" t="s">
        <v>21</v>
      </c>
      <c r="L240" t="s">
        <v>313</v>
      </c>
      <c r="M240" t="s">
        <v>58</v>
      </c>
      <c r="N240" t="s">
        <v>134</v>
      </c>
      <c r="O240" t="s">
        <v>32</v>
      </c>
      <c r="P240" t="s">
        <v>135</v>
      </c>
      <c r="Q240" t="s">
        <v>317</v>
      </c>
      <c r="R240" s="9">
        <v>100000</v>
      </c>
      <c r="S240" t="s">
        <v>27</v>
      </c>
    </row>
    <row r="241" spans="1:19" x14ac:dyDescent="0.25">
      <c r="A241" t="s">
        <v>308</v>
      </c>
      <c r="B241" t="s">
        <v>13</v>
      </c>
      <c r="C241" s="2" t="s">
        <v>14</v>
      </c>
      <c r="D241" t="s">
        <v>121</v>
      </c>
      <c r="E241" t="s">
        <v>52</v>
      </c>
      <c r="F241" t="s">
        <v>122</v>
      </c>
      <c r="G241" t="s">
        <v>131</v>
      </c>
      <c r="H241" t="str">
        <f t="shared" si="3"/>
        <v>09.001.04.128.0002.2.003.3.3.90.36.00</v>
      </c>
      <c r="I241" t="s">
        <v>309</v>
      </c>
      <c r="J241" t="s">
        <v>310</v>
      </c>
      <c r="K241" t="s">
        <v>21</v>
      </c>
      <c r="L241" t="s">
        <v>124</v>
      </c>
      <c r="M241" t="s">
        <v>58</v>
      </c>
      <c r="N241" t="s">
        <v>125</v>
      </c>
      <c r="O241" t="s">
        <v>132</v>
      </c>
      <c r="Q241" t="s">
        <v>318</v>
      </c>
      <c r="R241" s="9">
        <v>1</v>
      </c>
      <c r="S241" t="s">
        <v>27</v>
      </c>
    </row>
    <row r="242" spans="1:19" x14ac:dyDescent="0.25">
      <c r="A242" t="s">
        <v>308</v>
      </c>
      <c r="B242" t="s">
        <v>319</v>
      </c>
      <c r="C242" s="2" t="s">
        <v>320</v>
      </c>
      <c r="D242" t="s">
        <v>321</v>
      </c>
      <c r="E242" t="s">
        <v>322</v>
      </c>
      <c r="F242" t="s">
        <v>305</v>
      </c>
      <c r="G242" t="s">
        <v>323</v>
      </c>
      <c r="H242" t="str">
        <f t="shared" si="3"/>
        <v>09.010.10.302.0015.2.023.3.3.50.85.00</v>
      </c>
      <c r="I242" t="s">
        <v>309</v>
      </c>
      <c r="J242" t="s">
        <v>324</v>
      </c>
      <c r="K242" t="s">
        <v>325</v>
      </c>
      <c r="L242" t="s">
        <v>326</v>
      </c>
      <c r="M242" t="s">
        <v>327</v>
      </c>
      <c r="N242" t="s">
        <v>306</v>
      </c>
      <c r="O242" t="s">
        <v>328</v>
      </c>
      <c r="P242" t="s">
        <v>329</v>
      </c>
      <c r="Q242" t="s">
        <v>330</v>
      </c>
      <c r="R242" s="9">
        <v>193624879.09999999</v>
      </c>
      <c r="S242" t="s">
        <v>27</v>
      </c>
    </row>
    <row r="243" spans="1:19" x14ac:dyDescent="0.25">
      <c r="A243" t="s">
        <v>308</v>
      </c>
      <c r="B243" t="s">
        <v>319</v>
      </c>
      <c r="C243" s="2" t="s">
        <v>320</v>
      </c>
      <c r="D243" t="s">
        <v>321</v>
      </c>
      <c r="E243" t="s">
        <v>322</v>
      </c>
      <c r="F243" t="s">
        <v>305</v>
      </c>
      <c r="G243" t="s">
        <v>323</v>
      </c>
      <c r="H243" t="str">
        <f t="shared" si="3"/>
        <v>09.010.10.302.0015.2.023.3.3.50.85.00</v>
      </c>
      <c r="I243" t="s">
        <v>309</v>
      </c>
      <c r="J243" t="s">
        <v>324</v>
      </c>
      <c r="K243" t="s">
        <v>325</v>
      </c>
      <c r="L243" t="s">
        <v>326</v>
      </c>
      <c r="M243" t="s">
        <v>327</v>
      </c>
      <c r="N243" t="s">
        <v>306</v>
      </c>
      <c r="O243" t="s">
        <v>328</v>
      </c>
      <c r="P243" t="s">
        <v>329</v>
      </c>
      <c r="Q243" t="s">
        <v>331</v>
      </c>
      <c r="R243" s="9">
        <v>38574204.640000001</v>
      </c>
      <c r="S243" t="s">
        <v>27</v>
      </c>
    </row>
    <row r="244" spans="1:19" x14ac:dyDescent="0.25">
      <c r="A244" t="s">
        <v>308</v>
      </c>
      <c r="B244" t="s">
        <v>319</v>
      </c>
      <c r="C244" s="2" t="s">
        <v>320</v>
      </c>
      <c r="D244" t="s">
        <v>321</v>
      </c>
      <c r="E244" t="s">
        <v>322</v>
      </c>
      <c r="F244" t="s">
        <v>305</v>
      </c>
      <c r="G244" t="s">
        <v>323</v>
      </c>
      <c r="H244" t="str">
        <f t="shared" si="3"/>
        <v>09.010.10.302.0015.2.023.3.3.50.85.00</v>
      </c>
      <c r="I244" t="s">
        <v>309</v>
      </c>
      <c r="J244" t="s">
        <v>324</v>
      </c>
      <c r="K244" t="s">
        <v>325</v>
      </c>
      <c r="L244" t="s">
        <v>326</v>
      </c>
      <c r="M244" t="s">
        <v>327</v>
      </c>
      <c r="N244" t="s">
        <v>306</v>
      </c>
      <c r="O244" t="s">
        <v>328</v>
      </c>
      <c r="P244" t="s">
        <v>329</v>
      </c>
      <c r="Q244" t="s">
        <v>331</v>
      </c>
      <c r="R244" s="9">
        <v>32858395.890000001</v>
      </c>
      <c r="S244" t="s">
        <v>27</v>
      </c>
    </row>
    <row r="245" spans="1:19" x14ac:dyDescent="0.25">
      <c r="A245" t="s">
        <v>308</v>
      </c>
      <c r="B245" t="s">
        <v>319</v>
      </c>
      <c r="C245" s="2" t="s">
        <v>320</v>
      </c>
      <c r="D245" t="s">
        <v>321</v>
      </c>
      <c r="E245" t="s">
        <v>322</v>
      </c>
      <c r="F245" t="s">
        <v>305</v>
      </c>
      <c r="G245" t="s">
        <v>323</v>
      </c>
      <c r="H245" t="str">
        <f t="shared" si="3"/>
        <v>09.010.10.302.0015.2.023.3.3.50.85.00</v>
      </c>
      <c r="I245" t="s">
        <v>309</v>
      </c>
      <c r="J245" t="s">
        <v>324</v>
      </c>
      <c r="K245" t="s">
        <v>325</v>
      </c>
      <c r="L245" t="s">
        <v>326</v>
      </c>
      <c r="M245" t="s">
        <v>327</v>
      </c>
      <c r="N245" t="s">
        <v>306</v>
      </c>
      <c r="O245" t="s">
        <v>328</v>
      </c>
      <c r="P245" t="s">
        <v>329</v>
      </c>
      <c r="Q245" t="s">
        <v>331</v>
      </c>
      <c r="R245" s="9">
        <v>33856942.490000002</v>
      </c>
      <c r="S245" t="s">
        <v>27</v>
      </c>
    </row>
    <row r="246" spans="1:19" x14ac:dyDescent="0.25">
      <c r="A246" t="s">
        <v>308</v>
      </c>
      <c r="B246" t="s">
        <v>319</v>
      </c>
      <c r="C246" s="2" t="s">
        <v>320</v>
      </c>
      <c r="D246" t="s">
        <v>321</v>
      </c>
      <c r="E246" t="s">
        <v>322</v>
      </c>
      <c r="F246" t="s">
        <v>305</v>
      </c>
      <c r="G246" t="s">
        <v>323</v>
      </c>
      <c r="H246" t="str">
        <f t="shared" si="3"/>
        <v>09.010.10.302.0015.2.023.3.3.50.85.00</v>
      </c>
      <c r="I246" t="s">
        <v>309</v>
      </c>
      <c r="J246" t="s">
        <v>324</v>
      </c>
      <c r="K246" t="s">
        <v>325</v>
      </c>
      <c r="L246" t="s">
        <v>326</v>
      </c>
      <c r="M246" t="s">
        <v>327</v>
      </c>
      <c r="N246" t="s">
        <v>306</v>
      </c>
      <c r="O246" t="s">
        <v>328</v>
      </c>
      <c r="P246" t="s">
        <v>329</v>
      </c>
      <c r="Q246" t="s">
        <v>332</v>
      </c>
      <c r="R246" s="9">
        <v>43309032.719999999</v>
      </c>
      <c r="S246" t="s">
        <v>27</v>
      </c>
    </row>
    <row r="247" spans="1:19" x14ac:dyDescent="0.25">
      <c r="A247" t="s">
        <v>308</v>
      </c>
      <c r="B247" t="s">
        <v>319</v>
      </c>
      <c r="C247" s="2" t="s">
        <v>320</v>
      </c>
      <c r="D247" t="s">
        <v>321</v>
      </c>
      <c r="E247" t="s">
        <v>322</v>
      </c>
      <c r="F247" t="s">
        <v>305</v>
      </c>
      <c r="G247" t="s">
        <v>323</v>
      </c>
      <c r="H247" t="str">
        <f t="shared" si="3"/>
        <v>09.010.10.302.0015.2.023.3.3.50.85.00</v>
      </c>
      <c r="I247" t="s">
        <v>309</v>
      </c>
      <c r="J247" t="s">
        <v>324</v>
      </c>
      <c r="K247" t="s">
        <v>325</v>
      </c>
      <c r="L247" t="s">
        <v>326</v>
      </c>
      <c r="M247" t="s">
        <v>327</v>
      </c>
      <c r="N247" t="s">
        <v>306</v>
      </c>
      <c r="O247" t="s">
        <v>328</v>
      </c>
      <c r="P247" t="s">
        <v>329</v>
      </c>
      <c r="Q247" t="s">
        <v>333</v>
      </c>
      <c r="R247" s="9">
        <v>34823799.479999997</v>
      </c>
      <c r="S247" t="s">
        <v>27</v>
      </c>
    </row>
    <row r="248" spans="1:19" x14ac:dyDescent="0.25">
      <c r="A248" t="s">
        <v>308</v>
      </c>
      <c r="B248" t="s">
        <v>319</v>
      </c>
      <c r="C248" s="2" t="s">
        <v>320</v>
      </c>
      <c r="D248" t="s">
        <v>321</v>
      </c>
      <c r="E248" t="s">
        <v>322</v>
      </c>
      <c r="F248" t="s">
        <v>305</v>
      </c>
      <c r="G248" t="s">
        <v>323</v>
      </c>
      <c r="H248" t="str">
        <f t="shared" si="3"/>
        <v>09.010.10.302.0015.2.023.3.3.50.85.00</v>
      </c>
      <c r="I248" t="s">
        <v>309</v>
      </c>
      <c r="J248" t="s">
        <v>324</v>
      </c>
      <c r="K248" t="s">
        <v>325</v>
      </c>
      <c r="L248" t="s">
        <v>326</v>
      </c>
      <c r="M248" t="s">
        <v>327</v>
      </c>
      <c r="N248" t="s">
        <v>306</v>
      </c>
      <c r="O248" t="s">
        <v>328</v>
      </c>
      <c r="P248" t="s">
        <v>329</v>
      </c>
      <c r="Q248" t="s">
        <v>334</v>
      </c>
      <c r="R248" s="9">
        <v>109175630.3</v>
      </c>
      <c r="S248" t="s">
        <v>27</v>
      </c>
    </row>
    <row r="249" spans="1:19" x14ac:dyDescent="0.25">
      <c r="A249" t="s">
        <v>308</v>
      </c>
      <c r="B249" t="s">
        <v>335</v>
      </c>
      <c r="C249" s="2" t="s">
        <v>320</v>
      </c>
      <c r="D249" t="s">
        <v>321</v>
      </c>
      <c r="E249" t="s">
        <v>322</v>
      </c>
      <c r="F249" t="s">
        <v>305</v>
      </c>
      <c r="G249" t="s">
        <v>323</v>
      </c>
      <c r="H249" t="str">
        <f t="shared" si="3"/>
        <v>09.009.10.302.0015.2.023.3.3.50.85.00</v>
      </c>
      <c r="I249" t="s">
        <v>309</v>
      </c>
      <c r="J249" t="s">
        <v>336</v>
      </c>
      <c r="K249" t="s">
        <v>325</v>
      </c>
      <c r="L249" t="s">
        <v>326</v>
      </c>
      <c r="M249" t="s">
        <v>327</v>
      </c>
      <c r="N249" t="s">
        <v>306</v>
      </c>
      <c r="O249" t="s">
        <v>328</v>
      </c>
      <c r="P249" t="s">
        <v>329</v>
      </c>
      <c r="Q249" t="s">
        <v>337</v>
      </c>
      <c r="R249" s="9">
        <v>3235357.08</v>
      </c>
      <c r="S249" t="s">
        <v>27</v>
      </c>
    </row>
    <row r="250" spans="1:19" x14ac:dyDescent="0.25">
      <c r="A250" t="s">
        <v>308</v>
      </c>
      <c r="B250" t="s">
        <v>335</v>
      </c>
      <c r="C250" s="2" t="s">
        <v>320</v>
      </c>
      <c r="D250" t="s">
        <v>321</v>
      </c>
      <c r="E250" t="s">
        <v>322</v>
      </c>
      <c r="F250" t="s">
        <v>338</v>
      </c>
      <c r="G250" t="s">
        <v>152</v>
      </c>
      <c r="H250" t="str">
        <f t="shared" si="3"/>
        <v>09.009.10.302.0015.2.013.3.3.50.39.00</v>
      </c>
      <c r="I250" t="s">
        <v>309</v>
      </c>
      <c r="J250" t="s">
        <v>336</v>
      </c>
      <c r="K250" t="s">
        <v>325</v>
      </c>
      <c r="L250" t="s">
        <v>326</v>
      </c>
      <c r="M250" t="s">
        <v>327</v>
      </c>
      <c r="N250" t="s">
        <v>339</v>
      </c>
      <c r="O250" t="s">
        <v>154</v>
      </c>
      <c r="P250" t="s">
        <v>340</v>
      </c>
      <c r="Q250" t="s">
        <v>341</v>
      </c>
      <c r="R250" s="9">
        <v>4199199.21</v>
      </c>
      <c r="S250" t="s">
        <v>27</v>
      </c>
    </row>
    <row r="251" spans="1:19" x14ac:dyDescent="0.25">
      <c r="A251" t="s">
        <v>308</v>
      </c>
      <c r="B251" t="s">
        <v>335</v>
      </c>
      <c r="C251" s="2" t="s">
        <v>320</v>
      </c>
      <c r="D251" t="s">
        <v>321</v>
      </c>
      <c r="E251" t="s">
        <v>322</v>
      </c>
      <c r="F251" t="s">
        <v>305</v>
      </c>
      <c r="G251" t="s">
        <v>323</v>
      </c>
      <c r="H251" t="str">
        <f t="shared" si="3"/>
        <v>09.009.10.302.0015.2.023.3.3.50.85.00</v>
      </c>
      <c r="I251" t="s">
        <v>309</v>
      </c>
      <c r="J251" t="s">
        <v>336</v>
      </c>
      <c r="K251" t="s">
        <v>325</v>
      </c>
      <c r="L251" t="s">
        <v>326</v>
      </c>
      <c r="M251" t="s">
        <v>327</v>
      </c>
      <c r="N251" t="s">
        <v>306</v>
      </c>
      <c r="O251" t="s">
        <v>328</v>
      </c>
      <c r="P251" t="s">
        <v>329</v>
      </c>
      <c r="Q251" t="s">
        <v>342</v>
      </c>
      <c r="R251" s="9">
        <v>10966750.32</v>
      </c>
      <c r="S251" t="s">
        <v>27</v>
      </c>
    </row>
    <row r="252" spans="1:19" x14ac:dyDescent="0.25">
      <c r="A252" t="s">
        <v>308</v>
      </c>
      <c r="B252" t="s">
        <v>335</v>
      </c>
      <c r="C252" s="2" t="s">
        <v>320</v>
      </c>
      <c r="D252" t="s">
        <v>321</v>
      </c>
      <c r="E252" t="s">
        <v>322</v>
      </c>
      <c r="F252" t="s">
        <v>338</v>
      </c>
      <c r="G252" t="s">
        <v>152</v>
      </c>
      <c r="H252" t="str">
        <f t="shared" si="3"/>
        <v>09.009.10.302.0015.2.013.3.3.50.39.00</v>
      </c>
      <c r="I252" t="s">
        <v>309</v>
      </c>
      <c r="J252" t="s">
        <v>336</v>
      </c>
      <c r="K252" t="s">
        <v>325</v>
      </c>
      <c r="L252" t="s">
        <v>326</v>
      </c>
      <c r="M252" t="s">
        <v>327</v>
      </c>
      <c r="N252" t="s">
        <v>339</v>
      </c>
      <c r="O252" t="s">
        <v>154</v>
      </c>
      <c r="P252" t="s">
        <v>340</v>
      </c>
      <c r="Q252" t="s">
        <v>343</v>
      </c>
      <c r="R252" s="9">
        <v>294000</v>
      </c>
      <c r="S252" t="s">
        <v>27</v>
      </c>
    </row>
    <row r="253" spans="1:19" x14ac:dyDescent="0.25">
      <c r="A253" t="s">
        <v>308</v>
      </c>
      <c r="B253" t="s">
        <v>335</v>
      </c>
      <c r="C253" s="2" t="s">
        <v>320</v>
      </c>
      <c r="D253" t="s">
        <v>321</v>
      </c>
      <c r="E253" t="s">
        <v>322</v>
      </c>
      <c r="F253" t="s">
        <v>338</v>
      </c>
      <c r="G253" t="s">
        <v>152</v>
      </c>
      <c r="H253" t="str">
        <f t="shared" si="3"/>
        <v>09.009.10.302.0015.2.013.3.3.50.39.00</v>
      </c>
      <c r="I253" t="s">
        <v>309</v>
      </c>
      <c r="J253" t="s">
        <v>336</v>
      </c>
      <c r="K253" t="s">
        <v>325</v>
      </c>
      <c r="L253" t="s">
        <v>326</v>
      </c>
      <c r="M253" t="s">
        <v>327</v>
      </c>
      <c r="N253" t="s">
        <v>339</v>
      </c>
      <c r="O253" t="s">
        <v>154</v>
      </c>
      <c r="P253" t="s">
        <v>340</v>
      </c>
      <c r="Q253" t="s">
        <v>344</v>
      </c>
      <c r="R253" s="9">
        <v>600000</v>
      </c>
      <c r="S253" t="s">
        <v>27</v>
      </c>
    </row>
    <row r="254" spans="1:19" x14ac:dyDescent="0.25">
      <c r="A254" t="s">
        <v>308</v>
      </c>
      <c r="B254" t="s">
        <v>335</v>
      </c>
      <c r="C254" s="2" t="s">
        <v>320</v>
      </c>
      <c r="D254" t="s">
        <v>321</v>
      </c>
      <c r="E254" t="s">
        <v>322</v>
      </c>
      <c r="F254" t="s">
        <v>338</v>
      </c>
      <c r="G254" t="s">
        <v>152</v>
      </c>
      <c r="H254" t="str">
        <f t="shared" si="3"/>
        <v>09.009.10.302.0015.2.013.3.3.50.39.00</v>
      </c>
      <c r="I254" t="s">
        <v>309</v>
      </c>
      <c r="J254" t="s">
        <v>336</v>
      </c>
      <c r="K254" t="s">
        <v>325</v>
      </c>
      <c r="L254" t="s">
        <v>326</v>
      </c>
      <c r="M254" t="s">
        <v>327</v>
      </c>
      <c r="N254" t="s">
        <v>339</v>
      </c>
      <c r="O254" t="s">
        <v>154</v>
      </c>
      <c r="P254" t="s">
        <v>340</v>
      </c>
      <c r="Q254" t="s">
        <v>345</v>
      </c>
      <c r="R254" s="9">
        <v>5714017.0800000001</v>
      </c>
      <c r="S254" t="s">
        <v>27</v>
      </c>
    </row>
    <row r="255" spans="1:19" x14ac:dyDescent="0.25">
      <c r="A255" t="s">
        <v>308</v>
      </c>
      <c r="B255" t="s">
        <v>346</v>
      </c>
      <c r="C255" s="2" t="s">
        <v>320</v>
      </c>
      <c r="D255" t="s">
        <v>321</v>
      </c>
      <c r="E255" t="s">
        <v>322</v>
      </c>
      <c r="F255" t="s">
        <v>347</v>
      </c>
      <c r="G255" t="s">
        <v>31</v>
      </c>
      <c r="H255" t="str">
        <f t="shared" si="3"/>
        <v>09.006.10.302.0015.2.014.3.3.90.39.00</v>
      </c>
      <c r="I255" t="s">
        <v>309</v>
      </c>
      <c r="J255" t="s">
        <v>348</v>
      </c>
      <c r="K255" t="s">
        <v>325</v>
      </c>
      <c r="L255" t="s">
        <v>326</v>
      </c>
      <c r="M255" t="s">
        <v>327</v>
      </c>
      <c r="N255" t="s">
        <v>349</v>
      </c>
      <c r="O255" t="s">
        <v>32</v>
      </c>
      <c r="P255" t="s">
        <v>93</v>
      </c>
      <c r="Q255" t="s">
        <v>350</v>
      </c>
      <c r="R255" s="9">
        <v>2330574.12</v>
      </c>
      <c r="S255" t="s">
        <v>27</v>
      </c>
    </row>
    <row r="256" spans="1:19" x14ac:dyDescent="0.25">
      <c r="A256" t="s">
        <v>308</v>
      </c>
      <c r="B256" t="s">
        <v>335</v>
      </c>
      <c r="C256" s="2" t="s">
        <v>320</v>
      </c>
      <c r="D256" t="s">
        <v>321</v>
      </c>
      <c r="E256" t="s">
        <v>322</v>
      </c>
      <c r="F256" t="s">
        <v>338</v>
      </c>
      <c r="G256" t="s">
        <v>31</v>
      </c>
      <c r="H256" t="str">
        <f t="shared" si="3"/>
        <v>09.009.10.302.0015.2.013.3.3.90.39.00</v>
      </c>
      <c r="I256" t="s">
        <v>309</v>
      </c>
      <c r="J256" t="s">
        <v>336</v>
      </c>
      <c r="K256" t="s">
        <v>325</v>
      </c>
      <c r="L256" t="s">
        <v>326</v>
      </c>
      <c r="M256" t="s">
        <v>327</v>
      </c>
      <c r="N256" t="s">
        <v>339</v>
      </c>
      <c r="O256" t="s">
        <v>32</v>
      </c>
      <c r="P256" t="s">
        <v>93</v>
      </c>
      <c r="Q256" t="s">
        <v>350</v>
      </c>
      <c r="R256" s="9">
        <v>25344994.079999998</v>
      </c>
      <c r="S256" t="s">
        <v>27</v>
      </c>
    </row>
    <row r="257" spans="1:19" x14ac:dyDescent="0.25">
      <c r="A257" t="s">
        <v>308</v>
      </c>
      <c r="B257" t="s">
        <v>319</v>
      </c>
      <c r="C257" s="2" t="s">
        <v>320</v>
      </c>
      <c r="D257" t="s">
        <v>321</v>
      </c>
      <c r="E257" t="s">
        <v>322</v>
      </c>
      <c r="F257" t="s">
        <v>347</v>
      </c>
      <c r="G257" t="s">
        <v>31</v>
      </c>
      <c r="H257" t="str">
        <f t="shared" si="3"/>
        <v>09.010.10.302.0015.2.014.3.3.90.39.00</v>
      </c>
      <c r="I257" t="s">
        <v>309</v>
      </c>
      <c r="J257" t="s">
        <v>324</v>
      </c>
      <c r="K257" t="s">
        <v>325</v>
      </c>
      <c r="L257" t="s">
        <v>326</v>
      </c>
      <c r="M257" t="s">
        <v>327</v>
      </c>
      <c r="N257" t="s">
        <v>349</v>
      </c>
      <c r="O257" t="s">
        <v>32</v>
      </c>
      <c r="Q257" t="s">
        <v>350</v>
      </c>
      <c r="R257" s="9">
        <v>1456608.84</v>
      </c>
      <c r="S257" t="s">
        <v>27</v>
      </c>
    </row>
    <row r="258" spans="1:19" x14ac:dyDescent="0.25">
      <c r="A258" t="s">
        <v>308</v>
      </c>
      <c r="B258" t="s">
        <v>319</v>
      </c>
      <c r="C258" s="2" t="s">
        <v>320</v>
      </c>
      <c r="D258" t="s">
        <v>321</v>
      </c>
      <c r="E258" t="s">
        <v>322</v>
      </c>
      <c r="F258" t="s">
        <v>347</v>
      </c>
      <c r="G258" t="s">
        <v>31</v>
      </c>
      <c r="H258" t="str">
        <f t="shared" ref="H258:H321" si="4">_xlfn.CONCAT(A258,".",B258,".",C258,".",D258,".",E258,".",F258,".",G258)</f>
        <v>09.010.10.302.0015.2.014.3.3.90.39.00</v>
      </c>
      <c r="I258" t="s">
        <v>309</v>
      </c>
      <c r="J258" t="s">
        <v>324</v>
      </c>
      <c r="K258" t="s">
        <v>325</v>
      </c>
      <c r="L258" t="s">
        <v>326</v>
      </c>
      <c r="M258" t="s">
        <v>327</v>
      </c>
      <c r="N258" t="s">
        <v>349</v>
      </c>
      <c r="O258" t="s">
        <v>32</v>
      </c>
      <c r="Q258" t="s">
        <v>351</v>
      </c>
      <c r="R258" s="9">
        <v>1032222.48</v>
      </c>
      <c r="S258" t="s">
        <v>27</v>
      </c>
    </row>
    <row r="259" spans="1:19" x14ac:dyDescent="0.25">
      <c r="A259" t="s">
        <v>308</v>
      </c>
      <c r="B259" t="s">
        <v>346</v>
      </c>
      <c r="C259" s="2" t="s">
        <v>320</v>
      </c>
      <c r="D259" t="s">
        <v>321</v>
      </c>
      <c r="E259" t="s">
        <v>322</v>
      </c>
      <c r="F259" t="s">
        <v>347</v>
      </c>
      <c r="G259" t="s">
        <v>31</v>
      </c>
      <c r="H259" t="str">
        <f t="shared" si="4"/>
        <v>09.006.10.302.0015.2.014.3.3.90.39.00</v>
      </c>
      <c r="I259" t="s">
        <v>309</v>
      </c>
      <c r="J259" t="s">
        <v>348</v>
      </c>
      <c r="K259" t="s">
        <v>325</v>
      </c>
      <c r="L259" t="s">
        <v>326</v>
      </c>
      <c r="M259" t="s">
        <v>327</v>
      </c>
      <c r="N259" t="s">
        <v>349</v>
      </c>
      <c r="O259" t="s">
        <v>32</v>
      </c>
      <c r="Q259" t="s">
        <v>351</v>
      </c>
      <c r="R259" s="9">
        <v>842012.52</v>
      </c>
      <c r="S259" t="s">
        <v>27</v>
      </c>
    </row>
    <row r="260" spans="1:19" x14ac:dyDescent="0.25">
      <c r="A260" t="s">
        <v>308</v>
      </c>
      <c r="B260" t="s">
        <v>352</v>
      </c>
      <c r="C260" s="2" t="s">
        <v>320</v>
      </c>
      <c r="D260" t="s">
        <v>353</v>
      </c>
      <c r="E260" t="s">
        <v>322</v>
      </c>
      <c r="F260" t="s">
        <v>354</v>
      </c>
      <c r="G260" t="s">
        <v>31</v>
      </c>
      <c r="H260" t="str">
        <f t="shared" si="4"/>
        <v>09.008.10.301.0015.2.012.3.3.90.39.00</v>
      </c>
      <c r="I260" t="s">
        <v>309</v>
      </c>
      <c r="J260" t="s">
        <v>355</v>
      </c>
      <c r="K260" t="s">
        <v>325</v>
      </c>
      <c r="L260" t="s">
        <v>356</v>
      </c>
      <c r="M260" t="s">
        <v>327</v>
      </c>
      <c r="N260" t="s">
        <v>357</v>
      </c>
      <c r="O260" t="s">
        <v>32</v>
      </c>
      <c r="Q260" t="s">
        <v>351</v>
      </c>
      <c r="R260" s="9">
        <v>9044062.1999999993</v>
      </c>
      <c r="S260" t="s">
        <v>27</v>
      </c>
    </row>
    <row r="261" spans="1:19" x14ac:dyDescent="0.25">
      <c r="A261" t="s">
        <v>308</v>
      </c>
      <c r="B261" t="s">
        <v>335</v>
      </c>
      <c r="C261" s="2" t="s">
        <v>320</v>
      </c>
      <c r="D261" t="s">
        <v>321</v>
      </c>
      <c r="E261" t="s">
        <v>322</v>
      </c>
      <c r="F261" t="s">
        <v>338</v>
      </c>
      <c r="G261" t="s">
        <v>31</v>
      </c>
      <c r="H261" t="str">
        <f t="shared" si="4"/>
        <v>09.009.10.302.0015.2.013.3.3.90.39.00</v>
      </c>
      <c r="I261" t="s">
        <v>309</v>
      </c>
      <c r="J261" t="s">
        <v>336</v>
      </c>
      <c r="K261" t="s">
        <v>325</v>
      </c>
      <c r="L261" t="s">
        <v>326</v>
      </c>
      <c r="M261" t="s">
        <v>327</v>
      </c>
      <c r="N261" t="s">
        <v>339</v>
      </c>
      <c r="O261" t="s">
        <v>32</v>
      </c>
      <c r="Q261" t="s">
        <v>351</v>
      </c>
      <c r="R261" s="9">
        <v>1196990.3999999999</v>
      </c>
      <c r="S261" t="s">
        <v>27</v>
      </c>
    </row>
    <row r="262" spans="1:19" x14ac:dyDescent="0.25">
      <c r="A262" t="s">
        <v>308</v>
      </c>
      <c r="B262" t="s">
        <v>352</v>
      </c>
      <c r="C262" s="2" t="s">
        <v>320</v>
      </c>
      <c r="D262" t="s">
        <v>353</v>
      </c>
      <c r="E262" t="s">
        <v>322</v>
      </c>
      <c r="F262" t="s">
        <v>354</v>
      </c>
      <c r="G262" t="s">
        <v>31</v>
      </c>
      <c r="H262" t="str">
        <f t="shared" si="4"/>
        <v>09.008.10.301.0015.2.012.3.3.90.39.00</v>
      </c>
      <c r="I262" t="s">
        <v>309</v>
      </c>
      <c r="J262" t="s">
        <v>355</v>
      </c>
      <c r="K262" t="s">
        <v>325</v>
      </c>
      <c r="L262" t="s">
        <v>356</v>
      </c>
      <c r="M262" t="s">
        <v>327</v>
      </c>
      <c r="N262" t="s">
        <v>357</v>
      </c>
      <c r="O262" t="s">
        <v>32</v>
      </c>
      <c r="Q262" t="s">
        <v>358</v>
      </c>
      <c r="R262" s="9">
        <v>2804189.4</v>
      </c>
      <c r="S262" t="s">
        <v>27</v>
      </c>
    </row>
    <row r="263" spans="1:19" x14ac:dyDescent="0.25">
      <c r="A263" t="s">
        <v>308</v>
      </c>
      <c r="B263" t="s">
        <v>335</v>
      </c>
      <c r="C263" s="2" t="s">
        <v>320</v>
      </c>
      <c r="D263" t="s">
        <v>321</v>
      </c>
      <c r="E263" t="s">
        <v>322</v>
      </c>
      <c r="F263" t="s">
        <v>338</v>
      </c>
      <c r="G263" t="s">
        <v>31</v>
      </c>
      <c r="H263" t="str">
        <f t="shared" si="4"/>
        <v>09.009.10.302.0015.2.013.3.3.90.39.00</v>
      </c>
      <c r="I263" t="s">
        <v>309</v>
      </c>
      <c r="J263" t="s">
        <v>336</v>
      </c>
      <c r="K263" t="s">
        <v>325</v>
      </c>
      <c r="L263" t="s">
        <v>326</v>
      </c>
      <c r="M263" t="s">
        <v>327</v>
      </c>
      <c r="N263" t="s">
        <v>339</v>
      </c>
      <c r="O263" t="s">
        <v>32</v>
      </c>
      <c r="Q263" t="s">
        <v>358</v>
      </c>
      <c r="R263" s="9">
        <v>2006150.88</v>
      </c>
      <c r="S263" t="s">
        <v>27</v>
      </c>
    </row>
    <row r="264" spans="1:19" x14ac:dyDescent="0.25">
      <c r="A264" t="s">
        <v>308</v>
      </c>
      <c r="B264" t="s">
        <v>346</v>
      </c>
      <c r="C264" s="2" t="s">
        <v>320</v>
      </c>
      <c r="D264" t="s">
        <v>321</v>
      </c>
      <c r="E264" t="s">
        <v>322</v>
      </c>
      <c r="F264" t="s">
        <v>347</v>
      </c>
      <c r="G264" t="s">
        <v>31</v>
      </c>
      <c r="H264" t="str">
        <f t="shared" si="4"/>
        <v>09.006.10.302.0015.2.014.3.3.90.39.00</v>
      </c>
      <c r="I264" t="s">
        <v>309</v>
      </c>
      <c r="J264" t="s">
        <v>348</v>
      </c>
      <c r="K264" t="s">
        <v>325</v>
      </c>
      <c r="L264" t="s">
        <v>326</v>
      </c>
      <c r="M264" t="s">
        <v>327</v>
      </c>
      <c r="N264" t="s">
        <v>349</v>
      </c>
      <c r="O264" t="s">
        <v>32</v>
      </c>
      <c r="Q264" t="s">
        <v>358</v>
      </c>
      <c r="R264" s="9">
        <v>4862854.08</v>
      </c>
      <c r="S264" t="s">
        <v>27</v>
      </c>
    </row>
    <row r="265" spans="1:19" x14ac:dyDescent="0.25">
      <c r="A265" t="s">
        <v>308</v>
      </c>
      <c r="B265" t="s">
        <v>319</v>
      </c>
      <c r="C265" s="2" t="s">
        <v>320</v>
      </c>
      <c r="D265" t="s">
        <v>321</v>
      </c>
      <c r="E265" t="s">
        <v>322</v>
      </c>
      <c r="F265" t="s">
        <v>347</v>
      </c>
      <c r="G265" t="s">
        <v>31</v>
      </c>
      <c r="H265" t="str">
        <f t="shared" si="4"/>
        <v>09.010.10.302.0015.2.014.3.3.90.39.00</v>
      </c>
      <c r="I265" t="s">
        <v>309</v>
      </c>
      <c r="J265" t="s">
        <v>324</v>
      </c>
      <c r="K265" t="s">
        <v>325</v>
      </c>
      <c r="L265" t="s">
        <v>326</v>
      </c>
      <c r="M265" t="s">
        <v>327</v>
      </c>
      <c r="N265" t="s">
        <v>349</v>
      </c>
      <c r="O265" t="s">
        <v>32</v>
      </c>
      <c r="Q265" t="s">
        <v>358</v>
      </c>
      <c r="R265" s="9">
        <v>3195067.92</v>
      </c>
      <c r="S265" t="s">
        <v>27</v>
      </c>
    </row>
    <row r="266" spans="1:19" x14ac:dyDescent="0.25">
      <c r="A266" t="s">
        <v>308</v>
      </c>
      <c r="B266" t="s">
        <v>359</v>
      </c>
      <c r="C266" s="2" t="s">
        <v>320</v>
      </c>
      <c r="D266" t="s">
        <v>15</v>
      </c>
      <c r="E266" t="s">
        <v>360</v>
      </c>
      <c r="F266" t="s">
        <v>17</v>
      </c>
      <c r="G266" t="s">
        <v>31</v>
      </c>
      <c r="H266" t="str">
        <f t="shared" si="4"/>
        <v>09.015.10.122.0014.2.011.3.3.90.39.00</v>
      </c>
      <c r="I266" t="s">
        <v>309</v>
      </c>
      <c r="J266" t="s">
        <v>361</v>
      </c>
      <c r="K266" t="s">
        <v>325</v>
      </c>
      <c r="L266" t="s">
        <v>22</v>
      </c>
      <c r="M266" t="s">
        <v>362</v>
      </c>
      <c r="N266" t="s">
        <v>24</v>
      </c>
      <c r="O266" t="s">
        <v>32</v>
      </c>
      <c r="Q266" t="s">
        <v>358</v>
      </c>
      <c r="R266" s="9">
        <v>1358957.16</v>
      </c>
      <c r="S266" t="s">
        <v>27</v>
      </c>
    </row>
    <row r="267" spans="1:19" x14ac:dyDescent="0.25">
      <c r="A267" t="s">
        <v>308</v>
      </c>
      <c r="B267" t="s">
        <v>359</v>
      </c>
      <c r="C267" s="2" t="s">
        <v>320</v>
      </c>
      <c r="D267" t="s">
        <v>15</v>
      </c>
      <c r="E267" t="s">
        <v>360</v>
      </c>
      <c r="F267" t="s">
        <v>17</v>
      </c>
      <c r="G267" t="s">
        <v>31</v>
      </c>
      <c r="H267" t="str">
        <f t="shared" si="4"/>
        <v>09.015.10.122.0014.2.011.3.3.90.39.00</v>
      </c>
      <c r="I267" t="s">
        <v>309</v>
      </c>
      <c r="J267" t="s">
        <v>361</v>
      </c>
      <c r="K267" t="s">
        <v>325</v>
      </c>
      <c r="L267" t="s">
        <v>22</v>
      </c>
      <c r="M267" t="s">
        <v>362</v>
      </c>
      <c r="N267" t="s">
        <v>24</v>
      </c>
      <c r="O267" t="s">
        <v>32</v>
      </c>
      <c r="Q267" t="s">
        <v>358</v>
      </c>
      <c r="R267" s="9">
        <v>225789.24</v>
      </c>
      <c r="S267" t="s">
        <v>27</v>
      </c>
    </row>
    <row r="268" spans="1:19" x14ac:dyDescent="0.25">
      <c r="A268" t="s">
        <v>308</v>
      </c>
      <c r="B268" t="s">
        <v>359</v>
      </c>
      <c r="C268" s="2" t="s">
        <v>320</v>
      </c>
      <c r="D268" t="s">
        <v>15</v>
      </c>
      <c r="E268" t="s">
        <v>360</v>
      </c>
      <c r="F268" t="s">
        <v>17</v>
      </c>
      <c r="G268" t="s">
        <v>31</v>
      </c>
      <c r="H268" t="str">
        <f t="shared" si="4"/>
        <v>09.015.10.122.0014.2.011.3.3.90.39.00</v>
      </c>
      <c r="I268" t="s">
        <v>309</v>
      </c>
      <c r="J268" t="s">
        <v>361</v>
      </c>
      <c r="K268" t="s">
        <v>325</v>
      </c>
      <c r="L268" t="s">
        <v>22</v>
      </c>
      <c r="M268" t="s">
        <v>362</v>
      </c>
      <c r="N268" t="s">
        <v>24</v>
      </c>
      <c r="O268" t="s">
        <v>32</v>
      </c>
      <c r="Q268" t="s">
        <v>358</v>
      </c>
      <c r="R268" s="9">
        <v>25335.72</v>
      </c>
      <c r="S268" t="s">
        <v>27</v>
      </c>
    </row>
    <row r="269" spans="1:19" x14ac:dyDescent="0.25">
      <c r="A269" t="s">
        <v>308</v>
      </c>
      <c r="B269" t="s">
        <v>359</v>
      </c>
      <c r="C269" s="2" t="s">
        <v>320</v>
      </c>
      <c r="D269" t="s">
        <v>15</v>
      </c>
      <c r="E269" t="s">
        <v>360</v>
      </c>
      <c r="F269" t="s">
        <v>17</v>
      </c>
      <c r="G269" t="s">
        <v>31</v>
      </c>
      <c r="H269" t="str">
        <f t="shared" si="4"/>
        <v>09.015.10.122.0014.2.011.3.3.90.39.00</v>
      </c>
      <c r="I269" t="s">
        <v>309</v>
      </c>
      <c r="J269" t="s">
        <v>361</v>
      </c>
      <c r="K269" t="s">
        <v>325</v>
      </c>
      <c r="L269" t="s">
        <v>22</v>
      </c>
      <c r="M269" t="s">
        <v>362</v>
      </c>
      <c r="N269" t="s">
        <v>24</v>
      </c>
      <c r="O269" t="s">
        <v>32</v>
      </c>
      <c r="Q269" t="s">
        <v>358</v>
      </c>
      <c r="R269" s="9">
        <v>54992.4</v>
      </c>
      <c r="S269" t="s">
        <v>27</v>
      </c>
    </row>
    <row r="270" spans="1:19" x14ac:dyDescent="0.25">
      <c r="A270" t="s">
        <v>308</v>
      </c>
      <c r="B270" t="s">
        <v>352</v>
      </c>
      <c r="C270" s="2" t="s">
        <v>320</v>
      </c>
      <c r="D270" t="s">
        <v>353</v>
      </c>
      <c r="E270" t="s">
        <v>322</v>
      </c>
      <c r="F270" t="s">
        <v>354</v>
      </c>
      <c r="G270" t="s">
        <v>31</v>
      </c>
      <c r="H270" t="str">
        <f t="shared" si="4"/>
        <v>09.008.10.301.0015.2.012.3.3.90.39.00</v>
      </c>
      <c r="I270" t="s">
        <v>309</v>
      </c>
      <c r="J270" t="s">
        <v>355</v>
      </c>
      <c r="K270" t="s">
        <v>325</v>
      </c>
      <c r="L270" t="s">
        <v>356</v>
      </c>
      <c r="M270" t="s">
        <v>327</v>
      </c>
      <c r="N270" t="s">
        <v>357</v>
      </c>
      <c r="O270" t="s">
        <v>32</v>
      </c>
      <c r="Q270" t="s">
        <v>363</v>
      </c>
      <c r="R270" s="9">
        <v>42624</v>
      </c>
      <c r="S270" t="s">
        <v>27</v>
      </c>
    </row>
    <row r="271" spans="1:19" x14ac:dyDescent="0.25">
      <c r="A271" t="s">
        <v>308</v>
      </c>
      <c r="B271" t="s">
        <v>319</v>
      </c>
      <c r="C271" s="2" t="s">
        <v>320</v>
      </c>
      <c r="D271" t="s">
        <v>321</v>
      </c>
      <c r="E271" t="s">
        <v>322</v>
      </c>
      <c r="F271" t="s">
        <v>347</v>
      </c>
      <c r="G271" t="s">
        <v>31</v>
      </c>
      <c r="H271" t="str">
        <f t="shared" si="4"/>
        <v>09.010.10.302.0015.2.014.3.3.90.39.00</v>
      </c>
      <c r="I271" t="s">
        <v>309</v>
      </c>
      <c r="J271" t="s">
        <v>324</v>
      </c>
      <c r="K271" t="s">
        <v>325</v>
      </c>
      <c r="L271" t="s">
        <v>326</v>
      </c>
      <c r="M271" t="s">
        <v>327</v>
      </c>
      <c r="N271" t="s">
        <v>349</v>
      </c>
      <c r="O271" t="s">
        <v>32</v>
      </c>
      <c r="Q271" t="s">
        <v>363</v>
      </c>
      <c r="R271" s="9">
        <v>2391206.4</v>
      </c>
      <c r="S271" t="s">
        <v>27</v>
      </c>
    </row>
    <row r="272" spans="1:19" x14ac:dyDescent="0.25">
      <c r="A272" t="s">
        <v>308</v>
      </c>
      <c r="B272" t="s">
        <v>335</v>
      </c>
      <c r="C272" s="2" t="s">
        <v>320</v>
      </c>
      <c r="D272" t="s">
        <v>321</v>
      </c>
      <c r="E272" t="s">
        <v>322</v>
      </c>
      <c r="F272" t="s">
        <v>338</v>
      </c>
      <c r="G272" t="s">
        <v>31</v>
      </c>
      <c r="H272" t="str">
        <f t="shared" si="4"/>
        <v>09.009.10.302.0015.2.013.3.3.90.39.00</v>
      </c>
      <c r="I272" t="s">
        <v>309</v>
      </c>
      <c r="J272" t="s">
        <v>336</v>
      </c>
      <c r="K272" t="s">
        <v>325</v>
      </c>
      <c r="L272" t="s">
        <v>326</v>
      </c>
      <c r="M272" t="s">
        <v>327</v>
      </c>
      <c r="N272" t="s">
        <v>339</v>
      </c>
      <c r="O272" t="s">
        <v>32</v>
      </c>
      <c r="Q272" t="s">
        <v>363</v>
      </c>
      <c r="R272" s="9">
        <v>90362.880000000005</v>
      </c>
      <c r="S272" t="s">
        <v>27</v>
      </c>
    </row>
    <row r="273" spans="1:19" x14ac:dyDescent="0.25">
      <c r="A273" t="s">
        <v>308</v>
      </c>
      <c r="B273" t="s">
        <v>346</v>
      </c>
      <c r="C273" s="2" t="s">
        <v>320</v>
      </c>
      <c r="D273" t="s">
        <v>321</v>
      </c>
      <c r="E273" t="s">
        <v>322</v>
      </c>
      <c r="F273" t="s">
        <v>347</v>
      </c>
      <c r="G273" t="s">
        <v>31</v>
      </c>
      <c r="H273" t="str">
        <f t="shared" si="4"/>
        <v>09.006.10.302.0015.2.014.3.3.90.39.00</v>
      </c>
      <c r="I273" t="s">
        <v>309</v>
      </c>
      <c r="J273" t="s">
        <v>348</v>
      </c>
      <c r="K273" t="s">
        <v>325</v>
      </c>
      <c r="L273" t="s">
        <v>326</v>
      </c>
      <c r="M273" t="s">
        <v>327</v>
      </c>
      <c r="N273" t="s">
        <v>349</v>
      </c>
      <c r="O273" t="s">
        <v>32</v>
      </c>
      <c r="Q273" t="s">
        <v>363</v>
      </c>
      <c r="R273" s="9">
        <v>3210390.72</v>
      </c>
      <c r="S273" t="s">
        <v>27</v>
      </c>
    </row>
    <row r="274" spans="1:19" x14ac:dyDescent="0.25">
      <c r="A274" t="s">
        <v>308</v>
      </c>
      <c r="B274" t="s">
        <v>319</v>
      </c>
      <c r="C274" s="2" t="s">
        <v>320</v>
      </c>
      <c r="D274" t="s">
        <v>321</v>
      </c>
      <c r="E274" t="s">
        <v>322</v>
      </c>
      <c r="F274" t="s">
        <v>347</v>
      </c>
      <c r="G274" t="s">
        <v>31</v>
      </c>
      <c r="H274" t="str">
        <f t="shared" si="4"/>
        <v>09.010.10.302.0015.2.014.3.3.90.39.00</v>
      </c>
      <c r="I274" t="s">
        <v>309</v>
      </c>
      <c r="J274" t="s">
        <v>324</v>
      </c>
      <c r="K274" t="s">
        <v>325</v>
      </c>
      <c r="L274" t="s">
        <v>326</v>
      </c>
      <c r="M274" t="s">
        <v>327</v>
      </c>
      <c r="N274" t="s">
        <v>349</v>
      </c>
      <c r="O274" t="s">
        <v>32</v>
      </c>
      <c r="P274" t="s">
        <v>364</v>
      </c>
      <c r="Q274" t="s">
        <v>365</v>
      </c>
      <c r="R274" s="9">
        <v>10921060.92</v>
      </c>
      <c r="S274" t="s">
        <v>27</v>
      </c>
    </row>
    <row r="275" spans="1:19" x14ac:dyDescent="0.25">
      <c r="A275" t="s">
        <v>308</v>
      </c>
      <c r="B275" t="s">
        <v>319</v>
      </c>
      <c r="C275" s="2" t="s">
        <v>320</v>
      </c>
      <c r="D275" t="s">
        <v>321</v>
      </c>
      <c r="E275" t="s">
        <v>322</v>
      </c>
      <c r="F275" t="s">
        <v>347</v>
      </c>
      <c r="G275" t="s">
        <v>31</v>
      </c>
      <c r="H275" t="str">
        <f t="shared" si="4"/>
        <v>09.010.10.302.0015.2.014.3.3.90.39.00</v>
      </c>
      <c r="I275" t="s">
        <v>309</v>
      </c>
      <c r="J275" t="s">
        <v>324</v>
      </c>
      <c r="K275" t="s">
        <v>325</v>
      </c>
      <c r="L275" t="s">
        <v>326</v>
      </c>
      <c r="M275" t="s">
        <v>327</v>
      </c>
      <c r="N275" t="s">
        <v>349</v>
      </c>
      <c r="O275" t="s">
        <v>32</v>
      </c>
      <c r="P275" t="s">
        <v>364</v>
      </c>
      <c r="Q275" t="s">
        <v>365</v>
      </c>
      <c r="R275" s="9">
        <v>1946186.64</v>
      </c>
      <c r="S275" t="s">
        <v>27</v>
      </c>
    </row>
    <row r="276" spans="1:19" x14ac:dyDescent="0.25">
      <c r="A276" t="s">
        <v>308</v>
      </c>
      <c r="B276" t="s">
        <v>319</v>
      </c>
      <c r="C276" s="2" t="s">
        <v>320</v>
      </c>
      <c r="D276" t="s">
        <v>321</v>
      </c>
      <c r="E276" t="s">
        <v>322</v>
      </c>
      <c r="F276" t="s">
        <v>347</v>
      </c>
      <c r="G276" t="s">
        <v>31</v>
      </c>
      <c r="H276" t="str">
        <f t="shared" si="4"/>
        <v>09.010.10.302.0015.2.014.3.3.90.39.00</v>
      </c>
      <c r="I276" t="s">
        <v>309</v>
      </c>
      <c r="J276" t="s">
        <v>324</v>
      </c>
      <c r="K276" t="s">
        <v>325</v>
      </c>
      <c r="L276" t="s">
        <v>326</v>
      </c>
      <c r="M276" t="s">
        <v>327</v>
      </c>
      <c r="N276" t="s">
        <v>349</v>
      </c>
      <c r="O276" t="s">
        <v>32</v>
      </c>
      <c r="P276" t="s">
        <v>364</v>
      </c>
      <c r="Q276" t="s">
        <v>365</v>
      </c>
      <c r="R276" s="9">
        <v>395139.48</v>
      </c>
      <c r="S276" t="s">
        <v>27</v>
      </c>
    </row>
    <row r="277" spans="1:19" x14ac:dyDescent="0.25">
      <c r="A277" t="s">
        <v>308</v>
      </c>
      <c r="B277" t="s">
        <v>359</v>
      </c>
      <c r="C277" s="2" t="s">
        <v>320</v>
      </c>
      <c r="D277" t="s">
        <v>15</v>
      </c>
      <c r="E277" t="s">
        <v>360</v>
      </c>
      <c r="F277" t="s">
        <v>17</v>
      </c>
      <c r="G277" t="s">
        <v>31</v>
      </c>
      <c r="H277" t="str">
        <f t="shared" si="4"/>
        <v>09.015.10.122.0014.2.011.3.3.90.39.00</v>
      </c>
      <c r="I277" t="s">
        <v>309</v>
      </c>
      <c r="J277" t="s">
        <v>361</v>
      </c>
      <c r="K277" t="s">
        <v>325</v>
      </c>
      <c r="L277" t="s">
        <v>22</v>
      </c>
      <c r="M277" t="s">
        <v>362</v>
      </c>
      <c r="N277" t="s">
        <v>24</v>
      </c>
      <c r="O277" t="s">
        <v>32</v>
      </c>
      <c r="P277" t="s">
        <v>93</v>
      </c>
      <c r="Q277" t="s">
        <v>366</v>
      </c>
      <c r="R277" s="9">
        <v>1524474.96</v>
      </c>
      <c r="S277" t="s">
        <v>27</v>
      </c>
    </row>
    <row r="278" spans="1:19" x14ac:dyDescent="0.25">
      <c r="A278" t="s">
        <v>308</v>
      </c>
      <c r="B278" t="s">
        <v>319</v>
      </c>
      <c r="C278" s="2" t="s">
        <v>320</v>
      </c>
      <c r="D278" t="s">
        <v>321</v>
      </c>
      <c r="E278" t="s">
        <v>322</v>
      </c>
      <c r="F278" t="s">
        <v>347</v>
      </c>
      <c r="G278" t="s">
        <v>31</v>
      </c>
      <c r="H278" t="str">
        <f t="shared" si="4"/>
        <v>09.010.10.302.0015.2.014.3.3.90.39.00</v>
      </c>
      <c r="I278" t="s">
        <v>309</v>
      </c>
      <c r="J278" t="s">
        <v>324</v>
      </c>
      <c r="K278" t="s">
        <v>325</v>
      </c>
      <c r="L278" t="s">
        <v>326</v>
      </c>
      <c r="M278" t="s">
        <v>327</v>
      </c>
      <c r="N278" t="s">
        <v>349</v>
      </c>
      <c r="O278" t="s">
        <v>32</v>
      </c>
      <c r="P278" t="s">
        <v>114</v>
      </c>
      <c r="Q278" t="s">
        <v>367</v>
      </c>
      <c r="R278" s="9">
        <v>312600</v>
      </c>
      <c r="S278" t="s">
        <v>27</v>
      </c>
    </row>
    <row r="279" spans="1:19" x14ac:dyDescent="0.25">
      <c r="A279" t="s">
        <v>308</v>
      </c>
      <c r="B279" t="s">
        <v>346</v>
      </c>
      <c r="C279" s="2" t="s">
        <v>320</v>
      </c>
      <c r="D279" t="s">
        <v>321</v>
      </c>
      <c r="E279" t="s">
        <v>322</v>
      </c>
      <c r="F279" t="s">
        <v>347</v>
      </c>
      <c r="G279" t="s">
        <v>31</v>
      </c>
      <c r="H279" t="str">
        <f t="shared" si="4"/>
        <v>09.006.10.302.0015.2.014.3.3.90.39.00</v>
      </c>
      <c r="I279" t="s">
        <v>309</v>
      </c>
      <c r="J279" t="s">
        <v>348</v>
      </c>
      <c r="K279" t="s">
        <v>325</v>
      </c>
      <c r="L279" t="s">
        <v>326</v>
      </c>
      <c r="M279" t="s">
        <v>327</v>
      </c>
      <c r="N279" t="s">
        <v>349</v>
      </c>
      <c r="O279" t="s">
        <v>32</v>
      </c>
      <c r="P279" t="s">
        <v>114</v>
      </c>
      <c r="Q279" t="s">
        <v>367</v>
      </c>
      <c r="R279" s="9">
        <v>143280</v>
      </c>
      <c r="S279" t="s">
        <v>27</v>
      </c>
    </row>
    <row r="280" spans="1:19" x14ac:dyDescent="0.25">
      <c r="A280" t="s">
        <v>308</v>
      </c>
      <c r="B280" t="s">
        <v>335</v>
      </c>
      <c r="C280" s="2" t="s">
        <v>320</v>
      </c>
      <c r="D280" t="s">
        <v>321</v>
      </c>
      <c r="E280" t="s">
        <v>322</v>
      </c>
      <c r="F280" t="s">
        <v>338</v>
      </c>
      <c r="G280" t="s">
        <v>31</v>
      </c>
      <c r="H280" t="str">
        <f t="shared" si="4"/>
        <v>09.009.10.302.0015.2.013.3.3.90.39.00</v>
      </c>
      <c r="I280" t="s">
        <v>309</v>
      </c>
      <c r="J280" t="s">
        <v>336</v>
      </c>
      <c r="K280" t="s">
        <v>325</v>
      </c>
      <c r="L280" t="s">
        <v>326</v>
      </c>
      <c r="M280" t="s">
        <v>327</v>
      </c>
      <c r="N280" t="s">
        <v>339</v>
      </c>
      <c r="O280" t="s">
        <v>32</v>
      </c>
      <c r="P280" t="s">
        <v>114</v>
      </c>
      <c r="Q280" t="s">
        <v>367</v>
      </c>
      <c r="R280" s="9">
        <v>33600</v>
      </c>
      <c r="S280" t="s">
        <v>27</v>
      </c>
    </row>
    <row r="281" spans="1:19" x14ac:dyDescent="0.25">
      <c r="A281" t="s">
        <v>308</v>
      </c>
      <c r="B281" t="s">
        <v>319</v>
      </c>
      <c r="C281" s="2" t="s">
        <v>320</v>
      </c>
      <c r="D281" t="s">
        <v>321</v>
      </c>
      <c r="E281" t="s">
        <v>322</v>
      </c>
      <c r="F281" t="s">
        <v>347</v>
      </c>
      <c r="G281" t="s">
        <v>31</v>
      </c>
      <c r="H281" t="str">
        <f t="shared" si="4"/>
        <v>09.010.10.302.0015.2.014.3.3.90.39.00</v>
      </c>
      <c r="I281" t="s">
        <v>309</v>
      </c>
      <c r="J281" t="s">
        <v>324</v>
      </c>
      <c r="K281" t="s">
        <v>325</v>
      </c>
      <c r="L281" t="s">
        <v>326</v>
      </c>
      <c r="M281" t="s">
        <v>327</v>
      </c>
      <c r="N281" t="s">
        <v>349</v>
      </c>
      <c r="O281" t="s">
        <v>32</v>
      </c>
      <c r="P281" t="s">
        <v>50</v>
      </c>
      <c r="Q281" t="s">
        <v>368</v>
      </c>
      <c r="R281" s="9">
        <v>577951.07999999996</v>
      </c>
      <c r="S281" t="s">
        <v>27</v>
      </c>
    </row>
    <row r="282" spans="1:19" x14ac:dyDescent="0.25">
      <c r="A282" t="s">
        <v>308</v>
      </c>
      <c r="B282" t="s">
        <v>346</v>
      </c>
      <c r="C282" s="2" t="s">
        <v>320</v>
      </c>
      <c r="D282" t="s">
        <v>321</v>
      </c>
      <c r="E282" t="s">
        <v>322</v>
      </c>
      <c r="F282" t="s">
        <v>347</v>
      </c>
      <c r="G282" t="s">
        <v>31</v>
      </c>
      <c r="H282" t="str">
        <f t="shared" si="4"/>
        <v>09.006.10.302.0015.2.014.3.3.90.39.00</v>
      </c>
      <c r="I282" t="s">
        <v>309</v>
      </c>
      <c r="J282" t="s">
        <v>348</v>
      </c>
      <c r="K282" t="s">
        <v>325</v>
      </c>
      <c r="L282" t="s">
        <v>326</v>
      </c>
      <c r="M282" t="s">
        <v>327</v>
      </c>
      <c r="N282" t="s">
        <v>349</v>
      </c>
      <c r="O282" t="s">
        <v>32</v>
      </c>
      <c r="P282" t="s">
        <v>50</v>
      </c>
      <c r="Q282" t="s">
        <v>368</v>
      </c>
      <c r="R282" s="9">
        <v>920214.36</v>
      </c>
      <c r="S282" t="s">
        <v>27</v>
      </c>
    </row>
    <row r="283" spans="1:19" x14ac:dyDescent="0.25">
      <c r="A283" t="s">
        <v>308</v>
      </c>
      <c r="B283" t="s">
        <v>346</v>
      </c>
      <c r="C283" s="2" t="s">
        <v>320</v>
      </c>
      <c r="D283" t="s">
        <v>321</v>
      </c>
      <c r="E283" t="s">
        <v>322</v>
      </c>
      <c r="F283" t="s">
        <v>347</v>
      </c>
      <c r="G283" t="s">
        <v>18</v>
      </c>
      <c r="H283" t="str">
        <f t="shared" si="4"/>
        <v>09.006.10.302.0015.2.014.3.3.90.30.00</v>
      </c>
      <c r="I283" t="s">
        <v>309</v>
      </c>
      <c r="J283" t="s">
        <v>348</v>
      </c>
      <c r="K283" t="s">
        <v>325</v>
      </c>
      <c r="L283" t="s">
        <v>326</v>
      </c>
      <c r="M283" t="s">
        <v>327</v>
      </c>
      <c r="N283" t="s">
        <v>349</v>
      </c>
      <c r="O283" t="s">
        <v>25</v>
      </c>
      <c r="P283" t="s">
        <v>49</v>
      </c>
      <c r="Q283" t="s">
        <v>368</v>
      </c>
      <c r="R283" s="9">
        <v>4499527.2</v>
      </c>
      <c r="S283" t="s">
        <v>27</v>
      </c>
    </row>
    <row r="284" spans="1:19" x14ac:dyDescent="0.25">
      <c r="A284" t="s">
        <v>308</v>
      </c>
      <c r="B284" t="s">
        <v>319</v>
      </c>
      <c r="C284" s="2" t="s">
        <v>320</v>
      </c>
      <c r="D284" t="s">
        <v>321</v>
      </c>
      <c r="E284" t="s">
        <v>322</v>
      </c>
      <c r="F284" t="s">
        <v>347</v>
      </c>
      <c r="G284" t="s">
        <v>18</v>
      </c>
      <c r="H284" t="str">
        <f t="shared" si="4"/>
        <v>09.010.10.302.0015.2.014.3.3.90.30.00</v>
      </c>
      <c r="I284" t="s">
        <v>309</v>
      </c>
      <c r="J284" t="s">
        <v>324</v>
      </c>
      <c r="K284" t="s">
        <v>325</v>
      </c>
      <c r="L284" t="s">
        <v>326</v>
      </c>
      <c r="M284" t="s">
        <v>327</v>
      </c>
      <c r="N284" t="s">
        <v>349</v>
      </c>
      <c r="O284" t="s">
        <v>25</v>
      </c>
      <c r="P284" t="s">
        <v>49</v>
      </c>
      <c r="Q284" t="s">
        <v>368</v>
      </c>
      <c r="R284" s="9">
        <v>8918329.3200000003</v>
      </c>
      <c r="S284" t="s">
        <v>27</v>
      </c>
    </row>
    <row r="285" spans="1:19" x14ac:dyDescent="0.25">
      <c r="A285" t="s">
        <v>308</v>
      </c>
      <c r="B285" t="s">
        <v>335</v>
      </c>
      <c r="C285" s="2" t="s">
        <v>320</v>
      </c>
      <c r="D285" t="s">
        <v>321</v>
      </c>
      <c r="E285" t="s">
        <v>322</v>
      </c>
      <c r="F285" t="s">
        <v>338</v>
      </c>
      <c r="G285" t="s">
        <v>18</v>
      </c>
      <c r="H285" t="str">
        <f t="shared" si="4"/>
        <v>09.009.10.302.0015.2.013.3.3.90.30.00</v>
      </c>
      <c r="I285" t="s">
        <v>309</v>
      </c>
      <c r="J285" t="s">
        <v>336</v>
      </c>
      <c r="K285" t="s">
        <v>325</v>
      </c>
      <c r="L285" t="s">
        <v>326</v>
      </c>
      <c r="M285" t="s">
        <v>327</v>
      </c>
      <c r="N285" t="s">
        <v>339</v>
      </c>
      <c r="O285" t="s">
        <v>25</v>
      </c>
      <c r="P285" t="s">
        <v>49</v>
      </c>
      <c r="Q285" t="s">
        <v>368</v>
      </c>
      <c r="R285" s="9">
        <v>2953525.08</v>
      </c>
      <c r="S285" t="s">
        <v>27</v>
      </c>
    </row>
    <row r="286" spans="1:19" x14ac:dyDescent="0.25">
      <c r="A286" t="s">
        <v>308</v>
      </c>
      <c r="B286" t="s">
        <v>346</v>
      </c>
      <c r="C286" s="2" t="s">
        <v>320</v>
      </c>
      <c r="D286" t="s">
        <v>321</v>
      </c>
      <c r="E286" t="s">
        <v>322</v>
      </c>
      <c r="F286" t="s">
        <v>347</v>
      </c>
      <c r="G286" t="s">
        <v>31</v>
      </c>
      <c r="H286" t="str">
        <f t="shared" si="4"/>
        <v>09.006.10.302.0015.2.014.3.3.90.39.00</v>
      </c>
      <c r="I286" t="s">
        <v>309</v>
      </c>
      <c r="J286" t="s">
        <v>348</v>
      </c>
      <c r="K286" t="s">
        <v>325</v>
      </c>
      <c r="L286" t="s">
        <v>326</v>
      </c>
      <c r="M286" t="s">
        <v>327</v>
      </c>
      <c r="N286" t="s">
        <v>349</v>
      </c>
      <c r="O286" t="s">
        <v>32</v>
      </c>
      <c r="P286" t="s">
        <v>114</v>
      </c>
      <c r="Q286" t="s">
        <v>369</v>
      </c>
      <c r="R286" s="9">
        <v>5778180</v>
      </c>
      <c r="S286" t="s">
        <v>27</v>
      </c>
    </row>
    <row r="287" spans="1:19" x14ac:dyDescent="0.25">
      <c r="A287" t="s">
        <v>308</v>
      </c>
      <c r="B287" t="s">
        <v>47</v>
      </c>
      <c r="C287" s="2" t="s">
        <v>320</v>
      </c>
      <c r="D287" t="s">
        <v>370</v>
      </c>
      <c r="E287" t="s">
        <v>360</v>
      </c>
      <c r="F287" t="s">
        <v>17</v>
      </c>
      <c r="G287" t="s">
        <v>31</v>
      </c>
      <c r="H287" t="str">
        <f t="shared" si="4"/>
        <v>09.012.10.303.0014.2.011.3.3.90.39.00</v>
      </c>
      <c r="I287" t="s">
        <v>309</v>
      </c>
      <c r="J287" t="s">
        <v>371</v>
      </c>
      <c r="K287" t="s">
        <v>325</v>
      </c>
      <c r="L287" t="s">
        <v>372</v>
      </c>
      <c r="M287" t="s">
        <v>362</v>
      </c>
      <c r="N287" t="s">
        <v>24</v>
      </c>
      <c r="O287" t="s">
        <v>32</v>
      </c>
      <c r="P287" t="s">
        <v>114</v>
      </c>
      <c r="Q287" t="s">
        <v>369</v>
      </c>
      <c r="R287" s="9">
        <v>120600</v>
      </c>
      <c r="S287" t="s">
        <v>27</v>
      </c>
    </row>
    <row r="288" spans="1:19" x14ac:dyDescent="0.25">
      <c r="A288" t="s">
        <v>308</v>
      </c>
      <c r="B288" t="s">
        <v>335</v>
      </c>
      <c r="C288" s="2" t="s">
        <v>320</v>
      </c>
      <c r="D288" t="s">
        <v>321</v>
      </c>
      <c r="E288" t="s">
        <v>322</v>
      </c>
      <c r="F288" t="s">
        <v>338</v>
      </c>
      <c r="G288" t="s">
        <v>31</v>
      </c>
      <c r="H288" t="str">
        <f t="shared" si="4"/>
        <v>09.009.10.302.0015.2.013.3.3.90.39.00</v>
      </c>
      <c r="I288" t="s">
        <v>309</v>
      </c>
      <c r="J288" t="s">
        <v>336</v>
      </c>
      <c r="K288" t="s">
        <v>325</v>
      </c>
      <c r="L288" t="s">
        <v>326</v>
      </c>
      <c r="M288" t="s">
        <v>327</v>
      </c>
      <c r="N288" t="s">
        <v>339</v>
      </c>
      <c r="O288" t="s">
        <v>32</v>
      </c>
      <c r="P288" t="s">
        <v>114</v>
      </c>
      <c r="Q288" t="s">
        <v>369</v>
      </c>
      <c r="R288" s="9">
        <v>1674756</v>
      </c>
      <c r="S288" t="s">
        <v>27</v>
      </c>
    </row>
    <row r="289" spans="1:19" x14ac:dyDescent="0.25">
      <c r="A289" t="s">
        <v>308</v>
      </c>
      <c r="B289" t="s">
        <v>319</v>
      </c>
      <c r="C289" s="2" t="s">
        <v>320</v>
      </c>
      <c r="D289" t="s">
        <v>321</v>
      </c>
      <c r="E289" t="s">
        <v>322</v>
      </c>
      <c r="F289" t="s">
        <v>347</v>
      </c>
      <c r="G289" t="s">
        <v>31</v>
      </c>
      <c r="H289" t="str">
        <f t="shared" si="4"/>
        <v>09.010.10.302.0015.2.014.3.3.90.39.00</v>
      </c>
      <c r="I289" t="s">
        <v>309</v>
      </c>
      <c r="J289" t="s">
        <v>324</v>
      </c>
      <c r="K289" t="s">
        <v>325</v>
      </c>
      <c r="L289" t="s">
        <v>326</v>
      </c>
      <c r="M289" t="s">
        <v>327</v>
      </c>
      <c r="N289" t="s">
        <v>349</v>
      </c>
      <c r="O289" t="s">
        <v>32</v>
      </c>
      <c r="P289" t="s">
        <v>114</v>
      </c>
      <c r="Q289" t="s">
        <v>369</v>
      </c>
      <c r="R289" s="9">
        <v>2007852</v>
      </c>
      <c r="S289" t="s">
        <v>27</v>
      </c>
    </row>
    <row r="290" spans="1:19" x14ac:dyDescent="0.25">
      <c r="A290" t="s">
        <v>308</v>
      </c>
      <c r="B290" t="s">
        <v>352</v>
      </c>
      <c r="C290" s="2" t="s">
        <v>320</v>
      </c>
      <c r="D290" t="s">
        <v>353</v>
      </c>
      <c r="E290" t="s">
        <v>322</v>
      </c>
      <c r="F290" t="s">
        <v>354</v>
      </c>
      <c r="G290" t="s">
        <v>31</v>
      </c>
      <c r="H290" t="str">
        <f t="shared" si="4"/>
        <v>09.008.10.301.0015.2.012.3.3.90.39.00</v>
      </c>
      <c r="I290" t="s">
        <v>309</v>
      </c>
      <c r="J290" t="s">
        <v>355</v>
      </c>
      <c r="K290" t="s">
        <v>325</v>
      </c>
      <c r="L290" t="s">
        <v>356</v>
      </c>
      <c r="M290" t="s">
        <v>327</v>
      </c>
      <c r="N290" t="s">
        <v>357</v>
      </c>
      <c r="O290" t="s">
        <v>32</v>
      </c>
      <c r="P290" t="s">
        <v>105</v>
      </c>
      <c r="Q290" t="s">
        <v>373</v>
      </c>
      <c r="R290" s="9">
        <v>230852.52</v>
      </c>
      <c r="S290" t="s">
        <v>27</v>
      </c>
    </row>
    <row r="291" spans="1:19" x14ac:dyDescent="0.25">
      <c r="A291" t="s">
        <v>308</v>
      </c>
      <c r="B291" t="s">
        <v>319</v>
      </c>
      <c r="C291" s="2" t="s">
        <v>320</v>
      </c>
      <c r="D291" t="s">
        <v>321</v>
      </c>
      <c r="E291" t="s">
        <v>322</v>
      </c>
      <c r="F291" t="s">
        <v>347</v>
      </c>
      <c r="G291" t="s">
        <v>31</v>
      </c>
      <c r="H291" t="str">
        <f t="shared" si="4"/>
        <v>09.010.10.302.0015.2.014.3.3.90.39.00</v>
      </c>
      <c r="I291" t="s">
        <v>309</v>
      </c>
      <c r="J291" t="s">
        <v>324</v>
      </c>
      <c r="K291" t="s">
        <v>325</v>
      </c>
      <c r="L291" t="s">
        <v>326</v>
      </c>
      <c r="M291" t="s">
        <v>327</v>
      </c>
      <c r="N291" t="s">
        <v>349</v>
      </c>
      <c r="O291" t="s">
        <v>32</v>
      </c>
      <c r="P291" t="s">
        <v>105</v>
      </c>
      <c r="Q291" t="s">
        <v>374</v>
      </c>
      <c r="R291" s="9">
        <v>71334.720000000001</v>
      </c>
      <c r="S291" t="s">
        <v>27</v>
      </c>
    </row>
    <row r="292" spans="1:19" x14ac:dyDescent="0.25">
      <c r="A292" t="s">
        <v>308</v>
      </c>
      <c r="B292" t="s">
        <v>346</v>
      </c>
      <c r="C292" s="2" t="s">
        <v>320</v>
      </c>
      <c r="D292" t="s">
        <v>321</v>
      </c>
      <c r="E292" t="s">
        <v>322</v>
      </c>
      <c r="F292" t="s">
        <v>347</v>
      </c>
      <c r="G292" t="s">
        <v>31</v>
      </c>
      <c r="H292" t="str">
        <f t="shared" si="4"/>
        <v>09.006.10.302.0015.2.014.3.3.90.39.00</v>
      </c>
      <c r="I292" t="s">
        <v>309</v>
      </c>
      <c r="J292" t="s">
        <v>348</v>
      </c>
      <c r="K292" t="s">
        <v>325</v>
      </c>
      <c r="L292" t="s">
        <v>326</v>
      </c>
      <c r="M292" t="s">
        <v>327</v>
      </c>
      <c r="N292" t="s">
        <v>349</v>
      </c>
      <c r="O292" t="s">
        <v>32</v>
      </c>
      <c r="P292" t="s">
        <v>93</v>
      </c>
      <c r="Q292" t="s">
        <v>375</v>
      </c>
      <c r="R292" s="9">
        <v>4416547.2</v>
      </c>
      <c r="S292" t="s">
        <v>27</v>
      </c>
    </row>
    <row r="293" spans="1:19" x14ac:dyDescent="0.25">
      <c r="A293" t="s">
        <v>308</v>
      </c>
      <c r="B293" t="s">
        <v>346</v>
      </c>
      <c r="C293" s="2" t="s">
        <v>320</v>
      </c>
      <c r="D293" t="s">
        <v>321</v>
      </c>
      <c r="E293" t="s">
        <v>322</v>
      </c>
      <c r="F293" t="s">
        <v>347</v>
      </c>
      <c r="G293" t="s">
        <v>31</v>
      </c>
      <c r="H293" t="str">
        <f t="shared" si="4"/>
        <v>09.006.10.302.0015.2.014.3.3.90.39.00</v>
      </c>
      <c r="I293" t="s">
        <v>309</v>
      </c>
      <c r="J293" t="s">
        <v>348</v>
      </c>
      <c r="K293" t="s">
        <v>325</v>
      </c>
      <c r="L293" t="s">
        <v>326</v>
      </c>
      <c r="M293" t="s">
        <v>327</v>
      </c>
      <c r="N293" t="s">
        <v>349</v>
      </c>
      <c r="O293" t="s">
        <v>32</v>
      </c>
      <c r="P293" t="s">
        <v>50</v>
      </c>
      <c r="Q293" t="s">
        <v>376</v>
      </c>
      <c r="R293" s="9">
        <v>509494.8</v>
      </c>
      <c r="S293" t="s">
        <v>27</v>
      </c>
    </row>
    <row r="294" spans="1:19" x14ac:dyDescent="0.25">
      <c r="A294" t="s">
        <v>308</v>
      </c>
      <c r="B294" t="s">
        <v>319</v>
      </c>
      <c r="C294" s="2" t="s">
        <v>320</v>
      </c>
      <c r="D294" t="s">
        <v>321</v>
      </c>
      <c r="E294" t="s">
        <v>322</v>
      </c>
      <c r="F294" t="s">
        <v>347</v>
      </c>
      <c r="G294" t="s">
        <v>31</v>
      </c>
      <c r="H294" t="str">
        <f t="shared" si="4"/>
        <v>09.010.10.302.0015.2.014.3.3.90.39.00</v>
      </c>
      <c r="I294" t="s">
        <v>309</v>
      </c>
      <c r="J294" t="s">
        <v>324</v>
      </c>
      <c r="K294" t="s">
        <v>325</v>
      </c>
      <c r="L294" t="s">
        <v>326</v>
      </c>
      <c r="M294" t="s">
        <v>327</v>
      </c>
      <c r="N294" t="s">
        <v>349</v>
      </c>
      <c r="O294" t="s">
        <v>32</v>
      </c>
      <c r="P294" t="s">
        <v>114</v>
      </c>
      <c r="Q294" t="s">
        <v>377</v>
      </c>
      <c r="R294" s="9">
        <v>177646.2</v>
      </c>
      <c r="S294" t="s">
        <v>27</v>
      </c>
    </row>
    <row r="295" spans="1:19" x14ac:dyDescent="0.25">
      <c r="A295" t="s">
        <v>308</v>
      </c>
      <c r="B295" t="s">
        <v>346</v>
      </c>
      <c r="C295" s="2" t="s">
        <v>320</v>
      </c>
      <c r="D295" t="s">
        <v>321</v>
      </c>
      <c r="E295" t="s">
        <v>322</v>
      </c>
      <c r="F295" t="s">
        <v>347</v>
      </c>
      <c r="G295" t="s">
        <v>31</v>
      </c>
      <c r="H295" t="str">
        <f t="shared" si="4"/>
        <v>09.006.10.302.0015.2.014.3.3.90.39.00</v>
      </c>
      <c r="I295" t="s">
        <v>309</v>
      </c>
      <c r="J295" t="s">
        <v>348</v>
      </c>
      <c r="K295" t="s">
        <v>325</v>
      </c>
      <c r="L295" t="s">
        <v>326</v>
      </c>
      <c r="M295" t="s">
        <v>327</v>
      </c>
      <c r="N295" t="s">
        <v>349</v>
      </c>
      <c r="O295" t="s">
        <v>32</v>
      </c>
      <c r="P295" t="s">
        <v>114</v>
      </c>
      <c r="Q295" t="s">
        <v>377</v>
      </c>
      <c r="R295" s="9">
        <v>85639.2</v>
      </c>
      <c r="S295" t="s">
        <v>27</v>
      </c>
    </row>
    <row r="296" spans="1:19" x14ac:dyDescent="0.25">
      <c r="A296" t="s">
        <v>308</v>
      </c>
      <c r="B296" t="s">
        <v>319</v>
      </c>
      <c r="C296" s="2" t="s">
        <v>320</v>
      </c>
      <c r="D296" t="s">
        <v>321</v>
      </c>
      <c r="E296" t="s">
        <v>322</v>
      </c>
      <c r="F296" t="s">
        <v>347</v>
      </c>
      <c r="G296" t="s">
        <v>18</v>
      </c>
      <c r="H296" t="str">
        <f t="shared" si="4"/>
        <v>09.010.10.302.0015.2.014.3.3.90.30.00</v>
      </c>
      <c r="I296" t="s">
        <v>309</v>
      </c>
      <c r="J296" t="s">
        <v>324</v>
      </c>
      <c r="K296" t="s">
        <v>325</v>
      </c>
      <c r="L296" t="s">
        <v>326</v>
      </c>
      <c r="M296" t="s">
        <v>327</v>
      </c>
      <c r="N296" t="s">
        <v>349</v>
      </c>
      <c r="O296" t="s">
        <v>25</v>
      </c>
      <c r="P296" t="s">
        <v>26</v>
      </c>
      <c r="Q296" t="s">
        <v>377</v>
      </c>
      <c r="R296" s="9">
        <v>1469614.92</v>
      </c>
      <c r="S296" t="s">
        <v>27</v>
      </c>
    </row>
    <row r="297" spans="1:19" x14ac:dyDescent="0.25">
      <c r="A297" t="s">
        <v>308</v>
      </c>
      <c r="B297" t="s">
        <v>346</v>
      </c>
      <c r="C297" s="2" t="s">
        <v>320</v>
      </c>
      <c r="D297" t="s">
        <v>321</v>
      </c>
      <c r="E297" t="s">
        <v>322</v>
      </c>
      <c r="F297" t="s">
        <v>347</v>
      </c>
      <c r="G297" t="s">
        <v>18</v>
      </c>
      <c r="H297" t="str">
        <f t="shared" si="4"/>
        <v>09.006.10.302.0015.2.014.3.3.90.30.00</v>
      </c>
      <c r="I297" t="s">
        <v>309</v>
      </c>
      <c r="J297" t="s">
        <v>348</v>
      </c>
      <c r="K297" t="s">
        <v>325</v>
      </c>
      <c r="L297" t="s">
        <v>326</v>
      </c>
      <c r="M297" t="s">
        <v>327</v>
      </c>
      <c r="N297" t="s">
        <v>349</v>
      </c>
      <c r="O297" t="s">
        <v>25</v>
      </c>
      <c r="P297" t="s">
        <v>26</v>
      </c>
      <c r="Q297" t="s">
        <v>377</v>
      </c>
      <c r="R297" s="9">
        <v>1406585.76</v>
      </c>
      <c r="S297" t="s">
        <v>27</v>
      </c>
    </row>
    <row r="298" spans="1:19" x14ac:dyDescent="0.25">
      <c r="A298" t="s">
        <v>308</v>
      </c>
      <c r="B298" t="s">
        <v>352</v>
      </c>
      <c r="C298" s="2" t="s">
        <v>320</v>
      </c>
      <c r="D298" t="s">
        <v>353</v>
      </c>
      <c r="E298" t="s">
        <v>322</v>
      </c>
      <c r="F298" t="s">
        <v>354</v>
      </c>
      <c r="G298" t="s">
        <v>18</v>
      </c>
      <c r="H298" t="str">
        <f t="shared" si="4"/>
        <v>09.008.10.301.0015.2.012.3.3.90.30.00</v>
      </c>
      <c r="I298" t="s">
        <v>309</v>
      </c>
      <c r="J298" t="s">
        <v>355</v>
      </c>
      <c r="K298" t="s">
        <v>325</v>
      </c>
      <c r="L298" t="s">
        <v>356</v>
      </c>
      <c r="M298" t="s">
        <v>327</v>
      </c>
      <c r="N298" t="s">
        <v>357</v>
      </c>
      <c r="O298" t="s">
        <v>25</v>
      </c>
      <c r="P298" t="s">
        <v>26</v>
      </c>
      <c r="Q298" t="s">
        <v>377</v>
      </c>
      <c r="R298" s="9">
        <v>68127.240000000005</v>
      </c>
      <c r="S298" t="s">
        <v>27</v>
      </c>
    </row>
    <row r="299" spans="1:19" x14ac:dyDescent="0.25">
      <c r="A299" t="s">
        <v>308</v>
      </c>
      <c r="B299" t="s">
        <v>335</v>
      </c>
      <c r="C299" s="2" t="s">
        <v>320</v>
      </c>
      <c r="D299" t="s">
        <v>321</v>
      </c>
      <c r="E299" t="s">
        <v>322</v>
      </c>
      <c r="F299" t="s">
        <v>338</v>
      </c>
      <c r="G299" t="s">
        <v>18</v>
      </c>
      <c r="H299" t="str">
        <f t="shared" si="4"/>
        <v>09.009.10.302.0015.2.013.3.3.90.30.00</v>
      </c>
      <c r="I299" t="s">
        <v>309</v>
      </c>
      <c r="J299" t="s">
        <v>336</v>
      </c>
      <c r="K299" t="s">
        <v>325</v>
      </c>
      <c r="L299" t="s">
        <v>326</v>
      </c>
      <c r="M299" t="s">
        <v>327</v>
      </c>
      <c r="N299" t="s">
        <v>339</v>
      </c>
      <c r="O299" t="s">
        <v>25</v>
      </c>
      <c r="P299" t="s">
        <v>26</v>
      </c>
      <c r="Q299" t="s">
        <v>377</v>
      </c>
      <c r="R299" s="9">
        <v>59668.800000000003</v>
      </c>
      <c r="S299" t="s">
        <v>27</v>
      </c>
    </row>
    <row r="300" spans="1:19" x14ac:dyDescent="0.25">
      <c r="A300" t="s">
        <v>308</v>
      </c>
      <c r="B300" t="s">
        <v>359</v>
      </c>
      <c r="C300" s="2" t="s">
        <v>320</v>
      </c>
      <c r="D300" t="s">
        <v>15</v>
      </c>
      <c r="E300" t="s">
        <v>360</v>
      </c>
      <c r="F300" t="s">
        <v>17</v>
      </c>
      <c r="G300" t="s">
        <v>31</v>
      </c>
      <c r="H300" t="str">
        <f t="shared" si="4"/>
        <v>09.015.10.122.0014.2.011.3.3.90.39.00</v>
      </c>
      <c r="I300" t="s">
        <v>309</v>
      </c>
      <c r="J300" t="s">
        <v>361</v>
      </c>
      <c r="K300" t="s">
        <v>325</v>
      </c>
      <c r="L300" t="s">
        <v>22</v>
      </c>
      <c r="M300" t="s">
        <v>362</v>
      </c>
      <c r="N300" t="s">
        <v>24</v>
      </c>
      <c r="O300" t="s">
        <v>32</v>
      </c>
      <c r="P300" t="s">
        <v>378</v>
      </c>
      <c r="Q300" t="s">
        <v>379</v>
      </c>
      <c r="R300" s="9">
        <v>260000</v>
      </c>
      <c r="S300" t="s">
        <v>27</v>
      </c>
    </row>
    <row r="301" spans="1:19" x14ac:dyDescent="0.25">
      <c r="A301" t="s">
        <v>308</v>
      </c>
      <c r="B301" t="s">
        <v>359</v>
      </c>
      <c r="C301" s="2" t="s">
        <v>320</v>
      </c>
      <c r="D301" t="s">
        <v>15</v>
      </c>
      <c r="E301" t="s">
        <v>360</v>
      </c>
      <c r="F301" t="s">
        <v>17</v>
      </c>
      <c r="G301" t="s">
        <v>18</v>
      </c>
      <c r="H301" t="str">
        <f t="shared" si="4"/>
        <v>09.015.10.122.0014.2.011.3.3.90.30.00</v>
      </c>
      <c r="I301" t="s">
        <v>309</v>
      </c>
      <c r="J301" t="s">
        <v>361</v>
      </c>
      <c r="K301" t="s">
        <v>325</v>
      </c>
      <c r="L301" t="s">
        <v>22</v>
      </c>
      <c r="M301" t="s">
        <v>362</v>
      </c>
      <c r="N301" t="s">
        <v>24</v>
      </c>
      <c r="O301" t="s">
        <v>25</v>
      </c>
      <c r="P301" t="s">
        <v>29</v>
      </c>
      <c r="Q301" t="s">
        <v>380</v>
      </c>
      <c r="R301" s="9">
        <v>2508000</v>
      </c>
      <c r="S301" t="s">
        <v>27</v>
      </c>
    </row>
    <row r="302" spans="1:19" x14ac:dyDescent="0.25">
      <c r="A302" t="s">
        <v>308</v>
      </c>
      <c r="B302" t="s">
        <v>359</v>
      </c>
      <c r="C302" s="2" t="s">
        <v>320</v>
      </c>
      <c r="D302" t="s">
        <v>15</v>
      </c>
      <c r="E302" t="s">
        <v>360</v>
      </c>
      <c r="F302" t="s">
        <v>17</v>
      </c>
      <c r="G302" t="s">
        <v>18</v>
      </c>
      <c r="H302" t="str">
        <f t="shared" si="4"/>
        <v>09.015.10.122.0014.2.011.3.3.90.30.00</v>
      </c>
      <c r="I302" t="s">
        <v>309</v>
      </c>
      <c r="J302" t="s">
        <v>361</v>
      </c>
      <c r="K302" t="s">
        <v>325</v>
      </c>
      <c r="L302" t="s">
        <v>22</v>
      </c>
      <c r="M302" t="s">
        <v>362</v>
      </c>
      <c r="N302" t="s">
        <v>24</v>
      </c>
      <c r="O302" t="s">
        <v>25</v>
      </c>
      <c r="P302" t="s">
        <v>28</v>
      </c>
      <c r="Q302" t="s">
        <v>381</v>
      </c>
      <c r="R302" s="9">
        <v>1103539</v>
      </c>
      <c r="S302" t="s">
        <v>27</v>
      </c>
    </row>
    <row r="303" spans="1:19" x14ac:dyDescent="0.25">
      <c r="A303" t="s">
        <v>308</v>
      </c>
      <c r="B303" t="s">
        <v>359</v>
      </c>
      <c r="C303" s="2" t="s">
        <v>320</v>
      </c>
      <c r="D303" t="s">
        <v>15</v>
      </c>
      <c r="E303" t="s">
        <v>360</v>
      </c>
      <c r="F303" t="s">
        <v>17</v>
      </c>
      <c r="G303" t="s">
        <v>18</v>
      </c>
      <c r="H303" t="str">
        <f t="shared" si="4"/>
        <v>09.015.10.122.0014.2.011.3.3.90.30.00</v>
      </c>
      <c r="I303" t="s">
        <v>309</v>
      </c>
      <c r="J303" t="s">
        <v>361</v>
      </c>
      <c r="K303" t="s">
        <v>325</v>
      </c>
      <c r="L303" t="s">
        <v>22</v>
      </c>
      <c r="M303" t="s">
        <v>362</v>
      </c>
      <c r="N303" t="s">
        <v>24</v>
      </c>
      <c r="O303" t="s">
        <v>25</v>
      </c>
      <c r="P303" t="s">
        <v>30</v>
      </c>
      <c r="Q303" t="s">
        <v>382</v>
      </c>
      <c r="R303" s="9">
        <v>1162001</v>
      </c>
      <c r="S303" t="s">
        <v>27</v>
      </c>
    </row>
    <row r="304" spans="1:19" x14ac:dyDescent="0.25">
      <c r="A304" t="s">
        <v>308</v>
      </c>
      <c r="B304" t="s">
        <v>359</v>
      </c>
      <c r="C304" s="2" t="s">
        <v>320</v>
      </c>
      <c r="D304" t="s">
        <v>15</v>
      </c>
      <c r="E304" t="s">
        <v>360</v>
      </c>
      <c r="F304" t="s">
        <v>17</v>
      </c>
      <c r="G304" t="s">
        <v>69</v>
      </c>
      <c r="H304" t="str">
        <f t="shared" si="4"/>
        <v>09.015.10.122.0014.2.011.3.3.90.93.00</v>
      </c>
      <c r="I304" t="s">
        <v>309</v>
      </c>
      <c r="J304" t="s">
        <v>361</v>
      </c>
      <c r="K304" t="s">
        <v>325</v>
      </c>
      <c r="L304" t="s">
        <v>22</v>
      </c>
      <c r="M304" t="s">
        <v>362</v>
      </c>
      <c r="N304" t="s">
        <v>24</v>
      </c>
      <c r="O304" t="s">
        <v>70</v>
      </c>
      <c r="P304" t="s">
        <v>71</v>
      </c>
      <c r="Q304" t="s">
        <v>383</v>
      </c>
      <c r="R304" s="9">
        <v>250000</v>
      </c>
      <c r="S304" t="s">
        <v>27</v>
      </c>
    </row>
    <row r="305" spans="1:19" x14ac:dyDescent="0.25">
      <c r="A305" t="s">
        <v>308</v>
      </c>
      <c r="B305" t="s">
        <v>346</v>
      </c>
      <c r="C305" s="2" t="s">
        <v>320</v>
      </c>
      <c r="D305" t="s">
        <v>321</v>
      </c>
      <c r="E305" t="s">
        <v>322</v>
      </c>
      <c r="F305" t="s">
        <v>347</v>
      </c>
      <c r="G305" t="s">
        <v>69</v>
      </c>
      <c r="H305" t="str">
        <f t="shared" si="4"/>
        <v>09.006.10.302.0015.2.014.3.3.90.93.00</v>
      </c>
      <c r="I305" t="s">
        <v>309</v>
      </c>
      <c r="J305" t="s">
        <v>348</v>
      </c>
      <c r="K305" t="s">
        <v>325</v>
      </c>
      <c r="L305" t="s">
        <v>326</v>
      </c>
      <c r="M305" t="s">
        <v>327</v>
      </c>
      <c r="N305" t="s">
        <v>349</v>
      </c>
      <c r="O305" t="s">
        <v>70</v>
      </c>
      <c r="P305" t="s">
        <v>222</v>
      </c>
      <c r="Q305" t="s">
        <v>384</v>
      </c>
      <c r="R305" s="9">
        <v>1740000</v>
      </c>
      <c r="S305" t="s">
        <v>27</v>
      </c>
    </row>
    <row r="306" spans="1:19" x14ac:dyDescent="0.25">
      <c r="A306" t="s">
        <v>308</v>
      </c>
      <c r="B306" t="s">
        <v>359</v>
      </c>
      <c r="C306" s="2" t="s">
        <v>320</v>
      </c>
      <c r="D306" t="s">
        <v>15</v>
      </c>
      <c r="E306" t="s">
        <v>360</v>
      </c>
      <c r="F306" t="s">
        <v>17</v>
      </c>
      <c r="G306" t="s">
        <v>69</v>
      </c>
      <c r="H306" t="str">
        <f t="shared" si="4"/>
        <v>09.015.10.122.0014.2.011.3.3.90.93.00</v>
      </c>
      <c r="I306" t="s">
        <v>309</v>
      </c>
      <c r="J306" t="s">
        <v>361</v>
      </c>
      <c r="K306" t="s">
        <v>325</v>
      </c>
      <c r="L306" t="s">
        <v>22</v>
      </c>
      <c r="M306" t="s">
        <v>362</v>
      </c>
      <c r="N306" t="s">
        <v>24</v>
      </c>
      <c r="O306" t="s">
        <v>70</v>
      </c>
      <c r="P306" t="s">
        <v>222</v>
      </c>
      <c r="Q306" t="s">
        <v>385</v>
      </c>
      <c r="R306" s="9">
        <v>3696000</v>
      </c>
      <c r="S306" t="s">
        <v>27</v>
      </c>
    </row>
    <row r="307" spans="1:19" x14ac:dyDescent="0.25">
      <c r="A307" t="s">
        <v>308</v>
      </c>
      <c r="B307" t="s">
        <v>335</v>
      </c>
      <c r="C307" s="2" t="s">
        <v>320</v>
      </c>
      <c r="D307" t="s">
        <v>321</v>
      </c>
      <c r="E307" t="s">
        <v>322</v>
      </c>
      <c r="F307" t="s">
        <v>338</v>
      </c>
      <c r="G307" t="s">
        <v>69</v>
      </c>
      <c r="H307" t="str">
        <f t="shared" si="4"/>
        <v>09.009.10.302.0015.2.013.3.3.90.93.00</v>
      </c>
      <c r="I307" t="s">
        <v>309</v>
      </c>
      <c r="J307" t="s">
        <v>336</v>
      </c>
      <c r="K307" t="s">
        <v>325</v>
      </c>
      <c r="L307" t="s">
        <v>326</v>
      </c>
      <c r="M307" t="s">
        <v>327</v>
      </c>
      <c r="N307" t="s">
        <v>339</v>
      </c>
      <c r="O307" t="s">
        <v>70</v>
      </c>
      <c r="P307" t="s">
        <v>222</v>
      </c>
      <c r="Q307" t="s">
        <v>386</v>
      </c>
      <c r="R307" s="9">
        <v>792000</v>
      </c>
      <c r="S307" t="s">
        <v>27</v>
      </c>
    </row>
    <row r="308" spans="1:19" x14ac:dyDescent="0.25">
      <c r="A308" t="s">
        <v>308</v>
      </c>
      <c r="B308" t="s">
        <v>359</v>
      </c>
      <c r="C308" s="2" t="s">
        <v>320</v>
      </c>
      <c r="D308" t="s">
        <v>15</v>
      </c>
      <c r="E308" t="s">
        <v>360</v>
      </c>
      <c r="F308" t="s">
        <v>17</v>
      </c>
      <c r="G308" t="s">
        <v>18</v>
      </c>
      <c r="H308" t="str">
        <f t="shared" si="4"/>
        <v>09.015.10.122.0014.2.011.3.3.90.30.00</v>
      </c>
      <c r="I308" t="s">
        <v>309</v>
      </c>
      <c r="J308" t="s">
        <v>361</v>
      </c>
      <c r="K308" t="s">
        <v>325</v>
      </c>
      <c r="L308" t="s">
        <v>22</v>
      </c>
      <c r="M308" t="s">
        <v>362</v>
      </c>
      <c r="N308" t="s">
        <v>24</v>
      </c>
      <c r="O308" t="s">
        <v>25</v>
      </c>
      <c r="P308" t="s">
        <v>39</v>
      </c>
      <c r="Q308" t="s">
        <v>387</v>
      </c>
      <c r="R308" s="9">
        <v>200000</v>
      </c>
      <c r="S308" t="s">
        <v>27</v>
      </c>
    </row>
    <row r="309" spans="1:19" x14ac:dyDescent="0.25">
      <c r="A309" t="s">
        <v>308</v>
      </c>
      <c r="B309" t="s">
        <v>359</v>
      </c>
      <c r="C309" s="2" t="s">
        <v>320</v>
      </c>
      <c r="D309" t="s">
        <v>15</v>
      </c>
      <c r="E309" t="s">
        <v>360</v>
      </c>
      <c r="F309" t="s">
        <v>17</v>
      </c>
      <c r="G309" t="s">
        <v>31</v>
      </c>
      <c r="H309" t="str">
        <f t="shared" si="4"/>
        <v>09.015.10.122.0014.2.011.3.3.90.39.00</v>
      </c>
      <c r="I309" t="s">
        <v>309</v>
      </c>
      <c r="J309" t="s">
        <v>361</v>
      </c>
      <c r="K309" t="s">
        <v>325</v>
      </c>
      <c r="L309" t="s">
        <v>22</v>
      </c>
      <c r="M309" t="s">
        <v>362</v>
      </c>
      <c r="N309" t="s">
        <v>24</v>
      </c>
      <c r="O309" t="s">
        <v>32</v>
      </c>
      <c r="P309" t="s">
        <v>33</v>
      </c>
      <c r="Q309" t="s">
        <v>388</v>
      </c>
      <c r="R309" s="9">
        <v>2680000</v>
      </c>
      <c r="S309" t="s">
        <v>27</v>
      </c>
    </row>
    <row r="310" spans="1:19" x14ac:dyDescent="0.25">
      <c r="A310" t="s">
        <v>308</v>
      </c>
      <c r="B310" t="s">
        <v>359</v>
      </c>
      <c r="C310" s="2" t="s">
        <v>320</v>
      </c>
      <c r="D310" t="s">
        <v>15</v>
      </c>
      <c r="E310" t="s">
        <v>360</v>
      </c>
      <c r="F310" t="s">
        <v>17</v>
      </c>
      <c r="G310" t="s">
        <v>31</v>
      </c>
      <c r="H310" t="str">
        <f t="shared" si="4"/>
        <v>09.015.10.122.0014.2.011.3.3.90.39.00</v>
      </c>
      <c r="I310" t="s">
        <v>309</v>
      </c>
      <c r="J310" t="s">
        <v>361</v>
      </c>
      <c r="K310" t="s">
        <v>325</v>
      </c>
      <c r="L310" t="s">
        <v>22</v>
      </c>
      <c r="M310" t="s">
        <v>362</v>
      </c>
      <c r="N310" t="s">
        <v>24</v>
      </c>
      <c r="O310" t="s">
        <v>32</v>
      </c>
      <c r="P310" t="s">
        <v>93</v>
      </c>
      <c r="Q310" t="s">
        <v>100</v>
      </c>
      <c r="R310" s="9">
        <v>200000</v>
      </c>
      <c r="S310" t="s">
        <v>27</v>
      </c>
    </row>
    <row r="311" spans="1:19" x14ac:dyDescent="0.25">
      <c r="A311" t="s">
        <v>308</v>
      </c>
      <c r="B311" t="s">
        <v>359</v>
      </c>
      <c r="C311" s="2" t="s">
        <v>320</v>
      </c>
      <c r="D311" t="s">
        <v>15</v>
      </c>
      <c r="E311" t="s">
        <v>360</v>
      </c>
      <c r="F311" t="s">
        <v>17</v>
      </c>
      <c r="G311" t="s">
        <v>263</v>
      </c>
      <c r="H311" t="str">
        <f t="shared" si="4"/>
        <v>09.015.10.122.0014.2.011.3.3.90.32.00</v>
      </c>
      <c r="I311" t="s">
        <v>309</v>
      </c>
      <c r="J311" t="s">
        <v>361</v>
      </c>
      <c r="K311" t="s">
        <v>325</v>
      </c>
      <c r="L311" t="s">
        <v>22</v>
      </c>
      <c r="M311" t="s">
        <v>362</v>
      </c>
      <c r="N311" t="s">
        <v>24</v>
      </c>
      <c r="O311" t="s">
        <v>264</v>
      </c>
      <c r="P311" t="s">
        <v>265</v>
      </c>
      <c r="Q311" t="s">
        <v>389</v>
      </c>
      <c r="R311" s="9">
        <v>360000</v>
      </c>
      <c r="S311" t="s">
        <v>27</v>
      </c>
    </row>
    <row r="312" spans="1:19" x14ac:dyDescent="0.25">
      <c r="A312" t="s">
        <v>308</v>
      </c>
      <c r="B312" t="s">
        <v>346</v>
      </c>
      <c r="C312" s="2" t="s">
        <v>320</v>
      </c>
      <c r="D312" t="s">
        <v>321</v>
      </c>
      <c r="E312" t="s">
        <v>322</v>
      </c>
      <c r="F312" t="s">
        <v>347</v>
      </c>
      <c r="G312" t="s">
        <v>18</v>
      </c>
      <c r="H312" t="str">
        <f t="shared" si="4"/>
        <v>09.006.10.302.0015.2.014.3.3.90.30.00</v>
      </c>
      <c r="I312" t="s">
        <v>309</v>
      </c>
      <c r="J312" t="s">
        <v>348</v>
      </c>
      <c r="K312" t="s">
        <v>325</v>
      </c>
      <c r="L312" t="s">
        <v>326</v>
      </c>
      <c r="M312" t="s">
        <v>327</v>
      </c>
      <c r="N312" t="s">
        <v>349</v>
      </c>
      <c r="O312" t="s">
        <v>25</v>
      </c>
      <c r="P312" t="s">
        <v>49</v>
      </c>
      <c r="Q312" t="s">
        <v>390</v>
      </c>
      <c r="R312" s="9">
        <v>1083662.1000000001</v>
      </c>
      <c r="S312" t="s">
        <v>27</v>
      </c>
    </row>
    <row r="313" spans="1:19" x14ac:dyDescent="0.25">
      <c r="A313" t="s">
        <v>308</v>
      </c>
      <c r="B313" t="s">
        <v>319</v>
      </c>
      <c r="C313" s="2" t="s">
        <v>320</v>
      </c>
      <c r="D313" t="s">
        <v>321</v>
      </c>
      <c r="E313" t="s">
        <v>52</v>
      </c>
      <c r="F313" t="s">
        <v>347</v>
      </c>
      <c r="G313" t="s">
        <v>18</v>
      </c>
      <c r="H313" t="str">
        <f t="shared" si="4"/>
        <v>09.010.10.302.0002.2.014.3.3.90.30.00</v>
      </c>
      <c r="I313" t="s">
        <v>309</v>
      </c>
      <c r="J313" t="s">
        <v>324</v>
      </c>
      <c r="K313" t="s">
        <v>325</v>
      </c>
      <c r="L313" t="s">
        <v>326</v>
      </c>
      <c r="M313" t="s">
        <v>58</v>
      </c>
      <c r="N313" t="s">
        <v>349</v>
      </c>
      <c r="O313" t="s">
        <v>25</v>
      </c>
      <c r="P313" t="s">
        <v>49</v>
      </c>
      <c r="Q313" t="s">
        <v>390</v>
      </c>
      <c r="R313" s="9">
        <v>274000</v>
      </c>
      <c r="S313" t="s">
        <v>27</v>
      </c>
    </row>
    <row r="314" spans="1:19" x14ac:dyDescent="0.25">
      <c r="A314" t="s">
        <v>308</v>
      </c>
      <c r="B314" t="s">
        <v>352</v>
      </c>
      <c r="C314" s="2" t="s">
        <v>320</v>
      </c>
      <c r="D314" t="s">
        <v>353</v>
      </c>
      <c r="E314" t="s">
        <v>322</v>
      </c>
      <c r="F314" t="s">
        <v>354</v>
      </c>
      <c r="G314" t="s">
        <v>391</v>
      </c>
      <c r="H314" t="str">
        <f t="shared" si="4"/>
        <v>09.008.10.301.0015.2.012.</v>
      </c>
      <c r="I314" t="s">
        <v>309</v>
      </c>
      <c r="J314" t="s">
        <v>355</v>
      </c>
      <c r="K314" t="s">
        <v>325</v>
      </c>
      <c r="L314" t="s">
        <v>356</v>
      </c>
      <c r="M314" t="s">
        <v>327</v>
      </c>
      <c r="N314" t="s">
        <v>357</v>
      </c>
      <c r="Q314" t="s">
        <v>392</v>
      </c>
      <c r="R314" s="9">
        <v>3037000</v>
      </c>
      <c r="S314" t="s">
        <v>27</v>
      </c>
    </row>
    <row r="315" spans="1:19" x14ac:dyDescent="0.25">
      <c r="A315" t="s">
        <v>308</v>
      </c>
      <c r="B315" t="s">
        <v>352</v>
      </c>
      <c r="C315" s="2" t="s">
        <v>320</v>
      </c>
      <c r="D315" t="s">
        <v>353</v>
      </c>
      <c r="E315" t="s">
        <v>322</v>
      </c>
      <c r="F315" t="s">
        <v>354</v>
      </c>
      <c r="G315" t="s">
        <v>18</v>
      </c>
      <c r="H315" t="str">
        <f t="shared" si="4"/>
        <v>09.008.10.301.0015.2.012.3.3.90.30.00</v>
      </c>
      <c r="I315" t="s">
        <v>309</v>
      </c>
      <c r="J315" t="s">
        <v>355</v>
      </c>
      <c r="K315" t="s">
        <v>325</v>
      </c>
      <c r="L315" t="s">
        <v>356</v>
      </c>
      <c r="M315" t="s">
        <v>327</v>
      </c>
      <c r="N315" t="s">
        <v>357</v>
      </c>
      <c r="O315" t="s">
        <v>25</v>
      </c>
      <c r="P315" t="s">
        <v>393</v>
      </c>
      <c r="Q315" t="s">
        <v>394</v>
      </c>
      <c r="R315" s="9">
        <v>1640000</v>
      </c>
      <c r="S315" t="s">
        <v>27</v>
      </c>
    </row>
    <row r="316" spans="1:19" x14ac:dyDescent="0.25">
      <c r="A316" t="s">
        <v>308</v>
      </c>
      <c r="B316" t="s">
        <v>13</v>
      </c>
      <c r="C316" s="2" t="s">
        <v>320</v>
      </c>
      <c r="D316" t="s">
        <v>321</v>
      </c>
      <c r="E316" t="s">
        <v>322</v>
      </c>
      <c r="F316" t="s">
        <v>395</v>
      </c>
      <c r="G316" t="s">
        <v>31</v>
      </c>
      <c r="H316" t="str">
        <f t="shared" si="4"/>
        <v>09.001.10.302.0015.2.026.3.3.90.39.00</v>
      </c>
      <c r="I316" t="s">
        <v>309</v>
      </c>
      <c r="J316" t="s">
        <v>310</v>
      </c>
      <c r="K316" t="s">
        <v>325</v>
      </c>
      <c r="L316" t="s">
        <v>326</v>
      </c>
      <c r="M316" t="s">
        <v>327</v>
      </c>
      <c r="N316" t="s">
        <v>396</v>
      </c>
      <c r="O316" t="s">
        <v>32</v>
      </c>
      <c r="P316" t="s">
        <v>397</v>
      </c>
      <c r="Q316" t="s">
        <v>398</v>
      </c>
      <c r="R316" s="9">
        <v>2350000</v>
      </c>
      <c r="S316" t="s">
        <v>27</v>
      </c>
    </row>
    <row r="317" spans="1:19" x14ac:dyDescent="0.25">
      <c r="A317" t="s">
        <v>308</v>
      </c>
      <c r="B317" t="s">
        <v>47</v>
      </c>
      <c r="C317" s="2" t="s">
        <v>320</v>
      </c>
      <c r="D317" t="s">
        <v>370</v>
      </c>
      <c r="E317" t="s">
        <v>360</v>
      </c>
      <c r="F317" t="s">
        <v>17</v>
      </c>
      <c r="G317" t="s">
        <v>18</v>
      </c>
      <c r="H317" t="str">
        <f t="shared" si="4"/>
        <v>09.012.10.303.0014.2.011.3.3.90.30.00</v>
      </c>
      <c r="I317" t="s">
        <v>309</v>
      </c>
      <c r="J317" t="s">
        <v>371</v>
      </c>
      <c r="K317" t="s">
        <v>325</v>
      </c>
      <c r="L317" t="s">
        <v>372</v>
      </c>
      <c r="M317" t="s">
        <v>362</v>
      </c>
      <c r="N317" t="s">
        <v>24</v>
      </c>
      <c r="O317" t="s">
        <v>25</v>
      </c>
      <c r="P317" t="s">
        <v>399</v>
      </c>
      <c r="Q317" t="s">
        <v>400</v>
      </c>
      <c r="R317" s="9">
        <v>18216000</v>
      </c>
      <c r="S317" t="s">
        <v>27</v>
      </c>
    </row>
    <row r="318" spans="1:19" x14ac:dyDescent="0.25">
      <c r="A318" t="s">
        <v>308</v>
      </c>
      <c r="B318" t="s">
        <v>47</v>
      </c>
      <c r="C318" s="2" t="s">
        <v>320</v>
      </c>
      <c r="D318" t="s">
        <v>370</v>
      </c>
      <c r="E318" t="s">
        <v>360</v>
      </c>
      <c r="F318" t="s">
        <v>17</v>
      </c>
      <c r="G318" t="s">
        <v>18</v>
      </c>
      <c r="H318" t="str">
        <f t="shared" si="4"/>
        <v>09.012.10.303.0014.2.011.3.3.90.30.00</v>
      </c>
      <c r="I318" t="s">
        <v>309</v>
      </c>
      <c r="J318" t="s">
        <v>371</v>
      </c>
      <c r="K318" t="s">
        <v>325</v>
      </c>
      <c r="L318" t="s">
        <v>372</v>
      </c>
      <c r="M318" t="s">
        <v>362</v>
      </c>
      <c r="N318" t="s">
        <v>24</v>
      </c>
      <c r="O318" t="s">
        <v>25</v>
      </c>
      <c r="P318" t="s">
        <v>399</v>
      </c>
      <c r="Q318" t="s">
        <v>401</v>
      </c>
      <c r="R318" s="9">
        <v>1222332</v>
      </c>
      <c r="S318" t="s">
        <v>27</v>
      </c>
    </row>
    <row r="319" spans="1:19" x14ac:dyDescent="0.25">
      <c r="A319" t="s">
        <v>308</v>
      </c>
      <c r="B319" t="s">
        <v>47</v>
      </c>
      <c r="C319" s="2" t="s">
        <v>320</v>
      </c>
      <c r="D319" t="s">
        <v>370</v>
      </c>
      <c r="E319" t="s">
        <v>360</v>
      </c>
      <c r="F319" t="s">
        <v>17</v>
      </c>
      <c r="G319" t="s">
        <v>263</v>
      </c>
      <c r="H319" t="str">
        <f t="shared" si="4"/>
        <v>09.012.10.303.0014.2.011.3.3.90.32.00</v>
      </c>
      <c r="I319" t="s">
        <v>309</v>
      </c>
      <c r="J319" t="s">
        <v>371</v>
      </c>
      <c r="K319" t="s">
        <v>325</v>
      </c>
      <c r="L319" t="s">
        <v>372</v>
      </c>
      <c r="M319" t="s">
        <v>362</v>
      </c>
      <c r="N319" t="s">
        <v>24</v>
      </c>
      <c r="O319" t="s">
        <v>264</v>
      </c>
      <c r="P319" t="s">
        <v>265</v>
      </c>
      <c r="Q319" t="s">
        <v>402</v>
      </c>
      <c r="R319" s="9">
        <v>2272332</v>
      </c>
      <c r="S319" t="s">
        <v>27</v>
      </c>
    </row>
    <row r="320" spans="1:19" x14ac:dyDescent="0.25">
      <c r="A320" t="s">
        <v>308</v>
      </c>
      <c r="B320" t="s">
        <v>47</v>
      </c>
      <c r="C320" s="2" t="s">
        <v>320</v>
      </c>
      <c r="D320" t="s">
        <v>370</v>
      </c>
      <c r="E320" t="s">
        <v>360</v>
      </c>
      <c r="F320" t="s">
        <v>17</v>
      </c>
      <c r="G320" t="s">
        <v>18</v>
      </c>
      <c r="H320" t="str">
        <f t="shared" si="4"/>
        <v>09.012.10.303.0014.2.011.3.3.90.30.00</v>
      </c>
      <c r="I320" t="s">
        <v>309</v>
      </c>
      <c r="J320" t="s">
        <v>371</v>
      </c>
      <c r="K320" t="s">
        <v>325</v>
      </c>
      <c r="L320" t="s">
        <v>372</v>
      </c>
      <c r="M320" t="s">
        <v>362</v>
      </c>
      <c r="N320" t="s">
        <v>24</v>
      </c>
      <c r="O320" t="s">
        <v>25</v>
      </c>
      <c r="P320" t="s">
        <v>399</v>
      </c>
      <c r="Q320" t="s">
        <v>403</v>
      </c>
      <c r="R320" s="9">
        <v>6000000</v>
      </c>
      <c r="S320" t="s">
        <v>27</v>
      </c>
    </row>
    <row r="321" spans="1:19" x14ac:dyDescent="0.25">
      <c r="A321" t="s">
        <v>308</v>
      </c>
      <c r="B321" t="s">
        <v>47</v>
      </c>
      <c r="C321" s="2" t="s">
        <v>320</v>
      </c>
      <c r="D321" t="s">
        <v>370</v>
      </c>
      <c r="E321" t="s">
        <v>360</v>
      </c>
      <c r="F321" t="s">
        <v>17</v>
      </c>
      <c r="G321" t="s">
        <v>263</v>
      </c>
      <c r="H321" t="str">
        <f t="shared" si="4"/>
        <v>09.012.10.303.0014.2.011.3.3.90.32.00</v>
      </c>
      <c r="I321" t="s">
        <v>309</v>
      </c>
      <c r="J321" t="s">
        <v>371</v>
      </c>
      <c r="K321" t="s">
        <v>325</v>
      </c>
      <c r="L321" t="s">
        <v>372</v>
      </c>
      <c r="M321" t="s">
        <v>362</v>
      </c>
      <c r="N321" t="s">
        <v>24</v>
      </c>
      <c r="O321" t="s">
        <v>264</v>
      </c>
      <c r="P321" t="s">
        <v>399</v>
      </c>
      <c r="Q321" t="s">
        <v>404</v>
      </c>
      <c r="R321" s="9">
        <v>61803000</v>
      </c>
      <c r="S321" t="s">
        <v>27</v>
      </c>
    </row>
    <row r="322" spans="1:19" x14ac:dyDescent="0.25">
      <c r="A322" t="s">
        <v>308</v>
      </c>
      <c r="B322" t="s">
        <v>47</v>
      </c>
      <c r="C322" s="2" t="s">
        <v>320</v>
      </c>
      <c r="D322" t="s">
        <v>370</v>
      </c>
      <c r="E322" t="s">
        <v>360</v>
      </c>
      <c r="F322" t="s">
        <v>17</v>
      </c>
      <c r="G322" t="s">
        <v>18</v>
      </c>
      <c r="H322" t="str">
        <f t="shared" ref="H322:H385" si="5">_xlfn.CONCAT(A322,".",B322,".",C322,".",D322,".",E322,".",F322,".",G322)</f>
        <v>09.012.10.303.0014.2.011.3.3.90.30.00</v>
      </c>
      <c r="I322" t="s">
        <v>309</v>
      </c>
      <c r="J322" t="s">
        <v>371</v>
      </c>
      <c r="K322" t="s">
        <v>325</v>
      </c>
      <c r="L322" t="s">
        <v>372</v>
      </c>
      <c r="M322" t="s">
        <v>362</v>
      </c>
      <c r="N322" t="s">
        <v>24</v>
      </c>
      <c r="O322" t="s">
        <v>25</v>
      </c>
      <c r="P322" t="s">
        <v>405</v>
      </c>
      <c r="Q322" t="s">
        <v>406</v>
      </c>
      <c r="R322" s="9">
        <v>45000000</v>
      </c>
      <c r="S322" t="s">
        <v>27</v>
      </c>
    </row>
    <row r="323" spans="1:19" x14ac:dyDescent="0.25">
      <c r="A323" t="s">
        <v>308</v>
      </c>
      <c r="B323" t="s">
        <v>47</v>
      </c>
      <c r="C323" s="2" t="s">
        <v>320</v>
      </c>
      <c r="D323" t="s">
        <v>370</v>
      </c>
      <c r="E323" t="s">
        <v>360</v>
      </c>
      <c r="F323" t="s">
        <v>17</v>
      </c>
      <c r="G323" t="s">
        <v>18</v>
      </c>
      <c r="H323" t="str">
        <f t="shared" si="5"/>
        <v>09.012.10.303.0014.2.011.3.3.90.30.00</v>
      </c>
      <c r="I323" t="s">
        <v>309</v>
      </c>
      <c r="J323" t="s">
        <v>371</v>
      </c>
      <c r="K323" t="s">
        <v>325</v>
      </c>
      <c r="L323" t="s">
        <v>372</v>
      </c>
      <c r="M323" t="s">
        <v>362</v>
      </c>
      <c r="N323" t="s">
        <v>24</v>
      </c>
      <c r="O323" t="s">
        <v>25</v>
      </c>
      <c r="P323" t="s">
        <v>399</v>
      </c>
      <c r="Q323" t="s">
        <v>407</v>
      </c>
      <c r="R323" s="9">
        <v>1685190</v>
      </c>
      <c r="S323" t="s">
        <v>27</v>
      </c>
    </row>
    <row r="324" spans="1:19" x14ac:dyDescent="0.25">
      <c r="A324" t="s">
        <v>308</v>
      </c>
      <c r="B324" t="s">
        <v>47</v>
      </c>
      <c r="C324" s="2" t="s">
        <v>320</v>
      </c>
      <c r="D324" t="s">
        <v>370</v>
      </c>
      <c r="E324" t="s">
        <v>360</v>
      </c>
      <c r="F324" t="s">
        <v>17</v>
      </c>
      <c r="G324" t="s">
        <v>18</v>
      </c>
      <c r="H324" t="str">
        <f t="shared" si="5"/>
        <v>09.012.10.303.0014.2.011.3.3.90.30.00</v>
      </c>
      <c r="I324" t="s">
        <v>309</v>
      </c>
      <c r="J324" t="s">
        <v>371</v>
      </c>
      <c r="K324" t="s">
        <v>325</v>
      </c>
      <c r="L324" t="s">
        <v>372</v>
      </c>
      <c r="M324" t="s">
        <v>362</v>
      </c>
      <c r="N324" t="s">
        <v>24</v>
      </c>
      <c r="O324" t="s">
        <v>25</v>
      </c>
      <c r="P324" t="s">
        <v>399</v>
      </c>
      <c r="Q324" t="s">
        <v>408</v>
      </c>
      <c r="R324" s="9">
        <v>418000</v>
      </c>
      <c r="S324" t="s">
        <v>27</v>
      </c>
    </row>
    <row r="325" spans="1:19" x14ac:dyDescent="0.25">
      <c r="A325" t="s">
        <v>308</v>
      </c>
      <c r="B325" t="s">
        <v>352</v>
      </c>
      <c r="C325" s="2" t="s">
        <v>320</v>
      </c>
      <c r="D325" t="s">
        <v>353</v>
      </c>
      <c r="E325" t="s">
        <v>360</v>
      </c>
      <c r="F325" t="s">
        <v>354</v>
      </c>
      <c r="G325" t="s">
        <v>31</v>
      </c>
      <c r="H325" t="str">
        <f t="shared" si="5"/>
        <v>09.008.10.301.0014.2.012.3.3.90.39.00</v>
      </c>
      <c r="I325" t="s">
        <v>309</v>
      </c>
      <c r="J325" t="s">
        <v>355</v>
      </c>
      <c r="K325" t="s">
        <v>325</v>
      </c>
      <c r="L325" t="s">
        <v>356</v>
      </c>
      <c r="M325" t="s">
        <v>362</v>
      </c>
      <c r="N325" t="s">
        <v>357</v>
      </c>
      <c r="O325" t="s">
        <v>32</v>
      </c>
      <c r="P325" t="s">
        <v>93</v>
      </c>
      <c r="Q325" t="s">
        <v>409</v>
      </c>
      <c r="R325" s="9">
        <v>960000</v>
      </c>
      <c r="S325" t="s">
        <v>27</v>
      </c>
    </row>
    <row r="326" spans="1:19" x14ac:dyDescent="0.25">
      <c r="A326" t="s">
        <v>308</v>
      </c>
      <c r="B326" t="s">
        <v>335</v>
      </c>
      <c r="C326" s="2" t="s">
        <v>320</v>
      </c>
      <c r="D326" t="s">
        <v>321</v>
      </c>
      <c r="E326" t="s">
        <v>322</v>
      </c>
      <c r="F326" t="s">
        <v>338</v>
      </c>
      <c r="G326" t="s">
        <v>18</v>
      </c>
      <c r="H326" t="str">
        <f t="shared" si="5"/>
        <v>09.009.10.302.0015.2.013.3.3.90.30.00</v>
      </c>
      <c r="I326" t="s">
        <v>309</v>
      </c>
      <c r="J326" t="s">
        <v>336</v>
      </c>
      <c r="K326" t="s">
        <v>325</v>
      </c>
      <c r="L326" t="s">
        <v>326</v>
      </c>
      <c r="M326" t="s">
        <v>327</v>
      </c>
      <c r="N326" t="s">
        <v>339</v>
      </c>
      <c r="O326" t="s">
        <v>25</v>
      </c>
      <c r="P326" t="s">
        <v>49</v>
      </c>
      <c r="Q326" t="s">
        <v>410</v>
      </c>
      <c r="R326" s="9">
        <v>150000</v>
      </c>
      <c r="S326" t="s">
        <v>27</v>
      </c>
    </row>
    <row r="327" spans="1:19" x14ac:dyDescent="0.25">
      <c r="A327" t="s">
        <v>308</v>
      </c>
      <c r="B327" t="s">
        <v>359</v>
      </c>
      <c r="C327" s="2" t="s">
        <v>320</v>
      </c>
      <c r="D327" t="s">
        <v>15</v>
      </c>
      <c r="E327" t="s">
        <v>360</v>
      </c>
      <c r="F327" t="s">
        <v>17</v>
      </c>
      <c r="G327" t="s">
        <v>18</v>
      </c>
      <c r="H327" t="str">
        <f t="shared" si="5"/>
        <v>09.015.10.122.0014.2.011.3.3.90.30.00</v>
      </c>
      <c r="I327" t="s">
        <v>309</v>
      </c>
      <c r="J327" t="s">
        <v>361</v>
      </c>
      <c r="K327" t="s">
        <v>325</v>
      </c>
      <c r="L327" t="s">
        <v>22</v>
      </c>
      <c r="M327" t="s">
        <v>362</v>
      </c>
      <c r="N327" t="s">
        <v>24</v>
      </c>
      <c r="O327" t="s">
        <v>25</v>
      </c>
      <c r="P327" t="s">
        <v>164</v>
      </c>
      <c r="Q327" t="s">
        <v>411</v>
      </c>
      <c r="R327" s="9">
        <v>1000000</v>
      </c>
      <c r="S327" t="s">
        <v>27</v>
      </c>
    </row>
    <row r="328" spans="1:19" x14ac:dyDescent="0.25">
      <c r="A328" t="s">
        <v>308</v>
      </c>
      <c r="B328" t="s">
        <v>335</v>
      </c>
      <c r="C328" s="2" t="s">
        <v>320</v>
      </c>
      <c r="D328" t="s">
        <v>321</v>
      </c>
      <c r="E328" t="s">
        <v>322</v>
      </c>
      <c r="F328" t="s">
        <v>338</v>
      </c>
      <c r="G328" t="s">
        <v>31</v>
      </c>
      <c r="H328" t="str">
        <f t="shared" si="5"/>
        <v>09.009.10.302.0015.2.013.3.3.90.39.00</v>
      </c>
      <c r="I328" t="s">
        <v>309</v>
      </c>
      <c r="J328" t="s">
        <v>336</v>
      </c>
      <c r="K328" t="s">
        <v>325</v>
      </c>
      <c r="L328" t="s">
        <v>326</v>
      </c>
      <c r="M328" t="s">
        <v>327</v>
      </c>
      <c r="N328" t="s">
        <v>339</v>
      </c>
      <c r="O328" t="s">
        <v>32</v>
      </c>
      <c r="P328" t="s">
        <v>397</v>
      </c>
      <c r="Q328" t="s">
        <v>412</v>
      </c>
      <c r="R328" s="9">
        <v>1000000</v>
      </c>
      <c r="S328" t="s">
        <v>27</v>
      </c>
    </row>
    <row r="329" spans="1:19" x14ac:dyDescent="0.25">
      <c r="A329" t="s">
        <v>308</v>
      </c>
      <c r="B329" t="s">
        <v>47</v>
      </c>
      <c r="C329" s="2" t="s">
        <v>320</v>
      </c>
      <c r="D329" t="s">
        <v>370</v>
      </c>
      <c r="E329" t="s">
        <v>322</v>
      </c>
      <c r="F329" t="s">
        <v>17</v>
      </c>
      <c r="G329" t="s">
        <v>263</v>
      </c>
      <c r="H329" t="str">
        <f t="shared" si="5"/>
        <v>09.012.10.303.0015.2.011.3.3.90.32.00</v>
      </c>
      <c r="I329" t="s">
        <v>309</v>
      </c>
      <c r="J329" t="s">
        <v>371</v>
      </c>
      <c r="K329" t="s">
        <v>325</v>
      </c>
      <c r="L329" t="s">
        <v>372</v>
      </c>
      <c r="M329" t="s">
        <v>327</v>
      </c>
      <c r="N329" t="s">
        <v>24</v>
      </c>
      <c r="O329" t="s">
        <v>264</v>
      </c>
      <c r="P329" t="s">
        <v>413</v>
      </c>
      <c r="Q329" t="s">
        <v>414</v>
      </c>
      <c r="R329" s="9">
        <v>50000</v>
      </c>
      <c r="S329" t="s">
        <v>27</v>
      </c>
    </row>
    <row r="330" spans="1:19" x14ac:dyDescent="0.25">
      <c r="A330" t="s">
        <v>308</v>
      </c>
      <c r="B330" t="s">
        <v>47</v>
      </c>
      <c r="C330" s="2" t="s">
        <v>320</v>
      </c>
      <c r="D330" t="s">
        <v>370</v>
      </c>
      <c r="E330" t="s">
        <v>322</v>
      </c>
      <c r="F330" t="s">
        <v>17</v>
      </c>
      <c r="G330" t="s">
        <v>18</v>
      </c>
      <c r="H330" t="str">
        <f t="shared" si="5"/>
        <v>09.012.10.303.0015.2.011.3.3.90.30.00</v>
      </c>
      <c r="I330" t="s">
        <v>309</v>
      </c>
      <c r="J330" t="s">
        <v>371</v>
      </c>
      <c r="K330" t="s">
        <v>325</v>
      </c>
      <c r="L330" t="s">
        <v>372</v>
      </c>
      <c r="M330" t="s">
        <v>327</v>
      </c>
      <c r="N330" t="s">
        <v>24</v>
      </c>
      <c r="O330" t="s">
        <v>25</v>
      </c>
      <c r="P330" t="s">
        <v>415</v>
      </c>
      <c r="Q330" t="s">
        <v>416</v>
      </c>
      <c r="R330" s="9">
        <v>11000000</v>
      </c>
      <c r="S330" t="s">
        <v>27</v>
      </c>
    </row>
    <row r="331" spans="1:19" x14ac:dyDescent="0.25">
      <c r="A331" t="s">
        <v>308</v>
      </c>
      <c r="B331" t="s">
        <v>319</v>
      </c>
      <c r="C331" s="2" t="s">
        <v>320</v>
      </c>
      <c r="D331" t="s">
        <v>321</v>
      </c>
      <c r="E331" t="s">
        <v>322</v>
      </c>
      <c r="F331" t="s">
        <v>347</v>
      </c>
      <c r="G331" t="s">
        <v>31</v>
      </c>
      <c r="H331" t="str">
        <f t="shared" si="5"/>
        <v>09.010.10.302.0015.2.014.3.3.90.39.00</v>
      </c>
      <c r="I331" t="s">
        <v>309</v>
      </c>
      <c r="J331" t="s">
        <v>324</v>
      </c>
      <c r="K331" t="s">
        <v>325</v>
      </c>
      <c r="L331" t="s">
        <v>326</v>
      </c>
      <c r="M331" t="s">
        <v>327</v>
      </c>
      <c r="N331" t="s">
        <v>349</v>
      </c>
      <c r="O331" t="s">
        <v>32</v>
      </c>
      <c r="P331" t="s">
        <v>93</v>
      </c>
      <c r="Q331" t="s">
        <v>417</v>
      </c>
      <c r="R331" s="9">
        <v>200000</v>
      </c>
      <c r="S331" t="s">
        <v>27</v>
      </c>
    </row>
    <row r="332" spans="1:19" x14ac:dyDescent="0.25">
      <c r="A332" t="s">
        <v>308</v>
      </c>
      <c r="B332" t="s">
        <v>359</v>
      </c>
      <c r="C332" s="2" t="s">
        <v>320</v>
      </c>
      <c r="D332" t="s">
        <v>15</v>
      </c>
      <c r="E332" t="s">
        <v>360</v>
      </c>
      <c r="F332" t="s">
        <v>139</v>
      </c>
      <c r="G332" t="s">
        <v>80</v>
      </c>
      <c r="H332" t="str">
        <f t="shared" si="5"/>
        <v>09.015.10.122.0014.1.002.4.4.90.52.00</v>
      </c>
      <c r="I332" t="s">
        <v>309</v>
      </c>
      <c r="J332" t="s">
        <v>361</v>
      </c>
      <c r="K332" t="s">
        <v>325</v>
      </c>
      <c r="L332" t="s">
        <v>22</v>
      </c>
      <c r="M332" t="s">
        <v>362</v>
      </c>
      <c r="N332" t="s">
        <v>143</v>
      </c>
      <c r="O332" t="s">
        <v>81</v>
      </c>
      <c r="P332" t="s">
        <v>82</v>
      </c>
      <c r="Q332" t="s">
        <v>418</v>
      </c>
      <c r="R332" s="9">
        <v>500000</v>
      </c>
      <c r="S332" t="s">
        <v>27</v>
      </c>
    </row>
    <row r="333" spans="1:19" x14ac:dyDescent="0.25">
      <c r="A333" t="s">
        <v>308</v>
      </c>
      <c r="B333" t="s">
        <v>359</v>
      </c>
      <c r="C333" s="2" t="s">
        <v>320</v>
      </c>
      <c r="D333" t="s">
        <v>15</v>
      </c>
      <c r="E333" t="s">
        <v>360</v>
      </c>
      <c r="F333" t="s">
        <v>139</v>
      </c>
      <c r="G333" t="s">
        <v>80</v>
      </c>
      <c r="H333" t="str">
        <f t="shared" si="5"/>
        <v>09.015.10.122.0014.1.002.4.4.90.52.00</v>
      </c>
      <c r="I333" t="s">
        <v>309</v>
      </c>
      <c r="J333" t="s">
        <v>361</v>
      </c>
      <c r="K333" t="s">
        <v>325</v>
      </c>
      <c r="L333" t="s">
        <v>22</v>
      </c>
      <c r="M333" t="s">
        <v>362</v>
      </c>
      <c r="N333" t="s">
        <v>143</v>
      </c>
      <c r="O333" t="s">
        <v>81</v>
      </c>
      <c r="P333" t="s">
        <v>82</v>
      </c>
      <c r="Q333" t="s">
        <v>419</v>
      </c>
      <c r="R333" s="9">
        <v>100000</v>
      </c>
      <c r="S333" t="s">
        <v>27</v>
      </c>
    </row>
    <row r="334" spans="1:19" x14ac:dyDescent="0.25">
      <c r="A334" t="s">
        <v>308</v>
      </c>
      <c r="B334" t="s">
        <v>346</v>
      </c>
      <c r="C334" s="2" t="s">
        <v>320</v>
      </c>
      <c r="D334" t="s">
        <v>321</v>
      </c>
      <c r="E334" t="s">
        <v>322</v>
      </c>
      <c r="F334" t="s">
        <v>139</v>
      </c>
      <c r="G334" t="s">
        <v>391</v>
      </c>
      <c r="H334" t="str">
        <f t="shared" si="5"/>
        <v>09.006.10.302.0015.1.002.</v>
      </c>
      <c r="I334" t="s">
        <v>309</v>
      </c>
      <c r="J334" t="s">
        <v>348</v>
      </c>
      <c r="K334" t="s">
        <v>325</v>
      </c>
      <c r="L334" t="s">
        <v>326</v>
      </c>
      <c r="M334" t="s">
        <v>327</v>
      </c>
      <c r="N334" t="s">
        <v>143</v>
      </c>
      <c r="Q334" t="s">
        <v>420</v>
      </c>
      <c r="R334" s="9">
        <v>1</v>
      </c>
      <c r="S334" t="s">
        <v>27</v>
      </c>
    </row>
    <row r="335" spans="1:19" x14ac:dyDescent="0.25">
      <c r="A335" t="s">
        <v>308</v>
      </c>
      <c r="B335" t="s">
        <v>13</v>
      </c>
      <c r="C335" s="2" t="s">
        <v>320</v>
      </c>
      <c r="D335" t="s">
        <v>15</v>
      </c>
      <c r="E335" t="s">
        <v>16</v>
      </c>
      <c r="F335" t="s">
        <v>127</v>
      </c>
      <c r="G335" t="s">
        <v>31</v>
      </c>
      <c r="H335" t="str">
        <f t="shared" si="5"/>
        <v>09.001.10.122.0001.2.006.3.3.90.39.00</v>
      </c>
      <c r="I335" t="s">
        <v>309</v>
      </c>
      <c r="J335" t="s">
        <v>310</v>
      </c>
      <c r="K335" t="s">
        <v>325</v>
      </c>
      <c r="L335" t="s">
        <v>22</v>
      </c>
      <c r="M335" t="s">
        <v>23</v>
      </c>
      <c r="N335" t="s">
        <v>130</v>
      </c>
      <c r="O335" t="s">
        <v>32</v>
      </c>
      <c r="P335" t="s">
        <v>93</v>
      </c>
      <c r="Q335" t="s">
        <v>421</v>
      </c>
      <c r="R335" s="9">
        <v>1000</v>
      </c>
      <c r="S335" t="s">
        <v>27</v>
      </c>
    </row>
    <row r="336" spans="1:19" x14ac:dyDescent="0.25">
      <c r="A336" t="s">
        <v>308</v>
      </c>
      <c r="B336" t="s">
        <v>359</v>
      </c>
      <c r="C336" s="2" t="s">
        <v>320</v>
      </c>
      <c r="D336" t="s">
        <v>15</v>
      </c>
      <c r="E336" t="s">
        <v>360</v>
      </c>
      <c r="F336" t="s">
        <v>17</v>
      </c>
      <c r="G336" t="s">
        <v>263</v>
      </c>
      <c r="H336" t="str">
        <f t="shared" si="5"/>
        <v>09.015.10.122.0014.2.011.3.3.90.32.00</v>
      </c>
      <c r="I336" t="s">
        <v>309</v>
      </c>
      <c r="J336" t="s">
        <v>361</v>
      </c>
      <c r="K336" t="s">
        <v>325</v>
      </c>
      <c r="L336" t="s">
        <v>22</v>
      </c>
      <c r="M336" t="s">
        <v>362</v>
      </c>
      <c r="N336" t="s">
        <v>24</v>
      </c>
      <c r="O336" t="s">
        <v>264</v>
      </c>
      <c r="P336" t="s">
        <v>422</v>
      </c>
      <c r="Q336" t="s">
        <v>423</v>
      </c>
      <c r="R336" s="9">
        <v>280000</v>
      </c>
      <c r="S336" t="s">
        <v>27</v>
      </c>
    </row>
    <row r="337" spans="1:19" x14ac:dyDescent="0.25">
      <c r="A337" t="s">
        <v>308</v>
      </c>
      <c r="B337" t="s">
        <v>352</v>
      </c>
      <c r="C337" s="2" t="s">
        <v>320</v>
      </c>
      <c r="D337" t="s">
        <v>353</v>
      </c>
      <c r="E337" t="s">
        <v>322</v>
      </c>
      <c r="F337" t="s">
        <v>354</v>
      </c>
      <c r="G337" t="s">
        <v>18</v>
      </c>
      <c r="H337" t="str">
        <f t="shared" si="5"/>
        <v>09.008.10.301.0015.2.012.3.3.90.30.00</v>
      </c>
      <c r="I337" t="s">
        <v>309</v>
      </c>
      <c r="J337" t="s">
        <v>355</v>
      </c>
      <c r="K337" t="s">
        <v>325</v>
      </c>
      <c r="L337" t="s">
        <v>356</v>
      </c>
      <c r="M337" t="s">
        <v>327</v>
      </c>
      <c r="N337" t="s">
        <v>357</v>
      </c>
      <c r="O337" t="s">
        <v>25</v>
      </c>
      <c r="P337" t="s">
        <v>26</v>
      </c>
      <c r="Q337" t="s">
        <v>424</v>
      </c>
      <c r="R337" s="9">
        <v>533680</v>
      </c>
      <c r="S337" t="s">
        <v>27</v>
      </c>
    </row>
    <row r="338" spans="1:19" x14ac:dyDescent="0.25">
      <c r="A338" t="s">
        <v>308</v>
      </c>
      <c r="B338" t="s">
        <v>352</v>
      </c>
      <c r="C338" s="2" t="s">
        <v>320</v>
      </c>
      <c r="D338" t="s">
        <v>353</v>
      </c>
      <c r="E338" t="s">
        <v>322</v>
      </c>
      <c r="F338" t="s">
        <v>354</v>
      </c>
      <c r="G338" t="s">
        <v>31</v>
      </c>
      <c r="H338" t="str">
        <f t="shared" si="5"/>
        <v>09.008.10.301.0015.2.012.3.3.90.39.00</v>
      </c>
      <c r="I338" t="s">
        <v>309</v>
      </c>
      <c r="J338" t="s">
        <v>355</v>
      </c>
      <c r="K338" t="s">
        <v>325</v>
      </c>
      <c r="L338" t="s">
        <v>356</v>
      </c>
      <c r="M338" t="s">
        <v>327</v>
      </c>
      <c r="N338" t="s">
        <v>357</v>
      </c>
      <c r="O338" t="s">
        <v>32</v>
      </c>
      <c r="P338" t="s">
        <v>425</v>
      </c>
      <c r="Q338" t="s">
        <v>424</v>
      </c>
      <c r="R338" s="9">
        <v>2841049.28</v>
      </c>
      <c r="S338" t="s">
        <v>27</v>
      </c>
    </row>
    <row r="339" spans="1:19" x14ac:dyDescent="0.25">
      <c r="A339" t="s">
        <v>308</v>
      </c>
      <c r="B339" t="s">
        <v>359</v>
      </c>
      <c r="C339" s="2" t="s">
        <v>320</v>
      </c>
      <c r="D339" t="s">
        <v>15</v>
      </c>
      <c r="E339" t="s">
        <v>360</v>
      </c>
      <c r="F339" t="s">
        <v>17</v>
      </c>
      <c r="G339" t="s">
        <v>31</v>
      </c>
      <c r="H339" t="str">
        <f t="shared" si="5"/>
        <v>09.015.10.122.0014.2.011.3.3.90.39.00</v>
      </c>
      <c r="I339" t="s">
        <v>309</v>
      </c>
      <c r="J339" t="s">
        <v>361</v>
      </c>
      <c r="K339" t="s">
        <v>325</v>
      </c>
      <c r="L339" t="s">
        <v>22</v>
      </c>
      <c r="M339" t="s">
        <v>362</v>
      </c>
      <c r="N339" t="s">
        <v>24</v>
      </c>
      <c r="O339" t="s">
        <v>32</v>
      </c>
      <c r="P339" t="s">
        <v>93</v>
      </c>
      <c r="Q339" t="s">
        <v>426</v>
      </c>
      <c r="R339" s="9">
        <v>1771440</v>
      </c>
      <c r="S339" t="s">
        <v>27</v>
      </c>
    </row>
    <row r="340" spans="1:19" x14ac:dyDescent="0.25">
      <c r="A340" t="s">
        <v>308</v>
      </c>
      <c r="B340" t="s">
        <v>359</v>
      </c>
      <c r="C340" s="2" t="s">
        <v>320</v>
      </c>
      <c r="D340" t="s">
        <v>321</v>
      </c>
      <c r="E340" t="s">
        <v>322</v>
      </c>
      <c r="F340" t="s">
        <v>347</v>
      </c>
      <c r="G340" t="s">
        <v>18</v>
      </c>
      <c r="H340" t="str">
        <f t="shared" si="5"/>
        <v>09.015.10.302.0015.2.014.3.3.90.30.00</v>
      </c>
      <c r="I340" t="s">
        <v>309</v>
      </c>
      <c r="J340" t="s">
        <v>361</v>
      </c>
      <c r="K340" t="s">
        <v>325</v>
      </c>
      <c r="L340" t="s">
        <v>326</v>
      </c>
      <c r="M340" t="s">
        <v>327</v>
      </c>
      <c r="N340" t="s">
        <v>349</v>
      </c>
      <c r="O340" t="s">
        <v>25</v>
      </c>
      <c r="P340" t="s">
        <v>46</v>
      </c>
      <c r="Q340" t="s">
        <v>427</v>
      </c>
      <c r="R340" s="9">
        <v>300000</v>
      </c>
      <c r="S340" t="s">
        <v>27</v>
      </c>
    </row>
    <row r="341" spans="1:19" x14ac:dyDescent="0.25">
      <c r="A341" t="s">
        <v>308</v>
      </c>
      <c r="B341" t="s">
        <v>359</v>
      </c>
      <c r="C341" s="2" t="s">
        <v>320</v>
      </c>
      <c r="D341" t="s">
        <v>15</v>
      </c>
      <c r="E341" t="s">
        <v>360</v>
      </c>
      <c r="F341" t="s">
        <v>17</v>
      </c>
      <c r="G341" t="s">
        <v>18</v>
      </c>
      <c r="H341" t="str">
        <f t="shared" si="5"/>
        <v>09.015.10.122.0014.2.011.3.3.90.30.00</v>
      </c>
      <c r="I341" t="s">
        <v>309</v>
      </c>
      <c r="J341" t="s">
        <v>361</v>
      </c>
      <c r="K341" t="s">
        <v>325</v>
      </c>
      <c r="L341" t="s">
        <v>22</v>
      </c>
      <c r="M341" t="s">
        <v>362</v>
      </c>
      <c r="N341" t="s">
        <v>24</v>
      </c>
      <c r="O341" t="s">
        <v>25</v>
      </c>
      <c r="P341" t="s">
        <v>46</v>
      </c>
      <c r="Q341" t="s">
        <v>428</v>
      </c>
      <c r="R341" s="9">
        <v>175981</v>
      </c>
      <c r="S341" t="s">
        <v>27</v>
      </c>
    </row>
    <row r="342" spans="1:19" x14ac:dyDescent="0.25">
      <c r="A342" t="s">
        <v>308</v>
      </c>
      <c r="B342" t="s">
        <v>335</v>
      </c>
      <c r="C342" s="2" t="s">
        <v>320</v>
      </c>
      <c r="D342" t="s">
        <v>321</v>
      </c>
      <c r="E342" t="s">
        <v>322</v>
      </c>
      <c r="F342" t="s">
        <v>338</v>
      </c>
      <c r="G342" t="s">
        <v>31</v>
      </c>
      <c r="H342" t="str">
        <f t="shared" si="5"/>
        <v>09.009.10.302.0015.2.013.3.3.90.39.00</v>
      </c>
      <c r="I342" t="s">
        <v>309</v>
      </c>
      <c r="J342" t="s">
        <v>336</v>
      </c>
      <c r="K342" t="s">
        <v>325</v>
      </c>
      <c r="L342" t="s">
        <v>326</v>
      </c>
      <c r="M342" t="s">
        <v>327</v>
      </c>
      <c r="N342" t="s">
        <v>339</v>
      </c>
      <c r="O342" t="s">
        <v>32</v>
      </c>
      <c r="P342" t="s">
        <v>429</v>
      </c>
      <c r="Q342" t="s">
        <v>430</v>
      </c>
      <c r="R342" s="9">
        <v>7460121.6200000001</v>
      </c>
      <c r="S342" t="s">
        <v>27</v>
      </c>
    </row>
    <row r="343" spans="1:19" x14ac:dyDescent="0.25">
      <c r="A343" t="s">
        <v>308</v>
      </c>
      <c r="B343" t="s">
        <v>352</v>
      </c>
      <c r="C343" s="2" t="s">
        <v>320</v>
      </c>
      <c r="D343" t="s">
        <v>353</v>
      </c>
      <c r="E343" t="s">
        <v>322</v>
      </c>
      <c r="F343" t="s">
        <v>354</v>
      </c>
      <c r="G343" t="s">
        <v>31</v>
      </c>
      <c r="H343" t="str">
        <f t="shared" si="5"/>
        <v>09.008.10.301.0015.2.012.3.3.90.39.00</v>
      </c>
      <c r="I343" t="s">
        <v>309</v>
      </c>
      <c r="J343" t="s">
        <v>355</v>
      </c>
      <c r="K343" t="s">
        <v>325</v>
      </c>
      <c r="L343" t="s">
        <v>356</v>
      </c>
      <c r="M343" t="s">
        <v>327</v>
      </c>
      <c r="N343" t="s">
        <v>357</v>
      </c>
      <c r="O343" t="s">
        <v>32</v>
      </c>
      <c r="P343" t="s">
        <v>429</v>
      </c>
      <c r="Q343" t="s">
        <v>431</v>
      </c>
      <c r="R343" s="9">
        <v>22495672.800000001</v>
      </c>
      <c r="S343" t="s">
        <v>27</v>
      </c>
    </row>
    <row r="344" spans="1:19" x14ac:dyDescent="0.25">
      <c r="A344" t="s">
        <v>308</v>
      </c>
      <c r="B344" t="s">
        <v>335</v>
      </c>
      <c r="C344" s="2" t="s">
        <v>320</v>
      </c>
      <c r="D344" t="s">
        <v>321</v>
      </c>
      <c r="E344" t="s">
        <v>322</v>
      </c>
      <c r="F344" t="s">
        <v>338</v>
      </c>
      <c r="G344" t="s">
        <v>31</v>
      </c>
      <c r="H344" t="str">
        <f t="shared" si="5"/>
        <v>09.009.10.302.0015.2.013.3.3.90.39.00</v>
      </c>
      <c r="I344" t="s">
        <v>309</v>
      </c>
      <c r="J344" t="s">
        <v>336</v>
      </c>
      <c r="K344" t="s">
        <v>325</v>
      </c>
      <c r="L344" t="s">
        <v>326</v>
      </c>
      <c r="M344" t="s">
        <v>327</v>
      </c>
      <c r="N344" t="s">
        <v>339</v>
      </c>
      <c r="O344" t="s">
        <v>32</v>
      </c>
      <c r="P344" t="s">
        <v>429</v>
      </c>
      <c r="Q344" t="s">
        <v>432</v>
      </c>
      <c r="R344" s="9">
        <v>3820484.64</v>
      </c>
      <c r="S344" t="s">
        <v>27</v>
      </c>
    </row>
    <row r="345" spans="1:19" x14ac:dyDescent="0.25">
      <c r="A345" t="s">
        <v>308</v>
      </c>
      <c r="B345" t="s">
        <v>346</v>
      </c>
      <c r="C345" s="2" t="s">
        <v>320</v>
      </c>
      <c r="D345" t="s">
        <v>321</v>
      </c>
      <c r="E345" t="s">
        <v>322</v>
      </c>
      <c r="F345" t="s">
        <v>347</v>
      </c>
      <c r="G345" t="s">
        <v>31</v>
      </c>
      <c r="H345" t="str">
        <f t="shared" si="5"/>
        <v>09.006.10.302.0015.2.014.3.3.90.39.00</v>
      </c>
      <c r="I345" t="s">
        <v>309</v>
      </c>
      <c r="J345" t="s">
        <v>348</v>
      </c>
      <c r="K345" t="s">
        <v>325</v>
      </c>
      <c r="L345" t="s">
        <v>326</v>
      </c>
      <c r="M345" t="s">
        <v>327</v>
      </c>
      <c r="N345" t="s">
        <v>349</v>
      </c>
      <c r="O345" t="s">
        <v>32</v>
      </c>
      <c r="P345" t="s">
        <v>429</v>
      </c>
      <c r="Q345" t="s">
        <v>433</v>
      </c>
      <c r="R345" s="9">
        <v>20319812.41</v>
      </c>
      <c r="S345" t="s">
        <v>27</v>
      </c>
    </row>
    <row r="346" spans="1:19" x14ac:dyDescent="0.25">
      <c r="A346" t="s">
        <v>308</v>
      </c>
      <c r="B346" t="s">
        <v>319</v>
      </c>
      <c r="C346" s="2" t="s">
        <v>320</v>
      </c>
      <c r="D346" t="s">
        <v>321</v>
      </c>
      <c r="E346" t="s">
        <v>322</v>
      </c>
      <c r="F346" t="s">
        <v>347</v>
      </c>
      <c r="G346" t="s">
        <v>31</v>
      </c>
      <c r="H346" t="str">
        <f t="shared" si="5"/>
        <v>09.010.10.302.0015.2.014.3.3.90.39.00</v>
      </c>
      <c r="I346" t="s">
        <v>309</v>
      </c>
      <c r="J346" t="s">
        <v>324</v>
      </c>
      <c r="K346" t="s">
        <v>325</v>
      </c>
      <c r="L346" t="s">
        <v>326</v>
      </c>
      <c r="M346" t="s">
        <v>327</v>
      </c>
      <c r="N346" t="s">
        <v>349</v>
      </c>
      <c r="O346" t="s">
        <v>32</v>
      </c>
      <c r="P346" t="s">
        <v>429</v>
      </c>
      <c r="Q346" t="s">
        <v>434</v>
      </c>
      <c r="R346" s="9">
        <v>36559571.399999999</v>
      </c>
      <c r="S346" t="s">
        <v>27</v>
      </c>
    </row>
    <row r="347" spans="1:19" x14ac:dyDescent="0.25">
      <c r="A347" t="s">
        <v>308</v>
      </c>
      <c r="B347" t="s">
        <v>352</v>
      </c>
      <c r="C347" s="2" t="s">
        <v>320</v>
      </c>
      <c r="D347" t="s">
        <v>353</v>
      </c>
      <c r="E347" t="s">
        <v>322</v>
      </c>
      <c r="F347" t="s">
        <v>139</v>
      </c>
      <c r="G347" t="s">
        <v>391</v>
      </c>
      <c r="H347" t="str">
        <f t="shared" si="5"/>
        <v>09.008.10.301.0015.1.002.</v>
      </c>
      <c r="I347" t="s">
        <v>309</v>
      </c>
      <c r="J347" t="s">
        <v>355</v>
      </c>
      <c r="K347" t="s">
        <v>325</v>
      </c>
      <c r="L347" t="s">
        <v>356</v>
      </c>
      <c r="M347" t="s">
        <v>327</v>
      </c>
      <c r="N347" t="s">
        <v>143</v>
      </c>
      <c r="Q347" t="s">
        <v>420</v>
      </c>
      <c r="R347" s="9">
        <v>1</v>
      </c>
      <c r="S347" t="s">
        <v>27</v>
      </c>
    </row>
    <row r="348" spans="1:19" x14ac:dyDescent="0.25">
      <c r="A348" t="s">
        <v>308</v>
      </c>
      <c r="B348" t="s">
        <v>335</v>
      </c>
      <c r="C348" s="2" t="s">
        <v>320</v>
      </c>
      <c r="D348" t="s">
        <v>321</v>
      </c>
      <c r="E348" t="s">
        <v>322</v>
      </c>
      <c r="F348" t="s">
        <v>139</v>
      </c>
      <c r="G348" t="s">
        <v>391</v>
      </c>
      <c r="H348" t="str">
        <f t="shared" si="5"/>
        <v>09.009.10.302.0015.1.002.</v>
      </c>
      <c r="I348" t="s">
        <v>309</v>
      </c>
      <c r="J348" t="s">
        <v>336</v>
      </c>
      <c r="K348" t="s">
        <v>325</v>
      </c>
      <c r="L348" t="s">
        <v>326</v>
      </c>
      <c r="M348" t="s">
        <v>327</v>
      </c>
      <c r="N348" t="s">
        <v>143</v>
      </c>
      <c r="Q348" t="s">
        <v>420</v>
      </c>
      <c r="R348" s="9">
        <v>1</v>
      </c>
      <c r="S348" t="s">
        <v>27</v>
      </c>
    </row>
    <row r="349" spans="1:19" x14ac:dyDescent="0.25">
      <c r="A349" t="s">
        <v>308</v>
      </c>
      <c r="B349" t="s">
        <v>319</v>
      </c>
      <c r="C349" s="2" t="s">
        <v>320</v>
      </c>
      <c r="D349" t="s">
        <v>321</v>
      </c>
      <c r="E349" t="s">
        <v>322</v>
      </c>
      <c r="F349" t="s">
        <v>139</v>
      </c>
      <c r="G349" t="s">
        <v>391</v>
      </c>
      <c r="H349" t="str">
        <f t="shared" si="5"/>
        <v>09.010.10.302.0015.1.002.</v>
      </c>
      <c r="I349" t="s">
        <v>309</v>
      </c>
      <c r="J349" t="s">
        <v>324</v>
      </c>
      <c r="K349" t="s">
        <v>325</v>
      </c>
      <c r="L349" t="s">
        <v>326</v>
      </c>
      <c r="M349" t="s">
        <v>327</v>
      </c>
      <c r="N349" t="s">
        <v>143</v>
      </c>
      <c r="Q349" t="s">
        <v>420</v>
      </c>
      <c r="R349" s="9">
        <v>1</v>
      </c>
      <c r="S349" t="s">
        <v>27</v>
      </c>
    </row>
    <row r="350" spans="1:19" x14ac:dyDescent="0.25">
      <c r="A350" t="s">
        <v>308</v>
      </c>
      <c r="B350" t="s">
        <v>359</v>
      </c>
      <c r="C350" s="2" t="s">
        <v>320</v>
      </c>
      <c r="D350" t="s">
        <v>15</v>
      </c>
      <c r="E350" t="s">
        <v>360</v>
      </c>
      <c r="F350" t="s">
        <v>139</v>
      </c>
      <c r="G350" t="s">
        <v>391</v>
      </c>
      <c r="H350" t="str">
        <f t="shared" si="5"/>
        <v>09.015.10.122.0014.1.002.</v>
      </c>
      <c r="I350" t="s">
        <v>309</v>
      </c>
      <c r="J350" t="s">
        <v>361</v>
      </c>
      <c r="K350" t="s">
        <v>325</v>
      </c>
      <c r="L350" t="s">
        <v>22</v>
      </c>
      <c r="M350" t="s">
        <v>362</v>
      </c>
      <c r="N350" t="s">
        <v>143</v>
      </c>
      <c r="Q350" t="s">
        <v>420</v>
      </c>
      <c r="R350" s="9">
        <v>1</v>
      </c>
      <c r="S350" t="s">
        <v>27</v>
      </c>
    </row>
    <row r="351" spans="1:19" x14ac:dyDescent="0.25">
      <c r="A351" t="s">
        <v>308</v>
      </c>
      <c r="B351" t="s">
        <v>359</v>
      </c>
      <c r="C351" s="2" t="s">
        <v>320</v>
      </c>
      <c r="D351" t="s">
        <v>15</v>
      </c>
      <c r="E351" t="s">
        <v>360</v>
      </c>
      <c r="F351" t="s">
        <v>17</v>
      </c>
      <c r="G351" t="s">
        <v>118</v>
      </c>
      <c r="H351" t="str">
        <f t="shared" si="5"/>
        <v>09.015.10.122.0014.2.011.3.3.90.92.00</v>
      </c>
      <c r="I351" t="s">
        <v>309</v>
      </c>
      <c r="J351" t="s">
        <v>361</v>
      </c>
      <c r="K351" t="s">
        <v>325</v>
      </c>
      <c r="L351" t="s">
        <v>22</v>
      </c>
      <c r="M351" t="s">
        <v>362</v>
      </c>
      <c r="N351" t="s">
        <v>24</v>
      </c>
      <c r="O351" t="s">
        <v>119</v>
      </c>
      <c r="P351" t="s">
        <v>435</v>
      </c>
      <c r="R351" s="9">
        <v>1</v>
      </c>
      <c r="S351" t="s">
        <v>27</v>
      </c>
    </row>
    <row r="352" spans="1:19" x14ac:dyDescent="0.25">
      <c r="A352" t="s">
        <v>308</v>
      </c>
      <c r="B352" t="s">
        <v>359</v>
      </c>
      <c r="C352" s="2" t="s">
        <v>320</v>
      </c>
      <c r="D352" t="s">
        <v>15</v>
      </c>
      <c r="E352" t="s">
        <v>360</v>
      </c>
      <c r="F352" t="s">
        <v>17</v>
      </c>
      <c r="G352" t="s">
        <v>69</v>
      </c>
      <c r="H352" t="str">
        <f t="shared" si="5"/>
        <v>09.015.10.122.0014.2.011.3.3.90.93.00</v>
      </c>
      <c r="I352" t="s">
        <v>309</v>
      </c>
      <c r="J352" t="s">
        <v>361</v>
      </c>
      <c r="K352" t="s">
        <v>325</v>
      </c>
      <c r="L352" t="s">
        <v>22</v>
      </c>
      <c r="M352" t="s">
        <v>362</v>
      </c>
      <c r="N352" t="s">
        <v>24</v>
      </c>
      <c r="O352" t="s">
        <v>70</v>
      </c>
      <c r="P352" t="s">
        <v>222</v>
      </c>
      <c r="R352" s="9">
        <v>1</v>
      </c>
      <c r="S352" t="s">
        <v>27</v>
      </c>
    </row>
    <row r="353" spans="1:19" x14ac:dyDescent="0.25">
      <c r="A353" t="s">
        <v>136</v>
      </c>
      <c r="B353" t="s">
        <v>13</v>
      </c>
      <c r="C353" s="2" t="s">
        <v>14</v>
      </c>
      <c r="D353" t="s">
        <v>436</v>
      </c>
      <c r="E353" t="s">
        <v>437</v>
      </c>
      <c r="F353" t="s">
        <v>438</v>
      </c>
      <c r="G353" t="s">
        <v>31</v>
      </c>
      <c r="H353" t="str">
        <f t="shared" si="5"/>
        <v>11.001.04.121.0004.1.001.3.3.90.39.00</v>
      </c>
      <c r="I353" t="s">
        <v>439</v>
      </c>
      <c r="J353" t="s">
        <v>440</v>
      </c>
      <c r="K353" t="s">
        <v>21</v>
      </c>
      <c r="L353" t="s">
        <v>441</v>
      </c>
      <c r="M353" t="s">
        <v>442</v>
      </c>
      <c r="N353" t="s">
        <v>443</v>
      </c>
      <c r="O353" t="s">
        <v>32</v>
      </c>
      <c r="Q353" t="s">
        <v>444</v>
      </c>
      <c r="R353" s="9">
        <v>1000000</v>
      </c>
      <c r="S353" t="s">
        <v>27</v>
      </c>
    </row>
    <row r="354" spans="1:19" x14ac:dyDescent="0.25">
      <c r="A354" t="s">
        <v>136</v>
      </c>
      <c r="B354" t="s">
        <v>13</v>
      </c>
      <c r="C354" s="2" t="s">
        <v>14</v>
      </c>
      <c r="D354" t="s">
        <v>15</v>
      </c>
      <c r="E354" t="s">
        <v>16</v>
      </c>
      <c r="F354" t="s">
        <v>438</v>
      </c>
      <c r="G354" t="s">
        <v>18</v>
      </c>
      <c r="H354" t="str">
        <f t="shared" si="5"/>
        <v>11.001.04.122.0001.1.001.3.3.90.30.00</v>
      </c>
      <c r="I354" t="s">
        <v>439</v>
      </c>
      <c r="J354" t="s">
        <v>440</v>
      </c>
      <c r="K354" t="s">
        <v>21</v>
      </c>
      <c r="L354" t="s">
        <v>22</v>
      </c>
      <c r="M354" t="s">
        <v>23</v>
      </c>
      <c r="N354" t="s">
        <v>443</v>
      </c>
      <c r="O354" t="s">
        <v>25</v>
      </c>
      <c r="P354" t="s">
        <v>28</v>
      </c>
      <c r="Q354" t="s">
        <v>445</v>
      </c>
      <c r="R354" s="9">
        <v>30000</v>
      </c>
      <c r="S354" t="s">
        <v>27</v>
      </c>
    </row>
    <row r="355" spans="1:19" x14ac:dyDescent="0.25">
      <c r="A355" t="s">
        <v>136</v>
      </c>
      <c r="B355" t="s">
        <v>13</v>
      </c>
      <c r="C355" s="2" t="s">
        <v>14</v>
      </c>
      <c r="D355" t="s">
        <v>15</v>
      </c>
      <c r="E355" t="s">
        <v>16</v>
      </c>
      <c r="F355" t="s">
        <v>438</v>
      </c>
      <c r="G355" t="s">
        <v>18</v>
      </c>
      <c r="H355" t="str">
        <f t="shared" si="5"/>
        <v>11.001.04.122.0001.1.001.3.3.90.30.00</v>
      </c>
      <c r="I355" t="s">
        <v>439</v>
      </c>
      <c r="J355" t="s">
        <v>440</v>
      </c>
      <c r="K355" t="s">
        <v>21</v>
      </c>
      <c r="L355" t="s">
        <v>22</v>
      </c>
      <c r="M355" t="s">
        <v>23</v>
      </c>
      <c r="N355" t="s">
        <v>443</v>
      </c>
      <c r="O355" t="s">
        <v>25</v>
      </c>
      <c r="P355" t="s">
        <v>26</v>
      </c>
      <c r="Q355" t="s">
        <v>446</v>
      </c>
      <c r="R355" s="9">
        <v>7000</v>
      </c>
      <c r="S355" t="s">
        <v>27</v>
      </c>
    </row>
    <row r="356" spans="1:19" x14ac:dyDescent="0.25">
      <c r="A356" t="s">
        <v>136</v>
      </c>
      <c r="B356" t="s">
        <v>13</v>
      </c>
      <c r="C356" s="2" t="s">
        <v>14</v>
      </c>
      <c r="D356" t="s">
        <v>15</v>
      </c>
      <c r="E356" t="s">
        <v>16</v>
      </c>
      <c r="F356" t="s">
        <v>438</v>
      </c>
      <c r="G356" t="s">
        <v>18</v>
      </c>
      <c r="H356" t="str">
        <f t="shared" si="5"/>
        <v>11.001.04.122.0001.1.001.3.3.90.30.00</v>
      </c>
      <c r="I356" t="s">
        <v>439</v>
      </c>
      <c r="J356" t="s">
        <v>440</v>
      </c>
      <c r="K356" t="s">
        <v>21</v>
      </c>
      <c r="L356" t="s">
        <v>22</v>
      </c>
      <c r="M356" t="s">
        <v>23</v>
      </c>
      <c r="N356" t="s">
        <v>443</v>
      </c>
      <c r="O356" t="s">
        <v>25</v>
      </c>
      <c r="P356" t="s">
        <v>159</v>
      </c>
      <c r="Q356" t="s">
        <v>447</v>
      </c>
      <c r="R356" s="9">
        <v>200000</v>
      </c>
      <c r="S356" t="s">
        <v>27</v>
      </c>
    </row>
    <row r="357" spans="1:19" x14ac:dyDescent="0.25">
      <c r="A357" t="s">
        <v>136</v>
      </c>
      <c r="B357" t="s">
        <v>13</v>
      </c>
      <c r="C357" s="2" t="s">
        <v>14</v>
      </c>
      <c r="D357" t="s">
        <v>15</v>
      </c>
      <c r="E357" t="s">
        <v>16</v>
      </c>
      <c r="F357" t="s">
        <v>438</v>
      </c>
      <c r="G357" t="s">
        <v>18</v>
      </c>
      <c r="H357" t="str">
        <f t="shared" si="5"/>
        <v>11.001.04.122.0001.1.001.3.3.90.30.00</v>
      </c>
      <c r="I357" t="s">
        <v>439</v>
      </c>
      <c r="J357" t="s">
        <v>440</v>
      </c>
      <c r="K357" t="s">
        <v>21</v>
      </c>
      <c r="L357" t="s">
        <v>22</v>
      </c>
      <c r="M357" t="s">
        <v>23</v>
      </c>
      <c r="N357" t="s">
        <v>443</v>
      </c>
      <c r="O357" t="s">
        <v>25</v>
      </c>
      <c r="P357" t="s">
        <v>49</v>
      </c>
      <c r="Q357" t="s">
        <v>448</v>
      </c>
      <c r="R357" s="9">
        <v>60000</v>
      </c>
      <c r="S357" t="s">
        <v>27</v>
      </c>
    </row>
    <row r="358" spans="1:19" x14ac:dyDescent="0.25">
      <c r="A358" t="s">
        <v>136</v>
      </c>
      <c r="B358" t="s">
        <v>13</v>
      </c>
      <c r="C358" s="2" t="s">
        <v>14</v>
      </c>
      <c r="D358" t="s">
        <v>15</v>
      </c>
      <c r="E358" t="s">
        <v>16</v>
      </c>
      <c r="F358" t="s">
        <v>438</v>
      </c>
      <c r="G358" t="s">
        <v>18</v>
      </c>
      <c r="H358" t="str">
        <f t="shared" si="5"/>
        <v>11.001.04.122.0001.1.001.3.3.90.30.00</v>
      </c>
      <c r="I358" t="s">
        <v>439</v>
      </c>
      <c r="J358" t="s">
        <v>440</v>
      </c>
      <c r="K358" t="s">
        <v>21</v>
      </c>
      <c r="L358" t="s">
        <v>22</v>
      </c>
      <c r="M358" t="s">
        <v>23</v>
      </c>
      <c r="N358" t="s">
        <v>443</v>
      </c>
      <c r="O358" t="s">
        <v>25</v>
      </c>
      <c r="P358" t="s">
        <v>30</v>
      </c>
      <c r="Q358" t="s">
        <v>449</v>
      </c>
      <c r="R358" s="9">
        <v>100000</v>
      </c>
      <c r="S358" t="s">
        <v>27</v>
      </c>
    </row>
    <row r="359" spans="1:19" x14ac:dyDescent="0.25">
      <c r="A359" t="s">
        <v>136</v>
      </c>
      <c r="B359" t="s">
        <v>13</v>
      </c>
      <c r="C359" s="2" t="s">
        <v>14</v>
      </c>
      <c r="D359" t="s">
        <v>15</v>
      </c>
      <c r="E359" t="s">
        <v>16</v>
      </c>
      <c r="F359" t="s">
        <v>438</v>
      </c>
      <c r="G359" t="s">
        <v>18</v>
      </c>
      <c r="H359" t="str">
        <f t="shared" si="5"/>
        <v>11.001.04.122.0001.1.001.3.3.90.30.00</v>
      </c>
      <c r="I359" t="s">
        <v>439</v>
      </c>
      <c r="J359" t="s">
        <v>440</v>
      </c>
      <c r="K359" t="s">
        <v>21</v>
      </c>
      <c r="L359" t="s">
        <v>22</v>
      </c>
      <c r="M359" t="s">
        <v>23</v>
      </c>
      <c r="N359" t="s">
        <v>443</v>
      </c>
      <c r="O359" t="s">
        <v>25</v>
      </c>
      <c r="P359" t="s">
        <v>29</v>
      </c>
      <c r="Q359" t="s">
        <v>450</v>
      </c>
      <c r="R359" s="9">
        <v>200000</v>
      </c>
      <c r="S359" t="s">
        <v>27</v>
      </c>
    </row>
    <row r="360" spans="1:19" x14ac:dyDescent="0.25">
      <c r="A360" t="s">
        <v>136</v>
      </c>
      <c r="B360" t="s">
        <v>13</v>
      </c>
      <c r="C360" s="2" t="s">
        <v>14</v>
      </c>
      <c r="D360" t="s">
        <v>15</v>
      </c>
      <c r="E360" t="s">
        <v>16</v>
      </c>
      <c r="F360" t="s">
        <v>139</v>
      </c>
      <c r="G360" t="s">
        <v>18</v>
      </c>
      <c r="H360" t="str">
        <f t="shared" si="5"/>
        <v>11.001.04.122.0001.1.002.3.3.90.30.00</v>
      </c>
      <c r="I360" t="s">
        <v>439</v>
      </c>
      <c r="J360" t="s">
        <v>440</v>
      </c>
      <c r="K360" t="s">
        <v>21</v>
      </c>
      <c r="L360" t="s">
        <v>22</v>
      </c>
      <c r="M360" t="s">
        <v>23</v>
      </c>
      <c r="N360" t="s">
        <v>143</v>
      </c>
      <c r="O360" t="s">
        <v>25</v>
      </c>
      <c r="P360" t="s">
        <v>39</v>
      </c>
      <c r="R360" s="9">
        <v>1</v>
      </c>
      <c r="S360" t="s">
        <v>27</v>
      </c>
    </row>
    <row r="361" spans="1:19" x14ac:dyDescent="0.25">
      <c r="A361" t="s">
        <v>136</v>
      </c>
      <c r="B361" t="s">
        <v>13</v>
      </c>
      <c r="C361" s="2" t="s">
        <v>14</v>
      </c>
      <c r="D361" t="s">
        <v>15</v>
      </c>
      <c r="E361" t="s">
        <v>451</v>
      </c>
      <c r="F361" t="s">
        <v>139</v>
      </c>
      <c r="G361" t="s">
        <v>31</v>
      </c>
      <c r="H361" t="str">
        <f t="shared" si="5"/>
        <v>11.001.04.122.0011.1.002.3.3.90.39.00</v>
      </c>
      <c r="I361" t="s">
        <v>439</v>
      </c>
      <c r="J361" t="s">
        <v>440</v>
      </c>
      <c r="K361" t="s">
        <v>21</v>
      </c>
      <c r="L361" t="s">
        <v>22</v>
      </c>
      <c r="M361" t="s">
        <v>452</v>
      </c>
      <c r="N361" t="s">
        <v>143</v>
      </c>
      <c r="O361" t="s">
        <v>32</v>
      </c>
      <c r="P361" t="s">
        <v>65</v>
      </c>
      <c r="Q361" t="s">
        <v>453</v>
      </c>
      <c r="S361" t="s">
        <v>27</v>
      </c>
    </row>
    <row r="362" spans="1:19" x14ac:dyDescent="0.25">
      <c r="A362" t="s">
        <v>136</v>
      </c>
      <c r="B362" t="s">
        <v>13</v>
      </c>
      <c r="C362" s="2" t="s">
        <v>14</v>
      </c>
      <c r="D362" t="s">
        <v>15</v>
      </c>
      <c r="E362" t="s">
        <v>451</v>
      </c>
      <c r="F362" t="s">
        <v>177</v>
      </c>
      <c r="G362" t="s">
        <v>178</v>
      </c>
      <c r="H362" t="str">
        <f t="shared" si="5"/>
        <v>11.001.04.122.0011.1.003.4.4.90.51.00</v>
      </c>
      <c r="I362" t="s">
        <v>439</v>
      </c>
      <c r="J362" t="s">
        <v>440</v>
      </c>
      <c r="K362" t="s">
        <v>21</v>
      </c>
      <c r="L362" t="s">
        <v>22</v>
      </c>
      <c r="M362" t="s">
        <v>452</v>
      </c>
      <c r="N362" t="s">
        <v>179</v>
      </c>
      <c r="O362" t="s">
        <v>180</v>
      </c>
      <c r="P362" t="s">
        <v>454</v>
      </c>
      <c r="Q362" t="s">
        <v>455</v>
      </c>
      <c r="R362" s="9">
        <v>14357865.720000001</v>
      </c>
      <c r="S362" t="s">
        <v>27</v>
      </c>
    </row>
    <row r="363" spans="1:19" x14ac:dyDescent="0.25">
      <c r="A363" t="s">
        <v>136</v>
      </c>
      <c r="B363" t="s">
        <v>13</v>
      </c>
      <c r="C363" s="2" t="s">
        <v>14</v>
      </c>
      <c r="D363" t="s">
        <v>15</v>
      </c>
      <c r="E363" t="s">
        <v>451</v>
      </c>
      <c r="F363" t="s">
        <v>17</v>
      </c>
      <c r="G363" t="s">
        <v>18</v>
      </c>
      <c r="H363" t="str">
        <f t="shared" si="5"/>
        <v>11.001.04.122.0011.2.011.3.3.90.30.00</v>
      </c>
      <c r="I363" t="s">
        <v>439</v>
      </c>
      <c r="J363" t="s">
        <v>440</v>
      </c>
      <c r="K363" t="s">
        <v>21</v>
      </c>
      <c r="L363" t="s">
        <v>22</v>
      </c>
      <c r="M363" t="s">
        <v>452</v>
      </c>
      <c r="N363" t="s">
        <v>24</v>
      </c>
      <c r="O363" t="s">
        <v>25</v>
      </c>
      <c r="P363" t="s">
        <v>46</v>
      </c>
      <c r="Q363" t="s">
        <v>456</v>
      </c>
      <c r="R363" s="9">
        <v>15000</v>
      </c>
      <c r="S363" t="s">
        <v>27</v>
      </c>
    </row>
    <row r="364" spans="1:19" x14ac:dyDescent="0.25">
      <c r="A364" t="s">
        <v>136</v>
      </c>
      <c r="B364" t="s">
        <v>13</v>
      </c>
      <c r="C364" s="2" t="s">
        <v>14</v>
      </c>
      <c r="D364" t="s">
        <v>15</v>
      </c>
      <c r="E364" t="s">
        <v>451</v>
      </c>
      <c r="F364" t="s">
        <v>17</v>
      </c>
      <c r="G364" t="s">
        <v>18</v>
      </c>
      <c r="H364" t="str">
        <f t="shared" si="5"/>
        <v>11.001.04.122.0011.2.011.3.3.90.30.00</v>
      </c>
      <c r="I364" t="s">
        <v>439</v>
      </c>
      <c r="J364" t="s">
        <v>440</v>
      </c>
      <c r="K364" t="s">
        <v>21</v>
      </c>
      <c r="L364" t="s">
        <v>22</v>
      </c>
      <c r="M364" t="s">
        <v>452</v>
      </c>
      <c r="N364" t="s">
        <v>24</v>
      </c>
      <c r="O364" t="s">
        <v>25</v>
      </c>
      <c r="P364" t="s">
        <v>46</v>
      </c>
      <c r="Q364" t="s">
        <v>457</v>
      </c>
      <c r="R364" s="9">
        <v>1000000</v>
      </c>
      <c r="S364" t="s">
        <v>27</v>
      </c>
    </row>
    <row r="365" spans="1:19" x14ac:dyDescent="0.25">
      <c r="A365" t="s">
        <v>136</v>
      </c>
      <c r="B365" t="s">
        <v>13</v>
      </c>
      <c r="C365" s="2" t="s">
        <v>14</v>
      </c>
      <c r="D365" t="s">
        <v>15</v>
      </c>
      <c r="E365" t="s">
        <v>451</v>
      </c>
      <c r="F365" t="s">
        <v>17</v>
      </c>
      <c r="G365" t="s">
        <v>18</v>
      </c>
      <c r="H365" t="str">
        <f t="shared" si="5"/>
        <v>11.001.04.122.0011.2.011.3.3.90.30.00</v>
      </c>
      <c r="I365" t="s">
        <v>439</v>
      </c>
      <c r="J365" t="s">
        <v>440</v>
      </c>
      <c r="K365" t="s">
        <v>21</v>
      </c>
      <c r="L365" t="s">
        <v>22</v>
      </c>
      <c r="M365" t="s">
        <v>452</v>
      </c>
      <c r="N365" t="s">
        <v>24</v>
      </c>
      <c r="O365" t="s">
        <v>25</v>
      </c>
      <c r="P365" t="s">
        <v>28</v>
      </c>
      <c r="Q365" t="s">
        <v>449</v>
      </c>
      <c r="R365" s="9">
        <v>70000</v>
      </c>
      <c r="S365" t="s">
        <v>27</v>
      </c>
    </row>
    <row r="366" spans="1:19" x14ac:dyDescent="0.25">
      <c r="A366" t="s">
        <v>136</v>
      </c>
      <c r="B366" t="s">
        <v>13</v>
      </c>
      <c r="C366" s="2" t="s">
        <v>14</v>
      </c>
      <c r="D366" t="s">
        <v>15</v>
      </c>
      <c r="E366" t="s">
        <v>451</v>
      </c>
      <c r="F366" t="s">
        <v>17</v>
      </c>
      <c r="G366" t="s">
        <v>18</v>
      </c>
      <c r="H366" t="str">
        <f t="shared" si="5"/>
        <v>11.001.04.122.0011.2.011.3.3.90.30.00</v>
      </c>
      <c r="I366" t="s">
        <v>439</v>
      </c>
      <c r="J366" t="s">
        <v>440</v>
      </c>
      <c r="K366" t="s">
        <v>21</v>
      </c>
      <c r="L366" t="s">
        <v>22</v>
      </c>
      <c r="M366" t="s">
        <v>452</v>
      </c>
      <c r="N366" t="s">
        <v>24</v>
      </c>
      <c r="O366" t="s">
        <v>25</v>
      </c>
      <c r="P366" t="s">
        <v>225</v>
      </c>
      <c r="Q366" t="s">
        <v>458</v>
      </c>
      <c r="R366" s="9">
        <v>120000</v>
      </c>
      <c r="S366" t="s">
        <v>27</v>
      </c>
    </row>
    <row r="367" spans="1:19" x14ac:dyDescent="0.25">
      <c r="A367" t="s">
        <v>136</v>
      </c>
      <c r="B367" t="s">
        <v>13</v>
      </c>
      <c r="C367" s="2" t="s">
        <v>14</v>
      </c>
      <c r="D367" t="s">
        <v>15</v>
      </c>
      <c r="E367" t="s">
        <v>451</v>
      </c>
      <c r="F367" t="s">
        <v>17</v>
      </c>
      <c r="G367" t="s">
        <v>18</v>
      </c>
      <c r="H367" t="str">
        <f t="shared" si="5"/>
        <v>11.001.04.122.0011.2.011.3.3.90.30.00</v>
      </c>
      <c r="I367" t="s">
        <v>439</v>
      </c>
      <c r="J367" t="s">
        <v>440</v>
      </c>
      <c r="K367" t="s">
        <v>21</v>
      </c>
      <c r="L367" t="s">
        <v>22</v>
      </c>
      <c r="M367" t="s">
        <v>452</v>
      </c>
      <c r="N367" t="s">
        <v>24</v>
      </c>
      <c r="O367" t="s">
        <v>25</v>
      </c>
      <c r="P367" t="s">
        <v>30</v>
      </c>
      <c r="Q367" t="s">
        <v>449</v>
      </c>
      <c r="R367" s="9">
        <v>30000</v>
      </c>
      <c r="S367" t="s">
        <v>27</v>
      </c>
    </row>
    <row r="368" spans="1:19" x14ac:dyDescent="0.25">
      <c r="A368" t="s">
        <v>136</v>
      </c>
      <c r="B368" t="s">
        <v>13</v>
      </c>
      <c r="C368" s="2" t="s">
        <v>14</v>
      </c>
      <c r="D368" t="s">
        <v>15</v>
      </c>
      <c r="E368" t="s">
        <v>451</v>
      </c>
      <c r="F368" t="s">
        <v>17</v>
      </c>
      <c r="G368" t="s">
        <v>18</v>
      </c>
      <c r="H368" t="str">
        <f t="shared" si="5"/>
        <v>11.001.04.122.0011.2.011.3.3.90.30.00</v>
      </c>
      <c r="I368" t="s">
        <v>439</v>
      </c>
      <c r="J368" t="s">
        <v>440</v>
      </c>
      <c r="K368" t="s">
        <v>21</v>
      </c>
      <c r="L368" t="s">
        <v>22</v>
      </c>
      <c r="M368" t="s">
        <v>452</v>
      </c>
      <c r="N368" t="s">
        <v>24</v>
      </c>
      <c r="O368" t="s">
        <v>25</v>
      </c>
      <c r="P368" t="s">
        <v>29</v>
      </c>
      <c r="Q368" t="s">
        <v>450</v>
      </c>
      <c r="R368" s="9">
        <v>100000</v>
      </c>
      <c r="S368" t="s">
        <v>27</v>
      </c>
    </row>
    <row r="369" spans="1:19" x14ac:dyDescent="0.25">
      <c r="A369" t="s">
        <v>136</v>
      </c>
      <c r="B369" t="s">
        <v>13</v>
      </c>
      <c r="C369" s="2" t="s">
        <v>14</v>
      </c>
      <c r="D369" t="s">
        <v>15</v>
      </c>
      <c r="E369" t="s">
        <v>451</v>
      </c>
      <c r="F369" t="s">
        <v>17</v>
      </c>
      <c r="G369" t="s">
        <v>31</v>
      </c>
      <c r="H369" t="str">
        <f t="shared" si="5"/>
        <v>11.001.04.122.0011.2.011.3.3.90.39.00</v>
      </c>
      <c r="I369" t="s">
        <v>439</v>
      </c>
      <c r="J369" t="s">
        <v>440</v>
      </c>
      <c r="K369" t="s">
        <v>21</v>
      </c>
      <c r="L369" t="s">
        <v>22</v>
      </c>
      <c r="M369" t="s">
        <v>452</v>
      </c>
      <c r="N369" t="s">
        <v>24</v>
      </c>
      <c r="O369" t="s">
        <v>32</v>
      </c>
      <c r="P369" t="s">
        <v>44</v>
      </c>
      <c r="R369" s="9">
        <v>120000</v>
      </c>
      <c r="S369" t="s">
        <v>27</v>
      </c>
    </row>
    <row r="370" spans="1:19" x14ac:dyDescent="0.25">
      <c r="A370" t="s">
        <v>136</v>
      </c>
      <c r="B370" t="s">
        <v>13</v>
      </c>
      <c r="C370" s="2" t="s">
        <v>14</v>
      </c>
      <c r="D370" t="s">
        <v>15</v>
      </c>
      <c r="E370" t="s">
        <v>451</v>
      </c>
      <c r="F370" t="s">
        <v>17</v>
      </c>
      <c r="G370" t="s">
        <v>31</v>
      </c>
      <c r="H370" t="str">
        <f t="shared" si="5"/>
        <v>11.001.04.122.0011.2.011.3.3.90.39.00</v>
      </c>
      <c r="I370" t="s">
        <v>439</v>
      </c>
      <c r="J370" t="s">
        <v>440</v>
      </c>
      <c r="K370" t="s">
        <v>21</v>
      </c>
      <c r="L370" t="s">
        <v>22</v>
      </c>
      <c r="M370" t="s">
        <v>452</v>
      </c>
      <c r="N370" t="s">
        <v>24</v>
      </c>
      <c r="O370" t="s">
        <v>32</v>
      </c>
      <c r="P370" t="s">
        <v>33</v>
      </c>
      <c r="Q370" t="s">
        <v>459</v>
      </c>
      <c r="R370" s="9">
        <v>2500000</v>
      </c>
      <c r="S370" t="s">
        <v>27</v>
      </c>
    </row>
    <row r="371" spans="1:19" x14ac:dyDescent="0.25">
      <c r="A371" t="s">
        <v>136</v>
      </c>
      <c r="B371" t="s">
        <v>13</v>
      </c>
      <c r="C371" s="2" t="s">
        <v>14</v>
      </c>
      <c r="D371" t="s">
        <v>15</v>
      </c>
      <c r="E371" t="s">
        <v>451</v>
      </c>
      <c r="F371" t="s">
        <v>17</v>
      </c>
      <c r="G371" t="s">
        <v>31</v>
      </c>
      <c r="H371" t="str">
        <f t="shared" si="5"/>
        <v>11.001.04.122.0011.2.011.3.3.90.39.00</v>
      </c>
      <c r="I371" t="s">
        <v>439</v>
      </c>
      <c r="J371" t="s">
        <v>440</v>
      </c>
      <c r="K371" t="s">
        <v>21</v>
      </c>
      <c r="L371" t="s">
        <v>22</v>
      </c>
      <c r="M371" t="s">
        <v>452</v>
      </c>
      <c r="N371" t="s">
        <v>24</v>
      </c>
      <c r="O371" t="s">
        <v>32</v>
      </c>
      <c r="P371" t="s">
        <v>460</v>
      </c>
      <c r="Q371" t="s">
        <v>461</v>
      </c>
      <c r="R371" s="9">
        <v>28730415.210000001</v>
      </c>
      <c r="S371" t="s">
        <v>27</v>
      </c>
    </row>
    <row r="372" spans="1:19" x14ac:dyDescent="0.25">
      <c r="A372" t="s">
        <v>136</v>
      </c>
      <c r="B372" t="s">
        <v>13</v>
      </c>
      <c r="C372" s="2" t="s">
        <v>14</v>
      </c>
      <c r="D372" t="s">
        <v>15</v>
      </c>
      <c r="E372" t="s">
        <v>451</v>
      </c>
      <c r="F372" t="s">
        <v>17</v>
      </c>
      <c r="G372" t="s">
        <v>31</v>
      </c>
      <c r="H372" t="str">
        <f t="shared" si="5"/>
        <v>11.001.04.122.0011.2.011.3.3.90.39.00</v>
      </c>
      <c r="I372" t="s">
        <v>439</v>
      </c>
      <c r="J372" t="s">
        <v>440</v>
      </c>
      <c r="K372" t="s">
        <v>21</v>
      </c>
      <c r="L372" t="s">
        <v>22</v>
      </c>
      <c r="M372" t="s">
        <v>452</v>
      </c>
      <c r="N372" t="s">
        <v>24</v>
      </c>
      <c r="O372" t="s">
        <v>32</v>
      </c>
      <c r="P372" t="s">
        <v>462</v>
      </c>
      <c r="R372" s="9">
        <v>10000</v>
      </c>
      <c r="S372" t="s">
        <v>27</v>
      </c>
    </row>
    <row r="373" spans="1:19" x14ac:dyDescent="0.25">
      <c r="A373" t="s">
        <v>136</v>
      </c>
      <c r="B373" t="s">
        <v>13</v>
      </c>
      <c r="C373" s="2" t="s">
        <v>14</v>
      </c>
      <c r="D373" t="s">
        <v>15</v>
      </c>
      <c r="E373" t="s">
        <v>451</v>
      </c>
      <c r="F373" t="s">
        <v>17</v>
      </c>
      <c r="G373" t="s">
        <v>80</v>
      </c>
      <c r="H373" t="str">
        <f t="shared" si="5"/>
        <v>11.001.04.122.0011.2.011.4.4.90.52.00</v>
      </c>
      <c r="I373" t="s">
        <v>439</v>
      </c>
      <c r="J373" t="s">
        <v>440</v>
      </c>
      <c r="K373" t="s">
        <v>21</v>
      </c>
      <c r="L373" t="s">
        <v>22</v>
      </c>
      <c r="M373" t="s">
        <v>452</v>
      </c>
      <c r="N373" t="s">
        <v>24</v>
      </c>
      <c r="O373" t="s">
        <v>81</v>
      </c>
      <c r="P373" t="s">
        <v>463</v>
      </c>
      <c r="R373" s="9">
        <v>25000</v>
      </c>
      <c r="S373" t="s">
        <v>27</v>
      </c>
    </row>
    <row r="374" spans="1:19" x14ac:dyDescent="0.25">
      <c r="A374" t="s">
        <v>136</v>
      </c>
      <c r="B374" t="s">
        <v>13</v>
      </c>
      <c r="C374" s="2" t="s">
        <v>14</v>
      </c>
      <c r="D374" t="s">
        <v>15</v>
      </c>
      <c r="E374" t="s">
        <v>451</v>
      </c>
      <c r="F374" t="s">
        <v>17</v>
      </c>
      <c r="G374" t="s">
        <v>80</v>
      </c>
      <c r="H374" t="str">
        <f t="shared" si="5"/>
        <v>11.001.04.122.0011.2.011.4.4.90.52.00</v>
      </c>
      <c r="I374" t="s">
        <v>439</v>
      </c>
      <c r="J374" t="s">
        <v>440</v>
      </c>
      <c r="K374" t="s">
        <v>21</v>
      </c>
      <c r="L374" t="s">
        <v>22</v>
      </c>
      <c r="M374" t="s">
        <v>452</v>
      </c>
      <c r="N374" t="s">
        <v>24</v>
      </c>
      <c r="O374" t="s">
        <v>81</v>
      </c>
      <c r="P374" t="s">
        <v>82</v>
      </c>
      <c r="Q374" t="s">
        <v>447</v>
      </c>
      <c r="R374" s="9">
        <v>60000</v>
      </c>
      <c r="S374" t="s">
        <v>27</v>
      </c>
    </row>
    <row r="375" spans="1:19" x14ac:dyDescent="0.25">
      <c r="A375" t="s">
        <v>136</v>
      </c>
      <c r="B375" t="s">
        <v>13</v>
      </c>
      <c r="C375" s="2" t="s">
        <v>14</v>
      </c>
      <c r="D375" t="s">
        <v>15</v>
      </c>
      <c r="E375" t="s">
        <v>451</v>
      </c>
      <c r="F375" t="s">
        <v>17</v>
      </c>
      <c r="G375" t="s">
        <v>80</v>
      </c>
      <c r="H375" t="str">
        <f t="shared" si="5"/>
        <v>11.001.04.122.0011.2.011.4.4.90.52.00</v>
      </c>
      <c r="I375" t="s">
        <v>439</v>
      </c>
      <c r="J375" t="s">
        <v>440</v>
      </c>
      <c r="K375" t="s">
        <v>21</v>
      </c>
      <c r="L375" t="s">
        <v>22</v>
      </c>
      <c r="M375" t="s">
        <v>452</v>
      </c>
      <c r="N375" t="s">
        <v>24</v>
      </c>
      <c r="O375" t="s">
        <v>81</v>
      </c>
      <c r="P375" t="s">
        <v>463</v>
      </c>
      <c r="Q375" t="s">
        <v>447</v>
      </c>
      <c r="R375" s="9">
        <v>30000</v>
      </c>
      <c r="S375" t="s">
        <v>27</v>
      </c>
    </row>
    <row r="376" spans="1:19" x14ac:dyDescent="0.25">
      <c r="A376" t="s">
        <v>136</v>
      </c>
      <c r="B376" t="s">
        <v>13</v>
      </c>
      <c r="C376" s="2" t="s">
        <v>14</v>
      </c>
      <c r="D376" t="s">
        <v>15</v>
      </c>
      <c r="E376" t="s">
        <v>451</v>
      </c>
      <c r="F376" t="s">
        <v>17</v>
      </c>
      <c r="G376" t="s">
        <v>80</v>
      </c>
      <c r="H376" t="str">
        <f t="shared" si="5"/>
        <v>11.001.04.122.0011.2.011.4.4.90.52.00</v>
      </c>
      <c r="I376" t="s">
        <v>439</v>
      </c>
      <c r="J376" t="s">
        <v>440</v>
      </c>
      <c r="K376" t="s">
        <v>21</v>
      </c>
      <c r="L376" t="s">
        <v>22</v>
      </c>
      <c r="M376" t="s">
        <v>452</v>
      </c>
      <c r="N376" t="s">
        <v>24</v>
      </c>
      <c r="O376" t="s">
        <v>81</v>
      </c>
      <c r="P376" t="s">
        <v>224</v>
      </c>
      <c r="R376" s="9">
        <v>215000</v>
      </c>
      <c r="S376" t="s">
        <v>27</v>
      </c>
    </row>
    <row r="377" spans="1:19" x14ac:dyDescent="0.25">
      <c r="A377" t="s">
        <v>136</v>
      </c>
      <c r="B377" t="s">
        <v>13</v>
      </c>
      <c r="C377" s="2" t="s">
        <v>14</v>
      </c>
      <c r="D377" t="s">
        <v>436</v>
      </c>
      <c r="E377" t="s">
        <v>451</v>
      </c>
      <c r="F377" t="s">
        <v>17</v>
      </c>
      <c r="G377" t="s">
        <v>80</v>
      </c>
      <c r="H377" t="str">
        <f t="shared" si="5"/>
        <v>11.001.04.121.0011.2.011.4.4.90.52.00</v>
      </c>
      <c r="I377" t="s">
        <v>439</v>
      </c>
      <c r="J377" t="s">
        <v>440</v>
      </c>
      <c r="K377" t="s">
        <v>21</v>
      </c>
      <c r="L377" t="s">
        <v>441</v>
      </c>
      <c r="M377" t="s">
        <v>452</v>
      </c>
      <c r="N377" t="s">
        <v>24</v>
      </c>
      <c r="O377" t="s">
        <v>81</v>
      </c>
      <c r="P377" t="s">
        <v>82</v>
      </c>
      <c r="Q377" t="s">
        <v>464</v>
      </c>
      <c r="R377" s="9">
        <v>10000</v>
      </c>
      <c r="S377" t="s">
        <v>27</v>
      </c>
    </row>
    <row r="378" spans="1:19" x14ac:dyDescent="0.25">
      <c r="A378" t="s">
        <v>136</v>
      </c>
      <c r="B378" t="s">
        <v>13</v>
      </c>
      <c r="C378" s="2" t="s">
        <v>14</v>
      </c>
      <c r="D378" t="s">
        <v>312</v>
      </c>
      <c r="E378" t="s">
        <v>52</v>
      </c>
      <c r="F378" t="s">
        <v>133</v>
      </c>
      <c r="G378" t="s">
        <v>31</v>
      </c>
      <c r="H378" t="str">
        <f t="shared" si="5"/>
        <v>11.001.04.131.0002.2.005.3.3.90.39.00</v>
      </c>
      <c r="I378" t="s">
        <v>439</v>
      </c>
      <c r="J378" t="s">
        <v>440</v>
      </c>
      <c r="K378" t="s">
        <v>21</v>
      </c>
      <c r="L378" t="s">
        <v>313</v>
      </c>
      <c r="M378" t="s">
        <v>58</v>
      </c>
      <c r="N378" t="s">
        <v>134</v>
      </c>
      <c r="O378" t="s">
        <v>32</v>
      </c>
      <c r="P378" t="s">
        <v>93</v>
      </c>
      <c r="R378" s="9">
        <v>5000</v>
      </c>
      <c r="S378" t="s">
        <v>27</v>
      </c>
    </row>
    <row r="379" spans="1:19" x14ac:dyDescent="0.25">
      <c r="A379" t="s">
        <v>136</v>
      </c>
      <c r="B379" t="s">
        <v>13</v>
      </c>
      <c r="C379" s="2" t="s">
        <v>14</v>
      </c>
      <c r="D379" t="s">
        <v>312</v>
      </c>
      <c r="E379" t="s">
        <v>52</v>
      </c>
      <c r="F379" t="s">
        <v>133</v>
      </c>
      <c r="G379" t="s">
        <v>31</v>
      </c>
      <c r="H379" t="str">
        <f t="shared" si="5"/>
        <v>11.001.04.131.0002.2.005.3.3.90.39.00</v>
      </c>
      <c r="I379" t="s">
        <v>439</v>
      </c>
      <c r="J379" t="s">
        <v>440</v>
      </c>
      <c r="K379" t="s">
        <v>21</v>
      </c>
      <c r="L379" t="s">
        <v>313</v>
      </c>
      <c r="M379" t="s">
        <v>58</v>
      </c>
      <c r="N379" t="s">
        <v>134</v>
      </c>
      <c r="O379" t="s">
        <v>32</v>
      </c>
      <c r="P379" t="s">
        <v>135</v>
      </c>
      <c r="Q379" t="s">
        <v>465</v>
      </c>
      <c r="R379" s="9">
        <v>50000</v>
      </c>
      <c r="S379" t="s">
        <v>27</v>
      </c>
    </row>
    <row r="380" spans="1:19" x14ac:dyDescent="0.25">
      <c r="A380" t="s">
        <v>136</v>
      </c>
      <c r="B380" t="s">
        <v>13</v>
      </c>
      <c r="C380" s="2" t="s">
        <v>14</v>
      </c>
      <c r="D380" t="s">
        <v>15</v>
      </c>
      <c r="E380" t="s">
        <v>451</v>
      </c>
      <c r="F380" t="s">
        <v>177</v>
      </c>
      <c r="G380" t="s">
        <v>31</v>
      </c>
      <c r="H380" t="str">
        <f t="shared" si="5"/>
        <v>11.001.04.122.0011.1.003.3.3.90.39.00</v>
      </c>
      <c r="I380" t="s">
        <v>439</v>
      </c>
      <c r="J380" t="s">
        <v>440</v>
      </c>
      <c r="K380" t="s">
        <v>21</v>
      </c>
      <c r="L380" t="s">
        <v>22</v>
      </c>
      <c r="M380" t="s">
        <v>452</v>
      </c>
      <c r="N380" t="s">
        <v>179</v>
      </c>
      <c r="O380" t="s">
        <v>32</v>
      </c>
      <c r="P380" t="s">
        <v>93</v>
      </c>
      <c r="Q380" t="s">
        <v>466</v>
      </c>
      <c r="R380" s="9">
        <v>6387943.7999999998</v>
      </c>
      <c r="S380" t="s">
        <v>27</v>
      </c>
    </row>
    <row r="381" spans="1:19" x14ac:dyDescent="0.25">
      <c r="A381" t="s">
        <v>136</v>
      </c>
      <c r="B381" t="s">
        <v>13</v>
      </c>
      <c r="C381" s="2" t="s">
        <v>14</v>
      </c>
      <c r="D381" t="s">
        <v>467</v>
      </c>
      <c r="E381" t="s">
        <v>451</v>
      </c>
      <c r="F381" t="s">
        <v>468</v>
      </c>
      <c r="G381" t="s">
        <v>31</v>
      </c>
      <c r="H381" t="str">
        <f t="shared" si="5"/>
        <v>11.001.04.452.0011.2.034.3.3.90.39.00</v>
      </c>
      <c r="I381" t="s">
        <v>439</v>
      </c>
      <c r="J381" t="s">
        <v>440</v>
      </c>
      <c r="K381" t="s">
        <v>21</v>
      </c>
      <c r="L381" t="s">
        <v>469</v>
      </c>
      <c r="M381" t="s">
        <v>452</v>
      </c>
      <c r="N381" t="s">
        <v>470</v>
      </c>
      <c r="O381" t="s">
        <v>32</v>
      </c>
      <c r="P381" t="s">
        <v>460</v>
      </c>
      <c r="Q381" t="s">
        <v>471</v>
      </c>
      <c r="R381" s="9">
        <v>6000000</v>
      </c>
      <c r="S381" t="s">
        <v>27</v>
      </c>
    </row>
    <row r="382" spans="1:19" x14ac:dyDescent="0.25">
      <c r="A382" t="s">
        <v>136</v>
      </c>
      <c r="B382" t="s">
        <v>13</v>
      </c>
      <c r="C382" s="2" t="s">
        <v>14</v>
      </c>
      <c r="D382" t="s">
        <v>15</v>
      </c>
      <c r="E382" t="s">
        <v>451</v>
      </c>
      <c r="F382" t="s">
        <v>17</v>
      </c>
      <c r="G382" t="s">
        <v>18</v>
      </c>
      <c r="H382" t="str">
        <f t="shared" si="5"/>
        <v>11.001.04.122.0011.2.011.3.3.90.30.00</v>
      </c>
      <c r="I382" t="s">
        <v>439</v>
      </c>
      <c r="J382" t="s">
        <v>440</v>
      </c>
      <c r="K382" t="s">
        <v>21</v>
      </c>
      <c r="L382" t="s">
        <v>22</v>
      </c>
      <c r="M382" t="s">
        <v>452</v>
      </c>
      <c r="N382" t="s">
        <v>24</v>
      </c>
      <c r="O382" t="s">
        <v>25</v>
      </c>
      <c r="P382" t="s">
        <v>39</v>
      </c>
      <c r="Q382" t="s">
        <v>472</v>
      </c>
      <c r="R382" s="9">
        <v>4500000</v>
      </c>
      <c r="S382" t="s">
        <v>27</v>
      </c>
    </row>
    <row r="383" spans="1:19" x14ac:dyDescent="0.25">
      <c r="A383" t="s">
        <v>136</v>
      </c>
      <c r="B383" t="s">
        <v>473</v>
      </c>
      <c r="C383" s="2" t="s">
        <v>14</v>
      </c>
      <c r="D383" t="s">
        <v>15</v>
      </c>
      <c r="E383" t="s">
        <v>451</v>
      </c>
      <c r="F383" t="s">
        <v>17</v>
      </c>
      <c r="G383" t="s">
        <v>18</v>
      </c>
      <c r="H383" t="str">
        <f t="shared" si="5"/>
        <v>11.014.04.122.0011.2.011.3.3.90.30.00</v>
      </c>
      <c r="I383" t="s">
        <v>439</v>
      </c>
      <c r="J383" t="s">
        <v>474</v>
      </c>
      <c r="K383" t="s">
        <v>21</v>
      </c>
      <c r="L383" t="s">
        <v>22</v>
      </c>
      <c r="M383" t="s">
        <v>452</v>
      </c>
      <c r="N383" t="s">
        <v>24</v>
      </c>
      <c r="O383" t="s">
        <v>25</v>
      </c>
      <c r="P383" t="s">
        <v>28</v>
      </c>
      <c r="Q383" t="s">
        <v>448</v>
      </c>
      <c r="R383" s="9">
        <v>50000</v>
      </c>
      <c r="S383" t="s">
        <v>27</v>
      </c>
    </row>
    <row r="384" spans="1:19" x14ac:dyDescent="0.25">
      <c r="A384" t="s">
        <v>136</v>
      </c>
      <c r="B384" t="s">
        <v>473</v>
      </c>
      <c r="C384" s="2" t="s">
        <v>14</v>
      </c>
      <c r="D384" t="s">
        <v>15</v>
      </c>
      <c r="E384" t="s">
        <v>451</v>
      </c>
      <c r="F384" t="s">
        <v>17</v>
      </c>
      <c r="G384" t="s">
        <v>18</v>
      </c>
      <c r="H384" t="str">
        <f t="shared" si="5"/>
        <v>11.014.04.122.0011.2.011.3.3.90.30.00</v>
      </c>
      <c r="I384" t="s">
        <v>439</v>
      </c>
      <c r="J384" t="s">
        <v>474</v>
      </c>
      <c r="K384" t="s">
        <v>21</v>
      </c>
      <c r="L384" t="s">
        <v>22</v>
      </c>
      <c r="M384" t="s">
        <v>452</v>
      </c>
      <c r="N384" t="s">
        <v>24</v>
      </c>
      <c r="O384" t="s">
        <v>25</v>
      </c>
      <c r="P384" t="s">
        <v>46</v>
      </c>
      <c r="Q384" t="s">
        <v>475</v>
      </c>
      <c r="R384" s="9">
        <v>1000000</v>
      </c>
      <c r="S384" t="s">
        <v>27</v>
      </c>
    </row>
    <row r="385" spans="1:19" x14ac:dyDescent="0.25">
      <c r="A385" t="s">
        <v>136</v>
      </c>
      <c r="B385" t="s">
        <v>473</v>
      </c>
      <c r="C385" s="2" t="s">
        <v>14</v>
      </c>
      <c r="D385" t="s">
        <v>15</v>
      </c>
      <c r="E385" t="s">
        <v>451</v>
      </c>
      <c r="F385" t="s">
        <v>17</v>
      </c>
      <c r="G385" t="s">
        <v>18</v>
      </c>
      <c r="H385" t="str">
        <f t="shared" si="5"/>
        <v>11.014.04.122.0011.2.011.3.3.90.30.00</v>
      </c>
      <c r="I385" t="s">
        <v>439</v>
      </c>
      <c r="J385" t="s">
        <v>474</v>
      </c>
      <c r="K385" t="s">
        <v>21</v>
      </c>
      <c r="L385" t="s">
        <v>22</v>
      </c>
      <c r="M385" t="s">
        <v>452</v>
      </c>
      <c r="N385" t="s">
        <v>24</v>
      </c>
      <c r="O385" t="s">
        <v>25</v>
      </c>
      <c r="P385" t="s">
        <v>29</v>
      </c>
      <c r="R385" s="9">
        <v>100000</v>
      </c>
      <c r="S385" t="s">
        <v>27</v>
      </c>
    </row>
    <row r="386" spans="1:19" x14ac:dyDescent="0.25">
      <c r="A386" t="s">
        <v>136</v>
      </c>
      <c r="B386" t="s">
        <v>473</v>
      </c>
      <c r="C386" s="2" t="s">
        <v>14</v>
      </c>
      <c r="D386" t="s">
        <v>15</v>
      </c>
      <c r="E386" t="s">
        <v>451</v>
      </c>
      <c r="F386" t="s">
        <v>17</v>
      </c>
      <c r="G386" t="s">
        <v>18</v>
      </c>
      <c r="H386" t="str">
        <f t="shared" ref="H386:H449" si="6">_xlfn.CONCAT(A386,".",B386,".",C386,".",D386,".",E386,".",F386,".",G386)</f>
        <v>11.014.04.122.0011.2.011.3.3.90.30.00</v>
      </c>
      <c r="I386" t="s">
        <v>439</v>
      </c>
      <c r="J386" t="s">
        <v>474</v>
      </c>
      <c r="K386" t="s">
        <v>21</v>
      </c>
      <c r="L386" t="s">
        <v>22</v>
      </c>
      <c r="M386" t="s">
        <v>452</v>
      </c>
      <c r="N386" t="s">
        <v>24</v>
      </c>
      <c r="O386" t="s">
        <v>25</v>
      </c>
      <c r="P386" t="s">
        <v>225</v>
      </c>
      <c r="Q386" t="s">
        <v>458</v>
      </c>
      <c r="R386" s="9">
        <v>70000</v>
      </c>
      <c r="S386" t="s">
        <v>27</v>
      </c>
    </row>
    <row r="387" spans="1:19" x14ac:dyDescent="0.25">
      <c r="A387" t="s">
        <v>136</v>
      </c>
      <c r="B387" t="s">
        <v>473</v>
      </c>
      <c r="C387" s="2" t="s">
        <v>14</v>
      </c>
      <c r="D387" t="s">
        <v>15</v>
      </c>
      <c r="E387" t="s">
        <v>451</v>
      </c>
      <c r="F387" t="s">
        <v>17</v>
      </c>
      <c r="G387" t="s">
        <v>31</v>
      </c>
      <c r="H387" t="str">
        <f t="shared" si="6"/>
        <v>11.014.04.122.0011.2.011.3.3.90.39.00</v>
      </c>
      <c r="I387" t="s">
        <v>439</v>
      </c>
      <c r="J387" t="s">
        <v>474</v>
      </c>
      <c r="K387" t="s">
        <v>21</v>
      </c>
      <c r="L387" t="s">
        <v>22</v>
      </c>
      <c r="M387" t="s">
        <v>452</v>
      </c>
      <c r="N387" t="s">
        <v>24</v>
      </c>
      <c r="O387" t="s">
        <v>32</v>
      </c>
      <c r="P387" t="s">
        <v>460</v>
      </c>
      <c r="Q387" t="s">
        <v>476</v>
      </c>
      <c r="R387" s="9">
        <v>12914427.6</v>
      </c>
      <c r="S387" t="s">
        <v>27</v>
      </c>
    </row>
    <row r="388" spans="1:19" x14ac:dyDescent="0.25">
      <c r="A388" t="s">
        <v>136</v>
      </c>
      <c r="B388" t="s">
        <v>473</v>
      </c>
      <c r="C388" s="2" t="s">
        <v>14</v>
      </c>
      <c r="D388" t="s">
        <v>15</v>
      </c>
      <c r="E388" t="s">
        <v>451</v>
      </c>
      <c r="F388" t="s">
        <v>17</v>
      </c>
      <c r="G388" t="s">
        <v>31</v>
      </c>
      <c r="H388" t="str">
        <f t="shared" si="6"/>
        <v>11.014.04.122.0011.2.011.3.3.90.39.00</v>
      </c>
      <c r="I388" t="s">
        <v>439</v>
      </c>
      <c r="J388" t="s">
        <v>474</v>
      </c>
      <c r="K388" t="s">
        <v>21</v>
      </c>
      <c r="L388" t="s">
        <v>22</v>
      </c>
      <c r="M388" t="s">
        <v>452</v>
      </c>
      <c r="N388" t="s">
        <v>24</v>
      </c>
      <c r="O388" t="s">
        <v>32</v>
      </c>
      <c r="P388" t="s">
        <v>44</v>
      </c>
      <c r="Q388" t="s">
        <v>477</v>
      </c>
      <c r="R388" s="9">
        <v>250000</v>
      </c>
      <c r="S388" t="s">
        <v>27</v>
      </c>
    </row>
    <row r="389" spans="1:19" x14ac:dyDescent="0.25">
      <c r="A389" t="s">
        <v>136</v>
      </c>
      <c r="B389" t="s">
        <v>473</v>
      </c>
      <c r="C389" s="2" t="s">
        <v>14</v>
      </c>
      <c r="D389" t="s">
        <v>15</v>
      </c>
      <c r="E389" t="s">
        <v>451</v>
      </c>
      <c r="F389" t="s">
        <v>17</v>
      </c>
      <c r="G389" t="s">
        <v>31</v>
      </c>
      <c r="H389" t="str">
        <f t="shared" si="6"/>
        <v>11.014.04.122.0011.2.011.3.3.90.39.00</v>
      </c>
      <c r="I389" t="s">
        <v>439</v>
      </c>
      <c r="J389" t="s">
        <v>474</v>
      </c>
      <c r="K389" t="s">
        <v>21</v>
      </c>
      <c r="L389" t="s">
        <v>22</v>
      </c>
      <c r="M389" t="s">
        <v>452</v>
      </c>
      <c r="N389" t="s">
        <v>24</v>
      </c>
      <c r="O389" t="s">
        <v>32</v>
      </c>
      <c r="P389" t="s">
        <v>44</v>
      </c>
      <c r="Q389" t="s">
        <v>478</v>
      </c>
      <c r="R389" s="9">
        <v>105150</v>
      </c>
      <c r="S389" t="s">
        <v>27</v>
      </c>
    </row>
    <row r="390" spans="1:19" x14ac:dyDescent="0.25">
      <c r="A390" t="s">
        <v>136</v>
      </c>
      <c r="B390" t="s">
        <v>473</v>
      </c>
      <c r="C390" s="2" t="s">
        <v>14</v>
      </c>
      <c r="D390" t="s">
        <v>15</v>
      </c>
      <c r="E390" t="s">
        <v>451</v>
      </c>
      <c r="F390" t="s">
        <v>17</v>
      </c>
      <c r="G390" t="s">
        <v>31</v>
      </c>
      <c r="H390" t="str">
        <f t="shared" si="6"/>
        <v>11.014.04.122.0011.2.011.3.3.90.39.00</v>
      </c>
      <c r="I390" t="s">
        <v>439</v>
      </c>
      <c r="J390" t="s">
        <v>474</v>
      </c>
      <c r="K390" t="s">
        <v>21</v>
      </c>
      <c r="L390" t="s">
        <v>22</v>
      </c>
      <c r="M390" t="s">
        <v>452</v>
      </c>
      <c r="N390" t="s">
        <v>24</v>
      </c>
      <c r="O390" t="s">
        <v>32</v>
      </c>
      <c r="P390" t="s">
        <v>462</v>
      </c>
      <c r="Q390" t="s">
        <v>479</v>
      </c>
      <c r="R390" s="9">
        <v>80000</v>
      </c>
      <c r="S390" t="s">
        <v>27</v>
      </c>
    </row>
    <row r="391" spans="1:19" x14ac:dyDescent="0.25">
      <c r="A391" t="s">
        <v>136</v>
      </c>
      <c r="B391" t="s">
        <v>473</v>
      </c>
      <c r="C391" s="2" t="s">
        <v>14</v>
      </c>
      <c r="D391" t="s">
        <v>15</v>
      </c>
      <c r="E391" t="s">
        <v>451</v>
      </c>
      <c r="F391" t="s">
        <v>17</v>
      </c>
      <c r="G391" t="s">
        <v>80</v>
      </c>
      <c r="H391" t="str">
        <f t="shared" si="6"/>
        <v>11.014.04.122.0011.2.011.4.4.90.52.00</v>
      </c>
      <c r="I391" t="s">
        <v>439</v>
      </c>
      <c r="J391" t="s">
        <v>474</v>
      </c>
      <c r="K391" t="s">
        <v>21</v>
      </c>
      <c r="L391" t="s">
        <v>22</v>
      </c>
      <c r="M391" t="s">
        <v>452</v>
      </c>
      <c r="N391" t="s">
        <v>24</v>
      </c>
      <c r="O391" t="s">
        <v>81</v>
      </c>
      <c r="P391" t="s">
        <v>224</v>
      </c>
      <c r="Q391" t="s">
        <v>480</v>
      </c>
      <c r="R391" s="9">
        <v>80000</v>
      </c>
      <c r="S391" t="s">
        <v>27</v>
      </c>
    </row>
    <row r="392" spans="1:19" x14ac:dyDescent="0.25">
      <c r="A392" t="s">
        <v>136</v>
      </c>
      <c r="B392" t="s">
        <v>473</v>
      </c>
      <c r="C392" s="2" t="s">
        <v>14</v>
      </c>
      <c r="D392" t="s">
        <v>15</v>
      </c>
      <c r="E392" t="s">
        <v>451</v>
      </c>
      <c r="F392" t="s">
        <v>17</v>
      </c>
      <c r="G392" t="s">
        <v>481</v>
      </c>
      <c r="H392" t="str">
        <f t="shared" si="6"/>
        <v>11.014.04.122.0011.2.011.4.5.90.62.00</v>
      </c>
      <c r="I392" t="s">
        <v>439</v>
      </c>
      <c r="J392" t="s">
        <v>474</v>
      </c>
      <c r="K392" t="s">
        <v>21</v>
      </c>
      <c r="L392" t="s">
        <v>22</v>
      </c>
      <c r="M392" t="s">
        <v>452</v>
      </c>
      <c r="N392" t="s">
        <v>24</v>
      </c>
      <c r="O392" t="s">
        <v>482</v>
      </c>
      <c r="P392" t="s">
        <v>483</v>
      </c>
      <c r="Q392" t="s">
        <v>484</v>
      </c>
      <c r="R392" s="9">
        <v>1200000</v>
      </c>
      <c r="S392" t="s">
        <v>27</v>
      </c>
    </row>
    <row r="393" spans="1:19" x14ac:dyDescent="0.25">
      <c r="A393" t="s">
        <v>136</v>
      </c>
      <c r="B393" t="s">
        <v>13</v>
      </c>
      <c r="C393" s="2" t="s">
        <v>14</v>
      </c>
      <c r="D393" t="s">
        <v>436</v>
      </c>
      <c r="E393" t="s">
        <v>451</v>
      </c>
      <c r="F393" t="s">
        <v>17</v>
      </c>
      <c r="G393" t="s">
        <v>69</v>
      </c>
      <c r="H393" t="str">
        <f t="shared" si="6"/>
        <v>11.001.04.121.0011.2.011.3.3.90.93.00</v>
      </c>
      <c r="I393" t="s">
        <v>439</v>
      </c>
      <c r="J393" t="s">
        <v>440</v>
      </c>
      <c r="K393" t="s">
        <v>21</v>
      </c>
      <c r="L393" t="s">
        <v>441</v>
      </c>
      <c r="M393" t="s">
        <v>452</v>
      </c>
      <c r="N393" t="s">
        <v>24</v>
      </c>
      <c r="O393" t="s">
        <v>70</v>
      </c>
      <c r="P393" t="s">
        <v>485</v>
      </c>
      <c r="R393" s="9">
        <v>5000</v>
      </c>
      <c r="S393" t="s">
        <v>27</v>
      </c>
    </row>
    <row r="394" spans="1:19" x14ac:dyDescent="0.25">
      <c r="A394" t="s">
        <v>136</v>
      </c>
      <c r="B394" t="s">
        <v>13</v>
      </c>
      <c r="C394" s="2" t="s">
        <v>486</v>
      </c>
      <c r="D394" t="s">
        <v>487</v>
      </c>
      <c r="E394" t="s">
        <v>488</v>
      </c>
      <c r="F394" t="s">
        <v>489</v>
      </c>
      <c r="G394" t="s">
        <v>178</v>
      </c>
      <c r="H394" t="str">
        <f t="shared" si="6"/>
        <v>11.001.15.451.0013.1.006.4.4.90.51.00</v>
      </c>
      <c r="I394" t="s">
        <v>439</v>
      </c>
      <c r="J394" t="s">
        <v>440</v>
      </c>
      <c r="K394" t="s">
        <v>490</v>
      </c>
      <c r="L394" t="s">
        <v>491</v>
      </c>
      <c r="M394" t="s">
        <v>492</v>
      </c>
      <c r="N394" t="s">
        <v>493</v>
      </c>
      <c r="O394" t="s">
        <v>180</v>
      </c>
      <c r="P394" t="s">
        <v>454</v>
      </c>
      <c r="Q394" t="s">
        <v>494</v>
      </c>
      <c r="R394" s="9">
        <v>32775171.18</v>
      </c>
      <c r="S394" t="s">
        <v>27</v>
      </c>
    </row>
    <row r="395" spans="1:19" x14ac:dyDescent="0.25">
      <c r="A395" t="s">
        <v>136</v>
      </c>
      <c r="B395" t="s">
        <v>13</v>
      </c>
      <c r="C395" s="2" t="s">
        <v>486</v>
      </c>
      <c r="D395" t="s">
        <v>467</v>
      </c>
      <c r="E395" t="s">
        <v>451</v>
      </c>
      <c r="F395" t="s">
        <v>495</v>
      </c>
      <c r="G395" t="s">
        <v>18</v>
      </c>
      <c r="H395" t="str">
        <f t="shared" si="6"/>
        <v>11.001.15.452.0011.2.038.3.3.90.30.00</v>
      </c>
      <c r="I395" t="s">
        <v>439</v>
      </c>
      <c r="J395" t="s">
        <v>440</v>
      </c>
      <c r="K395" t="s">
        <v>490</v>
      </c>
      <c r="L395" t="s">
        <v>496</v>
      </c>
      <c r="M395" t="s">
        <v>452</v>
      </c>
      <c r="N395" t="s">
        <v>497</v>
      </c>
      <c r="O395" t="s">
        <v>25</v>
      </c>
      <c r="P395" t="s">
        <v>87</v>
      </c>
      <c r="Q395" t="s">
        <v>498</v>
      </c>
      <c r="R395" s="9">
        <v>3000000</v>
      </c>
      <c r="S395" t="s">
        <v>27</v>
      </c>
    </row>
    <row r="396" spans="1:19" x14ac:dyDescent="0.25">
      <c r="A396" t="s">
        <v>136</v>
      </c>
      <c r="B396" t="s">
        <v>13</v>
      </c>
      <c r="C396" s="2" t="s">
        <v>486</v>
      </c>
      <c r="D396" t="s">
        <v>467</v>
      </c>
      <c r="E396" t="s">
        <v>451</v>
      </c>
      <c r="F396" t="s">
        <v>495</v>
      </c>
      <c r="G396" t="s">
        <v>31</v>
      </c>
      <c r="H396" t="str">
        <f t="shared" si="6"/>
        <v>11.001.15.452.0011.2.038.3.3.90.39.00</v>
      </c>
      <c r="I396" t="s">
        <v>439</v>
      </c>
      <c r="J396" t="s">
        <v>440</v>
      </c>
      <c r="K396" t="s">
        <v>490</v>
      </c>
      <c r="L396" t="s">
        <v>496</v>
      </c>
      <c r="M396" t="s">
        <v>452</v>
      </c>
      <c r="N396" t="s">
        <v>497</v>
      </c>
      <c r="O396" t="s">
        <v>32</v>
      </c>
      <c r="P396" t="s">
        <v>93</v>
      </c>
      <c r="Q396" t="s">
        <v>499</v>
      </c>
      <c r="R396" s="9">
        <v>22621050.850000001</v>
      </c>
      <c r="S396" t="s">
        <v>27</v>
      </c>
    </row>
    <row r="397" spans="1:19" x14ac:dyDescent="0.25">
      <c r="A397" t="s">
        <v>136</v>
      </c>
      <c r="B397" t="s">
        <v>13</v>
      </c>
      <c r="C397" s="2" t="s">
        <v>486</v>
      </c>
      <c r="D397" t="s">
        <v>467</v>
      </c>
      <c r="E397" t="s">
        <v>451</v>
      </c>
      <c r="F397" t="s">
        <v>495</v>
      </c>
      <c r="G397" t="s">
        <v>31</v>
      </c>
      <c r="H397" t="str">
        <f t="shared" si="6"/>
        <v>11.001.15.452.0011.2.038.3.3.90.39.00</v>
      </c>
      <c r="I397" t="s">
        <v>439</v>
      </c>
      <c r="J397" t="s">
        <v>440</v>
      </c>
      <c r="K397" t="s">
        <v>490</v>
      </c>
      <c r="L397" t="s">
        <v>496</v>
      </c>
      <c r="M397" t="s">
        <v>452</v>
      </c>
      <c r="N397" t="s">
        <v>497</v>
      </c>
      <c r="O397" t="s">
        <v>32</v>
      </c>
      <c r="P397" t="s">
        <v>215</v>
      </c>
      <c r="Q397" t="s">
        <v>500</v>
      </c>
      <c r="R397" s="9">
        <v>12000000</v>
      </c>
      <c r="S397" t="s">
        <v>27</v>
      </c>
    </row>
    <row r="398" spans="1:19" x14ac:dyDescent="0.25">
      <c r="A398" t="s">
        <v>136</v>
      </c>
      <c r="B398" t="s">
        <v>13</v>
      </c>
      <c r="C398" s="2" t="s">
        <v>486</v>
      </c>
      <c r="D398" t="s">
        <v>467</v>
      </c>
      <c r="E398" t="s">
        <v>451</v>
      </c>
      <c r="F398" t="s">
        <v>495</v>
      </c>
      <c r="G398" t="s">
        <v>31</v>
      </c>
      <c r="H398" t="str">
        <f t="shared" si="6"/>
        <v>11.001.15.452.0011.2.038.3.3.90.39.00</v>
      </c>
      <c r="I398" t="s">
        <v>439</v>
      </c>
      <c r="J398" t="s">
        <v>440</v>
      </c>
      <c r="K398" t="s">
        <v>490</v>
      </c>
      <c r="L398" t="s">
        <v>496</v>
      </c>
      <c r="M398" t="s">
        <v>452</v>
      </c>
      <c r="N398" t="s">
        <v>497</v>
      </c>
      <c r="O398" t="s">
        <v>32</v>
      </c>
      <c r="P398" t="s">
        <v>93</v>
      </c>
      <c r="Q398" t="s">
        <v>501</v>
      </c>
      <c r="R398" s="9">
        <v>1000000</v>
      </c>
      <c r="S398" t="s">
        <v>27</v>
      </c>
    </row>
    <row r="399" spans="1:19" x14ac:dyDescent="0.25">
      <c r="A399" t="s">
        <v>136</v>
      </c>
      <c r="B399" t="s">
        <v>13</v>
      </c>
      <c r="C399" s="2" t="s">
        <v>486</v>
      </c>
      <c r="D399" t="s">
        <v>467</v>
      </c>
      <c r="E399" t="s">
        <v>451</v>
      </c>
      <c r="F399" t="s">
        <v>495</v>
      </c>
      <c r="G399" t="s">
        <v>31</v>
      </c>
      <c r="H399" t="str">
        <f t="shared" si="6"/>
        <v>11.001.15.452.0011.2.038.3.3.90.39.00</v>
      </c>
      <c r="I399" t="s">
        <v>439</v>
      </c>
      <c r="J399" t="s">
        <v>440</v>
      </c>
      <c r="K399" t="s">
        <v>490</v>
      </c>
      <c r="L399" t="s">
        <v>496</v>
      </c>
      <c r="M399" t="s">
        <v>452</v>
      </c>
      <c r="N399" t="s">
        <v>497</v>
      </c>
      <c r="O399" t="s">
        <v>32</v>
      </c>
      <c r="P399" t="s">
        <v>93</v>
      </c>
      <c r="Q399" t="s">
        <v>502</v>
      </c>
      <c r="R399" s="9">
        <v>320540</v>
      </c>
      <c r="S399" t="s">
        <v>27</v>
      </c>
    </row>
    <row r="400" spans="1:19" x14ac:dyDescent="0.25">
      <c r="A400" t="s">
        <v>136</v>
      </c>
      <c r="B400" t="s">
        <v>13</v>
      </c>
      <c r="C400" s="2" t="s">
        <v>486</v>
      </c>
      <c r="D400" t="s">
        <v>467</v>
      </c>
      <c r="E400" t="s">
        <v>488</v>
      </c>
      <c r="F400" t="s">
        <v>468</v>
      </c>
      <c r="G400" t="s">
        <v>31</v>
      </c>
      <c r="H400" t="str">
        <f t="shared" si="6"/>
        <v>11.001.15.452.0013.2.034.3.3.90.39.00</v>
      </c>
      <c r="I400" t="s">
        <v>439</v>
      </c>
      <c r="J400" t="s">
        <v>440</v>
      </c>
      <c r="K400" t="s">
        <v>490</v>
      </c>
      <c r="L400" t="s">
        <v>496</v>
      </c>
      <c r="M400" t="s">
        <v>492</v>
      </c>
      <c r="N400" t="s">
        <v>470</v>
      </c>
      <c r="O400" t="s">
        <v>32</v>
      </c>
      <c r="P400" t="s">
        <v>93</v>
      </c>
      <c r="Q400" t="s">
        <v>503</v>
      </c>
      <c r="R400" s="9">
        <v>220000</v>
      </c>
      <c r="S400" t="s">
        <v>27</v>
      </c>
    </row>
    <row r="401" spans="1:19" x14ac:dyDescent="0.25">
      <c r="A401" t="s">
        <v>136</v>
      </c>
      <c r="B401" t="s">
        <v>13</v>
      </c>
      <c r="C401" s="2" t="s">
        <v>486</v>
      </c>
      <c r="D401" t="s">
        <v>467</v>
      </c>
      <c r="E401" t="s">
        <v>488</v>
      </c>
      <c r="F401" t="s">
        <v>468</v>
      </c>
      <c r="G401" t="s">
        <v>31</v>
      </c>
      <c r="H401" t="str">
        <f t="shared" si="6"/>
        <v>11.001.15.452.0013.2.034.3.3.90.39.00</v>
      </c>
      <c r="I401" t="s">
        <v>439</v>
      </c>
      <c r="J401" t="s">
        <v>440</v>
      </c>
      <c r="K401" t="s">
        <v>490</v>
      </c>
      <c r="L401" t="s">
        <v>496</v>
      </c>
      <c r="M401" t="s">
        <v>492</v>
      </c>
      <c r="N401" t="s">
        <v>470</v>
      </c>
      <c r="O401" t="s">
        <v>32</v>
      </c>
      <c r="P401" t="s">
        <v>93</v>
      </c>
      <c r="Q401" t="s">
        <v>504</v>
      </c>
      <c r="R401" s="9">
        <v>14986317.720000001</v>
      </c>
      <c r="S401" t="s">
        <v>27</v>
      </c>
    </row>
    <row r="402" spans="1:19" x14ac:dyDescent="0.25">
      <c r="A402" t="s">
        <v>136</v>
      </c>
      <c r="B402" t="s">
        <v>13</v>
      </c>
      <c r="C402" s="2" t="s">
        <v>486</v>
      </c>
      <c r="D402" t="s">
        <v>487</v>
      </c>
      <c r="E402" t="s">
        <v>451</v>
      </c>
      <c r="F402" t="s">
        <v>17</v>
      </c>
      <c r="G402" t="s">
        <v>178</v>
      </c>
      <c r="H402" t="str">
        <f t="shared" si="6"/>
        <v>11.001.15.451.0011.2.011.4.4.90.51.00</v>
      </c>
      <c r="I402" t="s">
        <v>439</v>
      </c>
      <c r="J402" t="s">
        <v>440</v>
      </c>
      <c r="K402" t="s">
        <v>490</v>
      </c>
      <c r="L402" t="s">
        <v>491</v>
      </c>
      <c r="M402" t="s">
        <v>452</v>
      </c>
      <c r="N402" t="s">
        <v>24</v>
      </c>
      <c r="O402" t="s">
        <v>180</v>
      </c>
      <c r="P402" t="s">
        <v>454</v>
      </c>
      <c r="Q402" t="s">
        <v>505</v>
      </c>
      <c r="R402" s="9">
        <v>3000000</v>
      </c>
      <c r="S402" t="s">
        <v>27</v>
      </c>
    </row>
    <row r="403" spans="1:19" x14ac:dyDescent="0.25">
      <c r="A403" t="s">
        <v>136</v>
      </c>
      <c r="B403" t="s">
        <v>13</v>
      </c>
      <c r="C403" s="2" t="s">
        <v>486</v>
      </c>
      <c r="D403" t="s">
        <v>487</v>
      </c>
      <c r="E403" t="s">
        <v>451</v>
      </c>
      <c r="F403" t="s">
        <v>17</v>
      </c>
      <c r="G403" t="s">
        <v>178</v>
      </c>
      <c r="H403" t="str">
        <f t="shared" si="6"/>
        <v>11.001.15.451.0011.2.011.4.4.90.51.00</v>
      </c>
      <c r="I403" t="s">
        <v>439</v>
      </c>
      <c r="J403" t="s">
        <v>440</v>
      </c>
      <c r="K403" t="s">
        <v>490</v>
      </c>
      <c r="L403" t="s">
        <v>491</v>
      </c>
      <c r="M403" t="s">
        <v>452</v>
      </c>
      <c r="N403" t="s">
        <v>24</v>
      </c>
      <c r="O403" t="s">
        <v>180</v>
      </c>
      <c r="P403" t="s">
        <v>454</v>
      </c>
      <c r="Q403" t="s">
        <v>506</v>
      </c>
      <c r="R403" s="9">
        <v>187659.84</v>
      </c>
      <c r="S403" t="s">
        <v>27</v>
      </c>
    </row>
    <row r="404" spans="1:19" x14ac:dyDescent="0.25">
      <c r="A404" t="s">
        <v>136</v>
      </c>
      <c r="B404" t="s">
        <v>13</v>
      </c>
      <c r="C404" s="2" t="s">
        <v>486</v>
      </c>
      <c r="D404" t="s">
        <v>487</v>
      </c>
      <c r="E404" t="s">
        <v>451</v>
      </c>
      <c r="F404" t="s">
        <v>17</v>
      </c>
      <c r="G404" t="s">
        <v>178</v>
      </c>
      <c r="H404" t="str">
        <f t="shared" si="6"/>
        <v>11.001.15.451.0011.2.011.4.4.90.51.00</v>
      </c>
      <c r="I404" t="s">
        <v>439</v>
      </c>
      <c r="J404" t="s">
        <v>440</v>
      </c>
      <c r="K404" t="s">
        <v>490</v>
      </c>
      <c r="L404" t="s">
        <v>491</v>
      </c>
      <c r="M404" t="s">
        <v>452</v>
      </c>
      <c r="N404" t="s">
        <v>24</v>
      </c>
      <c r="O404" t="s">
        <v>180</v>
      </c>
      <c r="P404" t="s">
        <v>454</v>
      </c>
      <c r="Q404" t="s">
        <v>507</v>
      </c>
      <c r="R404" s="9">
        <v>183662.89</v>
      </c>
      <c r="S404" t="s">
        <v>27</v>
      </c>
    </row>
    <row r="405" spans="1:19" x14ac:dyDescent="0.25">
      <c r="A405" t="s">
        <v>136</v>
      </c>
      <c r="B405" t="s">
        <v>13</v>
      </c>
      <c r="C405" s="2" t="s">
        <v>508</v>
      </c>
      <c r="D405" t="s">
        <v>467</v>
      </c>
      <c r="E405" t="s">
        <v>509</v>
      </c>
      <c r="F405" t="s">
        <v>510</v>
      </c>
      <c r="G405" t="s">
        <v>31</v>
      </c>
      <c r="H405" t="str">
        <f t="shared" si="6"/>
        <v>11.001.17.452.0007.2.039.3.3.90.39.00</v>
      </c>
      <c r="I405" t="s">
        <v>439</v>
      </c>
      <c r="J405" t="s">
        <v>440</v>
      </c>
      <c r="K405" t="s">
        <v>511</v>
      </c>
      <c r="L405" t="s">
        <v>496</v>
      </c>
      <c r="M405" t="s">
        <v>512</v>
      </c>
      <c r="N405" t="s">
        <v>513</v>
      </c>
      <c r="O405" t="s">
        <v>32</v>
      </c>
      <c r="P405" t="s">
        <v>460</v>
      </c>
      <c r="Q405" t="s">
        <v>514</v>
      </c>
      <c r="R405" s="9">
        <v>196411805.19999999</v>
      </c>
      <c r="S405" t="s">
        <v>27</v>
      </c>
    </row>
    <row r="406" spans="1:19" x14ac:dyDescent="0.25">
      <c r="A406" t="s">
        <v>136</v>
      </c>
      <c r="B406" t="s">
        <v>13</v>
      </c>
      <c r="C406" s="2" t="s">
        <v>515</v>
      </c>
      <c r="D406" t="s">
        <v>516</v>
      </c>
      <c r="E406" t="s">
        <v>517</v>
      </c>
      <c r="F406" t="s">
        <v>518</v>
      </c>
      <c r="G406" t="s">
        <v>31</v>
      </c>
      <c r="H406" t="str">
        <f t="shared" si="6"/>
        <v>11.001.18.544.0005.2.035.3.3.90.39.00</v>
      </c>
      <c r="I406" t="s">
        <v>439</v>
      </c>
      <c r="J406" t="s">
        <v>440</v>
      </c>
      <c r="K406" t="s">
        <v>519</v>
      </c>
      <c r="L406" t="s">
        <v>520</v>
      </c>
      <c r="M406" t="s">
        <v>521</v>
      </c>
      <c r="N406" t="s">
        <v>522</v>
      </c>
      <c r="O406" t="s">
        <v>32</v>
      </c>
      <c r="P406" t="s">
        <v>67</v>
      </c>
      <c r="Q406" t="s">
        <v>523</v>
      </c>
      <c r="R406" s="9">
        <v>9000000</v>
      </c>
      <c r="S406" t="s">
        <v>27</v>
      </c>
    </row>
    <row r="407" spans="1:19" x14ac:dyDescent="0.25">
      <c r="A407" t="s">
        <v>136</v>
      </c>
      <c r="B407" t="s">
        <v>13</v>
      </c>
      <c r="C407" s="2" t="s">
        <v>515</v>
      </c>
      <c r="D407" t="s">
        <v>524</v>
      </c>
      <c r="E407" t="s">
        <v>509</v>
      </c>
      <c r="F407" t="s">
        <v>525</v>
      </c>
      <c r="G407" t="s">
        <v>31</v>
      </c>
      <c r="H407" t="str">
        <f t="shared" si="6"/>
        <v>11.001.18.543.0007.2.037.3.3.90.39.00</v>
      </c>
      <c r="I407" t="s">
        <v>439</v>
      </c>
      <c r="J407" t="s">
        <v>440</v>
      </c>
      <c r="K407" t="s">
        <v>519</v>
      </c>
      <c r="L407" t="s">
        <v>526</v>
      </c>
      <c r="M407" t="s">
        <v>512</v>
      </c>
      <c r="N407" t="s">
        <v>527</v>
      </c>
      <c r="O407" t="s">
        <v>32</v>
      </c>
      <c r="P407" t="s">
        <v>460</v>
      </c>
      <c r="Q407" t="s">
        <v>528</v>
      </c>
      <c r="R407" s="9">
        <v>58811871.009999998</v>
      </c>
      <c r="S407" t="s">
        <v>27</v>
      </c>
    </row>
    <row r="408" spans="1:19" x14ac:dyDescent="0.25">
      <c r="A408" t="s">
        <v>136</v>
      </c>
      <c r="B408" t="s">
        <v>13</v>
      </c>
      <c r="C408" s="2" t="s">
        <v>515</v>
      </c>
      <c r="D408" t="s">
        <v>467</v>
      </c>
      <c r="E408" t="s">
        <v>509</v>
      </c>
      <c r="F408" t="s">
        <v>177</v>
      </c>
      <c r="G408" t="s">
        <v>31</v>
      </c>
      <c r="H408" t="str">
        <f t="shared" si="6"/>
        <v>11.001.18.452.0007.1.003.3.3.90.39.00</v>
      </c>
      <c r="I408" t="s">
        <v>439</v>
      </c>
      <c r="J408" t="s">
        <v>440</v>
      </c>
      <c r="K408" t="s">
        <v>519</v>
      </c>
      <c r="L408" t="s">
        <v>496</v>
      </c>
      <c r="M408" t="s">
        <v>512</v>
      </c>
      <c r="N408" t="s">
        <v>179</v>
      </c>
      <c r="O408" t="s">
        <v>32</v>
      </c>
      <c r="P408" t="s">
        <v>93</v>
      </c>
      <c r="Q408" t="s">
        <v>529</v>
      </c>
      <c r="R408" s="9">
        <v>5048386.2</v>
      </c>
      <c r="S408" t="s">
        <v>27</v>
      </c>
    </row>
    <row r="409" spans="1:19" x14ac:dyDescent="0.25">
      <c r="A409" t="s">
        <v>136</v>
      </c>
      <c r="B409" t="s">
        <v>13</v>
      </c>
      <c r="C409" s="2" t="s">
        <v>515</v>
      </c>
      <c r="D409" t="s">
        <v>516</v>
      </c>
      <c r="E409" t="s">
        <v>517</v>
      </c>
      <c r="F409" t="s">
        <v>518</v>
      </c>
      <c r="G409" t="s">
        <v>31</v>
      </c>
      <c r="H409" t="str">
        <f t="shared" si="6"/>
        <v>11.001.18.544.0005.2.035.3.3.90.39.00</v>
      </c>
      <c r="I409" t="s">
        <v>439</v>
      </c>
      <c r="J409" t="s">
        <v>440</v>
      </c>
      <c r="K409" t="s">
        <v>519</v>
      </c>
      <c r="L409" t="s">
        <v>520</v>
      </c>
      <c r="M409" t="s">
        <v>521</v>
      </c>
      <c r="N409" t="s">
        <v>522</v>
      </c>
      <c r="O409" t="s">
        <v>32</v>
      </c>
      <c r="P409" t="s">
        <v>93</v>
      </c>
      <c r="Q409" t="s">
        <v>530</v>
      </c>
      <c r="R409" s="9">
        <v>31777017.539999999</v>
      </c>
      <c r="S409" t="s">
        <v>27</v>
      </c>
    </row>
    <row r="410" spans="1:19" x14ac:dyDescent="0.25">
      <c r="A410" t="s">
        <v>136</v>
      </c>
      <c r="B410" t="s">
        <v>13</v>
      </c>
      <c r="C410" s="2" t="s">
        <v>515</v>
      </c>
      <c r="D410" t="s">
        <v>516</v>
      </c>
      <c r="E410" t="s">
        <v>517</v>
      </c>
      <c r="F410" t="s">
        <v>518</v>
      </c>
      <c r="G410" t="s">
        <v>31</v>
      </c>
      <c r="H410" t="str">
        <f t="shared" si="6"/>
        <v>11.001.18.544.0005.2.035.3.3.90.39.00</v>
      </c>
      <c r="I410" t="s">
        <v>439</v>
      </c>
      <c r="J410" t="s">
        <v>440</v>
      </c>
      <c r="K410" t="s">
        <v>519</v>
      </c>
      <c r="L410" t="s">
        <v>520</v>
      </c>
      <c r="M410" t="s">
        <v>521</v>
      </c>
      <c r="N410" t="s">
        <v>522</v>
      </c>
      <c r="O410" t="s">
        <v>32</v>
      </c>
      <c r="P410" t="s">
        <v>93</v>
      </c>
      <c r="Q410" t="s">
        <v>531</v>
      </c>
      <c r="R410" s="9">
        <v>10000000</v>
      </c>
      <c r="S410" t="s">
        <v>27</v>
      </c>
    </row>
    <row r="411" spans="1:19" x14ac:dyDescent="0.25">
      <c r="A411" t="s">
        <v>166</v>
      </c>
      <c r="B411" t="s">
        <v>13</v>
      </c>
      <c r="C411" s="2" t="s">
        <v>14</v>
      </c>
      <c r="D411" t="s">
        <v>15</v>
      </c>
      <c r="E411" t="s">
        <v>52</v>
      </c>
      <c r="F411" t="s">
        <v>532</v>
      </c>
      <c r="G411" t="s">
        <v>152</v>
      </c>
      <c r="H411" t="str">
        <f t="shared" si="6"/>
        <v>12.001.04.122.0002.2.032.3.3.50.39.00</v>
      </c>
      <c r="I411" t="s">
        <v>533</v>
      </c>
      <c r="J411" t="s">
        <v>534</v>
      </c>
      <c r="K411" t="s">
        <v>21</v>
      </c>
      <c r="L411" t="s">
        <v>22</v>
      </c>
      <c r="M411" t="s">
        <v>58</v>
      </c>
      <c r="N411" t="s">
        <v>535</v>
      </c>
      <c r="O411" t="s">
        <v>154</v>
      </c>
      <c r="P411" t="s">
        <v>536</v>
      </c>
      <c r="R411" s="9">
        <v>1</v>
      </c>
      <c r="S411" t="s">
        <v>27</v>
      </c>
    </row>
    <row r="412" spans="1:19" x14ac:dyDescent="0.25">
      <c r="A412" t="s">
        <v>166</v>
      </c>
      <c r="B412" t="s">
        <v>13</v>
      </c>
      <c r="C412" s="2" t="s">
        <v>14</v>
      </c>
      <c r="D412" t="s">
        <v>15</v>
      </c>
      <c r="E412" t="s">
        <v>16</v>
      </c>
      <c r="F412" t="s">
        <v>17</v>
      </c>
      <c r="G412" t="s">
        <v>18</v>
      </c>
      <c r="H412" t="str">
        <f t="shared" si="6"/>
        <v>12.001.04.122.0001.2.011.3.3.90.30.00</v>
      </c>
      <c r="I412" t="s">
        <v>533</v>
      </c>
      <c r="J412" t="s">
        <v>534</v>
      </c>
      <c r="K412" t="s">
        <v>21</v>
      </c>
      <c r="L412" t="s">
        <v>22</v>
      </c>
      <c r="M412" t="s">
        <v>23</v>
      </c>
      <c r="N412" t="s">
        <v>24</v>
      </c>
      <c r="O412" t="s">
        <v>25</v>
      </c>
      <c r="P412" t="s">
        <v>159</v>
      </c>
      <c r="R412" s="9">
        <v>10000</v>
      </c>
      <c r="S412" t="s">
        <v>27</v>
      </c>
    </row>
    <row r="413" spans="1:19" x14ac:dyDescent="0.25">
      <c r="A413" t="s">
        <v>166</v>
      </c>
      <c r="B413" t="s">
        <v>13</v>
      </c>
      <c r="C413" s="2" t="s">
        <v>14</v>
      </c>
      <c r="D413" t="s">
        <v>15</v>
      </c>
      <c r="E413" t="s">
        <v>16</v>
      </c>
      <c r="F413" t="s">
        <v>17</v>
      </c>
      <c r="G413" t="s">
        <v>18</v>
      </c>
      <c r="H413" t="str">
        <f t="shared" si="6"/>
        <v>12.001.04.122.0001.2.011.3.3.90.30.00</v>
      </c>
      <c r="I413" t="s">
        <v>533</v>
      </c>
      <c r="J413" t="s">
        <v>534</v>
      </c>
      <c r="K413" t="s">
        <v>21</v>
      </c>
      <c r="L413" t="s">
        <v>22</v>
      </c>
      <c r="M413" t="s">
        <v>23</v>
      </c>
      <c r="N413" t="s">
        <v>24</v>
      </c>
      <c r="O413" t="s">
        <v>25</v>
      </c>
      <c r="P413" t="s">
        <v>49</v>
      </c>
      <c r="R413" s="9">
        <v>350000</v>
      </c>
      <c r="S413" t="s">
        <v>27</v>
      </c>
    </row>
    <row r="414" spans="1:19" x14ac:dyDescent="0.25">
      <c r="A414" t="s">
        <v>166</v>
      </c>
      <c r="B414" t="s">
        <v>13</v>
      </c>
      <c r="C414" s="2" t="s">
        <v>14</v>
      </c>
      <c r="D414" t="s">
        <v>15</v>
      </c>
      <c r="E414" t="s">
        <v>16</v>
      </c>
      <c r="F414" t="s">
        <v>17</v>
      </c>
      <c r="G414" t="s">
        <v>18</v>
      </c>
      <c r="H414" t="str">
        <f t="shared" si="6"/>
        <v>12.001.04.122.0001.2.011.3.3.90.30.00</v>
      </c>
      <c r="I414" t="s">
        <v>533</v>
      </c>
      <c r="J414" t="s">
        <v>534</v>
      </c>
      <c r="K414" t="s">
        <v>21</v>
      </c>
      <c r="L414" t="s">
        <v>22</v>
      </c>
      <c r="M414" t="s">
        <v>23</v>
      </c>
      <c r="N414" t="s">
        <v>24</v>
      </c>
      <c r="O414" t="s">
        <v>25</v>
      </c>
      <c r="P414" t="s">
        <v>28</v>
      </c>
      <c r="R414" s="9">
        <v>50000</v>
      </c>
      <c r="S414" t="s">
        <v>27</v>
      </c>
    </row>
    <row r="415" spans="1:19" x14ac:dyDescent="0.25">
      <c r="A415" t="s">
        <v>166</v>
      </c>
      <c r="B415" t="s">
        <v>13</v>
      </c>
      <c r="C415" s="2" t="s">
        <v>14</v>
      </c>
      <c r="D415" t="s">
        <v>15</v>
      </c>
      <c r="E415" t="s">
        <v>16</v>
      </c>
      <c r="F415" t="s">
        <v>17</v>
      </c>
      <c r="G415" t="s">
        <v>18</v>
      </c>
      <c r="H415" t="str">
        <f t="shared" si="6"/>
        <v>12.001.04.122.0001.2.011.3.3.90.30.00</v>
      </c>
      <c r="I415" t="s">
        <v>533</v>
      </c>
      <c r="J415" t="s">
        <v>534</v>
      </c>
      <c r="K415" t="s">
        <v>21</v>
      </c>
      <c r="L415" t="s">
        <v>22</v>
      </c>
      <c r="M415" t="s">
        <v>23</v>
      </c>
      <c r="N415" t="s">
        <v>24</v>
      </c>
      <c r="O415" t="s">
        <v>25</v>
      </c>
      <c r="P415" t="s">
        <v>30</v>
      </c>
      <c r="R415" s="9">
        <v>30000</v>
      </c>
      <c r="S415" t="s">
        <v>27</v>
      </c>
    </row>
    <row r="416" spans="1:19" x14ac:dyDescent="0.25">
      <c r="A416" t="s">
        <v>166</v>
      </c>
      <c r="B416" t="s">
        <v>13</v>
      </c>
      <c r="C416" s="2" t="s">
        <v>14</v>
      </c>
      <c r="D416" t="s">
        <v>15</v>
      </c>
      <c r="E416" t="s">
        <v>16</v>
      </c>
      <c r="F416" t="s">
        <v>17</v>
      </c>
      <c r="G416" t="s">
        <v>18</v>
      </c>
      <c r="H416" t="str">
        <f t="shared" si="6"/>
        <v>12.001.04.122.0001.2.011.3.3.90.30.00</v>
      </c>
      <c r="I416" t="s">
        <v>533</v>
      </c>
      <c r="J416" t="s">
        <v>534</v>
      </c>
      <c r="K416" t="s">
        <v>21</v>
      </c>
      <c r="L416" t="s">
        <v>22</v>
      </c>
      <c r="M416" t="s">
        <v>23</v>
      </c>
      <c r="N416" t="s">
        <v>24</v>
      </c>
      <c r="O416" t="s">
        <v>25</v>
      </c>
      <c r="P416" t="s">
        <v>29</v>
      </c>
      <c r="R416" s="9">
        <v>250000</v>
      </c>
      <c r="S416" t="s">
        <v>27</v>
      </c>
    </row>
    <row r="417" spans="1:19" x14ac:dyDescent="0.25">
      <c r="A417" t="s">
        <v>166</v>
      </c>
      <c r="B417" t="s">
        <v>13</v>
      </c>
      <c r="C417" s="2" t="s">
        <v>14</v>
      </c>
      <c r="D417" t="s">
        <v>15</v>
      </c>
      <c r="E417" t="s">
        <v>16</v>
      </c>
      <c r="F417" t="s">
        <v>17</v>
      </c>
      <c r="G417" t="s">
        <v>18</v>
      </c>
      <c r="H417" t="str">
        <f t="shared" si="6"/>
        <v>12.001.04.122.0001.2.011.3.3.90.30.00</v>
      </c>
      <c r="I417" t="s">
        <v>533</v>
      </c>
      <c r="J417" t="s">
        <v>534</v>
      </c>
      <c r="K417" t="s">
        <v>21</v>
      </c>
      <c r="L417" t="s">
        <v>22</v>
      </c>
      <c r="M417" t="s">
        <v>23</v>
      </c>
      <c r="N417" t="s">
        <v>24</v>
      </c>
      <c r="O417" t="s">
        <v>25</v>
      </c>
      <c r="P417" t="s">
        <v>537</v>
      </c>
      <c r="R417" s="9">
        <v>10000</v>
      </c>
      <c r="S417" t="s">
        <v>27</v>
      </c>
    </row>
    <row r="418" spans="1:19" x14ac:dyDescent="0.25">
      <c r="A418" t="s">
        <v>166</v>
      </c>
      <c r="B418" t="s">
        <v>13</v>
      </c>
      <c r="C418" s="2" t="s">
        <v>14</v>
      </c>
      <c r="D418" t="s">
        <v>15</v>
      </c>
      <c r="E418" t="s">
        <v>16</v>
      </c>
      <c r="F418" t="s">
        <v>17</v>
      </c>
      <c r="G418" t="s">
        <v>18</v>
      </c>
      <c r="H418" t="str">
        <f t="shared" si="6"/>
        <v>12.001.04.122.0001.2.011.3.3.90.30.00</v>
      </c>
      <c r="I418" t="s">
        <v>533</v>
      </c>
      <c r="J418" t="s">
        <v>534</v>
      </c>
      <c r="K418" t="s">
        <v>21</v>
      </c>
      <c r="L418" t="s">
        <v>22</v>
      </c>
      <c r="M418" t="s">
        <v>23</v>
      </c>
      <c r="N418" t="s">
        <v>24</v>
      </c>
      <c r="O418" t="s">
        <v>25</v>
      </c>
      <c r="P418" t="s">
        <v>87</v>
      </c>
      <c r="R418" s="9">
        <v>100000</v>
      </c>
      <c r="S418" t="s">
        <v>27</v>
      </c>
    </row>
    <row r="419" spans="1:19" x14ac:dyDescent="0.25">
      <c r="A419" t="s">
        <v>166</v>
      </c>
      <c r="B419" t="s">
        <v>13</v>
      </c>
      <c r="C419" s="2" t="s">
        <v>14</v>
      </c>
      <c r="D419" t="s">
        <v>15</v>
      </c>
      <c r="E419" t="s">
        <v>16</v>
      </c>
      <c r="F419" t="s">
        <v>17</v>
      </c>
      <c r="G419" t="s">
        <v>18</v>
      </c>
      <c r="H419" t="str">
        <f t="shared" si="6"/>
        <v>12.001.04.122.0001.2.011.3.3.90.30.00</v>
      </c>
      <c r="I419" t="s">
        <v>533</v>
      </c>
      <c r="J419" t="s">
        <v>534</v>
      </c>
      <c r="K419" t="s">
        <v>21</v>
      </c>
      <c r="L419" t="s">
        <v>22</v>
      </c>
      <c r="M419" t="s">
        <v>23</v>
      </c>
      <c r="N419" t="s">
        <v>24</v>
      </c>
      <c r="O419" t="s">
        <v>25</v>
      </c>
      <c r="P419" t="s">
        <v>39</v>
      </c>
      <c r="R419" s="9">
        <v>150000</v>
      </c>
      <c r="S419" t="s">
        <v>27</v>
      </c>
    </row>
    <row r="420" spans="1:19" x14ac:dyDescent="0.25">
      <c r="A420" t="s">
        <v>166</v>
      </c>
      <c r="B420" t="s">
        <v>13</v>
      </c>
      <c r="C420" s="2" t="s">
        <v>14</v>
      </c>
      <c r="D420" t="s">
        <v>15</v>
      </c>
      <c r="E420" t="s">
        <v>16</v>
      </c>
      <c r="F420" t="s">
        <v>17</v>
      </c>
      <c r="G420" t="s">
        <v>18</v>
      </c>
      <c r="H420" t="str">
        <f t="shared" si="6"/>
        <v>12.001.04.122.0001.2.011.3.3.90.30.00</v>
      </c>
      <c r="I420" t="s">
        <v>533</v>
      </c>
      <c r="J420" t="s">
        <v>534</v>
      </c>
      <c r="K420" t="s">
        <v>21</v>
      </c>
      <c r="L420" t="s">
        <v>22</v>
      </c>
      <c r="M420" t="s">
        <v>23</v>
      </c>
      <c r="N420" t="s">
        <v>24</v>
      </c>
      <c r="O420" t="s">
        <v>25</v>
      </c>
      <c r="P420" t="s">
        <v>89</v>
      </c>
      <c r="R420" s="9">
        <v>50000</v>
      </c>
      <c r="S420" t="s">
        <v>27</v>
      </c>
    </row>
    <row r="421" spans="1:19" x14ac:dyDescent="0.25">
      <c r="A421" t="s">
        <v>166</v>
      </c>
      <c r="B421" t="s">
        <v>13</v>
      </c>
      <c r="C421" s="2" t="s">
        <v>14</v>
      </c>
      <c r="D421" t="s">
        <v>15</v>
      </c>
      <c r="E421" t="s">
        <v>16</v>
      </c>
      <c r="F421" t="s">
        <v>17</v>
      </c>
      <c r="G421" t="s">
        <v>18</v>
      </c>
      <c r="H421" t="str">
        <f t="shared" si="6"/>
        <v>12.001.04.122.0001.2.011.3.3.90.30.00</v>
      </c>
      <c r="I421" t="s">
        <v>533</v>
      </c>
      <c r="J421" t="s">
        <v>534</v>
      </c>
      <c r="K421" t="s">
        <v>21</v>
      </c>
      <c r="L421" t="s">
        <v>22</v>
      </c>
      <c r="M421" t="s">
        <v>23</v>
      </c>
      <c r="N421" t="s">
        <v>24</v>
      </c>
      <c r="O421" t="s">
        <v>25</v>
      </c>
      <c r="P421" t="s">
        <v>538</v>
      </c>
      <c r="R421" s="9">
        <v>1</v>
      </c>
      <c r="S421" t="s">
        <v>27</v>
      </c>
    </row>
    <row r="422" spans="1:19" x14ac:dyDescent="0.25">
      <c r="A422" t="s">
        <v>166</v>
      </c>
      <c r="B422" t="s">
        <v>13</v>
      </c>
      <c r="C422" s="2" t="s">
        <v>14</v>
      </c>
      <c r="D422" t="s">
        <v>15</v>
      </c>
      <c r="E422" t="s">
        <v>16</v>
      </c>
      <c r="F422" t="s">
        <v>17</v>
      </c>
      <c r="G422" t="s">
        <v>18</v>
      </c>
      <c r="H422" t="str">
        <f t="shared" si="6"/>
        <v>12.001.04.122.0001.2.011.3.3.90.30.00</v>
      </c>
      <c r="I422" t="s">
        <v>533</v>
      </c>
      <c r="J422" t="s">
        <v>534</v>
      </c>
      <c r="K422" t="s">
        <v>21</v>
      </c>
      <c r="L422" t="s">
        <v>22</v>
      </c>
      <c r="M422" t="s">
        <v>23</v>
      </c>
      <c r="N422" t="s">
        <v>24</v>
      </c>
      <c r="O422" t="s">
        <v>25</v>
      </c>
      <c r="P422" t="s">
        <v>46</v>
      </c>
      <c r="R422" s="9">
        <v>100000</v>
      </c>
      <c r="S422" t="s">
        <v>27</v>
      </c>
    </row>
    <row r="423" spans="1:19" x14ac:dyDescent="0.25">
      <c r="A423" t="s">
        <v>166</v>
      </c>
      <c r="B423" t="s">
        <v>13</v>
      </c>
      <c r="C423" s="2" t="s">
        <v>14</v>
      </c>
      <c r="D423" t="s">
        <v>15</v>
      </c>
      <c r="E423" t="s">
        <v>16</v>
      </c>
      <c r="F423" t="s">
        <v>17</v>
      </c>
      <c r="G423" t="s">
        <v>18</v>
      </c>
      <c r="H423" t="str">
        <f t="shared" si="6"/>
        <v>12.001.04.122.0001.2.011.3.3.90.30.00</v>
      </c>
      <c r="I423" t="s">
        <v>533</v>
      </c>
      <c r="J423" t="s">
        <v>534</v>
      </c>
      <c r="K423" t="s">
        <v>21</v>
      </c>
      <c r="L423" t="s">
        <v>22</v>
      </c>
      <c r="M423" t="s">
        <v>23</v>
      </c>
      <c r="N423" t="s">
        <v>24</v>
      </c>
      <c r="O423" t="s">
        <v>25</v>
      </c>
      <c r="P423" t="s">
        <v>26</v>
      </c>
      <c r="R423" s="9">
        <v>1</v>
      </c>
      <c r="S423" t="s">
        <v>27</v>
      </c>
    </row>
    <row r="424" spans="1:19" x14ac:dyDescent="0.25">
      <c r="A424" t="s">
        <v>166</v>
      </c>
      <c r="B424" t="s">
        <v>13</v>
      </c>
      <c r="C424" s="2" t="s">
        <v>14</v>
      </c>
      <c r="D424" t="s">
        <v>539</v>
      </c>
      <c r="E424" t="s">
        <v>540</v>
      </c>
      <c r="F424" t="s">
        <v>541</v>
      </c>
      <c r="G424" t="s">
        <v>73</v>
      </c>
      <c r="H424" t="str">
        <f t="shared" si="6"/>
        <v>12.001.04.811.0010.2.030.3.3.90.33.00</v>
      </c>
      <c r="I424" t="s">
        <v>533</v>
      </c>
      <c r="J424" t="s">
        <v>534</v>
      </c>
      <c r="K424" t="s">
        <v>21</v>
      </c>
      <c r="L424" t="s">
        <v>542</v>
      </c>
      <c r="M424" t="s">
        <v>543</v>
      </c>
      <c r="N424" t="s">
        <v>544</v>
      </c>
      <c r="O424" t="s">
        <v>74</v>
      </c>
      <c r="P424" t="s">
        <v>545</v>
      </c>
      <c r="R424" s="9">
        <v>50000</v>
      </c>
      <c r="S424" t="s">
        <v>27</v>
      </c>
    </row>
    <row r="425" spans="1:19" x14ac:dyDescent="0.25">
      <c r="A425" t="s">
        <v>166</v>
      </c>
      <c r="B425" t="s">
        <v>13</v>
      </c>
      <c r="C425" s="2" t="s">
        <v>14</v>
      </c>
      <c r="D425" t="s">
        <v>539</v>
      </c>
      <c r="E425" t="s">
        <v>540</v>
      </c>
      <c r="F425" t="s">
        <v>541</v>
      </c>
      <c r="G425" t="s">
        <v>73</v>
      </c>
      <c r="H425" t="str">
        <f t="shared" si="6"/>
        <v>12.001.04.811.0010.2.030.3.3.90.33.00</v>
      </c>
      <c r="I425" t="s">
        <v>533</v>
      </c>
      <c r="J425" t="s">
        <v>534</v>
      </c>
      <c r="K425" t="s">
        <v>21</v>
      </c>
      <c r="L425" t="s">
        <v>542</v>
      </c>
      <c r="M425" t="s">
        <v>543</v>
      </c>
      <c r="N425" t="s">
        <v>544</v>
      </c>
      <c r="O425" t="s">
        <v>74</v>
      </c>
      <c r="P425" t="s">
        <v>546</v>
      </c>
      <c r="R425" s="9">
        <v>50000</v>
      </c>
      <c r="S425" t="s">
        <v>27</v>
      </c>
    </row>
    <row r="426" spans="1:19" x14ac:dyDescent="0.25">
      <c r="A426" t="s">
        <v>166</v>
      </c>
      <c r="B426" t="s">
        <v>13</v>
      </c>
      <c r="C426" s="2" t="s">
        <v>14</v>
      </c>
      <c r="D426" t="s">
        <v>539</v>
      </c>
      <c r="E426" t="s">
        <v>540</v>
      </c>
      <c r="F426" t="s">
        <v>541</v>
      </c>
      <c r="G426" t="s">
        <v>73</v>
      </c>
      <c r="H426" t="str">
        <f t="shared" si="6"/>
        <v>12.001.04.811.0010.2.030.3.3.90.33.00</v>
      </c>
      <c r="I426" t="s">
        <v>533</v>
      </c>
      <c r="J426" t="s">
        <v>534</v>
      </c>
      <c r="K426" t="s">
        <v>21</v>
      </c>
      <c r="L426" t="s">
        <v>542</v>
      </c>
      <c r="M426" t="s">
        <v>543</v>
      </c>
      <c r="N426" t="s">
        <v>544</v>
      </c>
      <c r="O426" t="s">
        <v>74</v>
      </c>
      <c r="P426" t="s">
        <v>547</v>
      </c>
      <c r="R426" s="9">
        <v>1</v>
      </c>
      <c r="S426" t="s">
        <v>27</v>
      </c>
    </row>
    <row r="427" spans="1:19" x14ac:dyDescent="0.25">
      <c r="A427" t="s">
        <v>166</v>
      </c>
      <c r="B427" t="s">
        <v>13</v>
      </c>
      <c r="C427" s="2" t="s">
        <v>14</v>
      </c>
      <c r="D427" t="s">
        <v>312</v>
      </c>
      <c r="E427" t="s">
        <v>540</v>
      </c>
      <c r="F427" t="s">
        <v>133</v>
      </c>
      <c r="G427" t="s">
        <v>31</v>
      </c>
      <c r="H427" t="str">
        <f t="shared" si="6"/>
        <v>12.001.04.131.0010.2.005.3.3.90.39.00</v>
      </c>
      <c r="I427" t="s">
        <v>533</v>
      </c>
      <c r="J427" t="s">
        <v>534</v>
      </c>
      <c r="K427" t="s">
        <v>21</v>
      </c>
      <c r="L427" t="s">
        <v>313</v>
      </c>
      <c r="M427" t="s">
        <v>543</v>
      </c>
      <c r="N427" t="s">
        <v>134</v>
      </c>
      <c r="O427" t="s">
        <v>32</v>
      </c>
      <c r="P427" t="s">
        <v>160</v>
      </c>
      <c r="R427" s="9">
        <v>20000</v>
      </c>
      <c r="S427" t="s">
        <v>27</v>
      </c>
    </row>
    <row r="428" spans="1:19" x14ac:dyDescent="0.25">
      <c r="A428" t="s">
        <v>166</v>
      </c>
      <c r="B428" t="s">
        <v>13</v>
      </c>
      <c r="C428" s="2" t="s">
        <v>14</v>
      </c>
      <c r="D428" t="s">
        <v>15</v>
      </c>
      <c r="E428" t="s">
        <v>437</v>
      </c>
      <c r="F428" t="s">
        <v>17</v>
      </c>
      <c r="G428" t="s">
        <v>31</v>
      </c>
      <c r="H428" t="str">
        <f t="shared" si="6"/>
        <v>12.001.04.122.0004.2.011.3.3.90.39.00</v>
      </c>
      <c r="I428" t="s">
        <v>533</v>
      </c>
      <c r="J428" t="s">
        <v>534</v>
      </c>
      <c r="K428" t="s">
        <v>21</v>
      </c>
      <c r="L428" t="s">
        <v>22</v>
      </c>
      <c r="M428" t="s">
        <v>442</v>
      </c>
      <c r="N428" t="s">
        <v>24</v>
      </c>
      <c r="O428" t="s">
        <v>32</v>
      </c>
      <c r="P428" t="s">
        <v>460</v>
      </c>
      <c r="R428" s="9">
        <v>500000</v>
      </c>
      <c r="S428" t="s">
        <v>27</v>
      </c>
    </row>
    <row r="429" spans="1:19" x14ac:dyDescent="0.25">
      <c r="A429" t="s">
        <v>166</v>
      </c>
      <c r="B429" t="s">
        <v>13</v>
      </c>
      <c r="C429" s="2" t="s">
        <v>14</v>
      </c>
      <c r="D429" t="s">
        <v>436</v>
      </c>
      <c r="E429" t="s">
        <v>16</v>
      </c>
      <c r="F429" t="s">
        <v>177</v>
      </c>
      <c r="G429" t="s">
        <v>31</v>
      </c>
      <c r="H429" t="str">
        <f t="shared" si="6"/>
        <v>12.001.04.121.0001.1.003.3.3.90.39.00</v>
      </c>
      <c r="I429" t="s">
        <v>533</v>
      </c>
      <c r="J429" t="s">
        <v>534</v>
      </c>
      <c r="K429" t="s">
        <v>21</v>
      </c>
      <c r="L429" t="s">
        <v>441</v>
      </c>
      <c r="M429" t="s">
        <v>23</v>
      </c>
      <c r="N429" t="s">
        <v>179</v>
      </c>
      <c r="O429" t="s">
        <v>32</v>
      </c>
      <c r="P429" t="s">
        <v>45</v>
      </c>
      <c r="R429" s="9">
        <v>1</v>
      </c>
      <c r="S429" t="s">
        <v>27</v>
      </c>
    </row>
    <row r="430" spans="1:19" x14ac:dyDescent="0.25">
      <c r="A430" t="s">
        <v>166</v>
      </c>
      <c r="B430" t="s">
        <v>13</v>
      </c>
      <c r="C430" s="2" t="s">
        <v>14</v>
      </c>
      <c r="D430" t="s">
        <v>436</v>
      </c>
      <c r="E430" t="s">
        <v>16</v>
      </c>
      <c r="F430" t="s">
        <v>17</v>
      </c>
      <c r="G430" t="s">
        <v>31</v>
      </c>
      <c r="H430" t="str">
        <f t="shared" si="6"/>
        <v>12.001.04.121.0001.2.011.3.3.90.39.00</v>
      </c>
      <c r="I430" t="s">
        <v>533</v>
      </c>
      <c r="J430" t="s">
        <v>534</v>
      </c>
      <c r="K430" t="s">
        <v>21</v>
      </c>
      <c r="L430" t="s">
        <v>441</v>
      </c>
      <c r="M430" t="s">
        <v>23</v>
      </c>
      <c r="N430" t="s">
        <v>24</v>
      </c>
      <c r="O430" t="s">
        <v>32</v>
      </c>
      <c r="P430" t="s">
        <v>114</v>
      </c>
      <c r="R430" s="9">
        <v>1</v>
      </c>
      <c r="S430" t="s">
        <v>27</v>
      </c>
    </row>
    <row r="431" spans="1:19" x14ac:dyDescent="0.25">
      <c r="A431" t="s">
        <v>166</v>
      </c>
      <c r="B431" t="s">
        <v>13</v>
      </c>
      <c r="C431" s="2" t="s">
        <v>14</v>
      </c>
      <c r="D431" t="s">
        <v>15</v>
      </c>
      <c r="E431" t="s">
        <v>16</v>
      </c>
      <c r="F431" t="s">
        <v>17</v>
      </c>
      <c r="G431" t="s">
        <v>31</v>
      </c>
      <c r="H431" t="str">
        <f t="shared" si="6"/>
        <v>12.001.04.122.0001.2.011.3.3.90.39.00</v>
      </c>
      <c r="I431" t="s">
        <v>533</v>
      </c>
      <c r="J431" t="s">
        <v>534</v>
      </c>
      <c r="K431" t="s">
        <v>21</v>
      </c>
      <c r="L431" t="s">
        <v>22</v>
      </c>
      <c r="M431" t="s">
        <v>23</v>
      </c>
      <c r="N431" t="s">
        <v>24</v>
      </c>
      <c r="O431" t="s">
        <v>32</v>
      </c>
      <c r="P431" t="s">
        <v>33</v>
      </c>
      <c r="R431" s="9">
        <v>1000000</v>
      </c>
      <c r="S431" t="s">
        <v>27</v>
      </c>
    </row>
    <row r="432" spans="1:19" x14ac:dyDescent="0.25">
      <c r="A432" t="s">
        <v>166</v>
      </c>
      <c r="B432" t="s">
        <v>13</v>
      </c>
      <c r="C432" s="2" t="s">
        <v>14</v>
      </c>
      <c r="D432" t="s">
        <v>15</v>
      </c>
      <c r="E432" t="s">
        <v>16</v>
      </c>
      <c r="F432" t="s">
        <v>17</v>
      </c>
      <c r="G432" t="s">
        <v>31</v>
      </c>
      <c r="H432" t="str">
        <f t="shared" si="6"/>
        <v>12.001.04.122.0001.2.011.3.3.90.39.00</v>
      </c>
      <c r="I432" t="s">
        <v>533</v>
      </c>
      <c r="J432" t="s">
        <v>534</v>
      </c>
      <c r="K432" t="s">
        <v>21</v>
      </c>
      <c r="L432" t="s">
        <v>22</v>
      </c>
      <c r="M432" t="s">
        <v>23</v>
      </c>
      <c r="N432" t="s">
        <v>24</v>
      </c>
      <c r="O432" t="s">
        <v>32</v>
      </c>
      <c r="P432" t="s">
        <v>44</v>
      </c>
      <c r="R432" s="9">
        <v>100000</v>
      </c>
      <c r="S432" t="s">
        <v>27</v>
      </c>
    </row>
    <row r="433" spans="1:19" x14ac:dyDescent="0.25">
      <c r="A433" t="s">
        <v>166</v>
      </c>
      <c r="B433" t="s">
        <v>13</v>
      </c>
      <c r="C433" s="2" t="s">
        <v>14</v>
      </c>
      <c r="D433" t="s">
        <v>436</v>
      </c>
      <c r="E433" t="s">
        <v>16</v>
      </c>
      <c r="F433" t="s">
        <v>17</v>
      </c>
      <c r="G433" t="s">
        <v>31</v>
      </c>
      <c r="H433" t="str">
        <f t="shared" si="6"/>
        <v>12.001.04.121.0001.2.011.3.3.90.39.00</v>
      </c>
      <c r="I433" t="s">
        <v>533</v>
      </c>
      <c r="J433" t="s">
        <v>534</v>
      </c>
      <c r="K433" t="s">
        <v>21</v>
      </c>
      <c r="L433" t="s">
        <v>441</v>
      </c>
      <c r="M433" t="s">
        <v>23</v>
      </c>
      <c r="N433" t="s">
        <v>24</v>
      </c>
      <c r="O433" t="s">
        <v>32</v>
      </c>
      <c r="P433" t="s">
        <v>65</v>
      </c>
      <c r="R433" s="9">
        <v>1</v>
      </c>
      <c r="S433" t="s">
        <v>27</v>
      </c>
    </row>
    <row r="434" spans="1:19" x14ac:dyDescent="0.25">
      <c r="A434" t="s">
        <v>166</v>
      </c>
      <c r="B434" t="s">
        <v>13</v>
      </c>
      <c r="C434" s="2" t="s">
        <v>14</v>
      </c>
      <c r="D434" t="s">
        <v>312</v>
      </c>
      <c r="E434" t="s">
        <v>16</v>
      </c>
      <c r="F434" t="s">
        <v>127</v>
      </c>
      <c r="G434" t="s">
        <v>31</v>
      </c>
      <c r="H434" t="str">
        <f t="shared" si="6"/>
        <v>12.001.04.131.0001.2.006.3.3.90.39.00</v>
      </c>
      <c r="I434" t="s">
        <v>533</v>
      </c>
      <c r="J434" t="s">
        <v>534</v>
      </c>
      <c r="K434" t="s">
        <v>21</v>
      </c>
      <c r="L434" t="s">
        <v>313</v>
      </c>
      <c r="M434" t="s">
        <v>23</v>
      </c>
      <c r="N434" t="s">
        <v>130</v>
      </c>
      <c r="O434" t="s">
        <v>32</v>
      </c>
      <c r="P434" t="s">
        <v>135</v>
      </c>
      <c r="R434" s="9">
        <v>50000</v>
      </c>
      <c r="S434" t="s">
        <v>27</v>
      </c>
    </row>
    <row r="435" spans="1:19" x14ac:dyDescent="0.25">
      <c r="A435" t="s">
        <v>166</v>
      </c>
      <c r="B435" t="s">
        <v>13</v>
      </c>
      <c r="C435" s="2" t="s">
        <v>14</v>
      </c>
      <c r="D435" t="s">
        <v>436</v>
      </c>
      <c r="E435" t="s">
        <v>16</v>
      </c>
      <c r="F435" t="s">
        <v>532</v>
      </c>
      <c r="G435" t="s">
        <v>118</v>
      </c>
      <c r="H435" t="str">
        <f t="shared" si="6"/>
        <v>12.001.04.121.0001.2.032.3.3.90.92.00</v>
      </c>
      <c r="I435" t="s">
        <v>533</v>
      </c>
      <c r="J435" t="s">
        <v>534</v>
      </c>
      <c r="K435" t="s">
        <v>21</v>
      </c>
      <c r="L435" t="s">
        <v>441</v>
      </c>
      <c r="M435" t="s">
        <v>23</v>
      </c>
      <c r="N435" t="s">
        <v>535</v>
      </c>
      <c r="O435" t="s">
        <v>119</v>
      </c>
      <c r="P435" t="s">
        <v>93</v>
      </c>
      <c r="R435" s="9">
        <v>1</v>
      </c>
      <c r="S435" t="s">
        <v>27</v>
      </c>
    </row>
    <row r="436" spans="1:19" x14ac:dyDescent="0.25">
      <c r="A436" t="s">
        <v>166</v>
      </c>
      <c r="B436" t="s">
        <v>13</v>
      </c>
      <c r="C436" s="2" t="s">
        <v>14</v>
      </c>
      <c r="D436" t="s">
        <v>15</v>
      </c>
      <c r="E436" t="s">
        <v>16</v>
      </c>
      <c r="F436" t="s">
        <v>182</v>
      </c>
      <c r="G436" t="s">
        <v>69</v>
      </c>
      <c r="H436" t="str">
        <f t="shared" si="6"/>
        <v>12.001.04.122.0001.2.001.3.3.90.93.00</v>
      </c>
      <c r="I436" t="s">
        <v>533</v>
      </c>
      <c r="J436" t="s">
        <v>534</v>
      </c>
      <c r="K436" t="s">
        <v>21</v>
      </c>
      <c r="L436" t="s">
        <v>22</v>
      </c>
      <c r="M436" t="s">
        <v>23</v>
      </c>
      <c r="N436" t="s">
        <v>183</v>
      </c>
      <c r="O436" t="s">
        <v>70</v>
      </c>
      <c r="P436" t="s">
        <v>485</v>
      </c>
      <c r="R436" s="9">
        <v>1</v>
      </c>
      <c r="S436" t="s">
        <v>27</v>
      </c>
    </row>
    <row r="437" spans="1:19" x14ac:dyDescent="0.25">
      <c r="A437" t="s">
        <v>166</v>
      </c>
      <c r="B437" t="s">
        <v>13</v>
      </c>
      <c r="C437" s="2" t="s">
        <v>14</v>
      </c>
      <c r="D437" t="s">
        <v>15</v>
      </c>
      <c r="E437" t="s">
        <v>16</v>
      </c>
      <c r="F437" t="s">
        <v>182</v>
      </c>
      <c r="G437" t="s">
        <v>69</v>
      </c>
      <c r="H437" t="str">
        <f t="shared" si="6"/>
        <v>12.001.04.122.0001.2.001.3.3.90.93.00</v>
      </c>
      <c r="I437" t="s">
        <v>533</v>
      </c>
      <c r="J437" t="s">
        <v>534</v>
      </c>
      <c r="K437" t="s">
        <v>21</v>
      </c>
      <c r="L437" t="s">
        <v>22</v>
      </c>
      <c r="M437" t="s">
        <v>23</v>
      </c>
      <c r="N437" t="s">
        <v>183</v>
      </c>
      <c r="O437" t="s">
        <v>70</v>
      </c>
      <c r="P437" t="s">
        <v>222</v>
      </c>
      <c r="R437" s="9">
        <v>1</v>
      </c>
      <c r="S437" t="s">
        <v>27</v>
      </c>
    </row>
    <row r="438" spans="1:19" x14ac:dyDescent="0.25">
      <c r="A438" t="s">
        <v>166</v>
      </c>
      <c r="B438" t="s">
        <v>13</v>
      </c>
      <c r="C438" s="2" t="s">
        <v>14</v>
      </c>
      <c r="D438" t="s">
        <v>15</v>
      </c>
      <c r="E438" t="s">
        <v>16</v>
      </c>
      <c r="F438" t="s">
        <v>127</v>
      </c>
      <c r="G438" t="s">
        <v>69</v>
      </c>
      <c r="H438" t="str">
        <f t="shared" si="6"/>
        <v>12.001.04.122.0001.2.006.3.3.90.93.00</v>
      </c>
      <c r="I438" t="s">
        <v>533</v>
      </c>
      <c r="J438" t="s">
        <v>534</v>
      </c>
      <c r="K438" t="s">
        <v>21</v>
      </c>
      <c r="L438" t="s">
        <v>22</v>
      </c>
      <c r="M438" t="s">
        <v>23</v>
      </c>
      <c r="N438" t="s">
        <v>130</v>
      </c>
      <c r="O438" t="s">
        <v>70</v>
      </c>
      <c r="P438" t="s">
        <v>548</v>
      </c>
      <c r="R438" s="9">
        <v>1</v>
      </c>
      <c r="S438" t="s">
        <v>27</v>
      </c>
    </row>
    <row r="439" spans="1:19" x14ac:dyDescent="0.25">
      <c r="A439" t="s">
        <v>166</v>
      </c>
      <c r="B439" t="s">
        <v>13</v>
      </c>
      <c r="C439" s="2" t="s">
        <v>14</v>
      </c>
      <c r="D439" t="s">
        <v>15</v>
      </c>
      <c r="E439" t="s">
        <v>52</v>
      </c>
      <c r="F439" t="s">
        <v>139</v>
      </c>
      <c r="G439" t="s">
        <v>178</v>
      </c>
      <c r="H439" t="str">
        <f t="shared" si="6"/>
        <v>12.001.04.122.0002.1.002.4.4.90.51.00</v>
      </c>
      <c r="I439" t="s">
        <v>533</v>
      </c>
      <c r="J439" t="s">
        <v>534</v>
      </c>
      <c r="K439" t="s">
        <v>21</v>
      </c>
      <c r="L439" t="s">
        <v>22</v>
      </c>
      <c r="M439" t="s">
        <v>58</v>
      </c>
      <c r="N439" t="s">
        <v>143</v>
      </c>
      <c r="O439" t="s">
        <v>180</v>
      </c>
      <c r="R439" s="9">
        <v>1</v>
      </c>
      <c r="S439" t="s">
        <v>27</v>
      </c>
    </row>
    <row r="440" spans="1:19" x14ac:dyDescent="0.25">
      <c r="A440" t="s">
        <v>166</v>
      </c>
      <c r="B440" t="s">
        <v>13</v>
      </c>
      <c r="C440" s="2" t="s">
        <v>14</v>
      </c>
      <c r="D440" t="s">
        <v>436</v>
      </c>
      <c r="E440" t="s">
        <v>540</v>
      </c>
      <c r="F440" t="s">
        <v>541</v>
      </c>
      <c r="G440" t="s">
        <v>80</v>
      </c>
      <c r="H440" t="str">
        <f t="shared" si="6"/>
        <v>12.001.04.121.0010.2.030.4.4.90.52.00</v>
      </c>
      <c r="I440" t="s">
        <v>533</v>
      </c>
      <c r="J440" t="s">
        <v>534</v>
      </c>
      <c r="K440" t="s">
        <v>21</v>
      </c>
      <c r="L440" t="s">
        <v>441</v>
      </c>
      <c r="M440" t="s">
        <v>543</v>
      </c>
      <c r="N440" t="s">
        <v>544</v>
      </c>
      <c r="O440" t="s">
        <v>81</v>
      </c>
      <c r="R440" s="9">
        <v>600000</v>
      </c>
      <c r="S440" t="s">
        <v>27</v>
      </c>
    </row>
    <row r="441" spans="1:19" x14ac:dyDescent="0.25">
      <c r="A441" t="s">
        <v>166</v>
      </c>
      <c r="B441" t="s">
        <v>13</v>
      </c>
      <c r="C441" s="2" t="s">
        <v>14</v>
      </c>
      <c r="D441" t="s">
        <v>15</v>
      </c>
      <c r="E441" t="s">
        <v>52</v>
      </c>
      <c r="F441" t="s">
        <v>549</v>
      </c>
      <c r="G441" t="s">
        <v>31</v>
      </c>
      <c r="H441" t="str">
        <f t="shared" si="6"/>
        <v>12.001.04.122.0002.2.028.3.3.90.39.00</v>
      </c>
      <c r="I441" t="s">
        <v>533</v>
      </c>
      <c r="J441" t="s">
        <v>534</v>
      </c>
      <c r="K441" t="s">
        <v>21</v>
      </c>
      <c r="L441" t="s">
        <v>22</v>
      </c>
      <c r="M441" t="s">
        <v>58</v>
      </c>
      <c r="N441" t="s">
        <v>550</v>
      </c>
      <c r="O441" t="s">
        <v>32</v>
      </c>
      <c r="R441" s="9">
        <v>1</v>
      </c>
      <c r="S441" t="s">
        <v>27</v>
      </c>
    </row>
    <row r="442" spans="1:19" x14ac:dyDescent="0.25">
      <c r="A442" t="s">
        <v>166</v>
      </c>
      <c r="B442" t="s">
        <v>13</v>
      </c>
      <c r="C442" s="2" t="s">
        <v>551</v>
      </c>
      <c r="D442" t="s">
        <v>539</v>
      </c>
      <c r="E442" t="s">
        <v>540</v>
      </c>
      <c r="F442" t="s">
        <v>552</v>
      </c>
      <c r="G442" t="s">
        <v>192</v>
      </c>
      <c r="H442" t="str">
        <f t="shared" si="6"/>
        <v>12.001.27.811.0010.2.031.3.3.90.31.00</v>
      </c>
      <c r="I442" t="s">
        <v>533</v>
      </c>
      <c r="J442" t="s">
        <v>534</v>
      </c>
      <c r="K442" t="s">
        <v>553</v>
      </c>
      <c r="L442" t="s">
        <v>542</v>
      </c>
      <c r="M442" t="s">
        <v>543</v>
      </c>
      <c r="N442" t="s">
        <v>554</v>
      </c>
      <c r="O442" t="s">
        <v>193</v>
      </c>
      <c r="P442" t="s">
        <v>194</v>
      </c>
      <c r="R442" s="9">
        <v>150000</v>
      </c>
      <c r="S442" t="s">
        <v>27</v>
      </c>
    </row>
    <row r="443" spans="1:19" x14ac:dyDescent="0.25">
      <c r="A443" t="s">
        <v>166</v>
      </c>
      <c r="B443" t="s">
        <v>13</v>
      </c>
      <c r="C443" s="2" t="s">
        <v>551</v>
      </c>
      <c r="D443" t="s">
        <v>555</v>
      </c>
      <c r="E443" t="s">
        <v>540</v>
      </c>
      <c r="F443" t="s">
        <v>532</v>
      </c>
      <c r="G443" t="s">
        <v>131</v>
      </c>
      <c r="H443" t="str">
        <f t="shared" si="6"/>
        <v>12.001.27.812.0010.2.032.3.3.90.36.00</v>
      </c>
      <c r="I443" t="s">
        <v>533</v>
      </c>
      <c r="J443" t="s">
        <v>534</v>
      </c>
      <c r="K443" t="s">
        <v>553</v>
      </c>
      <c r="L443" t="s">
        <v>556</v>
      </c>
      <c r="M443" t="s">
        <v>543</v>
      </c>
      <c r="N443" t="s">
        <v>535</v>
      </c>
      <c r="O443" t="s">
        <v>132</v>
      </c>
      <c r="P443" t="s">
        <v>557</v>
      </c>
      <c r="R443" s="9">
        <v>1972800</v>
      </c>
      <c r="S443" t="s">
        <v>27</v>
      </c>
    </row>
    <row r="444" spans="1:19" x14ac:dyDescent="0.25">
      <c r="A444" t="s">
        <v>166</v>
      </c>
      <c r="B444" t="s">
        <v>13</v>
      </c>
      <c r="C444" s="2" t="s">
        <v>551</v>
      </c>
      <c r="D444" t="s">
        <v>555</v>
      </c>
      <c r="E444" t="s">
        <v>540</v>
      </c>
      <c r="F444" t="s">
        <v>541</v>
      </c>
      <c r="G444" t="s">
        <v>31</v>
      </c>
      <c r="H444" t="str">
        <f t="shared" si="6"/>
        <v>12.001.27.812.0010.2.030.3.3.90.39.00</v>
      </c>
      <c r="I444" t="s">
        <v>533</v>
      </c>
      <c r="J444" t="s">
        <v>534</v>
      </c>
      <c r="K444" t="s">
        <v>553</v>
      </c>
      <c r="L444" t="s">
        <v>556</v>
      </c>
      <c r="M444" t="s">
        <v>543</v>
      </c>
      <c r="N444" t="s">
        <v>544</v>
      </c>
      <c r="O444" t="s">
        <v>32</v>
      </c>
      <c r="P444" t="s">
        <v>50</v>
      </c>
      <c r="R444" s="9">
        <v>120000</v>
      </c>
      <c r="S444" t="s">
        <v>27</v>
      </c>
    </row>
    <row r="445" spans="1:19" x14ac:dyDescent="0.25">
      <c r="A445" t="s">
        <v>166</v>
      </c>
      <c r="B445" t="s">
        <v>13</v>
      </c>
      <c r="C445" s="2" t="s">
        <v>551</v>
      </c>
      <c r="D445" t="s">
        <v>555</v>
      </c>
      <c r="E445" t="s">
        <v>540</v>
      </c>
      <c r="F445" t="s">
        <v>127</v>
      </c>
      <c r="G445" t="s">
        <v>31</v>
      </c>
      <c r="H445" t="str">
        <f t="shared" si="6"/>
        <v>12.001.27.812.0010.2.006.3.3.90.39.00</v>
      </c>
      <c r="I445" t="s">
        <v>533</v>
      </c>
      <c r="J445" t="s">
        <v>534</v>
      </c>
      <c r="K445" t="s">
        <v>553</v>
      </c>
      <c r="L445" t="s">
        <v>556</v>
      </c>
      <c r="M445" t="s">
        <v>543</v>
      </c>
      <c r="N445" t="s">
        <v>130</v>
      </c>
      <c r="O445" t="s">
        <v>32</v>
      </c>
      <c r="P445" t="s">
        <v>558</v>
      </c>
      <c r="R445" s="9">
        <v>60000</v>
      </c>
      <c r="S445" t="s">
        <v>27</v>
      </c>
    </row>
    <row r="446" spans="1:19" x14ac:dyDescent="0.25">
      <c r="A446" t="s">
        <v>166</v>
      </c>
      <c r="B446" t="s">
        <v>13</v>
      </c>
      <c r="C446" s="2" t="s">
        <v>551</v>
      </c>
      <c r="D446" t="s">
        <v>539</v>
      </c>
      <c r="E446" t="s">
        <v>540</v>
      </c>
      <c r="F446" t="s">
        <v>541</v>
      </c>
      <c r="G446" t="s">
        <v>31</v>
      </c>
      <c r="H446" t="str">
        <f t="shared" si="6"/>
        <v>12.001.27.811.0010.2.030.3.3.90.39.00</v>
      </c>
      <c r="I446" t="s">
        <v>533</v>
      </c>
      <c r="J446" t="s">
        <v>534</v>
      </c>
      <c r="K446" t="s">
        <v>553</v>
      </c>
      <c r="L446" t="s">
        <v>542</v>
      </c>
      <c r="M446" t="s">
        <v>543</v>
      </c>
      <c r="N446" t="s">
        <v>544</v>
      </c>
      <c r="O446" t="s">
        <v>32</v>
      </c>
      <c r="P446" t="s">
        <v>93</v>
      </c>
      <c r="R446" s="9">
        <v>1557000</v>
      </c>
      <c r="S446" t="s">
        <v>27</v>
      </c>
    </row>
    <row r="447" spans="1:19" x14ac:dyDescent="0.25">
      <c r="A447" t="s">
        <v>166</v>
      </c>
      <c r="B447" t="s">
        <v>13</v>
      </c>
      <c r="C447" s="2" t="s">
        <v>551</v>
      </c>
      <c r="D447" t="s">
        <v>555</v>
      </c>
      <c r="E447" t="s">
        <v>16</v>
      </c>
      <c r="F447" t="s">
        <v>532</v>
      </c>
      <c r="G447" t="s">
        <v>31</v>
      </c>
      <c r="H447" t="str">
        <f t="shared" si="6"/>
        <v>12.001.27.812.0001.2.032.3.3.90.39.00</v>
      </c>
      <c r="I447" t="s">
        <v>533</v>
      </c>
      <c r="J447" t="s">
        <v>534</v>
      </c>
      <c r="K447" t="s">
        <v>553</v>
      </c>
      <c r="L447" t="s">
        <v>556</v>
      </c>
      <c r="M447" t="s">
        <v>23</v>
      </c>
      <c r="N447" t="s">
        <v>535</v>
      </c>
      <c r="O447" t="s">
        <v>32</v>
      </c>
      <c r="P447" t="s">
        <v>557</v>
      </c>
      <c r="R447" s="9">
        <v>100000</v>
      </c>
      <c r="S447" t="s">
        <v>27</v>
      </c>
    </row>
    <row r="448" spans="1:19" x14ac:dyDescent="0.25">
      <c r="A448" t="s">
        <v>559</v>
      </c>
      <c r="B448" t="s">
        <v>13</v>
      </c>
      <c r="C448" s="2" t="s">
        <v>14</v>
      </c>
      <c r="D448" t="s">
        <v>15</v>
      </c>
      <c r="E448" t="s">
        <v>16</v>
      </c>
      <c r="F448" t="s">
        <v>127</v>
      </c>
      <c r="G448" t="s">
        <v>73</v>
      </c>
      <c r="H448" t="str">
        <f t="shared" si="6"/>
        <v>13.001.04.122.0001.2.006.3.3.90.33.00</v>
      </c>
      <c r="I448" t="s">
        <v>560</v>
      </c>
      <c r="J448" t="s">
        <v>561</v>
      </c>
      <c r="K448" t="s">
        <v>21</v>
      </c>
      <c r="L448" t="s">
        <v>22</v>
      </c>
      <c r="M448" t="s">
        <v>23</v>
      </c>
      <c r="N448" t="s">
        <v>130</v>
      </c>
      <c r="O448" t="s">
        <v>74</v>
      </c>
      <c r="Q448" t="s">
        <v>562</v>
      </c>
      <c r="R448" s="9">
        <v>40000</v>
      </c>
      <c r="S448" t="s">
        <v>27</v>
      </c>
    </row>
    <row r="449" spans="1:19" x14ac:dyDescent="0.25">
      <c r="A449" t="s">
        <v>559</v>
      </c>
      <c r="B449" t="s">
        <v>13</v>
      </c>
      <c r="C449" s="2" t="s">
        <v>14</v>
      </c>
      <c r="D449" t="s">
        <v>15</v>
      </c>
      <c r="E449" t="s">
        <v>16</v>
      </c>
      <c r="F449" t="s">
        <v>127</v>
      </c>
      <c r="G449" t="s">
        <v>31</v>
      </c>
      <c r="H449" t="str">
        <f t="shared" si="6"/>
        <v>13.001.04.122.0001.2.006.3.3.90.39.00</v>
      </c>
      <c r="I449" t="s">
        <v>560</v>
      </c>
      <c r="J449" t="s">
        <v>561</v>
      </c>
      <c r="K449" t="s">
        <v>21</v>
      </c>
      <c r="L449" t="s">
        <v>22</v>
      </c>
      <c r="M449" t="s">
        <v>23</v>
      </c>
      <c r="N449" t="s">
        <v>130</v>
      </c>
      <c r="O449" t="s">
        <v>32</v>
      </c>
      <c r="P449" t="s">
        <v>93</v>
      </c>
      <c r="Q449" t="s">
        <v>563</v>
      </c>
      <c r="R449" s="9">
        <v>40000</v>
      </c>
      <c r="S449" t="s">
        <v>27</v>
      </c>
    </row>
    <row r="450" spans="1:19" x14ac:dyDescent="0.25">
      <c r="A450" t="s">
        <v>559</v>
      </c>
      <c r="B450" t="s">
        <v>13</v>
      </c>
      <c r="C450" s="2" t="s">
        <v>14</v>
      </c>
      <c r="D450" t="s">
        <v>15</v>
      </c>
      <c r="E450" t="s">
        <v>16</v>
      </c>
      <c r="F450" t="s">
        <v>17</v>
      </c>
      <c r="G450" t="s">
        <v>18</v>
      </c>
      <c r="H450" t="str">
        <f t="shared" ref="H450:H513" si="7">_xlfn.CONCAT(A450,".",B450,".",C450,".",D450,".",E450,".",F450,".",G450)</f>
        <v>13.001.04.122.0001.2.011.3.3.90.30.00</v>
      </c>
      <c r="I450" t="s">
        <v>560</v>
      </c>
      <c r="J450" t="s">
        <v>561</v>
      </c>
      <c r="K450" t="s">
        <v>21</v>
      </c>
      <c r="L450" t="s">
        <v>22</v>
      </c>
      <c r="M450" t="s">
        <v>23</v>
      </c>
      <c r="N450" t="s">
        <v>24</v>
      </c>
      <c r="O450" t="s">
        <v>25</v>
      </c>
      <c r="P450" t="s">
        <v>159</v>
      </c>
      <c r="Q450" t="s">
        <v>564</v>
      </c>
      <c r="R450" s="9">
        <v>11181</v>
      </c>
      <c r="S450" t="s">
        <v>27</v>
      </c>
    </row>
    <row r="451" spans="1:19" x14ac:dyDescent="0.25">
      <c r="A451" t="s">
        <v>559</v>
      </c>
      <c r="B451" t="s">
        <v>13</v>
      </c>
      <c r="C451" s="2" t="s">
        <v>14</v>
      </c>
      <c r="D451" t="s">
        <v>15</v>
      </c>
      <c r="E451" t="s">
        <v>16</v>
      </c>
      <c r="F451" t="s">
        <v>17</v>
      </c>
      <c r="G451" t="s">
        <v>18</v>
      </c>
      <c r="H451" t="str">
        <f t="shared" si="7"/>
        <v>13.001.04.122.0001.2.011.3.3.90.30.00</v>
      </c>
      <c r="I451" t="s">
        <v>560</v>
      </c>
      <c r="J451" t="s">
        <v>561</v>
      </c>
      <c r="K451" t="s">
        <v>21</v>
      </c>
      <c r="L451" t="s">
        <v>22</v>
      </c>
      <c r="M451" t="s">
        <v>23</v>
      </c>
      <c r="N451" t="s">
        <v>24</v>
      </c>
      <c r="O451" t="s">
        <v>25</v>
      </c>
      <c r="P451" t="s">
        <v>26</v>
      </c>
      <c r="Q451" t="s">
        <v>565</v>
      </c>
      <c r="R451" s="9">
        <v>3040</v>
      </c>
      <c r="S451" t="s">
        <v>27</v>
      </c>
    </row>
    <row r="452" spans="1:19" x14ac:dyDescent="0.25">
      <c r="A452" t="s">
        <v>559</v>
      </c>
      <c r="B452" t="s">
        <v>13</v>
      </c>
      <c r="C452" s="2" t="s">
        <v>14</v>
      </c>
      <c r="D452" t="s">
        <v>15</v>
      </c>
      <c r="E452" t="s">
        <v>16</v>
      </c>
      <c r="F452" t="s">
        <v>17</v>
      </c>
      <c r="G452" t="s">
        <v>18</v>
      </c>
      <c r="H452" t="str">
        <f t="shared" si="7"/>
        <v>13.001.04.122.0001.2.011.3.3.90.30.00</v>
      </c>
      <c r="I452" t="s">
        <v>560</v>
      </c>
      <c r="J452" t="s">
        <v>561</v>
      </c>
      <c r="K452" t="s">
        <v>21</v>
      </c>
      <c r="L452" t="s">
        <v>22</v>
      </c>
      <c r="M452" t="s">
        <v>23</v>
      </c>
      <c r="N452" t="s">
        <v>24</v>
      </c>
      <c r="O452" t="s">
        <v>25</v>
      </c>
      <c r="P452" t="s">
        <v>49</v>
      </c>
      <c r="Q452" t="s">
        <v>566</v>
      </c>
      <c r="R452" s="9">
        <v>57363</v>
      </c>
      <c r="S452" t="s">
        <v>27</v>
      </c>
    </row>
    <row r="453" spans="1:19" x14ac:dyDescent="0.25">
      <c r="A453" t="s">
        <v>559</v>
      </c>
      <c r="B453" t="s">
        <v>13</v>
      </c>
      <c r="C453" s="2" t="s">
        <v>14</v>
      </c>
      <c r="D453" t="s">
        <v>15</v>
      </c>
      <c r="E453" t="s">
        <v>16</v>
      </c>
      <c r="F453" t="s">
        <v>17</v>
      </c>
      <c r="G453" t="s">
        <v>18</v>
      </c>
      <c r="H453" t="str">
        <f t="shared" si="7"/>
        <v>13.001.04.122.0001.2.011.3.3.90.30.00</v>
      </c>
      <c r="I453" t="s">
        <v>560</v>
      </c>
      <c r="J453" t="s">
        <v>561</v>
      </c>
      <c r="K453" t="s">
        <v>21</v>
      </c>
      <c r="L453" t="s">
        <v>22</v>
      </c>
      <c r="M453" t="s">
        <v>23</v>
      </c>
      <c r="N453" t="s">
        <v>24</v>
      </c>
      <c r="O453" t="s">
        <v>25</v>
      </c>
      <c r="P453" t="s">
        <v>28</v>
      </c>
      <c r="Q453" t="s">
        <v>567</v>
      </c>
      <c r="R453" s="9">
        <v>27693</v>
      </c>
      <c r="S453" t="s">
        <v>27</v>
      </c>
    </row>
    <row r="454" spans="1:19" x14ac:dyDescent="0.25">
      <c r="A454" t="s">
        <v>559</v>
      </c>
      <c r="B454" t="s">
        <v>13</v>
      </c>
      <c r="C454" s="2" t="s">
        <v>14</v>
      </c>
      <c r="D454" t="s">
        <v>15</v>
      </c>
      <c r="E454" t="s">
        <v>16</v>
      </c>
      <c r="F454" t="s">
        <v>17</v>
      </c>
      <c r="G454" t="s">
        <v>18</v>
      </c>
      <c r="H454" t="str">
        <f t="shared" si="7"/>
        <v>13.001.04.122.0001.2.011.3.3.90.30.00</v>
      </c>
      <c r="I454" t="s">
        <v>560</v>
      </c>
      <c r="J454" t="s">
        <v>561</v>
      </c>
      <c r="K454" t="s">
        <v>21</v>
      </c>
      <c r="L454" t="s">
        <v>22</v>
      </c>
      <c r="M454" t="s">
        <v>23</v>
      </c>
      <c r="N454" t="s">
        <v>24</v>
      </c>
      <c r="O454" t="s">
        <v>25</v>
      </c>
      <c r="P454" t="s">
        <v>30</v>
      </c>
      <c r="Q454" t="s">
        <v>568</v>
      </c>
      <c r="R454" s="9">
        <v>69045</v>
      </c>
      <c r="S454" t="s">
        <v>27</v>
      </c>
    </row>
    <row r="455" spans="1:19" x14ac:dyDescent="0.25">
      <c r="A455" t="s">
        <v>559</v>
      </c>
      <c r="B455" t="s">
        <v>13</v>
      </c>
      <c r="C455" s="2" t="s">
        <v>14</v>
      </c>
      <c r="D455" t="s">
        <v>15</v>
      </c>
      <c r="E455" t="s">
        <v>16</v>
      </c>
      <c r="F455" t="s">
        <v>17</v>
      </c>
      <c r="G455" t="s">
        <v>18</v>
      </c>
      <c r="H455" t="str">
        <f t="shared" si="7"/>
        <v>13.001.04.122.0001.2.011.3.3.90.30.00</v>
      </c>
      <c r="I455" t="s">
        <v>560</v>
      </c>
      <c r="J455" t="s">
        <v>561</v>
      </c>
      <c r="K455" t="s">
        <v>21</v>
      </c>
      <c r="L455" t="s">
        <v>22</v>
      </c>
      <c r="M455" t="s">
        <v>23</v>
      </c>
      <c r="N455" t="s">
        <v>24</v>
      </c>
      <c r="O455" t="s">
        <v>25</v>
      </c>
      <c r="P455" t="s">
        <v>29</v>
      </c>
      <c r="Q455" t="s">
        <v>569</v>
      </c>
      <c r="R455" s="9">
        <v>55203</v>
      </c>
      <c r="S455" t="s">
        <v>27</v>
      </c>
    </row>
    <row r="456" spans="1:19" x14ac:dyDescent="0.25">
      <c r="A456" t="s">
        <v>559</v>
      </c>
      <c r="B456" t="s">
        <v>13</v>
      </c>
      <c r="C456" s="2" t="s">
        <v>14</v>
      </c>
      <c r="D456" t="s">
        <v>15</v>
      </c>
      <c r="E456" t="s">
        <v>16</v>
      </c>
      <c r="F456" t="s">
        <v>17</v>
      </c>
      <c r="G456" t="s">
        <v>18</v>
      </c>
      <c r="H456" t="str">
        <f t="shared" si="7"/>
        <v>13.001.04.122.0001.2.011.3.3.90.30.00</v>
      </c>
      <c r="I456" t="s">
        <v>560</v>
      </c>
      <c r="J456" t="s">
        <v>561</v>
      </c>
      <c r="K456" t="s">
        <v>21</v>
      </c>
      <c r="L456" t="s">
        <v>22</v>
      </c>
      <c r="M456" t="s">
        <v>23</v>
      </c>
      <c r="N456" t="s">
        <v>24</v>
      </c>
      <c r="O456" t="s">
        <v>25</v>
      </c>
      <c r="P456" t="s">
        <v>537</v>
      </c>
      <c r="Q456" t="s">
        <v>570</v>
      </c>
      <c r="R456" s="9">
        <v>25000</v>
      </c>
      <c r="S456" t="s">
        <v>27</v>
      </c>
    </row>
    <row r="457" spans="1:19" x14ac:dyDescent="0.25">
      <c r="A457" t="s">
        <v>559</v>
      </c>
      <c r="B457" t="s">
        <v>13</v>
      </c>
      <c r="C457" s="2" t="s">
        <v>14</v>
      </c>
      <c r="D457" t="s">
        <v>15</v>
      </c>
      <c r="E457" t="s">
        <v>16</v>
      </c>
      <c r="F457" t="s">
        <v>17</v>
      </c>
      <c r="G457" t="s">
        <v>18</v>
      </c>
      <c r="H457" t="str">
        <f t="shared" si="7"/>
        <v>13.001.04.122.0001.2.011.3.3.90.30.00</v>
      </c>
      <c r="I457" t="s">
        <v>560</v>
      </c>
      <c r="J457" t="s">
        <v>561</v>
      </c>
      <c r="K457" t="s">
        <v>21</v>
      </c>
      <c r="L457" t="s">
        <v>22</v>
      </c>
      <c r="M457" t="s">
        <v>23</v>
      </c>
      <c r="N457" t="s">
        <v>24</v>
      </c>
      <c r="O457" t="s">
        <v>25</v>
      </c>
      <c r="P457" t="s">
        <v>225</v>
      </c>
      <c r="Q457" t="s">
        <v>571</v>
      </c>
      <c r="R457" s="9">
        <v>14828</v>
      </c>
      <c r="S457" t="s">
        <v>27</v>
      </c>
    </row>
    <row r="458" spans="1:19" x14ac:dyDescent="0.25">
      <c r="A458" t="s">
        <v>559</v>
      </c>
      <c r="B458" t="s">
        <v>13</v>
      </c>
      <c r="C458" s="2" t="s">
        <v>14</v>
      </c>
      <c r="D458" t="s">
        <v>15</v>
      </c>
      <c r="E458" t="s">
        <v>16</v>
      </c>
      <c r="F458" t="s">
        <v>17</v>
      </c>
      <c r="G458" t="s">
        <v>18</v>
      </c>
      <c r="H458" t="str">
        <f t="shared" si="7"/>
        <v>13.001.04.122.0001.2.011.3.3.90.30.00</v>
      </c>
      <c r="I458" t="s">
        <v>560</v>
      </c>
      <c r="J458" t="s">
        <v>561</v>
      </c>
      <c r="K458" t="s">
        <v>21</v>
      </c>
      <c r="L458" t="s">
        <v>22</v>
      </c>
      <c r="M458" t="s">
        <v>23</v>
      </c>
      <c r="N458" t="s">
        <v>24</v>
      </c>
      <c r="O458" t="s">
        <v>25</v>
      </c>
      <c r="P458" t="s">
        <v>572</v>
      </c>
      <c r="Q458" t="s">
        <v>571</v>
      </c>
      <c r="R458" s="9">
        <v>2000</v>
      </c>
      <c r="S458" t="s">
        <v>27</v>
      </c>
    </row>
    <row r="459" spans="1:19" x14ac:dyDescent="0.25">
      <c r="A459" t="s">
        <v>559</v>
      </c>
      <c r="B459" t="s">
        <v>13</v>
      </c>
      <c r="C459" s="2" t="s">
        <v>14</v>
      </c>
      <c r="D459" t="s">
        <v>15</v>
      </c>
      <c r="E459" t="s">
        <v>16</v>
      </c>
      <c r="F459" t="s">
        <v>17</v>
      </c>
      <c r="G459" t="s">
        <v>18</v>
      </c>
      <c r="H459" t="str">
        <f t="shared" si="7"/>
        <v>13.001.04.122.0001.2.011.3.3.90.30.00</v>
      </c>
      <c r="I459" t="s">
        <v>560</v>
      </c>
      <c r="J459" t="s">
        <v>561</v>
      </c>
      <c r="K459" t="s">
        <v>21</v>
      </c>
      <c r="L459" t="s">
        <v>22</v>
      </c>
      <c r="M459" t="s">
        <v>23</v>
      </c>
      <c r="N459" t="s">
        <v>24</v>
      </c>
      <c r="O459" t="s">
        <v>25</v>
      </c>
      <c r="P459" t="s">
        <v>87</v>
      </c>
      <c r="Q459" t="s">
        <v>573</v>
      </c>
      <c r="R459" s="9">
        <v>42479</v>
      </c>
      <c r="S459" t="s">
        <v>27</v>
      </c>
    </row>
    <row r="460" spans="1:19" x14ac:dyDescent="0.25">
      <c r="A460" t="s">
        <v>559</v>
      </c>
      <c r="B460" t="s">
        <v>13</v>
      </c>
      <c r="C460" s="2" t="s">
        <v>14</v>
      </c>
      <c r="D460" t="s">
        <v>15</v>
      </c>
      <c r="E460" t="s">
        <v>16</v>
      </c>
      <c r="F460" t="s">
        <v>17</v>
      </c>
      <c r="G460" t="s">
        <v>18</v>
      </c>
      <c r="H460" t="str">
        <f t="shared" si="7"/>
        <v>13.001.04.122.0001.2.011.3.3.90.30.00</v>
      </c>
      <c r="I460" t="s">
        <v>560</v>
      </c>
      <c r="J460" t="s">
        <v>561</v>
      </c>
      <c r="K460" t="s">
        <v>21</v>
      </c>
      <c r="L460" t="s">
        <v>22</v>
      </c>
      <c r="M460" t="s">
        <v>23</v>
      </c>
      <c r="N460" t="s">
        <v>24</v>
      </c>
      <c r="O460" t="s">
        <v>25</v>
      </c>
      <c r="P460" t="s">
        <v>39</v>
      </c>
      <c r="Q460" t="s">
        <v>574</v>
      </c>
      <c r="R460" s="9">
        <v>113395</v>
      </c>
      <c r="S460" t="s">
        <v>27</v>
      </c>
    </row>
    <row r="461" spans="1:19" x14ac:dyDescent="0.25">
      <c r="A461" t="s">
        <v>559</v>
      </c>
      <c r="B461" t="s">
        <v>13</v>
      </c>
      <c r="C461" s="2" t="s">
        <v>14</v>
      </c>
      <c r="D461" t="s">
        <v>15</v>
      </c>
      <c r="E461" t="s">
        <v>16</v>
      </c>
      <c r="F461" t="s">
        <v>17</v>
      </c>
      <c r="G461" t="s">
        <v>18</v>
      </c>
      <c r="H461" t="str">
        <f t="shared" si="7"/>
        <v>13.001.04.122.0001.2.011.3.3.90.30.00</v>
      </c>
      <c r="I461" t="s">
        <v>560</v>
      </c>
      <c r="J461" t="s">
        <v>561</v>
      </c>
      <c r="K461" t="s">
        <v>21</v>
      </c>
      <c r="L461" t="s">
        <v>22</v>
      </c>
      <c r="M461" t="s">
        <v>23</v>
      </c>
      <c r="N461" t="s">
        <v>24</v>
      </c>
      <c r="O461" t="s">
        <v>25</v>
      </c>
      <c r="P461" t="s">
        <v>89</v>
      </c>
      <c r="Q461" t="s">
        <v>575</v>
      </c>
      <c r="R461" s="9">
        <v>75271</v>
      </c>
      <c r="S461" t="s">
        <v>27</v>
      </c>
    </row>
    <row r="462" spans="1:19" x14ac:dyDescent="0.25">
      <c r="A462" t="s">
        <v>559</v>
      </c>
      <c r="B462" t="s">
        <v>13</v>
      </c>
      <c r="C462" s="2" t="s">
        <v>14</v>
      </c>
      <c r="D462" t="s">
        <v>15</v>
      </c>
      <c r="E462" t="s">
        <v>16</v>
      </c>
      <c r="F462" t="s">
        <v>17</v>
      </c>
      <c r="G462" t="s">
        <v>18</v>
      </c>
      <c r="H462" t="str">
        <f t="shared" si="7"/>
        <v>13.001.04.122.0001.2.011.3.3.90.30.00</v>
      </c>
      <c r="I462" t="s">
        <v>560</v>
      </c>
      <c r="J462" t="s">
        <v>561</v>
      </c>
      <c r="K462" t="s">
        <v>21</v>
      </c>
      <c r="L462" t="s">
        <v>22</v>
      </c>
      <c r="M462" t="s">
        <v>23</v>
      </c>
      <c r="N462" t="s">
        <v>24</v>
      </c>
      <c r="O462" t="s">
        <v>25</v>
      </c>
      <c r="P462" t="s">
        <v>46</v>
      </c>
      <c r="Q462" t="s">
        <v>576</v>
      </c>
      <c r="R462" s="9">
        <v>33044</v>
      </c>
      <c r="S462" t="s">
        <v>27</v>
      </c>
    </row>
    <row r="463" spans="1:19" x14ac:dyDescent="0.25">
      <c r="A463" t="s">
        <v>559</v>
      </c>
      <c r="B463" t="s">
        <v>13</v>
      </c>
      <c r="C463" s="2" t="s">
        <v>14</v>
      </c>
      <c r="D463" t="s">
        <v>15</v>
      </c>
      <c r="E463" t="s">
        <v>16</v>
      </c>
      <c r="F463" t="s">
        <v>17</v>
      </c>
      <c r="G463" t="s">
        <v>31</v>
      </c>
      <c r="H463" t="str">
        <f t="shared" si="7"/>
        <v>13.001.04.122.0001.2.011.3.3.90.39.00</v>
      </c>
      <c r="I463" t="s">
        <v>560</v>
      </c>
      <c r="J463" t="s">
        <v>561</v>
      </c>
      <c r="K463" t="s">
        <v>21</v>
      </c>
      <c r="L463" t="s">
        <v>22</v>
      </c>
      <c r="M463" t="s">
        <v>23</v>
      </c>
      <c r="N463" t="s">
        <v>24</v>
      </c>
      <c r="O463" t="s">
        <v>32</v>
      </c>
      <c r="P463" t="s">
        <v>577</v>
      </c>
      <c r="Q463" t="s">
        <v>578</v>
      </c>
      <c r="R463" s="9">
        <v>30000</v>
      </c>
      <c r="S463" t="s">
        <v>27</v>
      </c>
    </row>
    <row r="464" spans="1:19" x14ac:dyDescent="0.25">
      <c r="A464" t="s">
        <v>559</v>
      </c>
      <c r="B464" t="s">
        <v>13</v>
      </c>
      <c r="C464" s="2" t="s">
        <v>14</v>
      </c>
      <c r="D464" t="s">
        <v>15</v>
      </c>
      <c r="E464" t="s">
        <v>16</v>
      </c>
      <c r="F464" t="s">
        <v>17</v>
      </c>
      <c r="G464" t="s">
        <v>31</v>
      </c>
      <c r="H464" t="str">
        <f t="shared" si="7"/>
        <v>13.001.04.122.0001.2.011.3.3.90.39.00</v>
      </c>
      <c r="I464" t="s">
        <v>560</v>
      </c>
      <c r="J464" t="s">
        <v>561</v>
      </c>
      <c r="K464" t="s">
        <v>21</v>
      </c>
      <c r="L464" t="s">
        <v>22</v>
      </c>
      <c r="M464" t="s">
        <v>23</v>
      </c>
      <c r="N464" t="s">
        <v>24</v>
      </c>
      <c r="O464" t="s">
        <v>32</v>
      </c>
      <c r="P464" t="s">
        <v>45</v>
      </c>
      <c r="Q464" t="s">
        <v>579</v>
      </c>
      <c r="R464" s="9">
        <v>212775</v>
      </c>
      <c r="S464" t="s">
        <v>27</v>
      </c>
    </row>
    <row r="465" spans="1:19" x14ac:dyDescent="0.25">
      <c r="A465" t="s">
        <v>559</v>
      </c>
      <c r="B465" t="s">
        <v>13</v>
      </c>
      <c r="C465" s="2" t="s">
        <v>14</v>
      </c>
      <c r="D465" t="s">
        <v>15</v>
      </c>
      <c r="E465" t="s">
        <v>16</v>
      </c>
      <c r="F465" t="s">
        <v>17</v>
      </c>
      <c r="G465" t="s">
        <v>31</v>
      </c>
      <c r="H465" t="str">
        <f t="shared" si="7"/>
        <v>13.001.04.122.0001.2.011.3.3.90.39.00</v>
      </c>
      <c r="I465" t="s">
        <v>560</v>
      </c>
      <c r="J465" t="s">
        <v>561</v>
      </c>
      <c r="K465" t="s">
        <v>21</v>
      </c>
      <c r="L465" t="s">
        <v>22</v>
      </c>
      <c r="M465" t="s">
        <v>23</v>
      </c>
      <c r="N465" t="s">
        <v>24</v>
      </c>
      <c r="O465" t="s">
        <v>32</v>
      </c>
      <c r="P465" t="s">
        <v>44</v>
      </c>
      <c r="Q465" t="s">
        <v>575</v>
      </c>
      <c r="R465" s="9">
        <v>50181</v>
      </c>
      <c r="S465" t="s">
        <v>27</v>
      </c>
    </row>
    <row r="466" spans="1:19" x14ac:dyDescent="0.25">
      <c r="A466" t="s">
        <v>559</v>
      </c>
      <c r="B466" t="s">
        <v>13</v>
      </c>
      <c r="C466" s="2" t="s">
        <v>14</v>
      </c>
      <c r="D466" t="s">
        <v>15</v>
      </c>
      <c r="E466" t="s">
        <v>16</v>
      </c>
      <c r="F466" t="s">
        <v>17</v>
      </c>
      <c r="G466" t="s">
        <v>31</v>
      </c>
      <c r="H466" t="str">
        <f t="shared" si="7"/>
        <v>13.001.04.122.0001.2.011.3.3.90.39.00</v>
      </c>
      <c r="I466" t="s">
        <v>560</v>
      </c>
      <c r="J466" t="s">
        <v>561</v>
      </c>
      <c r="K466" t="s">
        <v>21</v>
      </c>
      <c r="L466" t="s">
        <v>22</v>
      </c>
      <c r="M466" t="s">
        <v>23</v>
      </c>
      <c r="N466" t="s">
        <v>24</v>
      </c>
      <c r="O466" t="s">
        <v>32</v>
      </c>
      <c r="P466" t="s">
        <v>580</v>
      </c>
      <c r="Q466" t="s">
        <v>578</v>
      </c>
      <c r="R466" s="9">
        <v>1000</v>
      </c>
      <c r="S466" t="s">
        <v>27</v>
      </c>
    </row>
    <row r="467" spans="1:19" x14ac:dyDescent="0.25">
      <c r="A467" t="s">
        <v>559</v>
      </c>
      <c r="B467" t="s">
        <v>13</v>
      </c>
      <c r="C467" s="2" t="s">
        <v>14</v>
      </c>
      <c r="D467" t="s">
        <v>15</v>
      </c>
      <c r="E467" t="s">
        <v>16</v>
      </c>
      <c r="F467" t="s">
        <v>17</v>
      </c>
      <c r="G467" t="s">
        <v>31</v>
      </c>
      <c r="H467" t="str">
        <f t="shared" si="7"/>
        <v>13.001.04.122.0001.2.011.3.3.90.39.00</v>
      </c>
      <c r="I467" t="s">
        <v>560</v>
      </c>
      <c r="J467" t="s">
        <v>561</v>
      </c>
      <c r="K467" t="s">
        <v>21</v>
      </c>
      <c r="L467" t="s">
        <v>22</v>
      </c>
      <c r="M467" t="s">
        <v>23</v>
      </c>
      <c r="N467" t="s">
        <v>24</v>
      </c>
      <c r="O467" t="s">
        <v>32</v>
      </c>
      <c r="P467" t="s">
        <v>65</v>
      </c>
      <c r="Q467" t="s">
        <v>578</v>
      </c>
      <c r="R467" s="9">
        <v>13000</v>
      </c>
      <c r="S467" t="s">
        <v>27</v>
      </c>
    </row>
    <row r="468" spans="1:19" x14ac:dyDescent="0.25">
      <c r="A468" t="s">
        <v>559</v>
      </c>
      <c r="B468" t="s">
        <v>13</v>
      </c>
      <c r="C468" s="2" t="s">
        <v>14</v>
      </c>
      <c r="D468" t="s">
        <v>15</v>
      </c>
      <c r="E468" t="s">
        <v>16</v>
      </c>
      <c r="F468" t="s">
        <v>17</v>
      </c>
      <c r="G468" t="s">
        <v>31</v>
      </c>
      <c r="H468" t="str">
        <f t="shared" si="7"/>
        <v>13.001.04.122.0001.2.011.3.3.90.39.00</v>
      </c>
      <c r="I468" t="s">
        <v>560</v>
      </c>
      <c r="J468" t="s">
        <v>561</v>
      </c>
      <c r="K468" t="s">
        <v>21</v>
      </c>
      <c r="L468" t="s">
        <v>22</v>
      </c>
      <c r="M468" t="s">
        <v>23</v>
      </c>
      <c r="N468" t="s">
        <v>24</v>
      </c>
      <c r="O468" t="s">
        <v>32</v>
      </c>
      <c r="P468" t="s">
        <v>93</v>
      </c>
      <c r="Q468" t="s">
        <v>578</v>
      </c>
      <c r="R468" s="9">
        <v>8000</v>
      </c>
      <c r="S468" t="s">
        <v>27</v>
      </c>
    </row>
    <row r="469" spans="1:19" x14ac:dyDescent="0.25">
      <c r="A469" t="s">
        <v>559</v>
      </c>
      <c r="B469" t="s">
        <v>13</v>
      </c>
      <c r="C469" s="2" t="s">
        <v>14</v>
      </c>
      <c r="D469" t="s">
        <v>15</v>
      </c>
      <c r="E469" t="s">
        <v>16</v>
      </c>
      <c r="F469" t="s">
        <v>17</v>
      </c>
      <c r="G469" t="s">
        <v>31</v>
      </c>
      <c r="H469" t="str">
        <f t="shared" si="7"/>
        <v>13.001.04.122.0001.2.011.3.3.90.39.00</v>
      </c>
      <c r="I469" t="s">
        <v>560</v>
      </c>
      <c r="J469" t="s">
        <v>561</v>
      </c>
      <c r="K469" t="s">
        <v>21</v>
      </c>
      <c r="L469" t="s">
        <v>22</v>
      </c>
      <c r="M469" t="s">
        <v>23</v>
      </c>
      <c r="N469" t="s">
        <v>24</v>
      </c>
      <c r="O469" t="s">
        <v>32</v>
      </c>
      <c r="P469" t="s">
        <v>581</v>
      </c>
      <c r="Q469" t="s">
        <v>578</v>
      </c>
      <c r="R469" s="9">
        <v>11000</v>
      </c>
      <c r="S469" t="s">
        <v>27</v>
      </c>
    </row>
    <row r="470" spans="1:19" x14ac:dyDescent="0.25">
      <c r="A470" t="s">
        <v>559</v>
      </c>
      <c r="B470" t="s">
        <v>13</v>
      </c>
      <c r="C470" s="2" t="s">
        <v>14</v>
      </c>
      <c r="D470" t="s">
        <v>15</v>
      </c>
      <c r="E470" t="s">
        <v>16</v>
      </c>
      <c r="F470" t="s">
        <v>17</v>
      </c>
      <c r="G470" t="s">
        <v>31</v>
      </c>
      <c r="H470" t="str">
        <f t="shared" si="7"/>
        <v>13.001.04.122.0001.2.011.3.3.90.39.00</v>
      </c>
      <c r="I470" t="s">
        <v>560</v>
      </c>
      <c r="J470" t="s">
        <v>561</v>
      </c>
      <c r="K470" t="s">
        <v>21</v>
      </c>
      <c r="L470" t="s">
        <v>22</v>
      </c>
      <c r="M470" t="s">
        <v>23</v>
      </c>
      <c r="N470" t="s">
        <v>24</v>
      </c>
      <c r="O470" t="s">
        <v>32</v>
      </c>
      <c r="P470" t="s">
        <v>462</v>
      </c>
      <c r="Q470" t="s">
        <v>578</v>
      </c>
      <c r="R470" s="9">
        <v>800000</v>
      </c>
      <c r="S470" t="s">
        <v>27</v>
      </c>
    </row>
    <row r="471" spans="1:19" x14ac:dyDescent="0.25">
      <c r="A471" t="s">
        <v>559</v>
      </c>
      <c r="B471" t="s">
        <v>13</v>
      </c>
      <c r="C471" s="2" t="s">
        <v>14</v>
      </c>
      <c r="D471" t="s">
        <v>15</v>
      </c>
      <c r="E471" t="s">
        <v>16</v>
      </c>
      <c r="F471" t="s">
        <v>17</v>
      </c>
      <c r="G471" t="s">
        <v>31</v>
      </c>
      <c r="H471" t="str">
        <f t="shared" si="7"/>
        <v>13.001.04.122.0001.2.011.3.3.90.39.00</v>
      </c>
      <c r="I471" t="s">
        <v>560</v>
      </c>
      <c r="J471" t="s">
        <v>561</v>
      </c>
      <c r="K471" t="s">
        <v>21</v>
      </c>
      <c r="L471" t="s">
        <v>22</v>
      </c>
      <c r="M471" t="s">
        <v>23</v>
      </c>
      <c r="N471" t="s">
        <v>24</v>
      </c>
      <c r="O471" t="s">
        <v>32</v>
      </c>
      <c r="P471" t="s">
        <v>135</v>
      </c>
      <c r="Q471" t="s">
        <v>582</v>
      </c>
      <c r="R471" s="9">
        <v>50000</v>
      </c>
      <c r="S471" t="s">
        <v>27</v>
      </c>
    </row>
    <row r="472" spans="1:19" x14ac:dyDescent="0.25">
      <c r="A472" t="s">
        <v>559</v>
      </c>
      <c r="B472" t="s">
        <v>13</v>
      </c>
      <c r="C472" s="2" t="s">
        <v>14</v>
      </c>
      <c r="D472" t="s">
        <v>15</v>
      </c>
      <c r="E472" t="s">
        <v>16</v>
      </c>
      <c r="F472" t="s">
        <v>17</v>
      </c>
      <c r="G472" t="s">
        <v>31</v>
      </c>
      <c r="H472" t="str">
        <f t="shared" si="7"/>
        <v>13.001.04.122.0001.2.011.3.3.90.39.00</v>
      </c>
      <c r="I472" t="s">
        <v>560</v>
      </c>
      <c r="J472" t="s">
        <v>561</v>
      </c>
      <c r="K472" t="s">
        <v>21</v>
      </c>
      <c r="L472" t="s">
        <v>22</v>
      </c>
      <c r="M472" t="s">
        <v>23</v>
      </c>
      <c r="N472" t="s">
        <v>24</v>
      </c>
      <c r="O472" t="s">
        <v>32</v>
      </c>
      <c r="P472" t="s">
        <v>557</v>
      </c>
      <c r="Q472" t="s">
        <v>578</v>
      </c>
      <c r="R472" s="9">
        <v>1000</v>
      </c>
      <c r="S472" t="s">
        <v>27</v>
      </c>
    </row>
    <row r="473" spans="1:19" x14ac:dyDescent="0.25">
      <c r="A473" t="s">
        <v>559</v>
      </c>
      <c r="B473" t="s">
        <v>13</v>
      </c>
      <c r="C473" s="2" t="s">
        <v>14</v>
      </c>
      <c r="D473" t="s">
        <v>15</v>
      </c>
      <c r="E473" t="s">
        <v>16</v>
      </c>
      <c r="F473" t="s">
        <v>17</v>
      </c>
      <c r="G473" t="s">
        <v>80</v>
      </c>
      <c r="H473" t="str">
        <f t="shared" si="7"/>
        <v>13.001.04.122.0001.2.011.4.4.90.52.00</v>
      </c>
      <c r="I473" t="s">
        <v>560</v>
      </c>
      <c r="J473" t="s">
        <v>561</v>
      </c>
      <c r="K473" t="s">
        <v>21</v>
      </c>
      <c r="L473" t="s">
        <v>22</v>
      </c>
      <c r="M473" t="s">
        <v>23</v>
      </c>
      <c r="N473" t="s">
        <v>24</v>
      </c>
      <c r="O473" t="s">
        <v>81</v>
      </c>
      <c r="P473" t="s">
        <v>42</v>
      </c>
      <c r="Q473" t="s">
        <v>583</v>
      </c>
      <c r="R473" s="9">
        <v>109000</v>
      </c>
      <c r="S473" t="s">
        <v>27</v>
      </c>
    </row>
    <row r="474" spans="1:19" x14ac:dyDescent="0.25">
      <c r="A474" t="s">
        <v>559</v>
      </c>
      <c r="B474" t="s">
        <v>13</v>
      </c>
      <c r="C474" s="2" t="s">
        <v>14</v>
      </c>
      <c r="D474" t="s">
        <v>15</v>
      </c>
      <c r="E474" t="s">
        <v>16</v>
      </c>
      <c r="F474" t="s">
        <v>17</v>
      </c>
      <c r="G474" t="s">
        <v>80</v>
      </c>
      <c r="H474" t="str">
        <f t="shared" si="7"/>
        <v>13.001.04.122.0001.2.011.4.4.90.52.00</v>
      </c>
      <c r="I474" t="s">
        <v>560</v>
      </c>
      <c r="J474" t="s">
        <v>561</v>
      </c>
      <c r="K474" t="s">
        <v>21</v>
      </c>
      <c r="L474" t="s">
        <v>22</v>
      </c>
      <c r="M474" t="s">
        <v>23</v>
      </c>
      <c r="N474" t="s">
        <v>24</v>
      </c>
      <c r="O474" t="s">
        <v>81</v>
      </c>
      <c r="P474" t="s">
        <v>584</v>
      </c>
      <c r="Q474" t="s">
        <v>583</v>
      </c>
      <c r="R474" s="9">
        <v>160000</v>
      </c>
      <c r="S474" t="s">
        <v>27</v>
      </c>
    </row>
    <row r="475" spans="1:19" x14ac:dyDescent="0.25">
      <c r="A475" t="s">
        <v>559</v>
      </c>
      <c r="B475" t="s">
        <v>13</v>
      </c>
      <c r="C475" s="2" t="s">
        <v>14</v>
      </c>
      <c r="D475" t="s">
        <v>15</v>
      </c>
      <c r="E475" t="s">
        <v>16</v>
      </c>
      <c r="F475" t="s">
        <v>122</v>
      </c>
      <c r="G475" t="s">
        <v>131</v>
      </c>
      <c r="H475" t="str">
        <f t="shared" si="7"/>
        <v>13.001.04.122.0001.2.003.3.3.90.36.00</v>
      </c>
      <c r="I475" t="s">
        <v>560</v>
      </c>
      <c r="J475" t="s">
        <v>561</v>
      </c>
      <c r="K475" t="s">
        <v>21</v>
      </c>
      <c r="L475" t="s">
        <v>22</v>
      </c>
      <c r="M475" t="s">
        <v>23</v>
      </c>
      <c r="N475" t="s">
        <v>125</v>
      </c>
      <c r="O475" t="s">
        <v>132</v>
      </c>
      <c r="Q475" t="s">
        <v>578</v>
      </c>
      <c r="R475" s="9">
        <v>2000</v>
      </c>
      <c r="S475" t="s">
        <v>27</v>
      </c>
    </row>
    <row r="476" spans="1:19" x14ac:dyDescent="0.25">
      <c r="A476" t="s">
        <v>559</v>
      </c>
      <c r="B476" t="s">
        <v>13</v>
      </c>
      <c r="C476" s="2" t="s">
        <v>14</v>
      </c>
      <c r="D476" t="s">
        <v>15</v>
      </c>
      <c r="E476" t="s">
        <v>16</v>
      </c>
      <c r="F476" t="s">
        <v>122</v>
      </c>
      <c r="G476" t="s">
        <v>31</v>
      </c>
      <c r="H476" t="str">
        <f t="shared" si="7"/>
        <v>13.001.04.122.0001.2.003.3.3.90.39.00</v>
      </c>
      <c r="I476" t="s">
        <v>560</v>
      </c>
      <c r="J476" t="s">
        <v>561</v>
      </c>
      <c r="K476" t="s">
        <v>21</v>
      </c>
      <c r="L476" t="s">
        <v>22</v>
      </c>
      <c r="M476" t="s">
        <v>23</v>
      </c>
      <c r="N476" t="s">
        <v>125</v>
      </c>
      <c r="O476" t="s">
        <v>32</v>
      </c>
      <c r="P476" t="s">
        <v>93</v>
      </c>
      <c r="Q476" t="s">
        <v>578</v>
      </c>
      <c r="R476" s="9">
        <v>30000</v>
      </c>
      <c r="S476" t="s">
        <v>27</v>
      </c>
    </row>
    <row r="477" spans="1:19" x14ac:dyDescent="0.25">
      <c r="A477" t="s">
        <v>559</v>
      </c>
      <c r="B477" t="s">
        <v>13</v>
      </c>
      <c r="C477" s="2" t="s">
        <v>14</v>
      </c>
      <c r="D477" t="s">
        <v>15</v>
      </c>
      <c r="E477" t="s">
        <v>16</v>
      </c>
      <c r="F477" t="s">
        <v>133</v>
      </c>
      <c r="G477" t="s">
        <v>69</v>
      </c>
      <c r="H477" t="str">
        <f t="shared" si="7"/>
        <v>13.001.04.122.0001.2.005.3.3.90.93.00</v>
      </c>
      <c r="I477" t="s">
        <v>560</v>
      </c>
      <c r="J477" t="s">
        <v>561</v>
      </c>
      <c r="K477" t="s">
        <v>21</v>
      </c>
      <c r="L477" t="s">
        <v>22</v>
      </c>
      <c r="M477" t="s">
        <v>23</v>
      </c>
      <c r="N477" t="s">
        <v>134</v>
      </c>
      <c r="O477" t="s">
        <v>70</v>
      </c>
      <c r="P477" t="s">
        <v>485</v>
      </c>
      <c r="Q477" t="s">
        <v>578</v>
      </c>
      <c r="R477" s="9">
        <v>1000</v>
      </c>
      <c r="S477" t="s">
        <v>27</v>
      </c>
    </row>
    <row r="478" spans="1:19" x14ac:dyDescent="0.25">
      <c r="A478" t="s">
        <v>559</v>
      </c>
      <c r="B478" t="s">
        <v>13</v>
      </c>
      <c r="C478" s="2" t="s">
        <v>14</v>
      </c>
      <c r="D478" t="s">
        <v>15</v>
      </c>
      <c r="E478" t="s">
        <v>16</v>
      </c>
      <c r="F478" t="s">
        <v>133</v>
      </c>
      <c r="G478" t="s">
        <v>69</v>
      </c>
      <c r="H478" t="str">
        <f t="shared" si="7"/>
        <v>13.001.04.122.0001.2.005.3.3.90.93.00</v>
      </c>
      <c r="I478" t="s">
        <v>560</v>
      </c>
      <c r="J478" t="s">
        <v>561</v>
      </c>
      <c r="K478" t="s">
        <v>21</v>
      </c>
      <c r="L478" t="s">
        <v>22</v>
      </c>
      <c r="M478" t="s">
        <v>23</v>
      </c>
      <c r="N478" t="s">
        <v>134</v>
      </c>
      <c r="O478" t="s">
        <v>70</v>
      </c>
      <c r="P478" t="s">
        <v>222</v>
      </c>
      <c r="Q478" t="s">
        <v>578</v>
      </c>
      <c r="R478" s="9">
        <v>5000</v>
      </c>
      <c r="S478" t="s">
        <v>27</v>
      </c>
    </row>
    <row r="479" spans="1:19" x14ac:dyDescent="0.25">
      <c r="A479" t="s">
        <v>559</v>
      </c>
      <c r="B479" t="s">
        <v>352</v>
      </c>
      <c r="C479" s="2" t="s">
        <v>14</v>
      </c>
      <c r="D479" t="s">
        <v>15</v>
      </c>
      <c r="E479" t="s">
        <v>16</v>
      </c>
      <c r="F479" t="s">
        <v>133</v>
      </c>
      <c r="G479" t="s">
        <v>69</v>
      </c>
      <c r="H479" t="str">
        <f t="shared" si="7"/>
        <v>13.008.04.122.0001.2.005.3.3.90.93.00</v>
      </c>
      <c r="I479" t="s">
        <v>560</v>
      </c>
      <c r="J479" t="s">
        <v>585</v>
      </c>
      <c r="K479" t="s">
        <v>21</v>
      </c>
      <c r="L479" t="s">
        <v>22</v>
      </c>
      <c r="M479" t="s">
        <v>23</v>
      </c>
      <c r="N479" t="s">
        <v>134</v>
      </c>
      <c r="O479" t="s">
        <v>70</v>
      </c>
      <c r="P479" t="s">
        <v>222</v>
      </c>
      <c r="Q479" t="s">
        <v>578</v>
      </c>
      <c r="R479" s="9">
        <v>5000</v>
      </c>
      <c r="S479" t="s">
        <v>27</v>
      </c>
    </row>
    <row r="480" spans="1:19" x14ac:dyDescent="0.25">
      <c r="A480" t="s">
        <v>559</v>
      </c>
      <c r="B480" t="s">
        <v>13</v>
      </c>
      <c r="C480" s="2" t="s">
        <v>14</v>
      </c>
      <c r="D480" t="s">
        <v>15</v>
      </c>
      <c r="E480" t="s">
        <v>16</v>
      </c>
      <c r="F480" t="s">
        <v>133</v>
      </c>
      <c r="G480" t="s">
        <v>31</v>
      </c>
      <c r="H480" t="str">
        <f t="shared" si="7"/>
        <v>13.001.04.122.0001.2.005.3.3.90.39.00</v>
      </c>
      <c r="I480" t="s">
        <v>560</v>
      </c>
      <c r="J480" t="s">
        <v>561</v>
      </c>
      <c r="K480" t="s">
        <v>21</v>
      </c>
      <c r="L480" t="s">
        <v>22</v>
      </c>
      <c r="M480" t="s">
        <v>23</v>
      </c>
      <c r="N480" t="s">
        <v>134</v>
      </c>
      <c r="O480" t="s">
        <v>32</v>
      </c>
      <c r="P480" t="s">
        <v>50</v>
      </c>
      <c r="Q480" t="s">
        <v>586</v>
      </c>
      <c r="R480" s="9">
        <v>61250</v>
      </c>
      <c r="S480" t="s">
        <v>27</v>
      </c>
    </row>
    <row r="481" spans="1:19" x14ac:dyDescent="0.25">
      <c r="A481" t="s">
        <v>559</v>
      </c>
      <c r="B481" t="s">
        <v>13</v>
      </c>
      <c r="C481" s="2" t="s">
        <v>486</v>
      </c>
      <c r="D481" t="s">
        <v>487</v>
      </c>
      <c r="E481" t="s">
        <v>517</v>
      </c>
      <c r="F481" t="s">
        <v>587</v>
      </c>
      <c r="G481" t="s">
        <v>178</v>
      </c>
      <c r="H481" t="str">
        <f t="shared" si="7"/>
        <v>13.001.15.451.0005.1.009.4.4.90.51.00</v>
      </c>
      <c r="I481" t="s">
        <v>560</v>
      </c>
      <c r="J481" t="s">
        <v>561</v>
      </c>
      <c r="K481" t="s">
        <v>490</v>
      </c>
      <c r="L481" t="s">
        <v>491</v>
      </c>
      <c r="M481" t="s">
        <v>521</v>
      </c>
      <c r="N481" t="s">
        <v>588</v>
      </c>
      <c r="O481" t="s">
        <v>180</v>
      </c>
      <c r="P481" t="s">
        <v>454</v>
      </c>
      <c r="Q481" t="s">
        <v>589</v>
      </c>
      <c r="R481" s="9">
        <v>1794355</v>
      </c>
      <c r="S481" t="s">
        <v>27</v>
      </c>
    </row>
    <row r="482" spans="1:19" x14ac:dyDescent="0.25">
      <c r="A482" t="s">
        <v>559</v>
      </c>
      <c r="B482" t="s">
        <v>13</v>
      </c>
      <c r="C482" s="2" t="s">
        <v>486</v>
      </c>
      <c r="D482" t="s">
        <v>487</v>
      </c>
      <c r="E482" t="s">
        <v>517</v>
      </c>
      <c r="F482" t="s">
        <v>587</v>
      </c>
      <c r="G482" t="s">
        <v>178</v>
      </c>
      <c r="H482" t="str">
        <f t="shared" si="7"/>
        <v>13.001.15.451.0005.1.009.4.4.90.51.00</v>
      </c>
      <c r="I482" t="s">
        <v>560</v>
      </c>
      <c r="J482" t="s">
        <v>561</v>
      </c>
      <c r="K482" t="s">
        <v>490</v>
      </c>
      <c r="L482" t="s">
        <v>491</v>
      </c>
      <c r="M482" t="s">
        <v>521</v>
      </c>
      <c r="N482" t="s">
        <v>588</v>
      </c>
      <c r="O482" t="s">
        <v>180</v>
      </c>
      <c r="P482" t="s">
        <v>454</v>
      </c>
      <c r="Q482" t="s">
        <v>590</v>
      </c>
      <c r="R482" s="9">
        <v>430808.82</v>
      </c>
      <c r="S482" t="s">
        <v>27</v>
      </c>
    </row>
    <row r="483" spans="1:19" x14ac:dyDescent="0.25">
      <c r="A483" t="s">
        <v>559</v>
      </c>
      <c r="B483" t="s">
        <v>13</v>
      </c>
      <c r="C483" s="2" t="s">
        <v>486</v>
      </c>
      <c r="D483" t="s">
        <v>487</v>
      </c>
      <c r="E483" t="s">
        <v>517</v>
      </c>
      <c r="F483" t="s">
        <v>587</v>
      </c>
      <c r="G483" t="s">
        <v>178</v>
      </c>
      <c r="H483" t="str">
        <f t="shared" si="7"/>
        <v>13.001.15.451.0005.1.009.4.4.90.51.00</v>
      </c>
      <c r="I483" t="s">
        <v>560</v>
      </c>
      <c r="J483" t="s">
        <v>561</v>
      </c>
      <c r="K483" t="s">
        <v>490</v>
      </c>
      <c r="L483" t="s">
        <v>491</v>
      </c>
      <c r="M483" t="s">
        <v>521</v>
      </c>
      <c r="N483" t="s">
        <v>588</v>
      </c>
      <c r="O483" t="s">
        <v>180</v>
      </c>
      <c r="P483" t="s">
        <v>454</v>
      </c>
      <c r="Q483" t="s">
        <v>591</v>
      </c>
      <c r="R483" s="9">
        <v>7921060.3499999996</v>
      </c>
      <c r="S483" t="s">
        <v>27</v>
      </c>
    </row>
    <row r="484" spans="1:19" x14ac:dyDescent="0.25">
      <c r="A484" t="s">
        <v>559</v>
      </c>
      <c r="B484" t="s">
        <v>13</v>
      </c>
      <c r="C484" s="2" t="s">
        <v>486</v>
      </c>
      <c r="D484" t="s">
        <v>487</v>
      </c>
      <c r="E484" t="s">
        <v>517</v>
      </c>
      <c r="F484" t="s">
        <v>587</v>
      </c>
      <c r="G484" t="s">
        <v>178</v>
      </c>
      <c r="H484" t="str">
        <f t="shared" si="7"/>
        <v>13.001.15.451.0005.1.009.4.4.90.51.00</v>
      </c>
      <c r="I484" t="s">
        <v>560</v>
      </c>
      <c r="J484" t="s">
        <v>561</v>
      </c>
      <c r="K484" t="s">
        <v>490</v>
      </c>
      <c r="L484" t="s">
        <v>491</v>
      </c>
      <c r="M484" t="s">
        <v>521</v>
      </c>
      <c r="N484" t="s">
        <v>588</v>
      </c>
      <c r="O484" t="s">
        <v>180</v>
      </c>
      <c r="P484" t="s">
        <v>454</v>
      </c>
      <c r="Q484" t="s">
        <v>592</v>
      </c>
      <c r="R484" s="9">
        <v>18471618.02</v>
      </c>
      <c r="S484" t="s">
        <v>27</v>
      </c>
    </row>
    <row r="485" spans="1:19" x14ac:dyDescent="0.25">
      <c r="A485" t="s">
        <v>559</v>
      </c>
      <c r="B485" t="s">
        <v>13</v>
      </c>
      <c r="C485" s="2" t="s">
        <v>593</v>
      </c>
      <c r="D485" t="s">
        <v>594</v>
      </c>
      <c r="E485" t="s">
        <v>595</v>
      </c>
      <c r="F485" t="s">
        <v>596</v>
      </c>
      <c r="G485" t="s">
        <v>31</v>
      </c>
      <c r="H485" t="str">
        <f t="shared" si="7"/>
        <v>13.001.16.482.0012.1.010.3.3.90.39.00</v>
      </c>
      <c r="I485" t="s">
        <v>560</v>
      </c>
      <c r="J485" t="s">
        <v>561</v>
      </c>
      <c r="K485" t="s">
        <v>597</v>
      </c>
      <c r="L485" t="s">
        <v>598</v>
      </c>
      <c r="M485" t="s">
        <v>599</v>
      </c>
      <c r="N485" t="s">
        <v>600</v>
      </c>
      <c r="O485" t="s">
        <v>32</v>
      </c>
      <c r="P485" t="s">
        <v>93</v>
      </c>
      <c r="Q485" t="s">
        <v>601</v>
      </c>
      <c r="R485" s="9">
        <v>23703265</v>
      </c>
      <c r="S485" t="s">
        <v>27</v>
      </c>
    </row>
    <row r="486" spans="1:19" x14ac:dyDescent="0.25">
      <c r="A486" t="s">
        <v>559</v>
      </c>
      <c r="B486" t="s">
        <v>13</v>
      </c>
      <c r="C486" s="2" t="s">
        <v>593</v>
      </c>
      <c r="D486" t="s">
        <v>594</v>
      </c>
      <c r="E486" t="s">
        <v>595</v>
      </c>
      <c r="F486" t="s">
        <v>602</v>
      </c>
      <c r="G486" t="s">
        <v>178</v>
      </c>
      <c r="H486" t="str">
        <f t="shared" si="7"/>
        <v>13.001.16.482.0012.1.014.4.4.90.51.00</v>
      </c>
      <c r="I486" t="s">
        <v>560</v>
      </c>
      <c r="J486" t="s">
        <v>561</v>
      </c>
      <c r="K486" t="s">
        <v>597</v>
      </c>
      <c r="L486" t="s">
        <v>598</v>
      </c>
      <c r="M486" t="s">
        <v>599</v>
      </c>
      <c r="N486" t="s">
        <v>603</v>
      </c>
      <c r="O486" t="s">
        <v>180</v>
      </c>
      <c r="P486" t="s">
        <v>454</v>
      </c>
      <c r="Q486" t="s">
        <v>604</v>
      </c>
      <c r="R486" s="9">
        <v>21640357.149999999</v>
      </c>
      <c r="S486" t="s">
        <v>27</v>
      </c>
    </row>
    <row r="487" spans="1:19" x14ac:dyDescent="0.25">
      <c r="A487" t="s">
        <v>559</v>
      </c>
      <c r="B487" t="s">
        <v>13</v>
      </c>
      <c r="C487" s="2" t="s">
        <v>593</v>
      </c>
      <c r="D487" t="s">
        <v>594</v>
      </c>
      <c r="E487" t="s">
        <v>595</v>
      </c>
      <c r="F487" t="s">
        <v>587</v>
      </c>
      <c r="G487" t="s">
        <v>178</v>
      </c>
      <c r="H487" t="str">
        <f t="shared" si="7"/>
        <v>13.001.16.482.0012.1.009.4.4.90.51.00</v>
      </c>
      <c r="I487" t="s">
        <v>560</v>
      </c>
      <c r="J487" t="s">
        <v>561</v>
      </c>
      <c r="K487" t="s">
        <v>597</v>
      </c>
      <c r="L487" t="s">
        <v>598</v>
      </c>
      <c r="M487" t="s">
        <v>599</v>
      </c>
      <c r="N487" t="s">
        <v>588</v>
      </c>
      <c r="O487" t="s">
        <v>180</v>
      </c>
      <c r="P487" t="s">
        <v>454</v>
      </c>
      <c r="Q487" t="s">
        <v>605</v>
      </c>
      <c r="R487" s="9">
        <v>6301164</v>
      </c>
      <c r="S487" t="s">
        <v>27</v>
      </c>
    </row>
    <row r="488" spans="1:19" x14ac:dyDescent="0.25">
      <c r="A488" t="s">
        <v>559</v>
      </c>
      <c r="B488" t="s">
        <v>13</v>
      </c>
      <c r="C488" s="2" t="s">
        <v>593</v>
      </c>
      <c r="D488" t="s">
        <v>594</v>
      </c>
      <c r="E488" t="s">
        <v>595</v>
      </c>
      <c r="F488" t="s">
        <v>606</v>
      </c>
      <c r="G488" t="s">
        <v>31</v>
      </c>
      <c r="H488" t="str">
        <f t="shared" si="7"/>
        <v>13.001.16.482.0012.1.011.3.3.90.39.00</v>
      </c>
      <c r="I488" t="s">
        <v>560</v>
      </c>
      <c r="J488" t="s">
        <v>561</v>
      </c>
      <c r="K488" t="s">
        <v>597</v>
      </c>
      <c r="L488" t="s">
        <v>598</v>
      </c>
      <c r="M488" t="s">
        <v>599</v>
      </c>
      <c r="N488" t="s">
        <v>607</v>
      </c>
      <c r="O488" t="s">
        <v>32</v>
      </c>
      <c r="P488" t="s">
        <v>93</v>
      </c>
      <c r="Q488" t="s">
        <v>608</v>
      </c>
      <c r="R488" s="9">
        <v>2810760.6</v>
      </c>
      <c r="S488" t="s">
        <v>27</v>
      </c>
    </row>
    <row r="489" spans="1:19" x14ac:dyDescent="0.25">
      <c r="A489" t="s">
        <v>559</v>
      </c>
      <c r="B489" t="s">
        <v>13</v>
      </c>
      <c r="C489" s="2" t="s">
        <v>593</v>
      </c>
      <c r="D489" t="s">
        <v>594</v>
      </c>
      <c r="E489" t="s">
        <v>595</v>
      </c>
      <c r="F489" t="s">
        <v>606</v>
      </c>
      <c r="G489" t="s">
        <v>31</v>
      </c>
      <c r="H489" t="str">
        <f t="shared" si="7"/>
        <v>13.001.16.482.0012.1.011.3.3.90.39.00</v>
      </c>
      <c r="I489" t="s">
        <v>560</v>
      </c>
      <c r="J489" t="s">
        <v>561</v>
      </c>
      <c r="K489" t="s">
        <v>597</v>
      </c>
      <c r="L489" t="s">
        <v>598</v>
      </c>
      <c r="M489" t="s">
        <v>599</v>
      </c>
      <c r="N489" t="s">
        <v>607</v>
      </c>
      <c r="O489" t="s">
        <v>32</v>
      </c>
      <c r="P489" t="s">
        <v>93</v>
      </c>
      <c r="Q489" t="s">
        <v>609</v>
      </c>
      <c r="R489" s="9">
        <v>1651248.14</v>
      </c>
      <c r="S489" t="s">
        <v>27</v>
      </c>
    </row>
    <row r="490" spans="1:19" x14ac:dyDescent="0.25">
      <c r="A490" t="s">
        <v>610</v>
      </c>
      <c r="B490" t="s">
        <v>13</v>
      </c>
      <c r="C490" s="2" t="s">
        <v>14</v>
      </c>
      <c r="D490" t="s">
        <v>611</v>
      </c>
      <c r="E490" t="s">
        <v>16</v>
      </c>
      <c r="F490" t="s">
        <v>438</v>
      </c>
      <c r="G490" t="s">
        <v>31</v>
      </c>
      <c r="H490" t="str">
        <f t="shared" si="7"/>
        <v>14.001.04.245.0001.1.001.3.3.90.39.00</v>
      </c>
      <c r="I490" t="s">
        <v>612</v>
      </c>
      <c r="J490" t="s">
        <v>613</v>
      </c>
      <c r="K490" t="s">
        <v>21</v>
      </c>
      <c r="L490" t="s">
        <v>614</v>
      </c>
      <c r="M490" t="s">
        <v>23</v>
      </c>
      <c r="N490" t="s">
        <v>443</v>
      </c>
      <c r="O490" t="s">
        <v>32</v>
      </c>
      <c r="P490" t="s">
        <v>93</v>
      </c>
      <c r="Q490" t="s">
        <v>615</v>
      </c>
      <c r="R490" s="9">
        <v>1</v>
      </c>
      <c r="S490" t="s">
        <v>27</v>
      </c>
    </row>
    <row r="491" spans="1:19" x14ac:dyDescent="0.25">
      <c r="A491" t="s">
        <v>610</v>
      </c>
      <c r="B491" t="s">
        <v>13</v>
      </c>
      <c r="C491" s="2" t="s">
        <v>14</v>
      </c>
      <c r="D491" t="s">
        <v>312</v>
      </c>
      <c r="E491" t="s">
        <v>52</v>
      </c>
      <c r="F491" t="s">
        <v>133</v>
      </c>
      <c r="G491" t="s">
        <v>31</v>
      </c>
      <c r="H491" t="str">
        <f t="shared" si="7"/>
        <v>14.001.04.131.0002.2.005.3.3.90.39.00</v>
      </c>
      <c r="I491" t="s">
        <v>612</v>
      </c>
      <c r="J491" t="s">
        <v>613</v>
      </c>
      <c r="K491" t="s">
        <v>21</v>
      </c>
      <c r="L491" t="s">
        <v>313</v>
      </c>
      <c r="M491" t="s">
        <v>58</v>
      </c>
      <c r="N491" t="s">
        <v>134</v>
      </c>
      <c r="O491" t="s">
        <v>32</v>
      </c>
      <c r="P491" t="s">
        <v>114</v>
      </c>
      <c r="Q491" t="s">
        <v>616</v>
      </c>
      <c r="R491" s="9">
        <v>250000</v>
      </c>
      <c r="S491" t="s">
        <v>27</v>
      </c>
    </row>
    <row r="492" spans="1:19" x14ac:dyDescent="0.25">
      <c r="A492" t="s">
        <v>610</v>
      </c>
      <c r="B492" t="s">
        <v>13</v>
      </c>
      <c r="C492" s="2" t="s">
        <v>14</v>
      </c>
      <c r="D492" t="s">
        <v>51</v>
      </c>
      <c r="E492" t="s">
        <v>52</v>
      </c>
      <c r="F492" t="s">
        <v>53</v>
      </c>
      <c r="G492" t="s">
        <v>54</v>
      </c>
      <c r="H492" t="str">
        <f t="shared" si="7"/>
        <v>14.001.04.126.0002.2.007.3.3.90.40.00</v>
      </c>
      <c r="I492" t="s">
        <v>612</v>
      </c>
      <c r="J492" t="s">
        <v>613</v>
      </c>
      <c r="K492" t="s">
        <v>21</v>
      </c>
      <c r="L492" t="s">
        <v>57</v>
      </c>
      <c r="M492" t="s">
        <v>58</v>
      </c>
      <c r="N492" t="s">
        <v>59</v>
      </c>
      <c r="O492" t="s">
        <v>60</v>
      </c>
      <c r="Q492" t="s">
        <v>617</v>
      </c>
      <c r="R492" s="9">
        <v>1378090</v>
      </c>
      <c r="S492" t="s">
        <v>27</v>
      </c>
    </row>
    <row r="493" spans="1:19" x14ac:dyDescent="0.25">
      <c r="A493" t="s">
        <v>610</v>
      </c>
      <c r="B493" t="s">
        <v>618</v>
      </c>
      <c r="C493" s="2" t="s">
        <v>14</v>
      </c>
      <c r="D493" t="s">
        <v>121</v>
      </c>
      <c r="E493" t="s">
        <v>52</v>
      </c>
      <c r="F493" t="s">
        <v>122</v>
      </c>
      <c r="G493" t="s">
        <v>31</v>
      </c>
      <c r="H493" t="str">
        <f t="shared" si="7"/>
        <v>14.005.04.128.0002.2.003.3.3.90.39.00</v>
      </c>
      <c r="I493" t="s">
        <v>612</v>
      </c>
      <c r="J493" t="s">
        <v>619</v>
      </c>
      <c r="K493" t="s">
        <v>21</v>
      </c>
      <c r="L493" t="s">
        <v>124</v>
      </c>
      <c r="M493" t="s">
        <v>58</v>
      </c>
      <c r="N493" t="s">
        <v>125</v>
      </c>
      <c r="O493" t="s">
        <v>32</v>
      </c>
      <c r="P493" t="s">
        <v>581</v>
      </c>
      <c r="Q493" t="s">
        <v>620</v>
      </c>
      <c r="R493" s="9">
        <v>280000</v>
      </c>
      <c r="S493" t="s">
        <v>27</v>
      </c>
    </row>
    <row r="494" spans="1:19" x14ac:dyDescent="0.25">
      <c r="A494" t="s">
        <v>610</v>
      </c>
      <c r="B494" t="s">
        <v>13</v>
      </c>
      <c r="C494" s="2" t="s">
        <v>14</v>
      </c>
      <c r="D494" t="s">
        <v>312</v>
      </c>
      <c r="E494" t="s">
        <v>52</v>
      </c>
      <c r="F494" t="s">
        <v>133</v>
      </c>
      <c r="G494" t="s">
        <v>31</v>
      </c>
      <c r="H494" t="str">
        <f t="shared" si="7"/>
        <v>14.001.04.131.0002.2.005.3.3.90.39.00</v>
      </c>
      <c r="I494" t="s">
        <v>612</v>
      </c>
      <c r="J494" t="s">
        <v>613</v>
      </c>
      <c r="K494" t="s">
        <v>21</v>
      </c>
      <c r="L494" t="s">
        <v>313</v>
      </c>
      <c r="M494" t="s">
        <v>58</v>
      </c>
      <c r="N494" t="s">
        <v>134</v>
      </c>
      <c r="O494" t="s">
        <v>32</v>
      </c>
      <c r="P494" t="s">
        <v>93</v>
      </c>
      <c r="Q494" t="s">
        <v>621</v>
      </c>
      <c r="R494" s="9">
        <v>115000</v>
      </c>
      <c r="S494" t="s">
        <v>27</v>
      </c>
    </row>
    <row r="495" spans="1:19" x14ac:dyDescent="0.25">
      <c r="A495" t="s">
        <v>610</v>
      </c>
      <c r="B495" t="s">
        <v>13</v>
      </c>
      <c r="C495" s="2" t="s">
        <v>14</v>
      </c>
      <c r="D495" t="s">
        <v>312</v>
      </c>
      <c r="E495" t="s">
        <v>52</v>
      </c>
      <c r="F495" t="s">
        <v>133</v>
      </c>
      <c r="G495" t="s">
        <v>18</v>
      </c>
      <c r="H495" t="str">
        <f t="shared" si="7"/>
        <v>14.001.04.131.0002.2.005.3.3.90.30.00</v>
      </c>
      <c r="I495" t="s">
        <v>612</v>
      </c>
      <c r="J495" t="s">
        <v>613</v>
      </c>
      <c r="K495" t="s">
        <v>21</v>
      </c>
      <c r="L495" t="s">
        <v>313</v>
      </c>
      <c r="M495" t="s">
        <v>58</v>
      </c>
      <c r="N495" t="s">
        <v>134</v>
      </c>
      <c r="O495" t="s">
        <v>25</v>
      </c>
      <c r="P495" t="s">
        <v>49</v>
      </c>
      <c r="Q495" t="s">
        <v>622</v>
      </c>
      <c r="R495" s="9">
        <v>50000</v>
      </c>
      <c r="S495" t="s">
        <v>27</v>
      </c>
    </row>
    <row r="496" spans="1:19" x14ac:dyDescent="0.25">
      <c r="A496" t="s">
        <v>610</v>
      </c>
      <c r="B496" t="s">
        <v>13</v>
      </c>
      <c r="C496" s="2" t="s">
        <v>14</v>
      </c>
      <c r="D496" t="s">
        <v>15</v>
      </c>
      <c r="E496" t="s">
        <v>16</v>
      </c>
      <c r="F496" t="s">
        <v>127</v>
      </c>
      <c r="G496" t="s">
        <v>31</v>
      </c>
      <c r="H496" t="str">
        <f t="shared" si="7"/>
        <v>14.001.04.122.0001.2.006.3.3.90.39.00</v>
      </c>
      <c r="I496" t="s">
        <v>612</v>
      </c>
      <c r="J496" t="s">
        <v>613</v>
      </c>
      <c r="K496" t="s">
        <v>21</v>
      </c>
      <c r="L496" t="s">
        <v>22</v>
      </c>
      <c r="M496" t="s">
        <v>23</v>
      </c>
      <c r="N496" t="s">
        <v>130</v>
      </c>
      <c r="O496" t="s">
        <v>32</v>
      </c>
      <c r="P496" t="s">
        <v>65</v>
      </c>
      <c r="Q496" t="s">
        <v>623</v>
      </c>
      <c r="R496" s="9">
        <v>50000</v>
      </c>
      <c r="S496" t="s">
        <v>27</v>
      </c>
    </row>
    <row r="497" spans="1:19" x14ac:dyDescent="0.25">
      <c r="A497" t="s">
        <v>610</v>
      </c>
      <c r="B497" t="s">
        <v>13</v>
      </c>
      <c r="C497" s="2" t="s">
        <v>14</v>
      </c>
      <c r="D497" t="s">
        <v>436</v>
      </c>
      <c r="E497" t="s">
        <v>437</v>
      </c>
      <c r="F497" t="s">
        <v>438</v>
      </c>
      <c r="G497" t="s">
        <v>54</v>
      </c>
      <c r="H497" t="str">
        <f t="shared" si="7"/>
        <v>14.001.04.121.0004.1.001.3.3.90.40.00</v>
      </c>
      <c r="I497" t="s">
        <v>612</v>
      </c>
      <c r="J497" t="s">
        <v>613</v>
      </c>
      <c r="K497" t="s">
        <v>21</v>
      </c>
      <c r="L497" t="s">
        <v>441</v>
      </c>
      <c r="M497" t="s">
        <v>442</v>
      </c>
      <c r="N497" t="s">
        <v>443</v>
      </c>
      <c r="O497" t="s">
        <v>60</v>
      </c>
      <c r="Q497" t="s">
        <v>624</v>
      </c>
      <c r="R497" s="9">
        <v>1</v>
      </c>
      <c r="S497" t="s">
        <v>27</v>
      </c>
    </row>
    <row r="498" spans="1:19" x14ac:dyDescent="0.25">
      <c r="A498" t="s">
        <v>610</v>
      </c>
      <c r="B498" t="s">
        <v>13</v>
      </c>
      <c r="C498" s="2" t="s">
        <v>14</v>
      </c>
      <c r="D498" t="s">
        <v>15</v>
      </c>
      <c r="E498" t="s">
        <v>16</v>
      </c>
      <c r="F498" t="s">
        <v>133</v>
      </c>
      <c r="G498" t="s">
        <v>31</v>
      </c>
      <c r="H498" t="str">
        <f t="shared" si="7"/>
        <v>14.001.04.122.0001.2.005.3.3.90.39.00</v>
      </c>
      <c r="I498" t="s">
        <v>612</v>
      </c>
      <c r="J498" t="s">
        <v>613</v>
      </c>
      <c r="K498" t="s">
        <v>21</v>
      </c>
      <c r="L498" t="s">
        <v>22</v>
      </c>
      <c r="M498" t="s">
        <v>23</v>
      </c>
      <c r="N498" t="s">
        <v>134</v>
      </c>
      <c r="O498" t="s">
        <v>32</v>
      </c>
      <c r="P498" t="s">
        <v>93</v>
      </c>
      <c r="Q498" t="s">
        <v>625</v>
      </c>
      <c r="R498" s="9">
        <v>30000</v>
      </c>
      <c r="S498" t="s">
        <v>27</v>
      </c>
    </row>
    <row r="499" spans="1:19" x14ac:dyDescent="0.25">
      <c r="A499" t="s">
        <v>610</v>
      </c>
      <c r="B499" t="s">
        <v>13</v>
      </c>
      <c r="C499" s="2" t="s">
        <v>14</v>
      </c>
      <c r="D499" t="s">
        <v>15</v>
      </c>
      <c r="E499" t="s">
        <v>16</v>
      </c>
      <c r="F499" t="s">
        <v>17</v>
      </c>
      <c r="G499" t="s">
        <v>18</v>
      </c>
      <c r="H499" t="str">
        <f t="shared" si="7"/>
        <v>14.001.04.122.0001.2.011.3.3.90.30.00</v>
      </c>
      <c r="I499" t="s">
        <v>612</v>
      </c>
      <c r="J499" t="s">
        <v>613</v>
      </c>
      <c r="K499" t="s">
        <v>21</v>
      </c>
      <c r="L499" t="s">
        <v>22</v>
      </c>
      <c r="M499" t="s">
        <v>23</v>
      </c>
      <c r="N499" t="s">
        <v>24</v>
      </c>
      <c r="O499" t="s">
        <v>25</v>
      </c>
      <c r="P499" t="s">
        <v>26</v>
      </c>
      <c r="Q499" t="s">
        <v>626</v>
      </c>
      <c r="R499" s="9">
        <v>13000</v>
      </c>
      <c r="S499" t="s">
        <v>27</v>
      </c>
    </row>
    <row r="500" spans="1:19" x14ac:dyDescent="0.25">
      <c r="A500" t="s">
        <v>610</v>
      </c>
      <c r="B500" t="s">
        <v>13</v>
      </c>
      <c r="C500" s="2" t="s">
        <v>14</v>
      </c>
      <c r="D500" t="s">
        <v>15</v>
      </c>
      <c r="E500" t="s">
        <v>16</v>
      </c>
      <c r="F500" t="s">
        <v>17</v>
      </c>
      <c r="G500" t="s">
        <v>18</v>
      </c>
      <c r="H500" t="str">
        <f t="shared" si="7"/>
        <v>14.001.04.122.0001.2.011.3.3.90.30.00</v>
      </c>
      <c r="I500" t="s">
        <v>612</v>
      </c>
      <c r="J500" t="s">
        <v>613</v>
      </c>
      <c r="K500" t="s">
        <v>21</v>
      </c>
      <c r="L500" t="s">
        <v>22</v>
      </c>
      <c r="M500" t="s">
        <v>23</v>
      </c>
      <c r="N500" t="s">
        <v>24</v>
      </c>
      <c r="O500" t="s">
        <v>25</v>
      </c>
      <c r="P500" t="s">
        <v>29</v>
      </c>
      <c r="Q500" t="s">
        <v>627</v>
      </c>
      <c r="R500" s="9">
        <v>170000</v>
      </c>
      <c r="S500" t="s">
        <v>27</v>
      </c>
    </row>
    <row r="501" spans="1:19" x14ac:dyDescent="0.25">
      <c r="A501" t="s">
        <v>610</v>
      </c>
      <c r="B501" t="s">
        <v>13</v>
      </c>
      <c r="C501" s="2" t="s">
        <v>14</v>
      </c>
      <c r="D501" t="s">
        <v>15</v>
      </c>
      <c r="E501" t="s">
        <v>16</v>
      </c>
      <c r="F501" t="s">
        <v>17</v>
      </c>
      <c r="G501" t="s">
        <v>18</v>
      </c>
      <c r="H501" t="str">
        <f t="shared" si="7"/>
        <v>14.001.04.122.0001.2.011.3.3.90.30.00</v>
      </c>
      <c r="I501" t="s">
        <v>612</v>
      </c>
      <c r="J501" t="s">
        <v>613</v>
      </c>
      <c r="K501" t="s">
        <v>21</v>
      </c>
      <c r="L501" t="s">
        <v>22</v>
      </c>
      <c r="M501" t="s">
        <v>23</v>
      </c>
      <c r="N501" t="s">
        <v>24</v>
      </c>
      <c r="O501" t="s">
        <v>25</v>
      </c>
      <c r="P501" t="s">
        <v>30</v>
      </c>
      <c r="Q501" t="s">
        <v>628</v>
      </c>
      <c r="R501" s="9">
        <v>20000</v>
      </c>
      <c r="S501" t="s">
        <v>27</v>
      </c>
    </row>
    <row r="502" spans="1:19" x14ac:dyDescent="0.25">
      <c r="A502" t="s">
        <v>610</v>
      </c>
      <c r="B502" t="s">
        <v>13</v>
      </c>
      <c r="C502" s="2" t="s">
        <v>14</v>
      </c>
      <c r="D502" t="s">
        <v>15</v>
      </c>
      <c r="E502" t="s">
        <v>16</v>
      </c>
      <c r="F502" t="s">
        <v>17</v>
      </c>
      <c r="G502" t="s">
        <v>18</v>
      </c>
      <c r="H502" t="str">
        <f t="shared" si="7"/>
        <v>14.001.04.122.0001.2.011.3.3.90.30.00</v>
      </c>
      <c r="I502" t="s">
        <v>612</v>
      </c>
      <c r="J502" t="s">
        <v>613</v>
      </c>
      <c r="K502" t="s">
        <v>21</v>
      </c>
      <c r="L502" t="s">
        <v>22</v>
      </c>
      <c r="M502" t="s">
        <v>23</v>
      </c>
      <c r="N502" t="s">
        <v>24</v>
      </c>
      <c r="O502" t="s">
        <v>25</v>
      </c>
      <c r="P502" t="s">
        <v>49</v>
      </c>
      <c r="Q502" t="s">
        <v>629</v>
      </c>
      <c r="R502" s="9">
        <v>21500</v>
      </c>
      <c r="S502" t="s">
        <v>27</v>
      </c>
    </row>
    <row r="503" spans="1:19" x14ac:dyDescent="0.25">
      <c r="A503" t="s">
        <v>610</v>
      </c>
      <c r="B503" t="s">
        <v>13</v>
      </c>
      <c r="C503" s="2" t="s">
        <v>14</v>
      </c>
      <c r="D503" t="s">
        <v>15</v>
      </c>
      <c r="E503" t="s">
        <v>16</v>
      </c>
      <c r="F503" t="s">
        <v>17</v>
      </c>
      <c r="G503" t="s">
        <v>31</v>
      </c>
      <c r="H503" t="str">
        <f t="shared" si="7"/>
        <v>14.001.04.122.0001.2.011.3.3.90.39.00</v>
      </c>
      <c r="I503" t="s">
        <v>612</v>
      </c>
      <c r="J503" t="s">
        <v>613</v>
      </c>
      <c r="K503" t="s">
        <v>21</v>
      </c>
      <c r="L503" t="s">
        <v>22</v>
      </c>
      <c r="M503" t="s">
        <v>23</v>
      </c>
      <c r="N503" t="s">
        <v>24</v>
      </c>
      <c r="O503" t="s">
        <v>32</v>
      </c>
      <c r="P503" t="s">
        <v>67</v>
      </c>
      <c r="Q503" t="s">
        <v>630</v>
      </c>
      <c r="R503" s="9">
        <v>125000</v>
      </c>
      <c r="S503" t="s">
        <v>27</v>
      </c>
    </row>
    <row r="504" spans="1:19" x14ac:dyDescent="0.25">
      <c r="A504" t="s">
        <v>610</v>
      </c>
      <c r="B504" t="s">
        <v>13</v>
      </c>
      <c r="C504" s="2" t="s">
        <v>14</v>
      </c>
      <c r="D504" t="s">
        <v>15</v>
      </c>
      <c r="E504" t="s">
        <v>16</v>
      </c>
      <c r="F504" t="s">
        <v>17</v>
      </c>
      <c r="G504" t="s">
        <v>69</v>
      </c>
      <c r="H504" t="str">
        <f t="shared" si="7"/>
        <v>14.001.04.122.0001.2.011.3.3.90.93.00</v>
      </c>
      <c r="I504" t="s">
        <v>612</v>
      </c>
      <c r="J504" t="s">
        <v>613</v>
      </c>
      <c r="K504" t="s">
        <v>21</v>
      </c>
      <c r="L504" t="s">
        <v>22</v>
      </c>
      <c r="M504" t="s">
        <v>23</v>
      </c>
      <c r="N504" t="s">
        <v>24</v>
      </c>
      <c r="O504" t="s">
        <v>70</v>
      </c>
      <c r="P504" t="s">
        <v>46</v>
      </c>
      <c r="Q504" t="s">
        <v>631</v>
      </c>
      <c r="R504" s="9">
        <v>5000</v>
      </c>
      <c r="S504" t="s">
        <v>27</v>
      </c>
    </row>
    <row r="505" spans="1:19" x14ac:dyDescent="0.25">
      <c r="A505" t="s">
        <v>610</v>
      </c>
      <c r="B505" t="s">
        <v>13</v>
      </c>
      <c r="C505" s="2" t="s">
        <v>14</v>
      </c>
      <c r="D505" t="s">
        <v>15</v>
      </c>
      <c r="E505" t="s">
        <v>16</v>
      </c>
      <c r="F505" t="s">
        <v>17</v>
      </c>
      <c r="G505" t="s">
        <v>80</v>
      </c>
      <c r="H505" t="str">
        <f t="shared" si="7"/>
        <v>14.001.04.122.0001.2.011.4.4.90.52.00</v>
      </c>
      <c r="I505" t="s">
        <v>612</v>
      </c>
      <c r="J505" t="s">
        <v>613</v>
      </c>
      <c r="K505" t="s">
        <v>21</v>
      </c>
      <c r="L505" t="s">
        <v>22</v>
      </c>
      <c r="M505" t="s">
        <v>23</v>
      </c>
      <c r="N505" t="s">
        <v>24</v>
      </c>
      <c r="O505" t="s">
        <v>81</v>
      </c>
      <c r="P505" t="s">
        <v>224</v>
      </c>
      <c r="Q505" t="s">
        <v>632</v>
      </c>
      <c r="R505" s="9">
        <v>70000</v>
      </c>
      <c r="S505" t="s">
        <v>27</v>
      </c>
    </row>
    <row r="506" spans="1:19" x14ac:dyDescent="0.25">
      <c r="A506" t="s">
        <v>610</v>
      </c>
      <c r="B506" t="s">
        <v>13</v>
      </c>
      <c r="C506" s="2" t="s">
        <v>14</v>
      </c>
      <c r="D506" t="s">
        <v>121</v>
      </c>
      <c r="E506" t="s">
        <v>52</v>
      </c>
      <c r="F506" t="s">
        <v>122</v>
      </c>
      <c r="G506" t="s">
        <v>31</v>
      </c>
      <c r="H506" t="str">
        <f t="shared" si="7"/>
        <v>14.001.04.128.0002.2.003.3.3.90.39.00</v>
      </c>
      <c r="I506" t="s">
        <v>612</v>
      </c>
      <c r="J506" t="s">
        <v>613</v>
      </c>
      <c r="K506" t="s">
        <v>21</v>
      </c>
      <c r="L506" t="s">
        <v>124</v>
      </c>
      <c r="M506" t="s">
        <v>58</v>
      </c>
      <c r="N506" t="s">
        <v>125</v>
      </c>
      <c r="O506" t="s">
        <v>32</v>
      </c>
      <c r="P506" t="s">
        <v>581</v>
      </c>
      <c r="Q506" t="s">
        <v>633</v>
      </c>
      <c r="R506" s="9">
        <v>10000</v>
      </c>
      <c r="S506" t="s">
        <v>27</v>
      </c>
    </row>
    <row r="507" spans="1:19" x14ac:dyDescent="0.25">
      <c r="A507" t="s">
        <v>610</v>
      </c>
      <c r="B507" t="s">
        <v>13</v>
      </c>
      <c r="C507" s="2" t="s">
        <v>14</v>
      </c>
      <c r="D507" t="s">
        <v>312</v>
      </c>
      <c r="E507" t="s">
        <v>52</v>
      </c>
      <c r="F507" t="s">
        <v>133</v>
      </c>
      <c r="G507" t="s">
        <v>31</v>
      </c>
      <c r="H507" t="str">
        <f t="shared" si="7"/>
        <v>14.001.04.131.0002.2.005.3.3.90.39.00</v>
      </c>
      <c r="I507" t="s">
        <v>612</v>
      </c>
      <c r="J507" t="s">
        <v>613</v>
      </c>
      <c r="K507" t="s">
        <v>21</v>
      </c>
      <c r="L507" t="s">
        <v>313</v>
      </c>
      <c r="M507" t="s">
        <v>58</v>
      </c>
      <c r="N507" t="s">
        <v>134</v>
      </c>
      <c r="O507" t="s">
        <v>32</v>
      </c>
      <c r="P507" t="s">
        <v>220</v>
      </c>
      <c r="Q507" t="s">
        <v>634</v>
      </c>
      <c r="R507" s="9">
        <v>40000</v>
      </c>
      <c r="S507" t="s">
        <v>27</v>
      </c>
    </row>
    <row r="508" spans="1:19" x14ac:dyDescent="0.25">
      <c r="A508" t="s">
        <v>610</v>
      </c>
      <c r="B508" t="s">
        <v>13</v>
      </c>
      <c r="C508" s="2" t="s">
        <v>14</v>
      </c>
      <c r="D508" t="s">
        <v>15</v>
      </c>
      <c r="E508" t="s">
        <v>16</v>
      </c>
      <c r="F508" t="s">
        <v>17</v>
      </c>
      <c r="G508" t="s">
        <v>80</v>
      </c>
      <c r="H508" t="str">
        <f t="shared" si="7"/>
        <v>14.001.04.122.0001.2.011.4.4.90.52.00</v>
      </c>
      <c r="I508" t="s">
        <v>612</v>
      </c>
      <c r="J508" t="s">
        <v>613</v>
      </c>
      <c r="K508" t="s">
        <v>21</v>
      </c>
      <c r="L508" t="s">
        <v>22</v>
      </c>
      <c r="M508" t="s">
        <v>23</v>
      </c>
      <c r="N508" t="s">
        <v>24</v>
      </c>
      <c r="O508" t="s">
        <v>81</v>
      </c>
      <c r="S508" t="s">
        <v>27</v>
      </c>
    </row>
    <row r="509" spans="1:19" x14ac:dyDescent="0.25">
      <c r="A509" t="s">
        <v>610</v>
      </c>
      <c r="B509" t="s">
        <v>13</v>
      </c>
      <c r="C509" s="2" t="s">
        <v>165</v>
      </c>
      <c r="D509" t="s">
        <v>635</v>
      </c>
      <c r="E509" t="s">
        <v>636</v>
      </c>
      <c r="F509" t="s">
        <v>637</v>
      </c>
      <c r="G509" t="s">
        <v>31</v>
      </c>
      <c r="H509" t="str">
        <f t="shared" si="7"/>
        <v>14.001.08.246.0019.2.024.3.3.90.39.00</v>
      </c>
      <c r="I509" t="s">
        <v>612</v>
      </c>
      <c r="J509" t="s">
        <v>613</v>
      </c>
      <c r="K509" t="s">
        <v>638</v>
      </c>
      <c r="L509" t="s">
        <v>639</v>
      </c>
      <c r="M509" t="s">
        <v>640</v>
      </c>
      <c r="N509" t="s">
        <v>641</v>
      </c>
      <c r="O509" t="s">
        <v>32</v>
      </c>
      <c r="P509" t="s">
        <v>93</v>
      </c>
      <c r="Q509" t="s">
        <v>642</v>
      </c>
      <c r="R509" s="9">
        <v>0</v>
      </c>
      <c r="S509" t="s">
        <v>27</v>
      </c>
    </row>
    <row r="510" spans="1:19" x14ac:dyDescent="0.25">
      <c r="A510" t="s">
        <v>610</v>
      </c>
      <c r="B510" t="s">
        <v>618</v>
      </c>
      <c r="C510" s="2" t="s">
        <v>165</v>
      </c>
      <c r="D510" t="s">
        <v>611</v>
      </c>
      <c r="E510" t="s">
        <v>643</v>
      </c>
      <c r="F510" t="s">
        <v>644</v>
      </c>
      <c r="G510" t="s">
        <v>152</v>
      </c>
      <c r="H510" t="str">
        <f t="shared" si="7"/>
        <v>14.005.08.245.0018.2.015.3.3.50.39.00</v>
      </c>
      <c r="I510" t="s">
        <v>612</v>
      </c>
      <c r="J510" t="s">
        <v>619</v>
      </c>
      <c r="K510" t="s">
        <v>638</v>
      </c>
      <c r="L510" t="s">
        <v>614</v>
      </c>
      <c r="M510" t="s">
        <v>645</v>
      </c>
      <c r="N510" t="s">
        <v>646</v>
      </c>
      <c r="O510" t="s">
        <v>154</v>
      </c>
      <c r="Q510" t="s">
        <v>647</v>
      </c>
      <c r="R510" s="9">
        <v>6083040</v>
      </c>
      <c r="S510" t="s">
        <v>27</v>
      </c>
    </row>
    <row r="511" spans="1:19" x14ac:dyDescent="0.25">
      <c r="A511" t="s">
        <v>610</v>
      </c>
      <c r="B511" t="s">
        <v>618</v>
      </c>
      <c r="C511" s="2" t="s">
        <v>165</v>
      </c>
      <c r="D511" t="s">
        <v>611</v>
      </c>
      <c r="E511" t="s">
        <v>643</v>
      </c>
      <c r="F511" t="s">
        <v>648</v>
      </c>
      <c r="G511" t="s">
        <v>152</v>
      </c>
      <c r="H511" t="str">
        <f t="shared" si="7"/>
        <v>14.005.08.245.0018.2.016.3.3.50.39.00</v>
      </c>
      <c r="I511" t="s">
        <v>612</v>
      </c>
      <c r="J511" t="s">
        <v>619</v>
      </c>
      <c r="K511" t="s">
        <v>638</v>
      </c>
      <c r="L511" t="s">
        <v>614</v>
      </c>
      <c r="M511" t="s">
        <v>645</v>
      </c>
      <c r="N511" t="s">
        <v>649</v>
      </c>
      <c r="O511" t="s">
        <v>154</v>
      </c>
      <c r="Q511" t="s">
        <v>650</v>
      </c>
      <c r="R511" s="9">
        <v>30604000</v>
      </c>
      <c r="S511" t="s">
        <v>27</v>
      </c>
    </row>
    <row r="512" spans="1:19" x14ac:dyDescent="0.25">
      <c r="A512" t="s">
        <v>610</v>
      </c>
      <c r="B512" t="s">
        <v>13</v>
      </c>
      <c r="C512" s="2" t="s">
        <v>165</v>
      </c>
      <c r="D512" t="s">
        <v>611</v>
      </c>
      <c r="E512" t="s">
        <v>643</v>
      </c>
      <c r="F512" t="s">
        <v>395</v>
      </c>
      <c r="G512" t="s">
        <v>31</v>
      </c>
      <c r="H512" t="str">
        <f t="shared" si="7"/>
        <v>14.001.08.245.0018.2.026.3.3.90.39.00</v>
      </c>
      <c r="I512" t="s">
        <v>612</v>
      </c>
      <c r="J512" t="s">
        <v>613</v>
      </c>
      <c r="K512" t="s">
        <v>638</v>
      </c>
      <c r="L512" t="s">
        <v>614</v>
      </c>
      <c r="M512" t="s">
        <v>645</v>
      </c>
      <c r="N512" t="s">
        <v>396</v>
      </c>
      <c r="O512" t="s">
        <v>32</v>
      </c>
      <c r="P512" t="s">
        <v>93</v>
      </c>
      <c r="Q512" t="s">
        <v>651</v>
      </c>
      <c r="R512" s="9">
        <v>1700000</v>
      </c>
      <c r="S512" t="s">
        <v>27</v>
      </c>
    </row>
    <row r="513" spans="1:19" x14ac:dyDescent="0.25">
      <c r="A513" t="s">
        <v>610</v>
      </c>
      <c r="B513" t="s">
        <v>618</v>
      </c>
      <c r="C513" s="2" t="s">
        <v>165</v>
      </c>
      <c r="D513" t="s">
        <v>611</v>
      </c>
      <c r="E513" t="s">
        <v>643</v>
      </c>
      <c r="F513" t="s">
        <v>648</v>
      </c>
      <c r="G513" t="s">
        <v>37</v>
      </c>
      <c r="H513" t="str">
        <f t="shared" si="7"/>
        <v>14.005.08.245.0018.2.016.3.3.71.70.00</v>
      </c>
      <c r="I513" t="s">
        <v>612</v>
      </c>
      <c r="J513" t="s">
        <v>619</v>
      </c>
      <c r="K513" t="s">
        <v>638</v>
      </c>
      <c r="L513" t="s">
        <v>614</v>
      </c>
      <c r="M513" t="s">
        <v>645</v>
      </c>
      <c r="N513" t="s">
        <v>649</v>
      </c>
      <c r="O513" t="s">
        <v>38</v>
      </c>
      <c r="P513" t="s">
        <v>155</v>
      </c>
      <c r="Q513" t="s">
        <v>652</v>
      </c>
      <c r="R513" s="9">
        <v>81049</v>
      </c>
      <c r="S513" t="s">
        <v>27</v>
      </c>
    </row>
    <row r="514" spans="1:19" x14ac:dyDescent="0.25">
      <c r="A514" t="s">
        <v>610</v>
      </c>
      <c r="B514" t="s">
        <v>618</v>
      </c>
      <c r="C514" s="2" t="s">
        <v>165</v>
      </c>
      <c r="D514" t="s">
        <v>611</v>
      </c>
      <c r="E514" t="s">
        <v>643</v>
      </c>
      <c r="F514" t="s">
        <v>648</v>
      </c>
      <c r="G514" t="s">
        <v>653</v>
      </c>
      <c r="H514" t="str">
        <f t="shared" ref="H514:H577" si="8">_xlfn.CONCAT(A514,".",B514,".",C514,".",D514,".",E514,".",F514,".",G514)</f>
        <v>14.005.08.245.0018.2.016.4.4.71.70.00</v>
      </c>
      <c r="I514" t="s">
        <v>612</v>
      </c>
      <c r="J514" t="s">
        <v>619</v>
      </c>
      <c r="K514" t="s">
        <v>638</v>
      </c>
      <c r="L514" t="s">
        <v>614</v>
      </c>
      <c r="M514" t="s">
        <v>645</v>
      </c>
      <c r="N514" t="s">
        <v>649</v>
      </c>
      <c r="O514" t="s">
        <v>654</v>
      </c>
      <c r="P514" t="s">
        <v>155</v>
      </c>
      <c r="Q514" t="s">
        <v>652</v>
      </c>
      <c r="R514" s="9">
        <v>9351</v>
      </c>
      <c r="S514" t="s">
        <v>27</v>
      </c>
    </row>
    <row r="515" spans="1:19" x14ac:dyDescent="0.25">
      <c r="A515" t="s">
        <v>610</v>
      </c>
      <c r="B515" t="s">
        <v>13</v>
      </c>
      <c r="C515" s="2" t="s">
        <v>165</v>
      </c>
      <c r="D515" t="s">
        <v>611</v>
      </c>
      <c r="E515" t="s">
        <v>643</v>
      </c>
      <c r="F515" t="s">
        <v>395</v>
      </c>
      <c r="G515" t="s">
        <v>31</v>
      </c>
      <c r="H515" t="str">
        <f t="shared" si="8"/>
        <v>14.001.08.245.0018.2.026.3.3.90.39.00</v>
      </c>
      <c r="I515" t="s">
        <v>612</v>
      </c>
      <c r="J515" t="s">
        <v>613</v>
      </c>
      <c r="K515" t="s">
        <v>638</v>
      </c>
      <c r="L515" t="s">
        <v>614</v>
      </c>
      <c r="M515" t="s">
        <v>645</v>
      </c>
      <c r="N515" t="s">
        <v>396</v>
      </c>
      <c r="O515" t="s">
        <v>32</v>
      </c>
      <c r="P515" t="s">
        <v>93</v>
      </c>
      <c r="Q515" t="s">
        <v>655</v>
      </c>
      <c r="R515" s="9">
        <v>680000</v>
      </c>
      <c r="S515" t="s">
        <v>27</v>
      </c>
    </row>
    <row r="516" spans="1:19" x14ac:dyDescent="0.25">
      <c r="A516" t="s">
        <v>610</v>
      </c>
      <c r="B516" t="s">
        <v>618</v>
      </c>
      <c r="C516" s="2" t="s">
        <v>165</v>
      </c>
      <c r="D516" t="s">
        <v>611</v>
      </c>
      <c r="E516" t="s">
        <v>643</v>
      </c>
      <c r="F516" t="s">
        <v>133</v>
      </c>
      <c r="G516" t="s">
        <v>31</v>
      </c>
      <c r="H516" t="str">
        <f t="shared" si="8"/>
        <v>14.005.08.245.0018.2.005.3.3.90.39.00</v>
      </c>
      <c r="I516" t="s">
        <v>612</v>
      </c>
      <c r="J516" t="s">
        <v>619</v>
      </c>
      <c r="K516" t="s">
        <v>638</v>
      </c>
      <c r="L516" t="s">
        <v>614</v>
      </c>
      <c r="M516" t="s">
        <v>645</v>
      </c>
      <c r="N516" t="s">
        <v>134</v>
      </c>
      <c r="O516" t="s">
        <v>32</v>
      </c>
      <c r="P516" t="s">
        <v>93</v>
      </c>
      <c r="Q516" t="s">
        <v>656</v>
      </c>
      <c r="R516" s="9">
        <v>565000</v>
      </c>
      <c r="S516" t="s">
        <v>27</v>
      </c>
    </row>
    <row r="517" spans="1:19" x14ac:dyDescent="0.25">
      <c r="A517" t="s">
        <v>610</v>
      </c>
      <c r="B517" t="s">
        <v>618</v>
      </c>
      <c r="C517" s="2" t="s">
        <v>165</v>
      </c>
      <c r="D517" t="s">
        <v>611</v>
      </c>
      <c r="E517" t="s">
        <v>643</v>
      </c>
      <c r="F517" t="s">
        <v>133</v>
      </c>
      <c r="G517" t="s">
        <v>18</v>
      </c>
      <c r="H517" t="str">
        <f t="shared" si="8"/>
        <v>14.005.08.245.0018.2.005.3.3.90.30.00</v>
      </c>
      <c r="I517" t="s">
        <v>612</v>
      </c>
      <c r="J517" t="s">
        <v>619</v>
      </c>
      <c r="K517" t="s">
        <v>638</v>
      </c>
      <c r="L517" t="s">
        <v>614</v>
      </c>
      <c r="M517" t="s">
        <v>645</v>
      </c>
      <c r="N517" t="s">
        <v>134</v>
      </c>
      <c r="O517" t="s">
        <v>25</v>
      </c>
      <c r="P517" t="s">
        <v>49</v>
      </c>
      <c r="Q517" t="s">
        <v>657</v>
      </c>
      <c r="R517" s="9">
        <v>477000</v>
      </c>
      <c r="S517" t="s">
        <v>27</v>
      </c>
    </row>
    <row r="518" spans="1:19" x14ac:dyDescent="0.25">
      <c r="A518" t="s">
        <v>610</v>
      </c>
      <c r="B518" t="s">
        <v>13</v>
      </c>
      <c r="C518" s="2" t="s">
        <v>165</v>
      </c>
      <c r="D518" t="s">
        <v>635</v>
      </c>
      <c r="E518" t="s">
        <v>643</v>
      </c>
      <c r="F518" t="s">
        <v>146</v>
      </c>
      <c r="G518" t="s">
        <v>31</v>
      </c>
      <c r="H518" t="str">
        <f t="shared" si="8"/>
        <v>14.001.08.246.0018.2.027.3.3.90.39.00</v>
      </c>
      <c r="I518" t="s">
        <v>612</v>
      </c>
      <c r="J518" t="s">
        <v>613</v>
      </c>
      <c r="K518" t="s">
        <v>638</v>
      </c>
      <c r="L518" t="s">
        <v>639</v>
      </c>
      <c r="M518" t="s">
        <v>645</v>
      </c>
      <c r="N518" t="s">
        <v>148</v>
      </c>
      <c r="O518" t="s">
        <v>32</v>
      </c>
      <c r="P518" t="s">
        <v>220</v>
      </c>
      <c r="Q518" t="s">
        <v>658</v>
      </c>
      <c r="R518" s="9">
        <v>3356640</v>
      </c>
      <c r="S518" t="s">
        <v>27</v>
      </c>
    </row>
    <row r="519" spans="1:19" x14ac:dyDescent="0.25">
      <c r="A519" t="s">
        <v>610</v>
      </c>
      <c r="B519" t="s">
        <v>13</v>
      </c>
      <c r="C519" s="2" t="s">
        <v>165</v>
      </c>
      <c r="D519" t="s">
        <v>611</v>
      </c>
      <c r="E519" t="s">
        <v>16</v>
      </c>
      <c r="F519" t="s">
        <v>139</v>
      </c>
      <c r="G519" t="s">
        <v>31</v>
      </c>
      <c r="H519" t="str">
        <f t="shared" si="8"/>
        <v>14.001.08.245.0001.1.002.3.3.90.39.00</v>
      </c>
      <c r="I519" t="s">
        <v>612</v>
      </c>
      <c r="J519" t="s">
        <v>613</v>
      </c>
      <c r="K519" t="s">
        <v>638</v>
      </c>
      <c r="L519" t="s">
        <v>614</v>
      </c>
      <c r="M519" t="s">
        <v>23</v>
      </c>
      <c r="N519" t="s">
        <v>143</v>
      </c>
      <c r="O519" t="s">
        <v>32</v>
      </c>
      <c r="P519" t="s">
        <v>33</v>
      </c>
      <c r="Q519" t="s">
        <v>624</v>
      </c>
      <c r="R519" s="9">
        <v>1</v>
      </c>
      <c r="S519" t="s">
        <v>27</v>
      </c>
    </row>
    <row r="520" spans="1:19" x14ac:dyDescent="0.25">
      <c r="A520" t="s">
        <v>610</v>
      </c>
      <c r="B520" t="s">
        <v>618</v>
      </c>
      <c r="C520" s="2" t="s">
        <v>165</v>
      </c>
      <c r="D520" t="s">
        <v>611</v>
      </c>
      <c r="E520" t="s">
        <v>643</v>
      </c>
      <c r="F520" t="s">
        <v>644</v>
      </c>
      <c r="G520" t="s">
        <v>40</v>
      </c>
      <c r="H520" t="str">
        <f t="shared" si="8"/>
        <v>14.005.08.245.0018.2.015.4.4.50.52.00</v>
      </c>
      <c r="I520" t="s">
        <v>612</v>
      </c>
      <c r="J520" t="s">
        <v>619</v>
      </c>
      <c r="K520" t="s">
        <v>638</v>
      </c>
      <c r="L520" t="s">
        <v>614</v>
      </c>
      <c r="M520" t="s">
        <v>645</v>
      </c>
      <c r="N520" t="s">
        <v>646</v>
      </c>
      <c r="O520" t="s">
        <v>41</v>
      </c>
      <c r="Q520" t="s">
        <v>624</v>
      </c>
      <c r="R520" s="9">
        <v>1</v>
      </c>
      <c r="S520" t="s">
        <v>27</v>
      </c>
    </row>
    <row r="521" spans="1:19" x14ac:dyDescent="0.25">
      <c r="A521" t="s">
        <v>610</v>
      </c>
      <c r="B521" t="s">
        <v>618</v>
      </c>
      <c r="C521" s="2" t="s">
        <v>165</v>
      </c>
      <c r="D521" t="s">
        <v>611</v>
      </c>
      <c r="E521" t="s">
        <v>643</v>
      </c>
      <c r="F521" t="s">
        <v>648</v>
      </c>
      <c r="G521" t="s">
        <v>40</v>
      </c>
      <c r="H521" t="str">
        <f t="shared" si="8"/>
        <v>14.005.08.245.0018.2.016.4.4.50.52.00</v>
      </c>
      <c r="I521" t="s">
        <v>612</v>
      </c>
      <c r="J521" t="s">
        <v>619</v>
      </c>
      <c r="K521" t="s">
        <v>638</v>
      </c>
      <c r="L521" t="s">
        <v>614</v>
      </c>
      <c r="M521" t="s">
        <v>645</v>
      </c>
      <c r="N521" t="s">
        <v>649</v>
      </c>
      <c r="O521" t="s">
        <v>41</v>
      </c>
      <c r="Q521" t="s">
        <v>650</v>
      </c>
      <c r="R521" s="9">
        <v>920852</v>
      </c>
      <c r="S521" t="s">
        <v>27</v>
      </c>
    </row>
    <row r="522" spans="1:19" x14ac:dyDescent="0.25">
      <c r="A522" t="s">
        <v>610</v>
      </c>
      <c r="B522" t="s">
        <v>659</v>
      </c>
      <c r="C522" s="2" t="s">
        <v>165</v>
      </c>
      <c r="D522" t="s">
        <v>611</v>
      </c>
      <c r="E522" t="s">
        <v>643</v>
      </c>
      <c r="F522" t="s">
        <v>177</v>
      </c>
      <c r="G522" t="s">
        <v>31</v>
      </c>
      <c r="H522" t="str">
        <f t="shared" si="8"/>
        <v>14.007.08.245.0018.1.003.3.3.90.39.00</v>
      </c>
      <c r="I522" t="s">
        <v>612</v>
      </c>
      <c r="J522" t="s">
        <v>660</v>
      </c>
      <c r="K522" t="s">
        <v>638</v>
      </c>
      <c r="L522" t="s">
        <v>614</v>
      </c>
      <c r="M522" t="s">
        <v>645</v>
      </c>
      <c r="N522" t="s">
        <v>179</v>
      </c>
      <c r="O522" t="s">
        <v>32</v>
      </c>
      <c r="P522" t="s">
        <v>33</v>
      </c>
      <c r="Q522" t="s">
        <v>624</v>
      </c>
      <c r="R522" s="9">
        <v>1</v>
      </c>
      <c r="S522" t="s">
        <v>27</v>
      </c>
    </row>
    <row r="523" spans="1:19" x14ac:dyDescent="0.25">
      <c r="A523" t="s">
        <v>610</v>
      </c>
      <c r="B523" t="s">
        <v>618</v>
      </c>
      <c r="C523" s="2" t="s">
        <v>165</v>
      </c>
      <c r="D523" t="s">
        <v>15</v>
      </c>
      <c r="E523" t="s">
        <v>643</v>
      </c>
      <c r="F523" t="s">
        <v>17</v>
      </c>
      <c r="G523" t="s">
        <v>18</v>
      </c>
      <c r="H523" t="str">
        <f t="shared" si="8"/>
        <v>14.005.08.122.0018.2.011.3.3.90.30.00</v>
      </c>
      <c r="I523" t="s">
        <v>612</v>
      </c>
      <c r="J523" t="s">
        <v>619</v>
      </c>
      <c r="K523" t="s">
        <v>638</v>
      </c>
      <c r="L523" t="s">
        <v>22</v>
      </c>
      <c r="M523" t="s">
        <v>645</v>
      </c>
      <c r="N523" t="s">
        <v>24</v>
      </c>
      <c r="O523" t="s">
        <v>25</v>
      </c>
      <c r="P523" t="s">
        <v>49</v>
      </c>
      <c r="Q523" t="s">
        <v>661</v>
      </c>
      <c r="R523" s="9">
        <v>30000</v>
      </c>
      <c r="S523" t="s">
        <v>27</v>
      </c>
    </row>
    <row r="524" spans="1:19" x14ac:dyDescent="0.25">
      <c r="A524" t="s">
        <v>610</v>
      </c>
      <c r="B524" t="s">
        <v>618</v>
      </c>
      <c r="C524" s="2" t="s">
        <v>165</v>
      </c>
      <c r="D524" t="s">
        <v>15</v>
      </c>
      <c r="E524" t="s">
        <v>643</v>
      </c>
      <c r="F524" t="s">
        <v>17</v>
      </c>
      <c r="G524" t="s">
        <v>18</v>
      </c>
      <c r="H524" t="str">
        <f t="shared" si="8"/>
        <v>14.005.08.122.0018.2.011.3.3.90.30.00</v>
      </c>
      <c r="I524" t="s">
        <v>612</v>
      </c>
      <c r="J524" t="s">
        <v>619</v>
      </c>
      <c r="K524" t="s">
        <v>638</v>
      </c>
      <c r="L524" t="s">
        <v>22</v>
      </c>
      <c r="M524" t="s">
        <v>645</v>
      </c>
      <c r="N524" t="s">
        <v>24</v>
      </c>
      <c r="O524" t="s">
        <v>25</v>
      </c>
      <c r="P524" t="s">
        <v>29</v>
      </c>
      <c r="Q524" t="s">
        <v>662</v>
      </c>
      <c r="R524" s="9">
        <v>50000</v>
      </c>
      <c r="S524" t="s">
        <v>27</v>
      </c>
    </row>
    <row r="525" spans="1:19" x14ac:dyDescent="0.25">
      <c r="A525" t="s">
        <v>610</v>
      </c>
      <c r="B525" t="s">
        <v>618</v>
      </c>
      <c r="C525" s="2" t="s">
        <v>165</v>
      </c>
      <c r="D525" t="s">
        <v>15</v>
      </c>
      <c r="E525" t="s">
        <v>643</v>
      </c>
      <c r="F525" t="s">
        <v>17</v>
      </c>
      <c r="G525" t="s">
        <v>18</v>
      </c>
      <c r="H525" t="str">
        <f t="shared" si="8"/>
        <v>14.005.08.122.0018.2.011.3.3.90.30.00</v>
      </c>
      <c r="I525" t="s">
        <v>612</v>
      </c>
      <c r="J525" t="s">
        <v>619</v>
      </c>
      <c r="K525" t="s">
        <v>638</v>
      </c>
      <c r="L525" t="s">
        <v>22</v>
      </c>
      <c r="M525" t="s">
        <v>645</v>
      </c>
      <c r="N525" t="s">
        <v>24</v>
      </c>
      <c r="O525" t="s">
        <v>25</v>
      </c>
      <c r="P525" t="s">
        <v>30</v>
      </c>
      <c r="Q525" t="s">
        <v>663</v>
      </c>
      <c r="R525" s="9">
        <v>30000</v>
      </c>
      <c r="S525" t="s">
        <v>27</v>
      </c>
    </row>
    <row r="526" spans="1:19" x14ac:dyDescent="0.25">
      <c r="A526" t="s">
        <v>610</v>
      </c>
      <c r="B526" t="s">
        <v>618</v>
      </c>
      <c r="C526" s="2" t="s">
        <v>165</v>
      </c>
      <c r="D526" t="s">
        <v>15</v>
      </c>
      <c r="E526" t="s">
        <v>643</v>
      </c>
      <c r="F526" t="s">
        <v>17</v>
      </c>
      <c r="G526" t="s">
        <v>31</v>
      </c>
      <c r="H526" t="str">
        <f t="shared" si="8"/>
        <v>14.005.08.122.0018.2.011.3.3.90.39.00</v>
      </c>
      <c r="I526" t="s">
        <v>612</v>
      </c>
      <c r="J526" t="s">
        <v>619</v>
      </c>
      <c r="K526" t="s">
        <v>638</v>
      </c>
      <c r="L526" t="s">
        <v>22</v>
      </c>
      <c r="M526" t="s">
        <v>645</v>
      </c>
      <c r="N526" t="s">
        <v>24</v>
      </c>
      <c r="O526" t="s">
        <v>32</v>
      </c>
      <c r="P526" t="s">
        <v>93</v>
      </c>
      <c r="Q526" t="s">
        <v>664</v>
      </c>
      <c r="R526" s="9">
        <v>1100000</v>
      </c>
      <c r="S526" t="s">
        <v>27</v>
      </c>
    </row>
    <row r="527" spans="1:19" x14ac:dyDescent="0.25">
      <c r="A527" t="s">
        <v>610</v>
      </c>
      <c r="B527" t="s">
        <v>618</v>
      </c>
      <c r="C527" s="2" t="s">
        <v>165</v>
      </c>
      <c r="D527" t="s">
        <v>15</v>
      </c>
      <c r="E527" t="s">
        <v>643</v>
      </c>
      <c r="F527" t="s">
        <v>17</v>
      </c>
      <c r="G527" t="s">
        <v>31</v>
      </c>
      <c r="H527" t="str">
        <f t="shared" si="8"/>
        <v>14.005.08.122.0018.2.011.3.3.90.39.00</v>
      </c>
      <c r="I527" t="s">
        <v>612</v>
      </c>
      <c r="J527" t="s">
        <v>619</v>
      </c>
      <c r="K527" t="s">
        <v>638</v>
      </c>
      <c r="L527" t="s">
        <v>22</v>
      </c>
      <c r="M527" t="s">
        <v>645</v>
      </c>
      <c r="N527" t="s">
        <v>24</v>
      </c>
      <c r="O527" t="s">
        <v>32</v>
      </c>
      <c r="P527" t="s">
        <v>33</v>
      </c>
      <c r="Q527" t="s">
        <v>665</v>
      </c>
      <c r="R527" s="9">
        <v>300000</v>
      </c>
      <c r="S527" t="s">
        <v>27</v>
      </c>
    </row>
    <row r="528" spans="1:19" x14ac:dyDescent="0.25">
      <c r="A528" t="s">
        <v>610</v>
      </c>
      <c r="B528" t="s">
        <v>618</v>
      </c>
      <c r="C528" s="2" t="s">
        <v>165</v>
      </c>
      <c r="D528" t="s">
        <v>15</v>
      </c>
      <c r="E528" t="s">
        <v>643</v>
      </c>
      <c r="F528" t="s">
        <v>17</v>
      </c>
      <c r="G528" t="s">
        <v>31</v>
      </c>
      <c r="H528" t="str">
        <f t="shared" si="8"/>
        <v>14.005.08.122.0018.2.011.3.3.90.39.00</v>
      </c>
      <c r="I528" t="s">
        <v>612</v>
      </c>
      <c r="J528" t="s">
        <v>619</v>
      </c>
      <c r="K528" t="s">
        <v>638</v>
      </c>
      <c r="L528" t="s">
        <v>22</v>
      </c>
      <c r="M528" t="s">
        <v>645</v>
      </c>
      <c r="N528" t="s">
        <v>24</v>
      </c>
      <c r="O528" t="s">
        <v>32</v>
      </c>
      <c r="P528" t="s">
        <v>105</v>
      </c>
      <c r="Q528" t="s">
        <v>666</v>
      </c>
      <c r="R528" s="9">
        <v>50000</v>
      </c>
      <c r="S528" t="s">
        <v>27</v>
      </c>
    </row>
    <row r="529" spans="1:19" x14ac:dyDescent="0.25">
      <c r="A529" t="s">
        <v>610</v>
      </c>
      <c r="B529" t="s">
        <v>618</v>
      </c>
      <c r="C529" s="2" t="s">
        <v>165</v>
      </c>
      <c r="D529" t="s">
        <v>611</v>
      </c>
      <c r="E529" t="s">
        <v>643</v>
      </c>
      <c r="F529" t="s">
        <v>644</v>
      </c>
      <c r="G529" t="s">
        <v>18</v>
      </c>
      <c r="H529" t="str">
        <f t="shared" si="8"/>
        <v>14.005.08.245.0018.2.015.3.3.90.30.00</v>
      </c>
      <c r="I529" t="s">
        <v>612</v>
      </c>
      <c r="J529" t="s">
        <v>619</v>
      </c>
      <c r="K529" t="s">
        <v>638</v>
      </c>
      <c r="L529" t="s">
        <v>614</v>
      </c>
      <c r="M529" t="s">
        <v>645</v>
      </c>
      <c r="N529" t="s">
        <v>646</v>
      </c>
      <c r="O529" t="s">
        <v>25</v>
      </c>
      <c r="P529" t="s">
        <v>49</v>
      </c>
      <c r="Q529" t="s">
        <v>667</v>
      </c>
      <c r="R529" s="9">
        <v>560000</v>
      </c>
      <c r="S529" t="s">
        <v>27</v>
      </c>
    </row>
    <row r="530" spans="1:19" x14ac:dyDescent="0.25">
      <c r="A530" t="s">
        <v>610</v>
      </c>
      <c r="B530" t="s">
        <v>618</v>
      </c>
      <c r="C530" s="2" t="s">
        <v>165</v>
      </c>
      <c r="D530" t="s">
        <v>611</v>
      </c>
      <c r="E530" t="s">
        <v>643</v>
      </c>
      <c r="F530" t="s">
        <v>644</v>
      </c>
      <c r="G530" t="s">
        <v>18</v>
      </c>
      <c r="H530" t="str">
        <f t="shared" si="8"/>
        <v>14.005.08.245.0018.2.015.3.3.90.30.00</v>
      </c>
      <c r="I530" t="s">
        <v>612</v>
      </c>
      <c r="J530" t="s">
        <v>619</v>
      </c>
      <c r="K530" t="s">
        <v>638</v>
      </c>
      <c r="L530" t="s">
        <v>614</v>
      </c>
      <c r="M530" t="s">
        <v>645</v>
      </c>
      <c r="N530" t="s">
        <v>646</v>
      </c>
      <c r="O530" t="s">
        <v>25</v>
      </c>
      <c r="P530" t="s">
        <v>29</v>
      </c>
      <c r="Q530" t="s">
        <v>667</v>
      </c>
      <c r="R530" s="9">
        <v>710000</v>
      </c>
      <c r="S530" t="s">
        <v>27</v>
      </c>
    </row>
    <row r="531" spans="1:19" x14ac:dyDescent="0.25">
      <c r="A531" t="s">
        <v>610</v>
      </c>
      <c r="B531" t="s">
        <v>618</v>
      </c>
      <c r="C531" s="2" t="s">
        <v>165</v>
      </c>
      <c r="D531" t="s">
        <v>611</v>
      </c>
      <c r="E531" t="s">
        <v>643</v>
      </c>
      <c r="F531" t="s">
        <v>644</v>
      </c>
      <c r="G531" t="s">
        <v>18</v>
      </c>
      <c r="H531" t="str">
        <f t="shared" si="8"/>
        <v>14.005.08.245.0018.2.015.3.3.90.30.00</v>
      </c>
      <c r="I531" t="s">
        <v>612</v>
      </c>
      <c r="J531" t="s">
        <v>619</v>
      </c>
      <c r="K531" t="s">
        <v>638</v>
      </c>
      <c r="L531" t="s">
        <v>614</v>
      </c>
      <c r="M531" t="s">
        <v>645</v>
      </c>
      <c r="N531" t="s">
        <v>646</v>
      </c>
      <c r="O531" t="s">
        <v>25</v>
      </c>
      <c r="P531" t="s">
        <v>30</v>
      </c>
      <c r="Q531" t="s">
        <v>668</v>
      </c>
      <c r="R531" s="9">
        <v>53000</v>
      </c>
      <c r="S531" t="s">
        <v>27</v>
      </c>
    </row>
    <row r="532" spans="1:19" x14ac:dyDescent="0.25">
      <c r="A532" t="s">
        <v>610</v>
      </c>
      <c r="B532" t="s">
        <v>618</v>
      </c>
      <c r="C532" s="2" t="s">
        <v>165</v>
      </c>
      <c r="D532" t="s">
        <v>611</v>
      </c>
      <c r="E532" t="s">
        <v>643</v>
      </c>
      <c r="F532" t="s">
        <v>644</v>
      </c>
      <c r="G532" t="s">
        <v>18</v>
      </c>
      <c r="H532" t="str">
        <f t="shared" si="8"/>
        <v>14.005.08.245.0018.2.015.3.3.90.30.00</v>
      </c>
      <c r="I532" t="s">
        <v>612</v>
      </c>
      <c r="J532" t="s">
        <v>619</v>
      </c>
      <c r="K532" t="s">
        <v>638</v>
      </c>
      <c r="L532" t="s">
        <v>614</v>
      </c>
      <c r="M532" t="s">
        <v>645</v>
      </c>
      <c r="N532" t="s">
        <v>646</v>
      </c>
      <c r="O532" t="s">
        <v>25</v>
      </c>
      <c r="P532" t="s">
        <v>235</v>
      </c>
      <c r="Q532" t="s">
        <v>669</v>
      </c>
      <c r="R532" s="9">
        <v>50000</v>
      </c>
      <c r="S532" t="s">
        <v>27</v>
      </c>
    </row>
    <row r="533" spans="1:19" x14ac:dyDescent="0.25">
      <c r="A533" t="s">
        <v>610</v>
      </c>
      <c r="B533" t="s">
        <v>618</v>
      </c>
      <c r="C533" s="2" t="s">
        <v>165</v>
      </c>
      <c r="D533" t="s">
        <v>611</v>
      </c>
      <c r="E533" t="s">
        <v>643</v>
      </c>
      <c r="F533" t="s">
        <v>644</v>
      </c>
      <c r="G533" t="s">
        <v>18</v>
      </c>
      <c r="H533" t="str">
        <f t="shared" si="8"/>
        <v>14.005.08.245.0018.2.015.3.3.90.30.00</v>
      </c>
      <c r="I533" t="s">
        <v>612</v>
      </c>
      <c r="J533" t="s">
        <v>619</v>
      </c>
      <c r="K533" t="s">
        <v>638</v>
      </c>
      <c r="L533" t="s">
        <v>614</v>
      </c>
      <c r="M533" t="s">
        <v>645</v>
      </c>
      <c r="N533" t="s">
        <v>646</v>
      </c>
      <c r="O533" t="s">
        <v>25</v>
      </c>
      <c r="P533" t="s">
        <v>159</v>
      </c>
      <c r="Q533" t="s">
        <v>670</v>
      </c>
      <c r="R533" s="9">
        <v>330000</v>
      </c>
      <c r="S533" t="s">
        <v>27</v>
      </c>
    </row>
    <row r="534" spans="1:19" x14ac:dyDescent="0.25">
      <c r="A534" t="s">
        <v>610</v>
      </c>
      <c r="B534" t="s">
        <v>618</v>
      </c>
      <c r="C534" s="2" t="s">
        <v>165</v>
      </c>
      <c r="D534" t="s">
        <v>611</v>
      </c>
      <c r="E534" t="s">
        <v>643</v>
      </c>
      <c r="F534" t="s">
        <v>644</v>
      </c>
      <c r="G534" t="s">
        <v>31</v>
      </c>
      <c r="H534" t="str">
        <f t="shared" si="8"/>
        <v>14.005.08.245.0018.2.015.3.3.90.39.00</v>
      </c>
      <c r="I534" t="s">
        <v>612</v>
      </c>
      <c r="J534" t="s">
        <v>619</v>
      </c>
      <c r="K534" t="s">
        <v>638</v>
      </c>
      <c r="L534" t="s">
        <v>614</v>
      </c>
      <c r="M534" t="s">
        <v>645</v>
      </c>
      <c r="N534" t="s">
        <v>646</v>
      </c>
      <c r="O534" t="s">
        <v>32</v>
      </c>
      <c r="P534" t="s">
        <v>114</v>
      </c>
      <c r="Q534" t="s">
        <v>95</v>
      </c>
      <c r="R534" s="9">
        <v>250000</v>
      </c>
      <c r="S534" t="s">
        <v>27</v>
      </c>
    </row>
    <row r="535" spans="1:19" x14ac:dyDescent="0.25">
      <c r="A535" t="s">
        <v>610</v>
      </c>
      <c r="B535" t="s">
        <v>618</v>
      </c>
      <c r="C535" s="2" t="s">
        <v>165</v>
      </c>
      <c r="D535" t="s">
        <v>611</v>
      </c>
      <c r="E535" t="s">
        <v>643</v>
      </c>
      <c r="F535" t="s">
        <v>644</v>
      </c>
      <c r="G535" t="s">
        <v>31</v>
      </c>
      <c r="H535" t="str">
        <f t="shared" si="8"/>
        <v>14.005.08.245.0018.2.015.3.3.90.39.00</v>
      </c>
      <c r="I535" t="s">
        <v>612</v>
      </c>
      <c r="J535" t="s">
        <v>619</v>
      </c>
      <c r="K535" t="s">
        <v>638</v>
      </c>
      <c r="L535" t="s">
        <v>614</v>
      </c>
      <c r="M535" t="s">
        <v>645</v>
      </c>
      <c r="N535" t="s">
        <v>646</v>
      </c>
      <c r="O535" t="s">
        <v>32</v>
      </c>
      <c r="P535" t="s">
        <v>93</v>
      </c>
      <c r="Q535" t="s">
        <v>671</v>
      </c>
      <c r="R535" s="9">
        <v>400000</v>
      </c>
      <c r="S535" t="s">
        <v>27</v>
      </c>
    </row>
    <row r="536" spans="1:19" x14ac:dyDescent="0.25">
      <c r="A536" t="s">
        <v>610</v>
      </c>
      <c r="B536" t="s">
        <v>618</v>
      </c>
      <c r="C536" s="2" t="s">
        <v>165</v>
      </c>
      <c r="D536" t="s">
        <v>611</v>
      </c>
      <c r="E536" t="s">
        <v>643</v>
      </c>
      <c r="F536" t="s">
        <v>644</v>
      </c>
      <c r="G536" t="s">
        <v>31</v>
      </c>
      <c r="H536" t="str">
        <f t="shared" si="8"/>
        <v>14.005.08.245.0018.2.015.3.3.90.39.00</v>
      </c>
      <c r="I536" t="s">
        <v>612</v>
      </c>
      <c r="J536" t="s">
        <v>619</v>
      </c>
      <c r="K536" t="s">
        <v>638</v>
      </c>
      <c r="L536" t="s">
        <v>614</v>
      </c>
      <c r="M536" t="s">
        <v>645</v>
      </c>
      <c r="N536" t="s">
        <v>646</v>
      </c>
      <c r="O536" t="s">
        <v>32</v>
      </c>
      <c r="P536" t="s">
        <v>93</v>
      </c>
      <c r="Q536" t="s">
        <v>672</v>
      </c>
      <c r="R536" s="9">
        <v>300000</v>
      </c>
      <c r="S536" t="s">
        <v>27</v>
      </c>
    </row>
    <row r="537" spans="1:19" x14ac:dyDescent="0.25">
      <c r="A537" t="s">
        <v>610</v>
      </c>
      <c r="B537" t="s">
        <v>618</v>
      </c>
      <c r="C537" s="2" t="s">
        <v>165</v>
      </c>
      <c r="D537" t="s">
        <v>611</v>
      </c>
      <c r="E537" t="s">
        <v>643</v>
      </c>
      <c r="F537" t="s">
        <v>644</v>
      </c>
      <c r="G537" t="s">
        <v>69</v>
      </c>
      <c r="H537" t="str">
        <f t="shared" si="8"/>
        <v>14.005.08.245.0018.2.015.3.3.90.93.00</v>
      </c>
      <c r="I537" t="s">
        <v>612</v>
      </c>
      <c r="J537" t="s">
        <v>619</v>
      </c>
      <c r="K537" t="s">
        <v>638</v>
      </c>
      <c r="L537" t="s">
        <v>614</v>
      </c>
      <c r="M537" t="s">
        <v>645</v>
      </c>
      <c r="N537" t="s">
        <v>646</v>
      </c>
      <c r="O537" t="s">
        <v>70</v>
      </c>
      <c r="P537" t="s">
        <v>46</v>
      </c>
      <c r="Q537" t="s">
        <v>673</v>
      </c>
      <c r="R537" s="9">
        <v>20000</v>
      </c>
      <c r="S537" t="s">
        <v>27</v>
      </c>
    </row>
    <row r="538" spans="1:19" x14ac:dyDescent="0.25">
      <c r="A538" t="s">
        <v>610</v>
      </c>
      <c r="B538" t="s">
        <v>618</v>
      </c>
      <c r="C538" s="2" t="s">
        <v>165</v>
      </c>
      <c r="D538" t="s">
        <v>611</v>
      </c>
      <c r="E538" t="s">
        <v>643</v>
      </c>
      <c r="F538" t="s">
        <v>644</v>
      </c>
      <c r="G538" t="s">
        <v>80</v>
      </c>
      <c r="H538" t="str">
        <f t="shared" si="8"/>
        <v>14.005.08.245.0018.2.015.4.4.90.52.00</v>
      </c>
      <c r="I538" t="s">
        <v>612</v>
      </c>
      <c r="J538" t="s">
        <v>619</v>
      </c>
      <c r="K538" t="s">
        <v>638</v>
      </c>
      <c r="L538" t="s">
        <v>614</v>
      </c>
      <c r="M538" t="s">
        <v>645</v>
      </c>
      <c r="N538" t="s">
        <v>646</v>
      </c>
      <c r="O538" t="s">
        <v>81</v>
      </c>
      <c r="P538" t="s">
        <v>224</v>
      </c>
      <c r="Q538" t="s">
        <v>674</v>
      </c>
      <c r="R538" s="9">
        <v>149000</v>
      </c>
      <c r="S538" t="s">
        <v>27</v>
      </c>
    </row>
    <row r="539" spans="1:19" x14ac:dyDescent="0.25">
      <c r="A539" t="s">
        <v>610</v>
      </c>
      <c r="B539" t="s">
        <v>618</v>
      </c>
      <c r="C539" s="2" t="s">
        <v>165</v>
      </c>
      <c r="D539" t="s">
        <v>611</v>
      </c>
      <c r="E539" t="s">
        <v>643</v>
      </c>
      <c r="F539" t="s">
        <v>648</v>
      </c>
      <c r="G539" t="s">
        <v>80</v>
      </c>
      <c r="H539" t="str">
        <f t="shared" si="8"/>
        <v>14.005.08.245.0018.2.016.4.4.90.52.00</v>
      </c>
      <c r="I539" t="s">
        <v>612</v>
      </c>
      <c r="J539" t="s">
        <v>619</v>
      </c>
      <c r="K539" t="s">
        <v>638</v>
      </c>
      <c r="L539" t="s">
        <v>614</v>
      </c>
      <c r="M539" t="s">
        <v>645</v>
      </c>
      <c r="N539" t="s">
        <v>649</v>
      </c>
      <c r="O539" t="s">
        <v>81</v>
      </c>
      <c r="P539" t="s">
        <v>224</v>
      </c>
      <c r="Q539" t="s">
        <v>674</v>
      </c>
      <c r="R539" s="9">
        <v>300000</v>
      </c>
      <c r="S539" t="s">
        <v>27</v>
      </c>
    </row>
    <row r="540" spans="1:19" x14ac:dyDescent="0.25">
      <c r="A540" t="s">
        <v>610</v>
      </c>
      <c r="B540" t="s">
        <v>618</v>
      </c>
      <c r="C540" s="2" t="s">
        <v>165</v>
      </c>
      <c r="D540" t="s">
        <v>611</v>
      </c>
      <c r="E540" t="s">
        <v>643</v>
      </c>
      <c r="F540" t="s">
        <v>648</v>
      </c>
      <c r="G540" t="s">
        <v>18</v>
      </c>
      <c r="H540" t="str">
        <f t="shared" si="8"/>
        <v>14.005.08.245.0018.2.016.3.3.90.30.00</v>
      </c>
      <c r="I540" t="s">
        <v>612</v>
      </c>
      <c r="J540" t="s">
        <v>619</v>
      </c>
      <c r="K540" t="s">
        <v>638</v>
      </c>
      <c r="L540" t="s">
        <v>614</v>
      </c>
      <c r="M540" t="s">
        <v>645</v>
      </c>
      <c r="N540" t="s">
        <v>649</v>
      </c>
      <c r="O540" t="s">
        <v>25</v>
      </c>
      <c r="Q540" t="s">
        <v>673</v>
      </c>
      <c r="R540" s="9">
        <v>20000</v>
      </c>
      <c r="S540" t="s">
        <v>27</v>
      </c>
    </row>
    <row r="541" spans="1:19" x14ac:dyDescent="0.25">
      <c r="A541" t="s">
        <v>610</v>
      </c>
      <c r="B541" t="s">
        <v>618</v>
      </c>
      <c r="C541" s="2" t="s">
        <v>165</v>
      </c>
      <c r="D541" t="s">
        <v>611</v>
      </c>
      <c r="E541" t="s">
        <v>643</v>
      </c>
      <c r="F541" t="s">
        <v>648</v>
      </c>
      <c r="G541" t="s">
        <v>18</v>
      </c>
      <c r="H541" t="str">
        <f t="shared" si="8"/>
        <v>14.005.08.245.0018.2.016.3.3.90.30.00</v>
      </c>
      <c r="I541" t="s">
        <v>612</v>
      </c>
      <c r="J541" t="s">
        <v>619</v>
      </c>
      <c r="K541" t="s">
        <v>638</v>
      </c>
      <c r="L541" t="s">
        <v>614</v>
      </c>
      <c r="M541" t="s">
        <v>645</v>
      </c>
      <c r="N541" t="s">
        <v>649</v>
      </c>
      <c r="O541" t="s">
        <v>25</v>
      </c>
      <c r="P541" t="s">
        <v>49</v>
      </c>
      <c r="Q541" t="s">
        <v>667</v>
      </c>
      <c r="R541" s="9">
        <v>3100000</v>
      </c>
      <c r="S541" t="s">
        <v>27</v>
      </c>
    </row>
    <row r="542" spans="1:19" x14ac:dyDescent="0.25">
      <c r="A542" t="s">
        <v>610</v>
      </c>
      <c r="B542" t="s">
        <v>618</v>
      </c>
      <c r="C542" s="2" t="s">
        <v>165</v>
      </c>
      <c r="D542" t="s">
        <v>611</v>
      </c>
      <c r="E542" t="s">
        <v>643</v>
      </c>
      <c r="F542" t="s">
        <v>648</v>
      </c>
      <c r="G542" t="s">
        <v>18</v>
      </c>
      <c r="H542" t="str">
        <f t="shared" si="8"/>
        <v>14.005.08.245.0018.2.016.3.3.90.30.00</v>
      </c>
      <c r="I542" t="s">
        <v>612</v>
      </c>
      <c r="J542" t="s">
        <v>619</v>
      </c>
      <c r="K542" t="s">
        <v>638</v>
      </c>
      <c r="L542" t="s">
        <v>614</v>
      </c>
      <c r="M542" t="s">
        <v>645</v>
      </c>
      <c r="N542" t="s">
        <v>649</v>
      </c>
      <c r="O542" t="s">
        <v>25</v>
      </c>
      <c r="P542" t="s">
        <v>29</v>
      </c>
      <c r="Q542" t="s">
        <v>667</v>
      </c>
      <c r="R542" s="9">
        <v>450000</v>
      </c>
      <c r="S542" t="s">
        <v>27</v>
      </c>
    </row>
    <row r="543" spans="1:19" x14ac:dyDescent="0.25">
      <c r="A543" t="s">
        <v>610</v>
      </c>
      <c r="B543" t="s">
        <v>618</v>
      </c>
      <c r="C543" s="2" t="s">
        <v>165</v>
      </c>
      <c r="D543" t="s">
        <v>611</v>
      </c>
      <c r="E543" t="s">
        <v>643</v>
      </c>
      <c r="F543" t="s">
        <v>648</v>
      </c>
      <c r="G543" t="s">
        <v>18</v>
      </c>
      <c r="H543" t="str">
        <f t="shared" si="8"/>
        <v>14.005.08.245.0018.2.016.3.3.90.30.00</v>
      </c>
      <c r="I543" t="s">
        <v>612</v>
      </c>
      <c r="J543" t="s">
        <v>619</v>
      </c>
      <c r="K543" t="s">
        <v>638</v>
      </c>
      <c r="L543" t="s">
        <v>614</v>
      </c>
      <c r="M543" t="s">
        <v>645</v>
      </c>
      <c r="N543" t="s">
        <v>649</v>
      </c>
      <c r="O543" t="s">
        <v>25</v>
      </c>
      <c r="P543" t="s">
        <v>30</v>
      </c>
      <c r="Q543" t="s">
        <v>668</v>
      </c>
      <c r="R543" s="9">
        <v>53000</v>
      </c>
      <c r="S543" t="s">
        <v>27</v>
      </c>
    </row>
    <row r="544" spans="1:19" x14ac:dyDescent="0.25">
      <c r="A544" t="s">
        <v>610</v>
      </c>
      <c r="B544" t="s">
        <v>618</v>
      </c>
      <c r="C544" s="2" t="s">
        <v>165</v>
      </c>
      <c r="D544" t="s">
        <v>611</v>
      </c>
      <c r="E544" t="s">
        <v>643</v>
      </c>
      <c r="F544" t="s">
        <v>648</v>
      </c>
      <c r="G544" t="s">
        <v>18</v>
      </c>
      <c r="H544" t="str">
        <f t="shared" si="8"/>
        <v>14.005.08.245.0018.2.016.3.3.90.30.00</v>
      </c>
      <c r="I544" t="s">
        <v>612</v>
      </c>
      <c r="J544" t="s">
        <v>619</v>
      </c>
      <c r="K544" t="s">
        <v>638</v>
      </c>
      <c r="L544" t="s">
        <v>614</v>
      </c>
      <c r="M544" t="s">
        <v>645</v>
      </c>
      <c r="N544" t="s">
        <v>649</v>
      </c>
      <c r="O544" t="s">
        <v>25</v>
      </c>
      <c r="P544" t="s">
        <v>235</v>
      </c>
      <c r="Q544" t="s">
        <v>669</v>
      </c>
      <c r="R544" s="9">
        <v>170000</v>
      </c>
      <c r="S544" t="s">
        <v>27</v>
      </c>
    </row>
    <row r="545" spans="1:19" x14ac:dyDescent="0.25">
      <c r="A545" t="s">
        <v>610</v>
      </c>
      <c r="B545" t="s">
        <v>618</v>
      </c>
      <c r="C545" s="2" t="s">
        <v>165</v>
      </c>
      <c r="D545" t="s">
        <v>611</v>
      </c>
      <c r="E545" t="s">
        <v>643</v>
      </c>
      <c r="F545" t="s">
        <v>648</v>
      </c>
      <c r="G545" t="s">
        <v>18</v>
      </c>
      <c r="H545" t="str">
        <f t="shared" si="8"/>
        <v>14.005.08.245.0018.2.016.3.3.90.30.00</v>
      </c>
      <c r="I545" t="s">
        <v>612</v>
      </c>
      <c r="J545" t="s">
        <v>619</v>
      </c>
      <c r="K545" t="s">
        <v>638</v>
      </c>
      <c r="L545" t="s">
        <v>614</v>
      </c>
      <c r="M545" t="s">
        <v>645</v>
      </c>
      <c r="N545" t="s">
        <v>649</v>
      </c>
      <c r="O545" t="s">
        <v>25</v>
      </c>
      <c r="P545" t="s">
        <v>159</v>
      </c>
      <c r="Q545" t="s">
        <v>670</v>
      </c>
      <c r="R545" s="9">
        <v>330000</v>
      </c>
      <c r="S545" t="s">
        <v>27</v>
      </c>
    </row>
    <row r="546" spans="1:19" x14ac:dyDescent="0.25">
      <c r="A546" t="s">
        <v>610</v>
      </c>
      <c r="B546" t="s">
        <v>618</v>
      </c>
      <c r="C546" s="2" t="s">
        <v>165</v>
      </c>
      <c r="D546" t="s">
        <v>611</v>
      </c>
      <c r="E546" t="s">
        <v>643</v>
      </c>
      <c r="F546" t="s">
        <v>648</v>
      </c>
      <c r="G546" t="s">
        <v>31</v>
      </c>
      <c r="H546" t="str">
        <f t="shared" si="8"/>
        <v>14.005.08.245.0018.2.016.3.3.90.39.00</v>
      </c>
      <c r="I546" t="s">
        <v>612</v>
      </c>
      <c r="J546" t="s">
        <v>619</v>
      </c>
      <c r="K546" t="s">
        <v>638</v>
      </c>
      <c r="L546" t="s">
        <v>614</v>
      </c>
      <c r="M546" t="s">
        <v>645</v>
      </c>
      <c r="N546" t="s">
        <v>649</v>
      </c>
      <c r="O546" t="s">
        <v>32</v>
      </c>
      <c r="P546" t="s">
        <v>114</v>
      </c>
      <c r="Q546" t="s">
        <v>95</v>
      </c>
      <c r="R546" s="9">
        <v>250000</v>
      </c>
      <c r="S546" t="s">
        <v>27</v>
      </c>
    </row>
    <row r="547" spans="1:19" x14ac:dyDescent="0.25">
      <c r="A547" t="s">
        <v>610</v>
      </c>
      <c r="B547" t="s">
        <v>618</v>
      </c>
      <c r="C547" s="2" t="s">
        <v>165</v>
      </c>
      <c r="D547" t="s">
        <v>611</v>
      </c>
      <c r="E547" t="s">
        <v>643</v>
      </c>
      <c r="F547" t="s">
        <v>648</v>
      </c>
      <c r="G547" t="s">
        <v>31</v>
      </c>
      <c r="H547" t="str">
        <f t="shared" si="8"/>
        <v>14.005.08.245.0018.2.016.3.3.90.39.00</v>
      </c>
      <c r="I547" t="s">
        <v>612</v>
      </c>
      <c r="J547" t="s">
        <v>619</v>
      </c>
      <c r="K547" t="s">
        <v>638</v>
      </c>
      <c r="L547" t="s">
        <v>614</v>
      </c>
      <c r="M547" t="s">
        <v>645</v>
      </c>
      <c r="N547" t="s">
        <v>649</v>
      </c>
      <c r="O547" t="s">
        <v>32</v>
      </c>
      <c r="P547" t="s">
        <v>93</v>
      </c>
      <c r="Q547" t="s">
        <v>671</v>
      </c>
      <c r="R547" s="9">
        <v>110000</v>
      </c>
      <c r="S547" t="s">
        <v>27</v>
      </c>
    </row>
    <row r="548" spans="1:19" x14ac:dyDescent="0.25">
      <c r="A548" t="s">
        <v>610</v>
      </c>
      <c r="B548" t="s">
        <v>618</v>
      </c>
      <c r="C548" s="2" t="s">
        <v>165</v>
      </c>
      <c r="D548" t="s">
        <v>611</v>
      </c>
      <c r="E548" t="s">
        <v>643</v>
      </c>
      <c r="F548" t="s">
        <v>648</v>
      </c>
      <c r="G548" t="s">
        <v>31</v>
      </c>
      <c r="H548" t="str">
        <f t="shared" si="8"/>
        <v>14.005.08.245.0018.2.016.3.3.90.39.00</v>
      </c>
      <c r="I548" t="s">
        <v>612</v>
      </c>
      <c r="J548" t="s">
        <v>619</v>
      </c>
      <c r="K548" t="s">
        <v>638</v>
      </c>
      <c r="L548" t="s">
        <v>614</v>
      </c>
      <c r="M548" t="s">
        <v>645</v>
      </c>
      <c r="N548" t="s">
        <v>649</v>
      </c>
      <c r="O548" t="s">
        <v>32</v>
      </c>
      <c r="P548" t="s">
        <v>93</v>
      </c>
      <c r="Q548" t="s">
        <v>672</v>
      </c>
      <c r="R548" s="9">
        <v>120000</v>
      </c>
      <c r="S548" t="s">
        <v>27</v>
      </c>
    </row>
    <row r="549" spans="1:19" x14ac:dyDescent="0.25">
      <c r="A549" t="s">
        <v>610</v>
      </c>
      <c r="B549" t="s">
        <v>618</v>
      </c>
      <c r="C549" s="2" t="s">
        <v>165</v>
      </c>
      <c r="D549" t="s">
        <v>611</v>
      </c>
      <c r="E549" t="s">
        <v>643</v>
      </c>
      <c r="F549" t="s">
        <v>648</v>
      </c>
      <c r="G549" t="s">
        <v>31</v>
      </c>
      <c r="H549" t="str">
        <f t="shared" si="8"/>
        <v>14.005.08.245.0018.2.016.3.3.90.39.00</v>
      </c>
      <c r="I549" t="s">
        <v>612</v>
      </c>
      <c r="J549" t="s">
        <v>619</v>
      </c>
      <c r="K549" t="s">
        <v>638</v>
      </c>
      <c r="L549" t="s">
        <v>614</v>
      </c>
      <c r="M549" t="s">
        <v>645</v>
      </c>
      <c r="N549" t="s">
        <v>649</v>
      </c>
      <c r="O549" t="s">
        <v>32</v>
      </c>
      <c r="P549" t="s">
        <v>65</v>
      </c>
      <c r="Q549" t="s">
        <v>675</v>
      </c>
      <c r="R549" s="9">
        <v>20000</v>
      </c>
      <c r="S549" t="s">
        <v>27</v>
      </c>
    </row>
    <row r="550" spans="1:19" x14ac:dyDescent="0.25">
      <c r="A550" t="s">
        <v>610</v>
      </c>
      <c r="B550" t="s">
        <v>618</v>
      </c>
      <c r="C550" s="2" t="s">
        <v>165</v>
      </c>
      <c r="D550" t="s">
        <v>611</v>
      </c>
      <c r="E550" t="s">
        <v>643</v>
      </c>
      <c r="F550" t="s">
        <v>644</v>
      </c>
      <c r="G550" t="s">
        <v>31</v>
      </c>
      <c r="H550" t="str">
        <f t="shared" si="8"/>
        <v>14.005.08.245.0018.2.015.3.3.90.39.00</v>
      </c>
      <c r="I550" t="s">
        <v>612</v>
      </c>
      <c r="J550" t="s">
        <v>619</v>
      </c>
      <c r="K550" t="s">
        <v>638</v>
      </c>
      <c r="L550" t="s">
        <v>614</v>
      </c>
      <c r="M550" t="s">
        <v>645</v>
      </c>
      <c r="N550" t="s">
        <v>646</v>
      </c>
      <c r="O550" t="s">
        <v>32</v>
      </c>
      <c r="P550" t="s">
        <v>65</v>
      </c>
      <c r="Q550" t="s">
        <v>675</v>
      </c>
      <c r="R550" s="9">
        <v>20000</v>
      </c>
      <c r="S550" t="s">
        <v>27</v>
      </c>
    </row>
    <row r="551" spans="1:19" x14ac:dyDescent="0.25">
      <c r="A551" t="s">
        <v>610</v>
      </c>
      <c r="B551" t="s">
        <v>618</v>
      </c>
      <c r="C551" s="2" t="s">
        <v>165</v>
      </c>
      <c r="D551" t="s">
        <v>611</v>
      </c>
      <c r="E551" t="s">
        <v>643</v>
      </c>
      <c r="F551" t="s">
        <v>17</v>
      </c>
      <c r="G551" t="s">
        <v>31</v>
      </c>
      <c r="H551" t="str">
        <f t="shared" si="8"/>
        <v>14.005.08.245.0018.2.011.3.3.90.39.00</v>
      </c>
      <c r="I551" t="s">
        <v>612</v>
      </c>
      <c r="J551" t="s">
        <v>619</v>
      </c>
      <c r="K551" t="s">
        <v>638</v>
      </c>
      <c r="L551" t="s">
        <v>614</v>
      </c>
      <c r="M551" t="s">
        <v>645</v>
      </c>
      <c r="N551" t="s">
        <v>24</v>
      </c>
      <c r="O551" t="s">
        <v>32</v>
      </c>
      <c r="P551" t="s">
        <v>65</v>
      </c>
      <c r="Q551" t="s">
        <v>676</v>
      </c>
      <c r="R551" s="9">
        <v>20000</v>
      </c>
      <c r="S551" t="s">
        <v>27</v>
      </c>
    </row>
    <row r="552" spans="1:19" x14ac:dyDescent="0.25">
      <c r="A552" t="s">
        <v>610</v>
      </c>
      <c r="B552" t="s">
        <v>618</v>
      </c>
      <c r="C552" s="2" t="s">
        <v>165</v>
      </c>
      <c r="D552" t="s">
        <v>611</v>
      </c>
      <c r="E552" t="s">
        <v>643</v>
      </c>
      <c r="F552" t="s">
        <v>648</v>
      </c>
      <c r="G552" t="s">
        <v>131</v>
      </c>
      <c r="H552" t="str">
        <f t="shared" si="8"/>
        <v>14.005.08.245.0018.2.016.3.3.90.36.00</v>
      </c>
      <c r="I552" t="s">
        <v>612</v>
      </c>
      <c r="J552" t="s">
        <v>619</v>
      </c>
      <c r="K552" t="s">
        <v>638</v>
      </c>
      <c r="L552" t="s">
        <v>614</v>
      </c>
      <c r="M552" t="s">
        <v>645</v>
      </c>
      <c r="N552" t="s">
        <v>649</v>
      </c>
      <c r="O552" t="s">
        <v>132</v>
      </c>
      <c r="P552" t="s">
        <v>65</v>
      </c>
      <c r="R552" s="9">
        <v>0</v>
      </c>
      <c r="S552" t="s">
        <v>27</v>
      </c>
    </row>
    <row r="553" spans="1:19" x14ac:dyDescent="0.25">
      <c r="A553" t="s">
        <v>610</v>
      </c>
      <c r="B553" t="s">
        <v>618</v>
      </c>
      <c r="C553" s="2" t="s">
        <v>165</v>
      </c>
      <c r="D553" t="s">
        <v>611</v>
      </c>
      <c r="E553" t="s">
        <v>643</v>
      </c>
      <c r="F553" t="s">
        <v>648</v>
      </c>
      <c r="G553" t="s">
        <v>69</v>
      </c>
      <c r="H553" t="str">
        <f t="shared" si="8"/>
        <v>14.005.08.245.0018.2.016.3.3.90.93.00</v>
      </c>
      <c r="I553" t="s">
        <v>612</v>
      </c>
      <c r="J553" t="s">
        <v>619</v>
      </c>
      <c r="K553" t="s">
        <v>638</v>
      </c>
      <c r="L553" t="s">
        <v>614</v>
      </c>
      <c r="M553" t="s">
        <v>645</v>
      </c>
      <c r="N553" t="s">
        <v>649</v>
      </c>
      <c r="O553" t="s">
        <v>70</v>
      </c>
      <c r="P553" t="s">
        <v>46</v>
      </c>
      <c r="Q553" t="s">
        <v>673</v>
      </c>
      <c r="R553" s="9">
        <v>20000</v>
      </c>
      <c r="S553" t="s">
        <v>27</v>
      </c>
    </row>
    <row r="554" spans="1:19" x14ac:dyDescent="0.25">
      <c r="A554" t="s">
        <v>610</v>
      </c>
      <c r="B554" t="s">
        <v>618</v>
      </c>
      <c r="C554" s="2" t="s">
        <v>165</v>
      </c>
      <c r="D554" t="s">
        <v>635</v>
      </c>
      <c r="E554" t="s">
        <v>643</v>
      </c>
      <c r="F554" t="s">
        <v>637</v>
      </c>
      <c r="G554" t="s">
        <v>18</v>
      </c>
      <c r="H554" t="str">
        <f t="shared" si="8"/>
        <v>14.005.08.246.0018.2.024.3.3.90.30.00</v>
      </c>
      <c r="I554" t="s">
        <v>612</v>
      </c>
      <c r="J554" t="s">
        <v>619</v>
      </c>
      <c r="K554" t="s">
        <v>638</v>
      </c>
      <c r="L554" t="s">
        <v>639</v>
      </c>
      <c r="M554" t="s">
        <v>645</v>
      </c>
      <c r="N554" t="s">
        <v>641</v>
      </c>
      <c r="O554" t="s">
        <v>25</v>
      </c>
      <c r="Q554" t="s">
        <v>677</v>
      </c>
      <c r="S554" t="s">
        <v>27</v>
      </c>
    </row>
    <row r="555" spans="1:19" x14ac:dyDescent="0.25">
      <c r="A555" t="s">
        <v>610</v>
      </c>
      <c r="B555" t="s">
        <v>618</v>
      </c>
      <c r="C555" s="2" t="s">
        <v>165</v>
      </c>
      <c r="D555" t="s">
        <v>635</v>
      </c>
      <c r="E555" t="s">
        <v>643</v>
      </c>
      <c r="F555" t="s">
        <v>637</v>
      </c>
      <c r="G555" t="s">
        <v>31</v>
      </c>
      <c r="H555" t="str">
        <f t="shared" si="8"/>
        <v>14.005.08.246.0018.2.024.3.3.90.39.00</v>
      </c>
      <c r="I555" t="s">
        <v>612</v>
      </c>
      <c r="J555" t="s">
        <v>619</v>
      </c>
      <c r="K555" t="s">
        <v>638</v>
      </c>
      <c r="L555" t="s">
        <v>639</v>
      </c>
      <c r="M555" t="s">
        <v>645</v>
      </c>
      <c r="N555" t="s">
        <v>641</v>
      </c>
      <c r="O555" t="s">
        <v>32</v>
      </c>
      <c r="Q555" t="s">
        <v>677</v>
      </c>
      <c r="S555" t="s">
        <v>27</v>
      </c>
    </row>
    <row r="556" spans="1:19" x14ac:dyDescent="0.25">
      <c r="A556" t="s">
        <v>610</v>
      </c>
      <c r="B556" t="s">
        <v>618</v>
      </c>
      <c r="C556" s="2" t="s">
        <v>165</v>
      </c>
      <c r="D556" t="s">
        <v>635</v>
      </c>
      <c r="E556" t="s">
        <v>643</v>
      </c>
      <c r="F556" t="s">
        <v>637</v>
      </c>
      <c r="G556" t="s">
        <v>80</v>
      </c>
      <c r="H556" t="str">
        <f t="shared" si="8"/>
        <v>14.005.08.246.0018.2.024.4.4.90.52.00</v>
      </c>
      <c r="I556" t="s">
        <v>612</v>
      </c>
      <c r="J556" t="s">
        <v>619</v>
      </c>
      <c r="K556" t="s">
        <v>638</v>
      </c>
      <c r="L556" t="s">
        <v>639</v>
      </c>
      <c r="M556" t="s">
        <v>645</v>
      </c>
      <c r="N556" t="s">
        <v>641</v>
      </c>
      <c r="O556" t="s">
        <v>81</v>
      </c>
      <c r="P556" t="s">
        <v>678</v>
      </c>
      <c r="Q556" t="s">
        <v>677</v>
      </c>
      <c r="S556" t="s">
        <v>27</v>
      </c>
    </row>
    <row r="557" spans="1:19" x14ac:dyDescent="0.25">
      <c r="A557" t="s">
        <v>610</v>
      </c>
      <c r="B557" t="s">
        <v>659</v>
      </c>
      <c r="C557" s="2" t="s">
        <v>165</v>
      </c>
      <c r="D557" t="s">
        <v>611</v>
      </c>
      <c r="E557" t="s">
        <v>643</v>
      </c>
      <c r="F557" t="s">
        <v>133</v>
      </c>
      <c r="G557" t="s">
        <v>18</v>
      </c>
      <c r="H557" t="str">
        <f t="shared" si="8"/>
        <v>14.007.08.245.0018.2.005.3.3.90.30.00</v>
      </c>
      <c r="I557" t="s">
        <v>612</v>
      </c>
      <c r="J557" t="s">
        <v>660</v>
      </c>
      <c r="K557" t="s">
        <v>638</v>
      </c>
      <c r="L557" t="s">
        <v>614</v>
      </c>
      <c r="M557" t="s">
        <v>645</v>
      </c>
      <c r="N557" t="s">
        <v>134</v>
      </c>
      <c r="O557" t="s">
        <v>25</v>
      </c>
      <c r="P557" t="s">
        <v>49</v>
      </c>
      <c r="Q557" t="s">
        <v>657</v>
      </c>
      <c r="R557" s="9">
        <v>30000</v>
      </c>
      <c r="S557" t="s">
        <v>27</v>
      </c>
    </row>
    <row r="558" spans="1:19" x14ac:dyDescent="0.25">
      <c r="A558" t="s">
        <v>610</v>
      </c>
      <c r="B558" t="s">
        <v>659</v>
      </c>
      <c r="C558" s="2" t="s">
        <v>165</v>
      </c>
      <c r="D558" t="s">
        <v>611</v>
      </c>
      <c r="E558" t="s">
        <v>643</v>
      </c>
      <c r="F558" t="s">
        <v>133</v>
      </c>
      <c r="G558" t="s">
        <v>31</v>
      </c>
      <c r="H558" t="str">
        <f t="shared" si="8"/>
        <v>14.007.08.245.0018.2.005.3.3.90.39.00</v>
      </c>
      <c r="I558" t="s">
        <v>612</v>
      </c>
      <c r="J558" t="s">
        <v>660</v>
      </c>
      <c r="K558" t="s">
        <v>638</v>
      </c>
      <c r="L558" t="s">
        <v>614</v>
      </c>
      <c r="M558" t="s">
        <v>645</v>
      </c>
      <c r="N558" t="s">
        <v>134</v>
      </c>
      <c r="O558" t="s">
        <v>32</v>
      </c>
      <c r="P558" t="s">
        <v>93</v>
      </c>
      <c r="Q558" t="s">
        <v>656</v>
      </c>
      <c r="R558" s="9">
        <v>20000</v>
      </c>
      <c r="S558" t="s">
        <v>27</v>
      </c>
    </row>
    <row r="559" spans="1:19" x14ac:dyDescent="0.25">
      <c r="A559" t="s">
        <v>610</v>
      </c>
      <c r="B559" t="s">
        <v>659</v>
      </c>
      <c r="C559" s="2" t="s">
        <v>165</v>
      </c>
      <c r="D559" t="s">
        <v>611</v>
      </c>
      <c r="E559" t="s">
        <v>643</v>
      </c>
      <c r="F559" t="s">
        <v>644</v>
      </c>
      <c r="G559" t="s">
        <v>18</v>
      </c>
      <c r="H559" t="str">
        <f t="shared" si="8"/>
        <v>14.007.08.245.0018.2.015.3.3.90.30.00</v>
      </c>
      <c r="I559" t="s">
        <v>612</v>
      </c>
      <c r="J559" t="s">
        <v>660</v>
      </c>
      <c r="K559" t="s">
        <v>638</v>
      </c>
      <c r="L559" t="s">
        <v>614</v>
      </c>
      <c r="M559" t="s">
        <v>645</v>
      </c>
      <c r="N559" t="s">
        <v>646</v>
      </c>
      <c r="O559" t="s">
        <v>25</v>
      </c>
      <c r="P559" t="s">
        <v>49</v>
      </c>
      <c r="Q559" t="s">
        <v>667</v>
      </c>
      <c r="R559" s="9">
        <v>10000</v>
      </c>
      <c r="S559" t="s">
        <v>27</v>
      </c>
    </row>
    <row r="560" spans="1:19" x14ac:dyDescent="0.25">
      <c r="A560" t="s">
        <v>610</v>
      </c>
      <c r="B560" t="s">
        <v>659</v>
      </c>
      <c r="C560" s="2" t="s">
        <v>165</v>
      </c>
      <c r="D560" t="s">
        <v>611</v>
      </c>
      <c r="E560" t="s">
        <v>643</v>
      </c>
      <c r="F560" t="s">
        <v>644</v>
      </c>
      <c r="G560" t="s">
        <v>18</v>
      </c>
      <c r="H560" t="str">
        <f t="shared" si="8"/>
        <v>14.007.08.245.0018.2.015.3.3.90.30.00</v>
      </c>
      <c r="I560" t="s">
        <v>612</v>
      </c>
      <c r="J560" t="s">
        <v>660</v>
      </c>
      <c r="K560" t="s">
        <v>638</v>
      </c>
      <c r="L560" t="s">
        <v>614</v>
      </c>
      <c r="M560" t="s">
        <v>645</v>
      </c>
      <c r="N560" t="s">
        <v>646</v>
      </c>
      <c r="O560" t="s">
        <v>25</v>
      </c>
      <c r="P560" t="s">
        <v>49</v>
      </c>
      <c r="Q560" t="s">
        <v>667</v>
      </c>
      <c r="R560" s="9">
        <v>20000</v>
      </c>
      <c r="S560" t="s">
        <v>27</v>
      </c>
    </row>
    <row r="561" spans="1:19" x14ac:dyDescent="0.25">
      <c r="A561" t="s">
        <v>610</v>
      </c>
      <c r="B561" t="s">
        <v>659</v>
      </c>
      <c r="C561" s="2" t="s">
        <v>165</v>
      </c>
      <c r="D561" t="s">
        <v>611</v>
      </c>
      <c r="E561" t="s">
        <v>643</v>
      </c>
      <c r="F561" t="s">
        <v>644</v>
      </c>
      <c r="G561" t="s">
        <v>18</v>
      </c>
      <c r="H561" t="str">
        <f t="shared" si="8"/>
        <v>14.007.08.245.0018.2.015.3.3.90.30.00</v>
      </c>
      <c r="I561" t="s">
        <v>612</v>
      </c>
      <c r="J561" t="s">
        <v>660</v>
      </c>
      <c r="K561" t="s">
        <v>638</v>
      </c>
      <c r="L561" t="s">
        <v>614</v>
      </c>
      <c r="M561" t="s">
        <v>645</v>
      </c>
      <c r="N561" t="s">
        <v>646</v>
      </c>
      <c r="O561" t="s">
        <v>25</v>
      </c>
      <c r="P561" t="s">
        <v>29</v>
      </c>
      <c r="Q561" t="s">
        <v>667</v>
      </c>
      <c r="R561" s="9">
        <v>15000</v>
      </c>
      <c r="S561" t="s">
        <v>27</v>
      </c>
    </row>
    <row r="562" spans="1:19" x14ac:dyDescent="0.25">
      <c r="A562" t="s">
        <v>610</v>
      </c>
      <c r="B562" t="s">
        <v>659</v>
      </c>
      <c r="C562" s="2" t="s">
        <v>165</v>
      </c>
      <c r="D562" t="s">
        <v>611</v>
      </c>
      <c r="E562" t="s">
        <v>643</v>
      </c>
      <c r="F562" t="s">
        <v>644</v>
      </c>
      <c r="G562" t="s">
        <v>18</v>
      </c>
      <c r="H562" t="str">
        <f t="shared" si="8"/>
        <v>14.007.08.245.0018.2.015.3.3.90.30.00</v>
      </c>
      <c r="I562" t="s">
        <v>612</v>
      </c>
      <c r="J562" t="s">
        <v>660</v>
      </c>
      <c r="K562" t="s">
        <v>638</v>
      </c>
      <c r="L562" t="s">
        <v>614</v>
      </c>
      <c r="M562" t="s">
        <v>645</v>
      </c>
      <c r="N562" t="s">
        <v>646</v>
      </c>
      <c r="O562" t="s">
        <v>25</v>
      </c>
      <c r="P562" t="s">
        <v>30</v>
      </c>
      <c r="Q562" t="s">
        <v>668</v>
      </c>
      <c r="R562" s="9">
        <v>30000</v>
      </c>
      <c r="S562" t="s">
        <v>27</v>
      </c>
    </row>
    <row r="563" spans="1:19" x14ac:dyDescent="0.25">
      <c r="A563" t="s">
        <v>610</v>
      </c>
      <c r="B563" t="s">
        <v>659</v>
      </c>
      <c r="C563" s="2" t="s">
        <v>165</v>
      </c>
      <c r="D563" t="s">
        <v>611</v>
      </c>
      <c r="E563" t="s">
        <v>643</v>
      </c>
      <c r="F563" t="s">
        <v>644</v>
      </c>
      <c r="G563" t="s">
        <v>31</v>
      </c>
      <c r="H563" t="str">
        <f t="shared" si="8"/>
        <v>14.007.08.245.0018.2.015.3.3.90.39.00</v>
      </c>
      <c r="I563" t="s">
        <v>612</v>
      </c>
      <c r="J563" t="s">
        <v>660</v>
      </c>
      <c r="K563" t="s">
        <v>638</v>
      </c>
      <c r="L563" t="s">
        <v>614</v>
      </c>
      <c r="M563" t="s">
        <v>645</v>
      </c>
      <c r="N563" t="s">
        <v>646</v>
      </c>
      <c r="O563" t="s">
        <v>32</v>
      </c>
      <c r="P563" t="s">
        <v>114</v>
      </c>
      <c r="Q563" t="s">
        <v>679</v>
      </c>
      <c r="R563" s="9">
        <v>44328</v>
      </c>
      <c r="S563" t="s">
        <v>27</v>
      </c>
    </row>
    <row r="564" spans="1:19" x14ac:dyDescent="0.25">
      <c r="A564" t="s">
        <v>610</v>
      </c>
      <c r="B564" t="s">
        <v>659</v>
      </c>
      <c r="C564" s="2" t="s">
        <v>165</v>
      </c>
      <c r="D564" t="s">
        <v>611</v>
      </c>
      <c r="E564" t="s">
        <v>643</v>
      </c>
      <c r="F564" t="s">
        <v>644</v>
      </c>
      <c r="G564" t="s">
        <v>31</v>
      </c>
      <c r="H564" t="str">
        <f t="shared" si="8"/>
        <v>14.007.08.245.0018.2.015.3.3.90.39.00</v>
      </c>
      <c r="I564" t="s">
        <v>612</v>
      </c>
      <c r="J564" t="s">
        <v>660</v>
      </c>
      <c r="K564" t="s">
        <v>638</v>
      </c>
      <c r="L564" t="s">
        <v>614</v>
      </c>
      <c r="M564" t="s">
        <v>645</v>
      </c>
      <c r="N564" t="s">
        <v>646</v>
      </c>
      <c r="O564" t="s">
        <v>32</v>
      </c>
      <c r="P564" t="s">
        <v>33</v>
      </c>
      <c r="Q564" t="s">
        <v>680</v>
      </c>
      <c r="R564" s="9">
        <v>40000</v>
      </c>
      <c r="S564" t="s">
        <v>27</v>
      </c>
    </row>
    <row r="565" spans="1:19" x14ac:dyDescent="0.25">
      <c r="A565" t="s">
        <v>610</v>
      </c>
      <c r="B565" t="s">
        <v>659</v>
      </c>
      <c r="C565" s="2" t="s">
        <v>165</v>
      </c>
      <c r="D565" t="s">
        <v>611</v>
      </c>
      <c r="E565" t="s">
        <v>643</v>
      </c>
      <c r="F565" t="s">
        <v>644</v>
      </c>
      <c r="G565" t="s">
        <v>31</v>
      </c>
      <c r="H565" t="str">
        <f t="shared" si="8"/>
        <v>14.007.08.245.0018.2.015.3.3.90.39.00</v>
      </c>
      <c r="I565" t="s">
        <v>612</v>
      </c>
      <c r="J565" t="s">
        <v>660</v>
      </c>
      <c r="K565" t="s">
        <v>638</v>
      </c>
      <c r="L565" t="s">
        <v>614</v>
      </c>
      <c r="M565" t="s">
        <v>645</v>
      </c>
      <c r="N565" t="s">
        <v>646</v>
      </c>
      <c r="O565" t="s">
        <v>32</v>
      </c>
      <c r="P565" t="s">
        <v>65</v>
      </c>
      <c r="Q565" t="s">
        <v>681</v>
      </c>
      <c r="R565" s="9">
        <v>8000</v>
      </c>
      <c r="S565" t="s">
        <v>27</v>
      </c>
    </row>
    <row r="566" spans="1:19" x14ac:dyDescent="0.25">
      <c r="A566" t="s">
        <v>610</v>
      </c>
      <c r="B566" t="s">
        <v>659</v>
      </c>
      <c r="C566" s="2" t="s">
        <v>165</v>
      </c>
      <c r="D566" t="s">
        <v>611</v>
      </c>
      <c r="E566" t="s">
        <v>643</v>
      </c>
      <c r="F566" t="s">
        <v>644</v>
      </c>
      <c r="G566" t="s">
        <v>80</v>
      </c>
      <c r="H566" t="str">
        <f t="shared" si="8"/>
        <v>14.007.08.245.0018.2.015.4.4.90.52.00</v>
      </c>
      <c r="I566" t="s">
        <v>612</v>
      </c>
      <c r="J566" t="s">
        <v>660</v>
      </c>
      <c r="K566" t="s">
        <v>638</v>
      </c>
      <c r="L566" t="s">
        <v>614</v>
      </c>
      <c r="M566" t="s">
        <v>645</v>
      </c>
      <c r="N566" t="s">
        <v>646</v>
      </c>
      <c r="O566" t="s">
        <v>81</v>
      </c>
      <c r="P566" t="s">
        <v>224</v>
      </c>
      <c r="Q566" t="s">
        <v>682</v>
      </c>
      <c r="R566" s="9">
        <v>50000</v>
      </c>
      <c r="S566" t="s">
        <v>27</v>
      </c>
    </row>
    <row r="567" spans="1:19" x14ac:dyDescent="0.25">
      <c r="A567" t="s">
        <v>610</v>
      </c>
      <c r="B567" t="s">
        <v>352</v>
      </c>
      <c r="C567" s="2" t="s">
        <v>165</v>
      </c>
      <c r="D567" t="s">
        <v>611</v>
      </c>
      <c r="E567" t="s">
        <v>643</v>
      </c>
      <c r="F567" t="s">
        <v>139</v>
      </c>
      <c r="G567" t="s">
        <v>31</v>
      </c>
      <c r="H567" t="str">
        <f t="shared" si="8"/>
        <v>14.008.08.245.0018.1.002.3.3.90.39.00</v>
      </c>
      <c r="I567" t="s">
        <v>612</v>
      </c>
      <c r="J567" t="s">
        <v>683</v>
      </c>
      <c r="K567" t="s">
        <v>638</v>
      </c>
      <c r="L567" t="s">
        <v>614</v>
      </c>
      <c r="M567" t="s">
        <v>645</v>
      </c>
      <c r="N567" t="s">
        <v>143</v>
      </c>
      <c r="O567" t="s">
        <v>32</v>
      </c>
      <c r="P567" t="s">
        <v>33</v>
      </c>
      <c r="Q567" t="s">
        <v>684</v>
      </c>
      <c r="R567" s="9">
        <v>1</v>
      </c>
      <c r="S567" t="s">
        <v>27</v>
      </c>
    </row>
    <row r="568" spans="1:19" x14ac:dyDescent="0.25">
      <c r="A568" t="s">
        <v>610</v>
      </c>
      <c r="B568" t="s">
        <v>352</v>
      </c>
      <c r="C568" s="2" t="s">
        <v>165</v>
      </c>
      <c r="D568" t="s">
        <v>611</v>
      </c>
      <c r="E568" t="s">
        <v>643</v>
      </c>
      <c r="F568" t="s">
        <v>648</v>
      </c>
      <c r="G568" t="s">
        <v>18</v>
      </c>
      <c r="H568" t="str">
        <f t="shared" si="8"/>
        <v>14.008.08.245.0018.2.016.3.3.90.30.00</v>
      </c>
      <c r="I568" t="s">
        <v>612</v>
      </c>
      <c r="J568" t="s">
        <v>683</v>
      </c>
      <c r="K568" t="s">
        <v>638</v>
      </c>
      <c r="L568" t="s">
        <v>614</v>
      </c>
      <c r="M568" t="s">
        <v>645</v>
      </c>
      <c r="N568" t="s">
        <v>649</v>
      </c>
      <c r="O568" t="s">
        <v>25</v>
      </c>
      <c r="P568" t="s">
        <v>49</v>
      </c>
      <c r="Q568" t="s">
        <v>657</v>
      </c>
      <c r="R568" s="9">
        <v>30000</v>
      </c>
      <c r="S568" t="s">
        <v>27</v>
      </c>
    </row>
    <row r="569" spans="1:19" x14ac:dyDescent="0.25">
      <c r="A569" t="s">
        <v>610</v>
      </c>
      <c r="B569" t="s">
        <v>352</v>
      </c>
      <c r="C569" s="2" t="s">
        <v>165</v>
      </c>
      <c r="D569" t="s">
        <v>611</v>
      </c>
      <c r="E569" t="s">
        <v>643</v>
      </c>
      <c r="F569" t="s">
        <v>648</v>
      </c>
      <c r="G569" t="s">
        <v>31</v>
      </c>
      <c r="H569" t="str">
        <f t="shared" si="8"/>
        <v>14.008.08.245.0018.2.016.3.3.90.39.00</v>
      </c>
      <c r="I569" t="s">
        <v>612</v>
      </c>
      <c r="J569" t="s">
        <v>683</v>
      </c>
      <c r="K569" t="s">
        <v>638</v>
      </c>
      <c r="L569" t="s">
        <v>614</v>
      </c>
      <c r="M569" t="s">
        <v>645</v>
      </c>
      <c r="N569" t="s">
        <v>649</v>
      </c>
      <c r="O569" t="s">
        <v>32</v>
      </c>
      <c r="P569" t="s">
        <v>93</v>
      </c>
      <c r="Q569" t="s">
        <v>656</v>
      </c>
      <c r="R569" s="9">
        <v>20000</v>
      </c>
      <c r="S569" t="s">
        <v>27</v>
      </c>
    </row>
    <row r="570" spans="1:19" x14ac:dyDescent="0.25">
      <c r="A570" t="s">
        <v>610</v>
      </c>
      <c r="B570" t="s">
        <v>352</v>
      </c>
      <c r="C570" s="2" t="s">
        <v>165</v>
      </c>
      <c r="D570" t="s">
        <v>611</v>
      </c>
      <c r="E570" t="s">
        <v>643</v>
      </c>
      <c r="F570" t="s">
        <v>648</v>
      </c>
      <c r="G570" t="s">
        <v>18</v>
      </c>
      <c r="H570" t="str">
        <f t="shared" si="8"/>
        <v>14.008.08.245.0018.2.016.3.3.90.30.00</v>
      </c>
      <c r="I570" t="s">
        <v>612</v>
      </c>
      <c r="J570" t="s">
        <v>683</v>
      </c>
      <c r="K570" t="s">
        <v>638</v>
      </c>
      <c r="L570" t="s">
        <v>614</v>
      </c>
      <c r="M570" t="s">
        <v>645</v>
      </c>
      <c r="N570" t="s">
        <v>649</v>
      </c>
      <c r="O570" t="s">
        <v>25</v>
      </c>
      <c r="P570" t="s">
        <v>26</v>
      </c>
      <c r="Q570" t="s">
        <v>667</v>
      </c>
      <c r="R570" s="9">
        <v>10000</v>
      </c>
      <c r="S570" t="s">
        <v>27</v>
      </c>
    </row>
    <row r="571" spans="1:19" x14ac:dyDescent="0.25">
      <c r="A571" t="s">
        <v>610</v>
      </c>
      <c r="B571" t="s">
        <v>352</v>
      </c>
      <c r="C571" s="2" t="s">
        <v>165</v>
      </c>
      <c r="D571" t="s">
        <v>611</v>
      </c>
      <c r="E571" t="s">
        <v>643</v>
      </c>
      <c r="F571" t="s">
        <v>648</v>
      </c>
      <c r="G571" t="s">
        <v>18</v>
      </c>
      <c r="H571" t="str">
        <f t="shared" si="8"/>
        <v>14.008.08.245.0018.2.016.3.3.90.30.00</v>
      </c>
      <c r="I571" t="s">
        <v>612</v>
      </c>
      <c r="J571" t="s">
        <v>683</v>
      </c>
      <c r="K571" t="s">
        <v>638</v>
      </c>
      <c r="L571" t="s">
        <v>614</v>
      </c>
      <c r="M571" t="s">
        <v>645</v>
      </c>
      <c r="N571" t="s">
        <v>649</v>
      </c>
      <c r="O571" t="s">
        <v>25</v>
      </c>
      <c r="P571" t="s">
        <v>49</v>
      </c>
      <c r="Q571" t="s">
        <v>667</v>
      </c>
      <c r="R571" s="9">
        <v>20000</v>
      </c>
      <c r="S571" t="s">
        <v>27</v>
      </c>
    </row>
    <row r="572" spans="1:19" x14ac:dyDescent="0.25">
      <c r="A572" t="s">
        <v>610</v>
      </c>
      <c r="B572" t="s">
        <v>352</v>
      </c>
      <c r="C572" s="2" t="s">
        <v>165</v>
      </c>
      <c r="D572" t="s">
        <v>611</v>
      </c>
      <c r="E572" t="s">
        <v>643</v>
      </c>
      <c r="F572" t="s">
        <v>648</v>
      </c>
      <c r="G572" t="s">
        <v>18</v>
      </c>
      <c r="H572" t="str">
        <f t="shared" si="8"/>
        <v>14.008.08.245.0018.2.016.3.3.90.30.00</v>
      </c>
      <c r="I572" t="s">
        <v>612</v>
      </c>
      <c r="J572" t="s">
        <v>683</v>
      </c>
      <c r="K572" t="s">
        <v>638</v>
      </c>
      <c r="L572" t="s">
        <v>614</v>
      </c>
      <c r="M572" t="s">
        <v>645</v>
      </c>
      <c r="N572" t="s">
        <v>649</v>
      </c>
      <c r="O572" t="s">
        <v>25</v>
      </c>
      <c r="P572" t="s">
        <v>29</v>
      </c>
      <c r="Q572" t="s">
        <v>667</v>
      </c>
      <c r="R572" s="9">
        <v>15000</v>
      </c>
      <c r="S572" t="s">
        <v>27</v>
      </c>
    </row>
    <row r="573" spans="1:19" x14ac:dyDescent="0.25">
      <c r="A573" t="s">
        <v>610</v>
      </c>
      <c r="B573" t="s">
        <v>352</v>
      </c>
      <c r="C573" s="2" t="s">
        <v>165</v>
      </c>
      <c r="D573" t="s">
        <v>611</v>
      </c>
      <c r="E573" t="s">
        <v>643</v>
      </c>
      <c r="F573" t="s">
        <v>648</v>
      </c>
      <c r="G573" t="s">
        <v>18</v>
      </c>
      <c r="H573" t="str">
        <f t="shared" si="8"/>
        <v>14.008.08.245.0018.2.016.3.3.90.30.00</v>
      </c>
      <c r="I573" t="s">
        <v>612</v>
      </c>
      <c r="J573" t="s">
        <v>683</v>
      </c>
      <c r="K573" t="s">
        <v>638</v>
      </c>
      <c r="L573" t="s">
        <v>614</v>
      </c>
      <c r="M573" t="s">
        <v>645</v>
      </c>
      <c r="N573" t="s">
        <v>649</v>
      </c>
      <c r="O573" t="s">
        <v>25</v>
      </c>
      <c r="P573" t="s">
        <v>30</v>
      </c>
      <c r="Q573" t="s">
        <v>668</v>
      </c>
      <c r="R573" s="9">
        <v>30000</v>
      </c>
      <c r="S573" t="s">
        <v>27</v>
      </c>
    </row>
    <row r="574" spans="1:19" x14ac:dyDescent="0.25">
      <c r="A574" t="s">
        <v>610</v>
      </c>
      <c r="B574" t="s">
        <v>352</v>
      </c>
      <c r="C574" s="2" t="s">
        <v>165</v>
      </c>
      <c r="D574" t="s">
        <v>611</v>
      </c>
      <c r="E574" t="s">
        <v>643</v>
      </c>
      <c r="F574" t="s">
        <v>648</v>
      </c>
      <c r="G574" t="s">
        <v>31</v>
      </c>
      <c r="H574" t="str">
        <f t="shared" si="8"/>
        <v>14.008.08.245.0018.2.016.3.3.90.39.00</v>
      </c>
      <c r="I574" t="s">
        <v>612</v>
      </c>
      <c r="J574" t="s">
        <v>683</v>
      </c>
      <c r="K574" t="s">
        <v>638</v>
      </c>
      <c r="L574" t="s">
        <v>614</v>
      </c>
      <c r="M574" t="s">
        <v>645</v>
      </c>
      <c r="N574" t="s">
        <v>649</v>
      </c>
      <c r="O574" t="s">
        <v>32</v>
      </c>
      <c r="P574" t="s">
        <v>114</v>
      </c>
      <c r="Q574" t="s">
        <v>95</v>
      </c>
      <c r="R574" s="9">
        <v>44328</v>
      </c>
      <c r="S574" t="s">
        <v>27</v>
      </c>
    </row>
    <row r="575" spans="1:19" x14ac:dyDescent="0.25">
      <c r="A575" t="s">
        <v>610</v>
      </c>
      <c r="B575" t="s">
        <v>352</v>
      </c>
      <c r="C575" s="2" t="s">
        <v>165</v>
      </c>
      <c r="D575" t="s">
        <v>611</v>
      </c>
      <c r="E575" t="s">
        <v>643</v>
      </c>
      <c r="F575" t="s">
        <v>648</v>
      </c>
      <c r="G575" t="s">
        <v>31</v>
      </c>
      <c r="H575" t="str">
        <f t="shared" si="8"/>
        <v>14.008.08.245.0018.2.016.3.3.90.39.00</v>
      </c>
      <c r="I575" t="s">
        <v>612</v>
      </c>
      <c r="J575" t="s">
        <v>683</v>
      </c>
      <c r="K575" t="s">
        <v>638</v>
      </c>
      <c r="L575" t="s">
        <v>614</v>
      </c>
      <c r="M575" t="s">
        <v>645</v>
      </c>
      <c r="N575" t="s">
        <v>649</v>
      </c>
      <c r="O575" t="s">
        <v>32</v>
      </c>
      <c r="P575" t="s">
        <v>33</v>
      </c>
      <c r="Q575" t="s">
        <v>680</v>
      </c>
      <c r="R575" s="9">
        <v>40000</v>
      </c>
      <c r="S575" t="s">
        <v>27</v>
      </c>
    </row>
    <row r="576" spans="1:19" x14ac:dyDescent="0.25">
      <c r="A576" t="s">
        <v>610</v>
      </c>
      <c r="B576" t="s">
        <v>352</v>
      </c>
      <c r="C576" s="2" t="s">
        <v>165</v>
      </c>
      <c r="D576" t="s">
        <v>611</v>
      </c>
      <c r="E576" t="s">
        <v>643</v>
      </c>
      <c r="F576" t="s">
        <v>648</v>
      </c>
      <c r="G576" t="s">
        <v>31</v>
      </c>
      <c r="H576" t="str">
        <f t="shared" si="8"/>
        <v>14.008.08.245.0018.2.016.3.3.90.39.00</v>
      </c>
      <c r="I576" t="s">
        <v>612</v>
      </c>
      <c r="J576" t="s">
        <v>683</v>
      </c>
      <c r="K576" t="s">
        <v>638</v>
      </c>
      <c r="L576" t="s">
        <v>614</v>
      </c>
      <c r="M576" t="s">
        <v>645</v>
      </c>
      <c r="N576" t="s">
        <v>649</v>
      </c>
      <c r="O576" t="s">
        <v>32</v>
      </c>
      <c r="P576" t="s">
        <v>65</v>
      </c>
      <c r="Q576" t="s">
        <v>681</v>
      </c>
      <c r="R576" s="9">
        <v>8000</v>
      </c>
      <c r="S576" t="s">
        <v>27</v>
      </c>
    </row>
    <row r="577" spans="1:19" x14ac:dyDescent="0.25">
      <c r="A577" t="s">
        <v>610</v>
      </c>
      <c r="B577" t="s">
        <v>352</v>
      </c>
      <c r="C577" s="2" t="s">
        <v>165</v>
      </c>
      <c r="D577" t="s">
        <v>611</v>
      </c>
      <c r="E577" t="s">
        <v>643</v>
      </c>
      <c r="F577" t="s">
        <v>648</v>
      </c>
      <c r="G577" t="s">
        <v>80</v>
      </c>
      <c r="H577" t="str">
        <f t="shared" si="8"/>
        <v>14.008.08.245.0018.2.016.4.4.90.52.00</v>
      </c>
      <c r="I577" t="s">
        <v>612</v>
      </c>
      <c r="J577" t="s">
        <v>683</v>
      </c>
      <c r="K577" t="s">
        <v>638</v>
      </c>
      <c r="L577" t="s">
        <v>614</v>
      </c>
      <c r="M577" t="s">
        <v>645</v>
      </c>
      <c r="N577" t="s">
        <v>649</v>
      </c>
      <c r="O577" t="s">
        <v>81</v>
      </c>
      <c r="P577" t="s">
        <v>224</v>
      </c>
      <c r="Q577" t="s">
        <v>674</v>
      </c>
      <c r="R577" s="9">
        <v>50000</v>
      </c>
      <c r="S577" t="s">
        <v>27</v>
      </c>
    </row>
    <row r="578" spans="1:19" x14ac:dyDescent="0.25">
      <c r="A578" t="s">
        <v>610</v>
      </c>
      <c r="B578" t="s">
        <v>618</v>
      </c>
      <c r="C578" s="2" t="s">
        <v>165</v>
      </c>
      <c r="D578" t="s">
        <v>15</v>
      </c>
      <c r="E578" t="s">
        <v>643</v>
      </c>
      <c r="F578" t="s">
        <v>17</v>
      </c>
      <c r="G578" t="s">
        <v>80</v>
      </c>
      <c r="H578" t="str">
        <f t="shared" ref="H578:H641" si="9">_xlfn.CONCAT(A578,".",B578,".",C578,".",D578,".",E578,".",F578,".",G578)</f>
        <v>14.005.08.122.0018.2.011.4.4.90.52.00</v>
      </c>
      <c r="I578" t="s">
        <v>612</v>
      </c>
      <c r="J578" t="s">
        <v>619</v>
      </c>
      <c r="K578" t="s">
        <v>638</v>
      </c>
      <c r="L578" t="s">
        <v>22</v>
      </c>
      <c r="M578" t="s">
        <v>645</v>
      </c>
      <c r="N578" t="s">
        <v>24</v>
      </c>
      <c r="O578" t="s">
        <v>81</v>
      </c>
      <c r="P578" t="s">
        <v>224</v>
      </c>
      <c r="Q578" t="s">
        <v>674</v>
      </c>
      <c r="R578" s="9">
        <v>200000</v>
      </c>
      <c r="S578" t="s">
        <v>27</v>
      </c>
    </row>
    <row r="579" spans="1:19" x14ac:dyDescent="0.25">
      <c r="A579" t="s">
        <v>610</v>
      </c>
      <c r="B579" t="s">
        <v>13</v>
      </c>
      <c r="C579" s="2" t="s">
        <v>165</v>
      </c>
      <c r="D579" t="s">
        <v>685</v>
      </c>
      <c r="E579" t="s">
        <v>643</v>
      </c>
      <c r="F579" t="s">
        <v>686</v>
      </c>
      <c r="G579" t="s">
        <v>152</v>
      </c>
      <c r="H579" t="str">
        <f t="shared" si="9"/>
        <v>14.001.08.241.0018.2.041.3.3.50.39.00</v>
      </c>
      <c r="I579" t="s">
        <v>612</v>
      </c>
      <c r="J579" t="s">
        <v>613</v>
      </c>
      <c r="K579" t="s">
        <v>638</v>
      </c>
      <c r="L579" t="s">
        <v>687</v>
      </c>
      <c r="M579" t="s">
        <v>645</v>
      </c>
      <c r="N579" t="s">
        <v>688</v>
      </c>
      <c r="O579" t="s">
        <v>154</v>
      </c>
      <c r="Q579" t="s">
        <v>689</v>
      </c>
      <c r="R579" s="9">
        <v>30000</v>
      </c>
      <c r="S579" t="s">
        <v>27</v>
      </c>
    </row>
    <row r="580" spans="1:19" x14ac:dyDescent="0.25">
      <c r="A580" t="s">
        <v>610</v>
      </c>
      <c r="B580" t="s">
        <v>13</v>
      </c>
      <c r="C580" s="2" t="s">
        <v>165</v>
      </c>
      <c r="D580" t="s">
        <v>685</v>
      </c>
      <c r="E580" t="s">
        <v>643</v>
      </c>
      <c r="F580" t="s">
        <v>686</v>
      </c>
      <c r="G580" t="s">
        <v>18</v>
      </c>
      <c r="H580" t="str">
        <f t="shared" si="9"/>
        <v>14.001.08.241.0018.2.041.3.3.90.30.00</v>
      </c>
      <c r="I580" t="s">
        <v>612</v>
      </c>
      <c r="J580" t="s">
        <v>613</v>
      </c>
      <c r="K580" t="s">
        <v>638</v>
      </c>
      <c r="L580" t="s">
        <v>687</v>
      </c>
      <c r="M580" t="s">
        <v>645</v>
      </c>
      <c r="N580" t="s">
        <v>688</v>
      </c>
      <c r="O580" t="s">
        <v>25</v>
      </c>
      <c r="P580" t="s">
        <v>30</v>
      </c>
      <c r="Q580" t="s">
        <v>690</v>
      </c>
      <c r="R580" s="9">
        <v>30000</v>
      </c>
      <c r="S580" t="s">
        <v>27</v>
      </c>
    </row>
    <row r="581" spans="1:19" x14ac:dyDescent="0.25">
      <c r="A581" t="s">
        <v>610</v>
      </c>
      <c r="B581" t="s">
        <v>13</v>
      </c>
      <c r="C581" s="2" t="s">
        <v>165</v>
      </c>
      <c r="D581" t="s">
        <v>685</v>
      </c>
      <c r="E581" t="s">
        <v>643</v>
      </c>
      <c r="F581" t="s">
        <v>686</v>
      </c>
      <c r="G581" t="s">
        <v>31</v>
      </c>
      <c r="H581" t="str">
        <f t="shared" si="9"/>
        <v>14.001.08.241.0018.2.041.3.3.90.39.00</v>
      </c>
      <c r="I581" t="s">
        <v>612</v>
      </c>
      <c r="J581" t="s">
        <v>613</v>
      </c>
      <c r="K581" t="s">
        <v>638</v>
      </c>
      <c r="L581" t="s">
        <v>687</v>
      </c>
      <c r="M581" t="s">
        <v>645</v>
      </c>
      <c r="N581" t="s">
        <v>688</v>
      </c>
      <c r="O581" t="s">
        <v>32</v>
      </c>
      <c r="P581" t="s">
        <v>93</v>
      </c>
      <c r="Q581" t="s">
        <v>690</v>
      </c>
      <c r="R581" s="9">
        <v>30000</v>
      </c>
      <c r="S581" t="s">
        <v>27</v>
      </c>
    </row>
    <row r="582" spans="1:19" x14ac:dyDescent="0.25">
      <c r="A582" t="s">
        <v>610</v>
      </c>
      <c r="B582" t="s">
        <v>13</v>
      </c>
      <c r="C582" s="2" t="s">
        <v>165</v>
      </c>
      <c r="D582" t="s">
        <v>685</v>
      </c>
      <c r="E582" t="s">
        <v>643</v>
      </c>
      <c r="F582" t="s">
        <v>686</v>
      </c>
      <c r="G582" t="s">
        <v>80</v>
      </c>
      <c r="H582" t="str">
        <f t="shared" si="9"/>
        <v>14.001.08.241.0018.2.041.4.4.90.52.00</v>
      </c>
      <c r="I582" t="s">
        <v>612</v>
      </c>
      <c r="J582" t="s">
        <v>613</v>
      </c>
      <c r="K582" t="s">
        <v>638</v>
      </c>
      <c r="L582" t="s">
        <v>687</v>
      </c>
      <c r="M582" t="s">
        <v>645</v>
      </c>
      <c r="N582" t="s">
        <v>688</v>
      </c>
      <c r="O582" t="s">
        <v>81</v>
      </c>
      <c r="P582" t="s">
        <v>164</v>
      </c>
      <c r="Q582" t="s">
        <v>689</v>
      </c>
      <c r="R582" s="9">
        <v>30000</v>
      </c>
      <c r="S582" t="s">
        <v>27</v>
      </c>
    </row>
    <row r="583" spans="1:19" x14ac:dyDescent="0.25">
      <c r="A583" t="s">
        <v>610</v>
      </c>
      <c r="B583" t="s">
        <v>13</v>
      </c>
      <c r="C583" s="2" t="s">
        <v>165</v>
      </c>
      <c r="D583" t="s">
        <v>611</v>
      </c>
      <c r="E583" t="s">
        <v>643</v>
      </c>
      <c r="F583" t="s">
        <v>686</v>
      </c>
      <c r="G583" t="s">
        <v>18</v>
      </c>
      <c r="H583" t="str">
        <f t="shared" si="9"/>
        <v>14.001.08.245.0018.2.041.3.3.90.30.00</v>
      </c>
      <c r="I583" t="s">
        <v>612</v>
      </c>
      <c r="J583" t="s">
        <v>613</v>
      </c>
      <c r="K583" t="s">
        <v>638</v>
      </c>
      <c r="L583" t="s">
        <v>614</v>
      </c>
      <c r="M583" t="s">
        <v>645</v>
      </c>
      <c r="N583" t="s">
        <v>688</v>
      </c>
      <c r="O583" t="s">
        <v>25</v>
      </c>
      <c r="P583" t="s">
        <v>30</v>
      </c>
      <c r="Q583" t="s">
        <v>691</v>
      </c>
      <c r="R583" s="9">
        <v>30000</v>
      </c>
      <c r="S583" t="s">
        <v>27</v>
      </c>
    </row>
    <row r="584" spans="1:19" x14ac:dyDescent="0.25">
      <c r="A584" t="s">
        <v>610</v>
      </c>
      <c r="B584" t="s">
        <v>13</v>
      </c>
      <c r="C584" s="2" t="s">
        <v>165</v>
      </c>
      <c r="D584" t="s">
        <v>611</v>
      </c>
      <c r="E584" t="s">
        <v>643</v>
      </c>
      <c r="F584" t="s">
        <v>686</v>
      </c>
      <c r="G584" t="s">
        <v>31</v>
      </c>
      <c r="H584" t="str">
        <f t="shared" si="9"/>
        <v>14.001.08.245.0018.2.041.3.3.90.39.00</v>
      </c>
      <c r="I584" t="s">
        <v>612</v>
      </c>
      <c r="J584" t="s">
        <v>613</v>
      </c>
      <c r="K584" t="s">
        <v>638</v>
      </c>
      <c r="L584" t="s">
        <v>614</v>
      </c>
      <c r="M584" t="s">
        <v>645</v>
      </c>
      <c r="N584" t="s">
        <v>688</v>
      </c>
      <c r="O584" t="s">
        <v>32</v>
      </c>
      <c r="P584" t="s">
        <v>93</v>
      </c>
      <c r="Q584" t="s">
        <v>691</v>
      </c>
      <c r="R584" s="9">
        <v>50000</v>
      </c>
      <c r="S584" t="s">
        <v>27</v>
      </c>
    </row>
    <row r="585" spans="1:19" x14ac:dyDescent="0.25">
      <c r="A585" t="s">
        <v>610</v>
      </c>
      <c r="B585" t="s">
        <v>13</v>
      </c>
      <c r="C585" s="2" t="s">
        <v>165</v>
      </c>
      <c r="D585" t="s">
        <v>611</v>
      </c>
      <c r="E585" t="s">
        <v>643</v>
      </c>
      <c r="F585" t="s">
        <v>686</v>
      </c>
      <c r="G585" t="s">
        <v>80</v>
      </c>
      <c r="H585" t="str">
        <f t="shared" si="9"/>
        <v>14.001.08.245.0018.2.041.4.4.90.52.00</v>
      </c>
      <c r="I585" t="s">
        <v>612</v>
      </c>
      <c r="J585" t="s">
        <v>613</v>
      </c>
      <c r="K585" t="s">
        <v>638</v>
      </c>
      <c r="L585" t="s">
        <v>614</v>
      </c>
      <c r="M585" t="s">
        <v>645</v>
      </c>
      <c r="N585" t="s">
        <v>688</v>
      </c>
      <c r="O585" t="s">
        <v>81</v>
      </c>
      <c r="P585" t="s">
        <v>224</v>
      </c>
      <c r="Q585" t="s">
        <v>691</v>
      </c>
      <c r="R585" s="9">
        <v>20000</v>
      </c>
      <c r="S585" t="s">
        <v>27</v>
      </c>
    </row>
    <row r="586" spans="1:19" x14ac:dyDescent="0.25">
      <c r="A586" t="s">
        <v>610</v>
      </c>
      <c r="B586" t="s">
        <v>13</v>
      </c>
      <c r="C586" s="2" t="s">
        <v>165</v>
      </c>
      <c r="D586" t="s">
        <v>685</v>
      </c>
      <c r="E586" t="s">
        <v>643</v>
      </c>
      <c r="F586" t="s">
        <v>686</v>
      </c>
      <c r="G586" t="s">
        <v>131</v>
      </c>
      <c r="H586" t="str">
        <f t="shared" si="9"/>
        <v>14.001.08.241.0018.2.041.3.3.90.36.00</v>
      </c>
      <c r="I586" t="s">
        <v>612</v>
      </c>
      <c r="J586" t="s">
        <v>613</v>
      </c>
      <c r="K586" t="s">
        <v>638</v>
      </c>
      <c r="L586" t="s">
        <v>687</v>
      </c>
      <c r="M586" t="s">
        <v>645</v>
      </c>
      <c r="N586" t="s">
        <v>688</v>
      </c>
      <c r="O586" t="s">
        <v>132</v>
      </c>
      <c r="Q586" t="s">
        <v>692</v>
      </c>
      <c r="R586" s="9">
        <v>3000</v>
      </c>
      <c r="S586" t="s">
        <v>27</v>
      </c>
    </row>
    <row r="587" spans="1:19" x14ac:dyDescent="0.25">
      <c r="A587" t="s">
        <v>610</v>
      </c>
      <c r="B587" t="s">
        <v>618</v>
      </c>
      <c r="C587" s="2" t="s">
        <v>165</v>
      </c>
      <c r="D587" t="s">
        <v>611</v>
      </c>
      <c r="E587" t="s">
        <v>643</v>
      </c>
      <c r="F587" t="s">
        <v>644</v>
      </c>
      <c r="G587" t="s">
        <v>80</v>
      </c>
      <c r="H587" t="str">
        <f t="shared" si="9"/>
        <v>14.005.08.245.0018.2.015.4.4.90.52.00</v>
      </c>
      <c r="I587" t="s">
        <v>612</v>
      </c>
      <c r="J587" t="s">
        <v>619</v>
      </c>
      <c r="K587" t="s">
        <v>638</v>
      </c>
      <c r="L587" t="s">
        <v>614</v>
      </c>
      <c r="M587" t="s">
        <v>645</v>
      </c>
      <c r="N587" t="s">
        <v>646</v>
      </c>
      <c r="O587" t="s">
        <v>81</v>
      </c>
      <c r="P587" t="s">
        <v>42</v>
      </c>
      <c r="Q587" t="s">
        <v>693</v>
      </c>
      <c r="R587" s="9">
        <v>100000</v>
      </c>
      <c r="S587" t="s">
        <v>27</v>
      </c>
    </row>
    <row r="588" spans="1:19" x14ac:dyDescent="0.25">
      <c r="A588" t="s">
        <v>610</v>
      </c>
      <c r="B588" t="s">
        <v>618</v>
      </c>
      <c r="C588" s="2" t="s">
        <v>165</v>
      </c>
      <c r="D588" t="s">
        <v>611</v>
      </c>
      <c r="E588" t="s">
        <v>643</v>
      </c>
      <c r="F588" t="s">
        <v>648</v>
      </c>
      <c r="G588" t="s">
        <v>80</v>
      </c>
      <c r="H588" t="str">
        <f t="shared" si="9"/>
        <v>14.005.08.245.0018.2.016.4.4.90.52.00</v>
      </c>
      <c r="I588" t="s">
        <v>612</v>
      </c>
      <c r="J588" t="s">
        <v>619</v>
      </c>
      <c r="K588" t="s">
        <v>638</v>
      </c>
      <c r="L588" t="s">
        <v>614</v>
      </c>
      <c r="M588" t="s">
        <v>645</v>
      </c>
      <c r="N588" t="s">
        <v>649</v>
      </c>
      <c r="O588" t="s">
        <v>81</v>
      </c>
      <c r="P588" t="s">
        <v>42</v>
      </c>
      <c r="Q588" t="s">
        <v>693</v>
      </c>
      <c r="R588" s="9">
        <v>100000</v>
      </c>
      <c r="S588" t="s">
        <v>27</v>
      </c>
    </row>
    <row r="589" spans="1:19" x14ac:dyDescent="0.25">
      <c r="A589" t="s">
        <v>610</v>
      </c>
      <c r="B589" t="s">
        <v>618</v>
      </c>
      <c r="C589" s="2" t="s">
        <v>165</v>
      </c>
      <c r="D589" t="s">
        <v>611</v>
      </c>
      <c r="E589" t="s">
        <v>643</v>
      </c>
      <c r="F589" t="s">
        <v>648</v>
      </c>
      <c r="G589" t="s">
        <v>80</v>
      </c>
      <c r="H589" t="str">
        <f t="shared" si="9"/>
        <v>14.005.08.245.0018.2.016.4.4.90.52.00</v>
      </c>
      <c r="I589" t="s">
        <v>612</v>
      </c>
      <c r="J589" t="s">
        <v>619</v>
      </c>
      <c r="K589" t="s">
        <v>638</v>
      </c>
      <c r="L589" t="s">
        <v>614</v>
      </c>
      <c r="M589" t="s">
        <v>645</v>
      </c>
      <c r="N589" t="s">
        <v>649</v>
      </c>
      <c r="O589" t="s">
        <v>81</v>
      </c>
      <c r="P589" t="s">
        <v>42</v>
      </c>
      <c r="Q589" t="s">
        <v>693</v>
      </c>
      <c r="R589" s="9">
        <v>100000</v>
      </c>
      <c r="S589" t="s">
        <v>27</v>
      </c>
    </row>
    <row r="590" spans="1:19" x14ac:dyDescent="0.25">
      <c r="A590" t="s">
        <v>610</v>
      </c>
      <c r="B590" t="s">
        <v>659</v>
      </c>
      <c r="C590" s="2" t="s">
        <v>165</v>
      </c>
      <c r="D590" t="s">
        <v>611</v>
      </c>
      <c r="E590" t="s">
        <v>643</v>
      </c>
      <c r="F590" t="s">
        <v>644</v>
      </c>
      <c r="G590" t="s">
        <v>80</v>
      </c>
      <c r="H590" t="str">
        <f t="shared" si="9"/>
        <v>14.007.08.245.0018.2.015.4.4.90.52.00</v>
      </c>
      <c r="I590" t="s">
        <v>612</v>
      </c>
      <c r="J590" t="s">
        <v>660</v>
      </c>
      <c r="K590" t="s">
        <v>638</v>
      </c>
      <c r="L590" t="s">
        <v>614</v>
      </c>
      <c r="M590" t="s">
        <v>645</v>
      </c>
      <c r="N590" t="s">
        <v>646</v>
      </c>
      <c r="O590" t="s">
        <v>81</v>
      </c>
      <c r="P590" t="s">
        <v>42</v>
      </c>
      <c r="Q590" t="s">
        <v>693</v>
      </c>
      <c r="R590" s="9">
        <v>30000</v>
      </c>
      <c r="S590" t="s">
        <v>27</v>
      </c>
    </row>
    <row r="591" spans="1:19" x14ac:dyDescent="0.25">
      <c r="A591" t="s">
        <v>610</v>
      </c>
      <c r="B591" t="s">
        <v>352</v>
      </c>
      <c r="C591" s="2" t="s">
        <v>165</v>
      </c>
      <c r="D591" t="s">
        <v>611</v>
      </c>
      <c r="E591" t="s">
        <v>643</v>
      </c>
      <c r="F591" t="s">
        <v>648</v>
      </c>
      <c r="G591" t="s">
        <v>80</v>
      </c>
      <c r="H591" t="str">
        <f t="shared" si="9"/>
        <v>14.008.08.245.0018.2.016.4.4.90.52.00</v>
      </c>
      <c r="I591" t="s">
        <v>612</v>
      </c>
      <c r="J591" t="s">
        <v>683</v>
      </c>
      <c r="K591" t="s">
        <v>638</v>
      </c>
      <c r="L591" t="s">
        <v>614</v>
      </c>
      <c r="M591" t="s">
        <v>645</v>
      </c>
      <c r="N591" t="s">
        <v>649</v>
      </c>
      <c r="O591" t="s">
        <v>81</v>
      </c>
      <c r="P591" t="s">
        <v>42</v>
      </c>
      <c r="Q591" t="s">
        <v>693</v>
      </c>
      <c r="R591" s="9">
        <v>30000</v>
      </c>
      <c r="S591" t="s">
        <v>27</v>
      </c>
    </row>
    <row r="592" spans="1:19" x14ac:dyDescent="0.25">
      <c r="A592" t="s">
        <v>610</v>
      </c>
      <c r="B592" t="s">
        <v>618</v>
      </c>
      <c r="C592" s="2" t="s">
        <v>165</v>
      </c>
      <c r="D592" t="s">
        <v>15</v>
      </c>
      <c r="E592" t="s">
        <v>643</v>
      </c>
      <c r="F592" t="s">
        <v>17</v>
      </c>
      <c r="G592" t="s">
        <v>80</v>
      </c>
      <c r="H592" t="str">
        <f t="shared" si="9"/>
        <v>14.005.08.122.0018.2.011.4.4.90.52.00</v>
      </c>
      <c r="I592" t="s">
        <v>612</v>
      </c>
      <c r="J592" t="s">
        <v>619</v>
      </c>
      <c r="K592" t="s">
        <v>638</v>
      </c>
      <c r="L592" t="s">
        <v>22</v>
      </c>
      <c r="M592" t="s">
        <v>645</v>
      </c>
      <c r="N592" t="s">
        <v>24</v>
      </c>
      <c r="O592" t="s">
        <v>81</v>
      </c>
      <c r="P592" t="s">
        <v>678</v>
      </c>
      <c r="Q592" t="s">
        <v>694</v>
      </c>
      <c r="R592" s="9">
        <v>61083</v>
      </c>
      <c r="S592" t="s">
        <v>27</v>
      </c>
    </row>
    <row r="593" spans="1:19" x14ac:dyDescent="0.25">
      <c r="A593" t="s">
        <v>486</v>
      </c>
      <c r="B593" t="s">
        <v>13</v>
      </c>
      <c r="C593" s="2" t="s">
        <v>559</v>
      </c>
      <c r="D593" t="s">
        <v>312</v>
      </c>
      <c r="E593" t="s">
        <v>695</v>
      </c>
      <c r="F593" t="s">
        <v>133</v>
      </c>
      <c r="G593" t="s">
        <v>31</v>
      </c>
      <c r="H593" t="str">
        <f t="shared" si="9"/>
        <v>15.001.13.131.0009.2.005.3.3.90.39.00</v>
      </c>
      <c r="I593" t="s">
        <v>696</v>
      </c>
      <c r="J593" t="s">
        <v>697</v>
      </c>
      <c r="K593" t="s">
        <v>698</v>
      </c>
      <c r="L593" t="s">
        <v>313</v>
      </c>
      <c r="M593" t="s">
        <v>699</v>
      </c>
      <c r="N593" t="s">
        <v>134</v>
      </c>
      <c r="O593" t="s">
        <v>32</v>
      </c>
      <c r="P593" t="s">
        <v>114</v>
      </c>
      <c r="R593" s="9">
        <v>1500000</v>
      </c>
      <c r="S593" t="s">
        <v>27</v>
      </c>
    </row>
    <row r="594" spans="1:19" x14ac:dyDescent="0.25">
      <c r="A594" t="s">
        <v>486</v>
      </c>
      <c r="B594" t="s">
        <v>13</v>
      </c>
      <c r="C594" s="2" t="s">
        <v>559</v>
      </c>
      <c r="D594" t="s">
        <v>700</v>
      </c>
      <c r="E594" t="s">
        <v>695</v>
      </c>
      <c r="F594" t="s">
        <v>549</v>
      </c>
      <c r="G594" t="s">
        <v>31</v>
      </c>
      <c r="H594" t="str">
        <f t="shared" si="9"/>
        <v>15.001.13.392.0009.2.028.3.3.90.39.00</v>
      </c>
      <c r="I594" t="s">
        <v>696</v>
      </c>
      <c r="J594" t="s">
        <v>697</v>
      </c>
      <c r="K594" t="s">
        <v>698</v>
      </c>
      <c r="L594" t="s">
        <v>701</v>
      </c>
      <c r="M594" t="s">
        <v>699</v>
      </c>
      <c r="N594" t="s">
        <v>550</v>
      </c>
      <c r="O594" t="s">
        <v>32</v>
      </c>
      <c r="P594" t="s">
        <v>702</v>
      </c>
      <c r="R594" s="9">
        <v>600000</v>
      </c>
      <c r="S594" t="s">
        <v>27</v>
      </c>
    </row>
    <row r="595" spans="1:19" x14ac:dyDescent="0.25">
      <c r="A595" t="s">
        <v>486</v>
      </c>
      <c r="B595" t="s">
        <v>13</v>
      </c>
      <c r="C595" s="2" t="s">
        <v>559</v>
      </c>
      <c r="D595" t="s">
        <v>700</v>
      </c>
      <c r="E595" t="s">
        <v>695</v>
      </c>
      <c r="F595" t="s">
        <v>549</v>
      </c>
      <c r="G595" t="s">
        <v>131</v>
      </c>
      <c r="H595" t="str">
        <f t="shared" si="9"/>
        <v>15.001.13.392.0009.2.028.3.3.90.36.00</v>
      </c>
      <c r="I595" t="s">
        <v>696</v>
      </c>
      <c r="J595" t="s">
        <v>697</v>
      </c>
      <c r="K595" t="s">
        <v>698</v>
      </c>
      <c r="L595" t="s">
        <v>701</v>
      </c>
      <c r="M595" t="s">
        <v>699</v>
      </c>
      <c r="N595" t="s">
        <v>550</v>
      </c>
      <c r="O595" t="s">
        <v>132</v>
      </c>
      <c r="P595" t="s">
        <v>703</v>
      </c>
      <c r="R595" s="9">
        <v>600000</v>
      </c>
      <c r="S595" t="s">
        <v>27</v>
      </c>
    </row>
    <row r="596" spans="1:19" x14ac:dyDescent="0.25">
      <c r="A596" t="s">
        <v>486</v>
      </c>
      <c r="B596" t="s">
        <v>13</v>
      </c>
      <c r="C596" s="2" t="s">
        <v>559</v>
      </c>
      <c r="D596" t="s">
        <v>312</v>
      </c>
      <c r="E596" t="s">
        <v>695</v>
      </c>
      <c r="F596" t="s">
        <v>133</v>
      </c>
      <c r="G596" t="s">
        <v>31</v>
      </c>
      <c r="H596" t="str">
        <f t="shared" si="9"/>
        <v>15.001.13.131.0009.2.005.3.3.90.39.00</v>
      </c>
      <c r="I596" t="s">
        <v>696</v>
      </c>
      <c r="J596" t="s">
        <v>697</v>
      </c>
      <c r="K596" t="s">
        <v>698</v>
      </c>
      <c r="L596" t="s">
        <v>313</v>
      </c>
      <c r="M596" t="s">
        <v>699</v>
      </c>
      <c r="N596" t="s">
        <v>134</v>
      </c>
      <c r="O596" t="s">
        <v>32</v>
      </c>
      <c r="P596" t="s">
        <v>114</v>
      </c>
      <c r="R596" s="9">
        <v>850000</v>
      </c>
      <c r="S596" t="s">
        <v>27</v>
      </c>
    </row>
    <row r="597" spans="1:19" x14ac:dyDescent="0.25">
      <c r="A597" t="s">
        <v>486</v>
      </c>
      <c r="B597" t="s">
        <v>13</v>
      </c>
      <c r="C597" s="2" t="s">
        <v>559</v>
      </c>
      <c r="D597" t="s">
        <v>700</v>
      </c>
      <c r="E597" t="s">
        <v>695</v>
      </c>
      <c r="F597" t="s">
        <v>139</v>
      </c>
      <c r="G597" t="s">
        <v>80</v>
      </c>
      <c r="H597" t="str">
        <f t="shared" si="9"/>
        <v>15.001.13.392.0009.1.002.4.4.90.52.00</v>
      </c>
      <c r="I597" t="s">
        <v>696</v>
      </c>
      <c r="J597" t="s">
        <v>697</v>
      </c>
      <c r="K597" t="s">
        <v>698</v>
      </c>
      <c r="L597" t="s">
        <v>701</v>
      </c>
      <c r="M597" t="s">
        <v>699</v>
      </c>
      <c r="N597" t="s">
        <v>143</v>
      </c>
      <c r="O597" t="s">
        <v>81</v>
      </c>
      <c r="R597" s="9">
        <v>200000</v>
      </c>
      <c r="S597" t="s">
        <v>27</v>
      </c>
    </row>
    <row r="598" spans="1:19" x14ac:dyDescent="0.25">
      <c r="A598" t="s">
        <v>486</v>
      </c>
      <c r="B598" t="s">
        <v>13</v>
      </c>
      <c r="C598" s="2" t="s">
        <v>559</v>
      </c>
      <c r="D598" t="s">
        <v>700</v>
      </c>
      <c r="E598" t="s">
        <v>695</v>
      </c>
      <c r="F598" t="s">
        <v>305</v>
      </c>
      <c r="G598" t="s">
        <v>152</v>
      </c>
      <c r="H598" t="str">
        <f t="shared" si="9"/>
        <v>15.001.13.392.0009.2.023.3.3.50.39.00</v>
      </c>
      <c r="I598" t="s">
        <v>696</v>
      </c>
      <c r="J598" t="s">
        <v>697</v>
      </c>
      <c r="K598" t="s">
        <v>698</v>
      </c>
      <c r="L598" t="s">
        <v>701</v>
      </c>
      <c r="M598" t="s">
        <v>699</v>
      </c>
      <c r="N598" t="s">
        <v>306</v>
      </c>
      <c r="O598" t="s">
        <v>154</v>
      </c>
      <c r="P598" t="s">
        <v>155</v>
      </c>
      <c r="Q598" t="s">
        <v>704</v>
      </c>
      <c r="R598" s="9">
        <v>4500000</v>
      </c>
      <c r="S598" t="s">
        <v>27</v>
      </c>
    </row>
    <row r="599" spans="1:19" x14ac:dyDescent="0.25">
      <c r="A599" t="s">
        <v>486</v>
      </c>
      <c r="B599" t="s">
        <v>13</v>
      </c>
      <c r="C599" s="2" t="s">
        <v>559</v>
      </c>
      <c r="D599" t="s">
        <v>700</v>
      </c>
      <c r="E599" t="s">
        <v>695</v>
      </c>
      <c r="F599" t="s">
        <v>305</v>
      </c>
      <c r="G599" t="s">
        <v>152</v>
      </c>
      <c r="H599" t="str">
        <f t="shared" si="9"/>
        <v>15.001.13.392.0009.2.023.3.3.50.39.00</v>
      </c>
      <c r="I599" t="s">
        <v>696</v>
      </c>
      <c r="J599" t="s">
        <v>697</v>
      </c>
      <c r="K599" t="s">
        <v>698</v>
      </c>
      <c r="L599" t="s">
        <v>701</v>
      </c>
      <c r="M599" t="s">
        <v>699</v>
      </c>
      <c r="N599" t="s">
        <v>306</v>
      </c>
      <c r="O599" t="s">
        <v>154</v>
      </c>
      <c r="P599" t="s">
        <v>155</v>
      </c>
      <c r="Q599" t="s">
        <v>704</v>
      </c>
      <c r="R599" s="9">
        <v>4500000</v>
      </c>
      <c r="S599" t="s">
        <v>27</v>
      </c>
    </row>
    <row r="600" spans="1:19" x14ac:dyDescent="0.25">
      <c r="A600" t="s">
        <v>486</v>
      </c>
      <c r="B600" t="s">
        <v>13</v>
      </c>
      <c r="C600" s="2" t="s">
        <v>559</v>
      </c>
      <c r="D600" t="s">
        <v>700</v>
      </c>
      <c r="E600" t="s">
        <v>695</v>
      </c>
      <c r="F600" t="s">
        <v>305</v>
      </c>
      <c r="G600" t="s">
        <v>40</v>
      </c>
      <c r="H600" t="str">
        <f t="shared" si="9"/>
        <v>15.001.13.392.0009.2.023.4.4.50.52.00</v>
      </c>
      <c r="I600" t="s">
        <v>696</v>
      </c>
      <c r="J600" t="s">
        <v>697</v>
      </c>
      <c r="K600" t="s">
        <v>698</v>
      </c>
      <c r="L600" t="s">
        <v>701</v>
      </c>
      <c r="M600" t="s">
        <v>699</v>
      </c>
      <c r="N600" t="s">
        <v>306</v>
      </c>
      <c r="O600" t="s">
        <v>41</v>
      </c>
      <c r="P600" t="s">
        <v>705</v>
      </c>
      <c r="Q600" t="s">
        <v>704</v>
      </c>
      <c r="R600" s="9">
        <v>50000</v>
      </c>
      <c r="S600" t="s">
        <v>27</v>
      </c>
    </row>
    <row r="601" spans="1:19" x14ac:dyDescent="0.25">
      <c r="A601" t="s">
        <v>486</v>
      </c>
      <c r="B601" t="s">
        <v>13</v>
      </c>
      <c r="C601" s="2" t="s">
        <v>559</v>
      </c>
      <c r="D601" t="s">
        <v>700</v>
      </c>
      <c r="E601" t="s">
        <v>695</v>
      </c>
      <c r="F601" t="s">
        <v>305</v>
      </c>
      <c r="G601" t="s">
        <v>40</v>
      </c>
      <c r="H601" t="str">
        <f t="shared" si="9"/>
        <v>15.001.13.392.0009.2.023.4.4.50.52.00</v>
      </c>
      <c r="I601" t="s">
        <v>696</v>
      </c>
      <c r="J601" t="s">
        <v>697</v>
      </c>
      <c r="K601" t="s">
        <v>698</v>
      </c>
      <c r="L601" t="s">
        <v>701</v>
      </c>
      <c r="M601" t="s">
        <v>699</v>
      </c>
      <c r="N601" t="s">
        <v>306</v>
      </c>
      <c r="O601" t="s">
        <v>41</v>
      </c>
      <c r="P601" t="s">
        <v>705</v>
      </c>
      <c r="Q601" t="s">
        <v>704</v>
      </c>
      <c r="R601" s="9">
        <v>50000</v>
      </c>
      <c r="S601" t="s">
        <v>27</v>
      </c>
    </row>
    <row r="602" spans="1:19" x14ac:dyDescent="0.25">
      <c r="A602" t="s">
        <v>486</v>
      </c>
      <c r="B602" t="s">
        <v>13</v>
      </c>
      <c r="C602" s="2" t="s">
        <v>559</v>
      </c>
      <c r="D602" t="s">
        <v>700</v>
      </c>
      <c r="E602" t="s">
        <v>695</v>
      </c>
      <c r="F602" t="s">
        <v>17</v>
      </c>
      <c r="G602" t="s">
        <v>31</v>
      </c>
      <c r="H602" t="str">
        <f t="shared" si="9"/>
        <v>15.001.13.392.0009.2.011.3.3.90.39.00</v>
      </c>
      <c r="I602" t="s">
        <v>696</v>
      </c>
      <c r="J602" t="s">
        <v>697</v>
      </c>
      <c r="K602" t="s">
        <v>698</v>
      </c>
      <c r="L602" t="s">
        <v>701</v>
      </c>
      <c r="M602" t="s">
        <v>699</v>
      </c>
      <c r="N602" t="s">
        <v>24</v>
      </c>
      <c r="O602" t="s">
        <v>32</v>
      </c>
      <c r="P602" t="s">
        <v>45</v>
      </c>
      <c r="Q602" t="s">
        <v>706</v>
      </c>
      <c r="R602" s="9">
        <v>48000</v>
      </c>
      <c r="S602" t="s">
        <v>27</v>
      </c>
    </row>
    <row r="603" spans="1:19" x14ac:dyDescent="0.25">
      <c r="A603" t="s">
        <v>486</v>
      </c>
      <c r="B603" t="s">
        <v>13</v>
      </c>
      <c r="C603" s="2" t="s">
        <v>559</v>
      </c>
      <c r="D603" t="s">
        <v>700</v>
      </c>
      <c r="E603" t="s">
        <v>695</v>
      </c>
      <c r="F603" t="s">
        <v>17</v>
      </c>
      <c r="G603" t="s">
        <v>31</v>
      </c>
      <c r="H603" t="str">
        <f t="shared" si="9"/>
        <v>15.001.13.392.0009.2.011.3.3.90.39.00</v>
      </c>
      <c r="I603" t="s">
        <v>696</v>
      </c>
      <c r="J603" t="s">
        <v>697</v>
      </c>
      <c r="K603" t="s">
        <v>698</v>
      </c>
      <c r="L603" t="s">
        <v>701</v>
      </c>
      <c r="M603" t="s">
        <v>699</v>
      </c>
      <c r="N603" t="s">
        <v>24</v>
      </c>
      <c r="O603" t="s">
        <v>32</v>
      </c>
      <c r="P603" t="s">
        <v>44</v>
      </c>
      <c r="R603" s="9">
        <v>30000</v>
      </c>
      <c r="S603" t="s">
        <v>27</v>
      </c>
    </row>
    <row r="604" spans="1:19" x14ac:dyDescent="0.25">
      <c r="A604" t="s">
        <v>486</v>
      </c>
      <c r="B604" t="s">
        <v>13</v>
      </c>
      <c r="C604" s="2" t="s">
        <v>559</v>
      </c>
      <c r="D604" t="s">
        <v>700</v>
      </c>
      <c r="E604" t="s">
        <v>695</v>
      </c>
      <c r="F604" t="s">
        <v>139</v>
      </c>
      <c r="G604" t="s">
        <v>31</v>
      </c>
      <c r="H604" t="str">
        <f t="shared" si="9"/>
        <v>15.001.13.392.0009.1.002.3.3.90.39.00</v>
      </c>
      <c r="I604" t="s">
        <v>696</v>
      </c>
      <c r="J604" t="s">
        <v>697</v>
      </c>
      <c r="K604" t="s">
        <v>698</v>
      </c>
      <c r="L604" t="s">
        <v>701</v>
      </c>
      <c r="M604" t="s">
        <v>699</v>
      </c>
      <c r="N604" t="s">
        <v>143</v>
      </c>
      <c r="O604" t="s">
        <v>32</v>
      </c>
      <c r="P604" t="s">
        <v>105</v>
      </c>
      <c r="R604" s="9">
        <v>1000000</v>
      </c>
      <c r="S604" t="s">
        <v>27</v>
      </c>
    </row>
    <row r="605" spans="1:19" x14ac:dyDescent="0.25">
      <c r="A605" t="s">
        <v>486</v>
      </c>
      <c r="B605" t="s">
        <v>13</v>
      </c>
      <c r="C605" s="2" t="s">
        <v>559</v>
      </c>
      <c r="D605" t="s">
        <v>700</v>
      </c>
      <c r="E605" t="s">
        <v>695</v>
      </c>
      <c r="F605" t="s">
        <v>139</v>
      </c>
      <c r="G605" t="s">
        <v>707</v>
      </c>
      <c r="H605" t="str">
        <f t="shared" si="9"/>
        <v>15.001.13.392.0009.1.002.4.4.50.51.00</v>
      </c>
      <c r="I605" t="s">
        <v>696</v>
      </c>
      <c r="J605" t="s">
        <v>697</v>
      </c>
      <c r="K605" t="s">
        <v>698</v>
      </c>
      <c r="L605" t="s">
        <v>701</v>
      </c>
      <c r="M605" t="s">
        <v>699</v>
      </c>
      <c r="N605" t="s">
        <v>143</v>
      </c>
      <c r="O605" t="s">
        <v>708</v>
      </c>
      <c r="Q605" t="s">
        <v>709</v>
      </c>
      <c r="R605" s="9">
        <v>2500000</v>
      </c>
      <c r="S605" t="s">
        <v>27</v>
      </c>
    </row>
    <row r="606" spans="1:19" x14ac:dyDescent="0.25">
      <c r="A606" t="s">
        <v>486</v>
      </c>
      <c r="B606" t="s">
        <v>13</v>
      </c>
      <c r="C606" s="2" t="s">
        <v>559</v>
      </c>
      <c r="D606" t="s">
        <v>700</v>
      </c>
      <c r="E606" t="s">
        <v>16</v>
      </c>
      <c r="F606" t="s">
        <v>17</v>
      </c>
      <c r="G606" t="s">
        <v>18</v>
      </c>
      <c r="H606" t="str">
        <f t="shared" si="9"/>
        <v>15.001.13.392.0001.2.011.3.3.90.30.00</v>
      </c>
      <c r="I606" t="s">
        <v>696</v>
      </c>
      <c r="J606" t="s">
        <v>697</v>
      </c>
      <c r="K606" t="s">
        <v>698</v>
      </c>
      <c r="L606" t="s">
        <v>701</v>
      </c>
      <c r="M606" t="s">
        <v>23</v>
      </c>
      <c r="N606" t="s">
        <v>24</v>
      </c>
      <c r="O606" t="s">
        <v>25</v>
      </c>
      <c r="P606" t="s">
        <v>46</v>
      </c>
      <c r="R606" s="9">
        <v>100000</v>
      </c>
      <c r="S606" t="s">
        <v>27</v>
      </c>
    </row>
    <row r="607" spans="1:19" x14ac:dyDescent="0.25">
      <c r="A607" t="s">
        <v>593</v>
      </c>
      <c r="B607" t="s">
        <v>13</v>
      </c>
      <c r="C607" s="2" t="s">
        <v>710</v>
      </c>
      <c r="D607" t="s">
        <v>137</v>
      </c>
      <c r="E607" t="s">
        <v>711</v>
      </c>
      <c r="F607" t="s">
        <v>17</v>
      </c>
      <c r="G607" t="s">
        <v>18</v>
      </c>
      <c r="H607" t="str">
        <f t="shared" si="9"/>
        <v>16.001.23.334.0008.2.011.3.3.90.30.00</v>
      </c>
      <c r="I607" t="s">
        <v>712</v>
      </c>
      <c r="J607" t="s">
        <v>713</v>
      </c>
      <c r="K607" t="s">
        <v>714</v>
      </c>
      <c r="L607" t="s">
        <v>141</v>
      </c>
      <c r="M607" t="s">
        <v>715</v>
      </c>
      <c r="N607" t="s">
        <v>24</v>
      </c>
      <c r="O607" t="s">
        <v>25</v>
      </c>
      <c r="P607" t="s">
        <v>28</v>
      </c>
      <c r="Q607" t="s">
        <v>716</v>
      </c>
      <c r="R607" s="9">
        <v>100000</v>
      </c>
      <c r="S607" t="s">
        <v>27</v>
      </c>
    </row>
    <row r="608" spans="1:19" x14ac:dyDescent="0.25">
      <c r="A608" t="s">
        <v>593</v>
      </c>
      <c r="B608" t="s">
        <v>13</v>
      </c>
      <c r="C608" s="2" t="s">
        <v>710</v>
      </c>
      <c r="D608" t="s">
        <v>137</v>
      </c>
      <c r="E608" t="s">
        <v>711</v>
      </c>
      <c r="F608" t="s">
        <v>17</v>
      </c>
      <c r="G608" t="s">
        <v>18</v>
      </c>
      <c r="H608" t="str">
        <f t="shared" si="9"/>
        <v>16.001.23.334.0008.2.011.3.3.90.30.00</v>
      </c>
      <c r="I608" t="s">
        <v>712</v>
      </c>
      <c r="J608" t="s">
        <v>713</v>
      </c>
      <c r="K608" t="s">
        <v>714</v>
      </c>
      <c r="L608" t="s">
        <v>141</v>
      </c>
      <c r="M608" t="s">
        <v>715</v>
      </c>
      <c r="N608" t="s">
        <v>24</v>
      </c>
      <c r="O608" t="s">
        <v>25</v>
      </c>
      <c r="P608" t="s">
        <v>29</v>
      </c>
      <c r="Q608" t="s">
        <v>717</v>
      </c>
      <c r="R608" s="9">
        <v>13977.82</v>
      </c>
      <c r="S608" t="s">
        <v>27</v>
      </c>
    </row>
    <row r="609" spans="1:19" x14ac:dyDescent="0.25">
      <c r="A609" t="s">
        <v>593</v>
      </c>
      <c r="B609" t="s">
        <v>13</v>
      </c>
      <c r="C609" s="2" t="s">
        <v>710</v>
      </c>
      <c r="D609" t="s">
        <v>137</v>
      </c>
      <c r="E609" t="s">
        <v>711</v>
      </c>
      <c r="F609" t="s">
        <v>17</v>
      </c>
      <c r="G609" t="s">
        <v>18</v>
      </c>
      <c r="H609" t="str">
        <f t="shared" si="9"/>
        <v>16.001.23.334.0008.2.011.3.3.90.30.00</v>
      </c>
      <c r="I609" t="s">
        <v>712</v>
      </c>
      <c r="J609" t="s">
        <v>713</v>
      </c>
      <c r="K609" t="s">
        <v>714</v>
      </c>
      <c r="L609" t="s">
        <v>141</v>
      </c>
      <c r="M609" t="s">
        <v>715</v>
      </c>
      <c r="N609" t="s">
        <v>24</v>
      </c>
      <c r="O609" t="s">
        <v>25</v>
      </c>
      <c r="P609" t="s">
        <v>29</v>
      </c>
      <c r="Q609" t="s">
        <v>718</v>
      </c>
      <c r="R609" s="9">
        <v>18206</v>
      </c>
      <c r="S609" t="s">
        <v>27</v>
      </c>
    </row>
    <row r="610" spans="1:19" x14ac:dyDescent="0.25">
      <c r="A610" t="s">
        <v>593</v>
      </c>
      <c r="B610" t="s">
        <v>13</v>
      </c>
      <c r="C610" s="2" t="s">
        <v>710</v>
      </c>
      <c r="D610" t="s">
        <v>137</v>
      </c>
      <c r="E610" t="s">
        <v>711</v>
      </c>
      <c r="F610" t="s">
        <v>17</v>
      </c>
      <c r="G610" t="s">
        <v>18</v>
      </c>
      <c r="H610" t="str">
        <f t="shared" si="9"/>
        <v>16.001.23.334.0008.2.011.3.3.90.30.00</v>
      </c>
      <c r="I610" t="s">
        <v>712</v>
      </c>
      <c r="J610" t="s">
        <v>713</v>
      </c>
      <c r="K610" t="s">
        <v>714</v>
      </c>
      <c r="L610" t="s">
        <v>141</v>
      </c>
      <c r="M610" t="s">
        <v>715</v>
      </c>
      <c r="N610" t="s">
        <v>24</v>
      </c>
      <c r="O610" t="s">
        <v>25</v>
      </c>
      <c r="P610" t="s">
        <v>29</v>
      </c>
      <c r="Q610" t="s">
        <v>719</v>
      </c>
      <c r="R610" s="9">
        <v>12850</v>
      </c>
      <c r="S610" t="s">
        <v>27</v>
      </c>
    </row>
    <row r="611" spans="1:19" x14ac:dyDescent="0.25">
      <c r="A611" t="s">
        <v>593</v>
      </c>
      <c r="B611" t="s">
        <v>13</v>
      </c>
      <c r="C611" s="2" t="s">
        <v>710</v>
      </c>
      <c r="D611" t="s">
        <v>137</v>
      </c>
      <c r="E611" t="s">
        <v>711</v>
      </c>
      <c r="F611" t="s">
        <v>17</v>
      </c>
      <c r="G611" t="s">
        <v>18</v>
      </c>
      <c r="H611" t="str">
        <f t="shared" si="9"/>
        <v>16.001.23.334.0008.2.011.3.3.90.30.00</v>
      </c>
      <c r="I611" t="s">
        <v>712</v>
      </c>
      <c r="J611" t="s">
        <v>713</v>
      </c>
      <c r="K611" t="s">
        <v>714</v>
      </c>
      <c r="L611" t="s">
        <v>141</v>
      </c>
      <c r="M611" t="s">
        <v>715</v>
      </c>
      <c r="N611" t="s">
        <v>24</v>
      </c>
      <c r="O611" t="s">
        <v>25</v>
      </c>
      <c r="P611" t="s">
        <v>28</v>
      </c>
      <c r="Q611" t="s">
        <v>720</v>
      </c>
      <c r="R611" s="9">
        <v>3074.3</v>
      </c>
      <c r="S611" t="s">
        <v>27</v>
      </c>
    </row>
    <row r="612" spans="1:19" x14ac:dyDescent="0.25">
      <c r="A612" t="s">
        <v>593</v>
      </c>
      <c r="B612" t="s">
        <v>13</v>
      </c>
      <c r="C612" s="2" t="s">
        <v>710</v>
      </c>
      <c r="D612" t="s">
        <v>137</v>
      </c>
      <c r="E612" t="s">
        <v>711</v>
      </c>
      <c r="F612" t="s">
        <v>17</v>
      </c>
      <c r="G612" t="s">
        <v>18</v>
      </c>
      <c r="H612" t="str">
        <f t="shared" si="9"/>
        <v>16.001.23.334.0008.2.011.3.3.90.30.00</v>
      </c>
      <c r="I612" t="s">
        <v>712</v>
      </c>
      <c r="J612" t="s">
        <v>713</v>
      </c>
      <c r="K612" t="s">
        <v>714</v>
      </c>
      <c r="L612" t="s">
        <v>141</v>
      </c>
      <c r="M612" t="s">
        <v>715</v>
      </c>
      <c r="N612" t="s">
        <v>24</v>
      </c>
      <c r="O612" t="s">
        <v>25</v>
      </c>
      <c r="P612" t="s">
        <v>29</v>
      </c>
      <c r="Q612" t="s">
        <v>721</v>
      </c>
      <c r="R612" s="9">
        <v>2500</v>
      </c>
      <c r="S612" t="s">
        <v>27</v>
      </c>
    </row>
    <row r="613" spans="1:19" x14ac:dyDescent="0.25">
      <c r="A613" t="s">
        <v>593</v>
      </c>
      <c r="B613" t="s">
        <v>13</v>
      </c>
      <c r="C613" s="2" t="s">
        <v>710</v>
      </c>
      <c r="D613" t="s">
        <v>137</v>
      </c>
      <c r="E613" t="s">
        <v>711</v>
      </c>
      <c r="F613" t="s">
        <v>17</v>
      </c>
      <c r="G613" t="s">
        <v>18</v>
      </c>
      <c r="H613" t="str">
        <f t="shared" si="9"/>
        <v>16.001.23.334.0008.2.011.3.3.90.30.00</v>
      </c>
      <c r="I613" t="s">
        <v>712</v>
      </c>
      <c r="J613" t="s">
        <v>713</v>
      </c>
      <c r="K613" t="s">
        <v>714</v>
      </c>
      <c r="L613" t="s">
        <v>141</v>
      </c>
      <c r="M613" t="s">
        <v>715</v>
      </c>
      <c r="N613" t="s">
        <v>24</v>
      </c>
      <c r="O613" t="s">
        <v>25</v>
      </c>
      <c r="P613" t="s">
        <v>30</v>
      </c>
      <c r="Q613" t="s">
        <v>722</v>
      </c>
      <c r="R613" s="9">
        <v>10984.92</v>
      </c>
      <c r="S613" t="s">
        <v>27</v>
      </c>
    </row>
    <row r="614" spans="1:19" x14ac:dyDescent="0.25">
      <c r="A614" t="s">
        <v>593</v>
      </c>
      <c r="B614" t="s">
        <v>13</v>
      </c>
      <c r="C614" s="2" t="s">
        <v>710</v>
      </c>
      <c r="D614" t="s">
        <v>137</v>
      </c>
      <c r="E614" t="s">
        <v>711</v>
      </c>
      <c r="F614" t="s">
        <v>17</v>
      </c>
      <c r="G614" t="s">
        <v>18</v>
      </c>
      <c r="H614" t="str">
        <f t="shared" si="9"/>
        <v>16.001.23.334.0008.2.011.3.3.90.30.00</v>
      </c>
      <c r="I614" t="s">
        <v>712</v>
      </c>
      <c r="J614" t="s">
        <v>713</v>
      </c>
      <c r="K614" t="s">
        <v>714</v>
      </c>
      <c r="L614" t="s">
        <v>141</v>
      </c>
      <c r="M614" t="s">
        <v>715</v>
      </c>
      <c r="N614" t="s">
        <v>24</v>
      </c>
      <c r="O614" t="s">
        <v>25</v>
      </c>
      <c r="P614" t="s">
        <v>29</v>
      </c>
      <c r="Q614" t="s">
        <v>723</v>
      </c>
      <c r="R614" s="9">
        <v>8081</v>
      </c>
      <c r="S614" t="s">
        <v>27</v>
      </c>
    </row>
    <row r="615" spans="1:19" x14ac:dyDescent="0.25">
      <c r="A615" t="s">
        <v>593</v>
      </c>
      <c r="B615" t="s">
        <v>13</v>
      </c>
      <c r="C615" s="2" t="s">
        <v>710</v>
      </c>
      <c r="D615" t="s">
        <v>137</v>
      </c>
      <c r="E615" t="s">
        <v>711</v>
      </c>
      <c r="F615" t="s">
        <v>17</v>
      </c>
      <c r="G615" t="s">
        <v>18</v>
      </c>
      <c r="H615" t="str">
        <f t="shared" si="9"/>
        <v>16.001.23.334.0008.2.011.3.3.90.30.00</v>
      </c>
      <c r="I615" t="s">
        <v>712</v>
      </c>
      <c r="J615" t="s">
        <v>713</v>
      </c>
      <c r="K615" t="s">
        <v>714</v>
      </c>
      <c r="L615" t="s">
        <v>141</v>
      </c>
      <c r="M615" t="s">
        <v>715</v>
      </c>
      <c r="N615" t="s">
        <v>24</v>
      </c>
      <c r="O615" t="s">
        <v>25</v>
      </c>
      <c r="P615" t="s">
        <v>29</v>
      </c>
      <c r="Q615" t="s">
        <v>724</v>
      </c>
      <c r="R615" s="9">
        <v>600</v>
      </c>
      <c r="S615" t="s">
        <v>27</v>
      </c>
    </row>
    <row r="616" spans="1:19" x14ac:dyDescent="0.25">
      <c r="A616" t="s">
        <v>593</v>
      </c>
      <c r="B616" t="s">
        <v>13</v>
      </c>
      <c r="C616" s="2" t="s">
        <v>710</v>
      </c>
      <c r="D616" t="s">
        <v>137</v>
      </c>
      <c r="E616" t="s">
        <v>711</v>
      </c>
      <c r="F616" t="s">
        <v>17</v>
      </c>
      <c r="G616" t="s">
        <v>18</v>
      </c>
      <c r="H616" t="str">
        <f t="shared" si="9"/>
        <v>16.001.23.334.0008.2.011.3.3.90.30.00</v>
      </c>
      <c r="I616" t="s">
        <v>712</v>
      </c>
      <c r="J616" t="s">
        <v>713</v>
      </c>
      <c r="K616" t="s">
        <v>714</v>
      </c>
      <c r="L616" t="s">
        <v>141</v>
      </c>
      <c r="M616" t="s">
        <v>715</v>
      </c>
      <c r="N616" t="s">
        <v>24</v>
      </c>
      <c r="O616" t="s">
        <v>25</v>
      </c>
      <c r="P616" t="s">
        <v>30</v>
      </c>
      <c r="Q616" t="s">
        <v>725</v>
      </c>
      <c r="R616" s="9">
        <v>453.5</v>
      </c>
      <c r="S616" t="s">
        <v>27</v>
      </c>
    </row>
    <row r="617" spans="1:19" x14ac:dyDescent="0.25">
      <c r="A617" t="s">
        <v>593</v>
      </c>
      <c r="B617" t="s">
        <v>13</v>
      </c>
      <c r="C617" s="2" t="s">
        <v>710</v>
      </c>
      <c r="D617" t="s">
        <v>137</v>
      </c>
      <c r="E617" t="s">
        <v>711</v>
      </c>
      <c r="F617" t="s">
        <v>17</v>
      </c>
      <c r="G617" t="s">
        <v>18</v>
      </c>
      <c r="H617" t="str">
        <f t="shared" si="9"/>
        <v>16.001.23.334.0008.2.011.3.3.90.30.00</v>
      </c>
      <c r="I617" t="s">
        <v>712</v>
      </c>
      <c r="J617" t="s">
        <v>713</v>
      </c>
      <c r="K617" t="s">
        <v>714</v>
      </c>
      <c r="L617" t="s">
        <v>141</v>
      </c>
      <c r="M617" t="s">
        <v>715</v>
      </c>
      <c r="N617" t="s">
        <v>24</v>
      </c>
      <c r="O617" t="s">
        <v>25</v>
      </c>
      <c r="P617" t="s">
        <v>30</v>
      </c>
      <c r="Q617" t="s">
        <v>726</v>
      </c>
      <c r="R617" s="9">
        <v>11007.82</v>
      </c>
      <c r="S617" t="s">
        <v>27</v>
      </c>
    </row>
    <row r="618" spans="1:19" x14ac:dyDescent="0.25">
      <c r="A618" t="s">
        <v>593</v>
      </c>
      <c r="B618" t="s">
        <v>13</v>
      </c>
      <c r="C618" s="2" t="s">
        <v>710</v>
      </c>
      <c r="D618" t="s">
        <v>137</v>
      </c>
      <c r="E618" t="s">
        <v>711</v>
      </c>
      <c r="F618" t="s">
        <v>17</v>
      </c>
      <c r="G618" t="s">
        <v>18</v>
      </c>
      <c r="H618" t="str">
        <f t="shared" si="9"/>
        <v>16.001.23.334.0008.2.011.3.3.90.30.00</v>
      </c>
      <c r="I618" t="s">
        <v>712</v>
      </c>
      <c r="J618" t="s">
        <v>713</v>
      </c>
      <c r="K618" t="s">
        <v>714</v>
      </c>
      <c r="L618" t="s">
        <v>141</v>
      </c>
      <c r="M618" t="s">
        <v>715</v>
      </c>
      <c r="N618" t="s">
        <v>24</v>
      </c>
      <c r="O618" t="s">
        <v>25</v>
      </c>
      <c r="P618" t="s">
        <v>30</v>
      </c>
      <c r="Q618" t="s">
        <v>727</v>
      </c>
      <c r="R618" s="9">
        <v>847.17</v>
      </c>
      <c r="S618" t="s">
        <v>27</v>
      </c>
    </row>
    <row r="619" spans="1:19" x14ac:dyDescent="0.25">
      <c r="A619" t="s">
        <v>593</v>
      </c>
      <c r="B619" t="s">
        <v>13</v>
      </c>
      <c r="C619" s="2" t="s">
        <v>710</v>
      </c>
      <c r="D619" t="s">
        <v>137</v>
      </c>
      <c r="E619" t="s">
        <v>711</v>
      </c>
      <c r="F619" t="s">
        <v>17</v>
      </c>
      <c r="G619" t="s">
        <v>18</v>
      </c>
      <c r="H619" t="str">
        <f t="shared" si="9"/>
        <v>16.001.23.334.0008.2.011.3.3.90.30.00</v>
      </c>
      <c r="I619" t="s">
        <v>712</v>
      </c>
      <c r="J619" t="s">
        <v>713</v>
      </c>
      <c r="K619" t="s">
        <v>714</v>
      </c>
      <c r="L619" t="s">
        <v>141</v>
      </c>
      <c r="M619" t="s">
        <v>715</v>
      </c>
      <c r="N619" t="s">
        <v>24</v>
      </c>
      <c r="O619" t="s">
        <v>25</v>
      </c>
      <c r="P619" t="s">
        <v>29</v>
      </c>
      <c r="Q619" t="s">
        <v>728</v>
      </c>
      <c r="R619" s="9">
        <v>183</v>
      </c>
      <c r="S619" t="s">
        <v>27</v>
      </c>
    </row>
    <row r="620" spans="1:19" x14ac:dyDescent="0.25">
      <c r="A620" t="s">
        <v>593</v>
      </c>
      <c r="B620" t="s">
        <v>13</v>
      </c>
      <c r="C620" s="2" t="s">
        <v>710</v>
      </c>
      <c r="D620" t="s">
        <v>137</v>
      </c>
      <c r="E620" t="s">
        <v>711</v>
      </c>
      <c r="F620" t="s">
        <v>17</v>
      </c>
      <c r="G620" t="s">
        <v>18</v>
      </c>
      <c r="H620" t="str">
        <f t="shared" si="9"/>
        <v>16.001.23.334.0008.2.011.3.3.90.30.00</v>
      </c>
      <c r="I620" t="s">
        <v>712</v>
      </c>
      <c r="J620" t="s">
        <v>713</v>
      </c>
      <c r="K620" t="s">
        <v>714</v>
      </c>
      <c r="L620" t="s">
        <v>141</v>
      </c>
      <c r="M620" t="s">
        <v>715</v>
      </c>
      <c r="N620" t="s">
        <v>24</v>
      </c>
      <c r="O620" t="s">
        <v>25</v>
      </c>
      <c r="P620" t="s">
        <v>87</v>
      </c>
      <c r="Q620" t="s">
        <v>729</v>
      </c>
      <c r="R620" s="9">
        <v>1135</v>
      </c>
      <c r="S620" t="s">
        <v>27</v>
      </c>
    </row>
    <row r="621" spans="1:19" x14ac:dyDescent="0.25">
      <c r="A621" t="s">
        <v>593</v>
      </c>
      <c r="B621" t="s">
        <v>13</v>
      </c>
      <c r="C621" s="2" t="s">
        <v>710</v>
      </c>
      <c r="D621" t="s">
        <v>137</v>
      </c>
      <c r="E621" t="s">
        <v>711</v>
      </c>
      <c r="F621" t="s">
        <v>17</v>
      </c>
      <c r="G621" t="s">
        <v>18</v>
      </c>
      <c r="H621" t="str">
        <f t="shared" si="9"/>
        <v>16.001.23.334.0008.2.011.3.3.90.30.00</v>
      </c>
      <c r="I621" t="s">
        <v>712</v>
      </c>
      <c r="J621" t="s">
        <v>713</v>
      </c>
      <c r="K621" t="s">
        <v>714</v>
      </c>
      <c r="L621" t="s">
        <v>141</v>
      </c>
      <c r="M621" t="s">
        <v>715</v>
      </c>
      <c r="N621" t="s">
        <v>24</v>
      </c>
      <c r="O621" t="s">
        <v>25</v>
      </c>
      <c r="P621" t="s">
        <v>29</v>
      </c>
      <c r="Q621" t="s">
        <v>730</v>
      </c>
      <c r="R621" s="9">
        <v>616.24</v>
      </c>
      <c r="S621" t="s">
        <v>27</v>
      </c>
    </row>
    <row r="622" spans="1:19" x14ac:dyDescent="0.25">
      <c r="A622" t="s">
        <v>593</v>
      </c>
      <c r="B622" t="s">
        <v>13</v>
      </c>
      <c r="C622" s="2" t="s">
        <v>710</v>
      </c>
      <c r="D622" t="s">
        <v>137</v>
      </c>
      <c r="E622" t="s">
        <v>711</v>
      </c>
      <c r="F622" t="s">
        <v>17</v>
      </c>
      <c r="G622" t="s">
        <v>18</v>
      </c>
      <c r="H622" t="str">
        <f t="shared" si="9"/>
        <v>16.001.23.334.0008.2.011.3.3.90.30.00</v>
      </c>
      <c r="I622" t="s">
        <v>712</v>
      </c>
      <c r="J622" t="s">
        <v>713</v>
      </c>
      <c r="K622" t="s">
        <v>714</v>
      </c>
      <c r="L622" t="s">
        <v>141</v>
      </c>
      <c r="M622" t="s">
        <v>715</v>
      </c>
      <c r="N622" t="s">
        <v>24</v>
      </c>
      <c r="O622" t="s">
        <v>25</v>
      </c>
      <c r="P622" t="s">
        <v>29</v>
      </c>
      <c r="Q622" t="s">
        <v>731</v>
      </c>
      <c r="R622" s="9">
        <v>8187</v>
      </c>
      <c r="S622" t="s">
        <v>27</v>
      </c>
    </row>
    <row r="623" spans="1:19" x14ac:dyDescent="0.25">
      <c r="A623" t="s">
        <v>593</v>
      </c>
      <c r="B623" t="s">
        <v>13</v>
      </c>
      <c r="C623" s="2" t="s">
        <v>710</v>
      </c>
      <c r="D623" t="s">
        <v>137</v>
      </c>
      <c r="E623" t="s">
        <v>711</v>
      </c>
      <c r="F623" t="s">
        <v>17</v>
      </c>
      <c r="G623" t="s">
        <v>18</v>
      </c>
      <c r="H623" t="str">
        <f t="shared" si="9"/>
        <v>16.001.23.334.0008.2.011.3.3.90.30.00</v>
      </c>
      <c r="I623" t="s">
        <v>712</v>
      </c>
      <c r="J623" t="s">
        <v>713</v>
      </c>
      <c r="K623" t="s">
        <v>714</v>
      </c>
      <c r="L623" t="s">
        <v>141</v>
      </c>
      <c r="M623" t="s">
        <v>715</v>
      </c>
      <c r="N623" t="s">
        <v>24</v>
      </c>
      <c r="O623" t="s">
        <v>25</v>
      </c>
      <c r="P623" t="s">
        <v>89</v>
      </c>
      <c r="Q623" t="s">
        <v>732</v>
      </c>
      <c r="R623" s="9">
        <v>23321</v>
      </c>
      <c r="S623" t="s">
        <v>27</v>
      </c>
    </row>
    <row r="624" spans="1:19" x14ac:dyDescent="0.25">
      <c r="A624" t="s">
        <v>593</v>
      </c>
      <c r="B624" t="s">
        <v>13</v>
      </c>
      <c r="C624" s="2" t="s">
        <v>710</v>
      </c>
      <c r="D624" t="s">
        <v>137</v>
      </c>
      <c r="E624" t="s">
        <v>711</v>
      </c>
      <c r="F624" t="s">
        <v>17</v>
      </c>
      <c r="G624" t="s">
        <v>18</v>
      </c>
      <c r="H624" t="str">
        <f t="shared" si="9"/>
        <v>16.001.23.334.0008.2.011.3.3.90.30.00</v>
      </c>
      <c r="I624" t="s">
        <v>712</v>
      </c>
      <c r="J624" t="s">
        <v>713</v>
      </c>
      <c r="K624" t="s">
        <v>714</v>
      </c>
      <c r="L624" t="s">
        <v>141</v>
      </c>
      <c r="M624" t="s">
        <v>715</v>
      </c>
      <c r="N624" t="s">
        <v>24</v>
      </c>
      <c r="O624" t="s">
        <v>25</v>
      </c>
      <c r="P624" t="s">
        <v>28</v>
      </c>
      <c r="Q624" t="s">
        <v>733</v>
      </c>
      <c r="R624" s="9">
        <v>3512.5</v>
      </c>
      <c r="S624" t="s">
        <v>27</v>
      </c>
    </row>
    <row r="625" spans="1:19" x14ac:dyDescent="0.25">
      <c r="A625" t="s">
        <v>593</v>
      </c>
      <c r="B625" t="s">
        <v>13</v>
      </c>
      <c r="C625" s="2" t="s">
        <v>710</v>
      </c>
      <c r="D625" t="s">
        <v>312</v>
      </c>
      <c r="E625" t="s">
        <v>52</v>
      </c>
      <c r="F625" t="s">
        <v>133</v>
      </c>
      <c r="G625" t="s">
        <v>31</v>
      </c>
      <c r="H625" t="str">
        <f t="shared" si="9"/>
        <v>16.001.23.131.0002.2.005.3.3.90.39.00</v>
      </c>
      <c r="I625" t="s">
        <v>712</v>
      </c>
      <c r="J625" t="s">
        <v>713</v>
      </c>
      <c r="K625" t="s">
        <v>714</v>
      </c>
      <c r="L625" t="s">
        <v>313</v>
      </c>
      <c r="M625" t="s">
        <v>58</v>
      </c>
      <c r="N625" t="s">
        <v>134</v>
      </c>
      <c r="O625" t="s">
        <v>32</v>
      </c>
      <c r="P625" t="s">
        <v>65</v>
      </c>
      <c r="Q625" t="s">
        <v>734</v>
      </c>
      <c r="R625" s="9">
        <v>11556</v>
      </c>
      <c r="S625" t="s">
        <v>27</v>
      </c>
    </row>
    <row r="626" spans="1:19" x14ac:dyDescent="0.25">
      <c r="A626" t="s">
        <v>593</v>
      </c>
      <c r="B626" t="s">
        <v>13</v>
      </c>
      <c r="C626" s="2" t="s">
        <v>710</v>
      </c>
      <c r="D626" t="s">
        <v>312</v>
      </c>
      <c r="E626" t="s">
        <v>52</v>
      </c>
      <c r="F626" t="s">
        <v>133</v>
      </c>
      <c r="G626" t="s">
        <v>31</v>
      </c>
      <c r="H626" t="str">
        <f t="shared" si="9"/>
        <v>16.001.23.131.0002.2.005.3.3.90.39.00</v>
      </c>
      <c r="I626" t="s">
        <v>712</v>
      </c>
      <c r="J626" t="s">
        <v>713</v>
      </c>
      <c r="K626" t="s">
        <v>714</v>
      </c>
      <c r="L626" t="s">
        <v>313</v>
      </c>
      <c r="M626" t="s">
        <v>58</v>
      </c>
      <c r="N626" t="s">
        <v>134</v>
      </c>
      <c r="O626" t="s">
        <v>32</v>
      </c>
      <c r="P626" t="s">
        <v>65</v>
      </c>
      <c r="Q626" t="s">
        <v>735</v>
      </c>
      <c r="R626" s="9">
        <v>108520</v>
      </c>
      <c r="S626" t="s">
        <v>27</v>
      </c>
    </row>
    <row r="627" spans="1:19" x14ac:dyDescent="0.25">
      <c r="A627" t="s">
        <v>593</v>
      </c>
      <c r="B627" t="s">
        <v>13</v>
      </c>
      <c r="C627" s="2" t="s">
        <v>710</v>
      </c>
      <c r="D627" t="s">
        <v>137</v>
      </c>
      <c r="E627" t="s">
        <v>711</v>
      </c>
      <c r="F627" t="s">
        <v>17</v>
      </c>
      <c r="G627" t="s">
        <v>31</v>
      </c>
      <c r="H627" t="str">
        <f t="shared" si="9"/>
        <v>16.001.23.334.0008.2.011.3.3.90.39.00</v>
      </c>
      <c r="I627" t="s">
        <v>712</v>
      </c>
      <c r="J627" t="s">
        <v>713</v>
      </c>
      <c r="K627" t="s">
        <v>714</v>
      </c>
      <c r="L627" t="s">
        <v>141</v>
      </c>
      <c r="M627" t="s">
        <v>715</v>
      </c>
      <c r="N627" t="s">
        <v>24</v>
      </c>
      <c r="O627" t="s">
        <v>32</v>
      </c>
      <c r="P627" t="s">
        <v>65</v>
      </c>
      <c r="Q627" t="s">
        <v>736</v>
      </c>
      <c r="R627" s="9">
        <v>1612.5</v>
      </c>
      <c r="S627" t="s">
        <v>27</v>
      </c>
    </row>
    <row r="628" spans="1:19" x14ac:dyDescent="0.25">
      <c r="A628" t="s">
        <v>593</v>
      </c>
      <c r="B628" t="s">
        <v>13</v>
      </c>
      <c r="C628" s="2" t="s">
        <v>710</v>
      </c>
      <c r="D628" t="s">
        <v>137</v>
      </c>
      <c r="E628" t="s">
        <v>711</v>
      </c>
      <c r="F628" t="s">
        <v>17</v>
      </c>
      <c r="G628" t="s">
        <v>31</v>
      </c>
      <c r="H628" t="str">
        <f t="shared" si="9"/>
        <v>16.001.23.334.0008.2.011.3.3.90.39.00</v>
      </c>
      <c r="I628" t="s">
        <v>712</v>
      </c>
      <c r="J628" t="s">
        <v>713</v>
      </c>
      <c r="K628" t="s">
        <v>714</v>
      </c>
      <c r="L628" t="s">
        <v>141</v>
      </c>
      <c r="M628" t="s">
        <v>715</v>
      </c>
      <c r="N628" t="s">
        <v>24</v>
      </c>
      <c r="O628" t="s">
        <v>32</v>
      </c>
      <c r="P628" t="s">
        <v>65</v>
      </c>
      <c r="Q628" t="s">
        <v>732</v>
      </c>
      <c r="R628" s="9">
        <v>4200</v>
      </c>
      <c r="S628" t="s">
        <v>27</v>
      </c>
    </row>
    <row r="629" spans="1:19" x14ac:dyDescent="0.25">
      <c r="A629" t="s">
        <v>508</v>
      </c>
      <c r="B629" t="s">
        <v>13</v>
      </c>
      <c r="C629" s="2" t="s">
        <v>14</v>
      </c>
      <c r="D629" t="s">
        <v>15</v>
      </c>
      <c r="E629" t="s">
        <v>509</v>
      </c>
      <c r="F629" t="s">
        <v>17</v>
      </c>
      <c r="G629" t="s">
        <v>18</v>
      </c>
      <c r="H629" t="str">
        <f t="shared" si="9"/>
        <v>17.001.04.122.0007.2.011.3.3.90.30.00</v>
      </c>
      <c r="I629" t="s">
        <v>737</v>
      </c>
      <c r="J629" t="s">
        <v>738</v>
      </c>
      <c r="K629" t="s">
        <v>21</v>
      </c>
      <c r="L629" t="s">
        <v>22</v>
      </c>
      <c r="M629" t="s">
        <v>512</v>
      </c>
      <c r="N629" t="s">
        <v>24</v>
      </c>
      <c r="O629" t="s">
        <v>25</v>
      </c>
      <c r="P629" t="s">
        <v>28</v>
      </c>
      <c r="Q629" t="s">
        <v>739</v>
      </c>
      <c r="R629" s="9">
        <v>960</v>
      </c>
      <c r="S629" t="s">
        <v>27</v>
      </c>
    </row>
    <row r="630" spans="1:19" x14ac:dyDescent="0.25">
      <c r="A630" t="s">
        <v>508</v>
      </c>
      <c r="B630" t="s">
        <v>13</v>
      </c>
      <c r="C630" s="2" t="s">
        <v>14</v>
      </c>
      <c r="D630" t="s">
        <v>740</v>
      </c>
      <c r="E630" t="s">
        <v>509</v>
      </c>
      <c r="F630" t="s">
        <v>17</v>
      </c>
      <c r="G630" t="s">
        <v>323</v>
      </c>
      <c r="H630" t="str">
        <f t="shared" si="9"/>
        <v>17.001.04.541.0007.2.011.3.3.50.85.00</v>
      </c>
      <c r="I630" t="s">
        <v>737</v>
      </c>
      <c r="J630" t="s">
        <v>738</v>
      </c>
      <c r="K630" t="s">
        <v>21</v>
      </c>
      <c r="L630" t="s">
        <v>741</v>
      </c>
      <c r="M630" t="s">
        <v>512</v>
      </c>
      <c r="N630" t="s">
        <v>24</v>
      </c>
      <c r="O630" t="s">
        <v>328</v>
      </c>
      <c r="P630" t="s">
        <v>329</v>
      </c>
      <c r="Q630" t="s">
        <v>742</v>
      </c>
      <c r="R630" s="9">
        <v>10000000</v>
      </c>
      <c r="S630" t="s">
        <v>27</v>
      </c>
    </row>
    <row r="631" spans="1:19" x14ac:dyDescent="0.25">
      <c r="A631" t="s">
        <v>508</v>
      </c>
      <c r="B631" t="s">
        <v>13</v>
      </c>
      <c r="C631" s="2" t="s">
        <v>14</v>
      </c>
      <c r="D631" t="s">
        <v>740</v>
      </c>
      <c r="E631" t="s">
        <v>509</v>
      </c>
      <c r="F631" t="s">
        <v>17</v>
      </c>
      <c r="G631" t="s">
        <v>31</v>
      </c>
      <c r="H631" t="str">
        <f t="shared" si="9"/>
        <v>17.001.04.541.0007.2.011.3.3.90.39.00</v>
      </c>
      <c r="I631" t="s">
        <v>737</v>
      </c>
      <c r="J631" t="s">
        <v>738</v>
      </c>
      <c r="K631" t="s">
        <v>21</v>
      </c>
      <c r="L631" t="s">
        <v>741</v>
      </c>
      <c r="M631" t="s">
        <v>512</v>
      </c>
      <c r="N631" t="s">
        <v>24</v>
      </c>
      <c r="O631" t="s">
        <v>32</v>
      </c>
      <c r="P631" t="s">
        <v>93</v>
      </c>
      <c r="Q631" t="s">
        <v>743</v>
      </c>
      <c r="R631" s="9">
        <v>6000000</v>
      </c>
      <c r="S631" t="s">
        <v>27</v>
      </c>
    </row>
    <row r="632" spans="1:19" x14ac:dyDescent="0.25">
      <c r="A632" t="s">
        <v>508</v>
      </c>
      <c r="B632" t="s">
        <v>13</v>
      </c>
      <c r="C632" s="2" t="s">
        <v>14</v>
      </c>
      <c r="D632" t="s">
        <v>15</v>
      </c>
      <c r="E632" t="s">
        <v>509</v>
      </c>
      <c r="F632" t="s">
        <v>17</v>
      </c>
      <c r="G632" t="s">
        <v>18</v>
      </c>
      <c r="H632" t="str">
        <f t="shared" si="9"/>
        <v>17.001.04.122.0007.2.011.3.3.90.30.00</v>
      </c>
      <c r="I632" t="s">
        <v>737</v>
      </c>
      <c r="J632" t="s">
        <v>738</v>
      </c>
      <c r="K632" t="s">
        <v>21</v>
      </c>
      <c r="L632" t="s">
        <v>22</v>
      </c>
      <c r="M632" t="s">
        <v>512</v>
      </c>
      <c r="N632" t="s">
        <v>24</v>
      </c>
      <c r="O632" t="s">
        <v>25</v>
      </c>
      <c r="P632" t="s">
        <v>28</v>
      </c>
      <c r="Q632" t="s">
        <v>744</v>
      </c>
      <c r="R632" s="9">
        <v>2400</v>
      </c>
      <c r="S632" t="s">
        <v>27</v>
      </c>
    </row>
    <row r="633" spans="1:19" x14ac:dyDescent="0.25">
      <c r="A633" t="s">
        <v>508</v>
      </c>
      <c r="B633" t="s">
        <v>13</v>
      </c>
      <c r="C633" s="2" t="s">
        <v>14</v>
      </c>
      <c r="D633" t="s">
        <v>15</v>
      </c>
      <c r="E633" t="s">
        <v>509</v>
      </c>
      <c r="F633" t="s">
        <v>17</v>
      </c>
      <c r="G633" t="s">
        <v>18</v>
      </c>
      <c r="H633" t="str">
        <f t="shared" si="9"/>
        <v>17.001.04.122.0007.2.011.3.3.90.30.00</v>
      </c>
      <c r="I633" t="s">
        <v>737</v>
      </c>
      <c r="J633" t="s">
        <v>738</v>
      </c>
      <c r="K633" t="s">
        <v>21</v>
      </c>
      <c r="L633" t="s">
        <v>22</v>
      </c>
      <c r="M633" t="s">
        <v>512</v>
      </c>
      <c r="N633" t="s">
        <v>24</v>
      </c>
      <c r="O633" t="s">
        <v>25</v>
      </c>
      <c r="P633" t="s">
        <v>29</v>
      </c>
      <c r="Q633" t="s">
        <v>745</v>
      </c>
      <c r="R633" s="9">
        <v>950</v>
      </c>
      <c r="S633" t="s">
        <v>27</v>
      </c>
    </row>
    <row r="634" spans="1:19" x14ac:dyDescent="0.25">
      <c r="A634" t="s">
        <v>508</v>
      </c>
      <c r="B634" t="s">
        <v>13</v>
      </c>
      <c r="C634" s="2" t="s">
        <v>14</v>
      </c>
      <c r="D634" t="s">
        <v>15</v>
      </c>
      <c r="E634" t="s">
        <v>509</v>
      </c>
      <c r="F634" t="s">
        <v>17</v>
      </c>
      <c r="G634" t="s">
        <v>18</v>
      </c>
      <c r="H634" t="str">
        <f t="shared" si="9"/>
        <v>17.001.04.122.0007.2.011.3.3.90.30.00</v>
      </c>
      <c r="I634" t="s">
        <v>737</v>
      </c>
      <c r="J634" t="s">
        <v>738</v>
      </c>
      <c r="K634" t="s">
        <v>21</v>
      </c>
      <c r="L634" t="s">
        <v>22</v>
      </c>
      <c r="M634" t="s">
        <v>512</v>
      </c>
      <c r="N634" t="s">
        <v>24</v>
      </c>
      <c r="O634" t="s">
        <v>25</v>
      </c>
      <c r="P634" t="s">
        <v>225</v>
      </c>
      <c r="Q634" t="s">
        <v>746</v>
      </c>
      <c r="R634" s="9">
        <v>40711.75</v>
      </c>
      <c r="S634" t="s">
        <v>27</v>
      </c>
    </row>
    <row r="635" spans="1:19" x14ac:dyDescent="0.25">
      <c r="A635" t="s">
        <v>508</v>
      </c>
      <c r="B635" t="s">
        <v>13</v>
      </c>
      <c r="C635" s="2" t="s">
        <v>14</v>
      </c>
      <c r="D635" t="s">
        <v>15</v>
      </c>
      <c r="E635" t="s">
        <v>509</v>
      </c>
      <c r="F635" t="s">
        <v>17</v>
      </c>
      <c r="G635" t="s">
        <v>18</v>
      </c>
      <c r="H635" t="str">
        <f t="shared" si="9"/>
        <v>17.001.04.122.0007.2.011.3.3.90.30.00</v>
      </c>
      <c r="I635" t="s">
        <v>737</v>
      </c>
      <c r="J635" t="s">
        <v>738</v>
      </c>
      <c r="K635" t="s">
        <v>21</v>
      </c>
      <c r="L635" t="s">
        <v>22</v>
      </c>
      <c r="M635" t="s">
        <v>512</v>
      </c>
      <c r="N635" t="s">
        <v>24</v>
      </c>
      <c r="O635" t="s">
        <v>25</v>
      </c>
      <c r="P635" t="s">
        <v>29</v>
      </c>
      <c r="Q635" t="s">
        <v>747</v>
      </c>
      <c r="R635" s="9">
        <v>15454.2</v>
      </c>
      <c r="S635" t="s">
        <v>27</v>
      </c>
    </row>
    <row r="636" spans="1:19" x14ac:dyDescent="0.25">
      <c r="A636" t="s">
        <v>508</v>
      </c>
      <c r="B636" t="s">
        <v>13</v>
      </c>
      <c r="C636" s="2" t="s">
        <v>14</v>
      </c>
      <c r="D636" t="s">
        <v>15</v>
      </c>
      <c r="E636" t="s">
        <v>509</v>
      </c>
      <c r="F636" t="s">
        <v>17</v>
      </c>
      <c r="G636" t="s">
        <v>18</v>
      </c>
      <c r="H636" t="str">
        <f t="shared" si="9"/>
        <v>17.001.04.122.0007.2.011.3.3.90.30.00</v>
      </c>
      <c r="I636" t="s">
        <v>737</v>
      </c>
      <c r="J636" t="s">
        <v>738</v>
      </c>
      <c r="K636" t="s">
        <v>21</v>
      </c>
      <c r="L636" t="s">
        <v>22</v>
      </c>
      <c r="M636" t="s">
        <v>512</v>
      </c>
      <c r="N636" t="s">
        <v>24</v>
      </c>
      <c r="O636" t="s">
        <v>25</v>
      </c>
      <c r="P636" t="s">
        <v>29</v>
      </c>
      <c r="Q636" t="s">
        <v>748</v>
      </c>
      <c r="R636" s="9">
        <v>15264</v>
      </c>
      <c r="S636" t="s">
        <v>27</v>
      </c>
    </row>
    <row r="637" spans="1:19" x14ac:dyDescent="0.25">
      <c r="A637" t="s">
        <v>508</v>
      </c>
      <c r="B637" t="s">
        <v>13</v>
      </c>
      <c r="C637" s="2" t="s">
        <v>14</v>
      </c>
      <c r="D637" t="s">
        <v>15</v>
      </c>
      <c r="E637" t="s">
        <v>509</v>
      </c>
      <c r="F637" t="s">
        <v>17</v>
      </c>
      <c r="G637" t="s">
        <v>18</v>
      </c>
      <c r="H637" t="str">
        <f t="shared" si="9"/>
        <v>17.001.04.122.0007.2.011.3.3.90.30.00</v>
      </c>
      <c r="I637" t="s">
        <v>737</v>
      </c>
      <c r="J637" t="s">
        <v>738</v>
      </c>
      <c r="K637" t="s">
        <v>21</v>
      </c>
      <c r="L637" t="s">
        <v>22</v>
      </c>
      <c r="M637" t="s">
        <v>512</v>
      </c>
      <c r="N637" t="s">
        <v>24</v>
      </c>
      <c r="O637" t="s">
        <v>25</v>
      </c>
      <c r="P637" t="s">
        <v>28</v>
      </c>
      <c r="Q637" t="s">
        <v>749</v>
      </c>
      <c r="R637" s="9">
        <v>4850</v>
      </c>
      <c r="S637" t="s">
        <v>27</v>
      </c>
    </row>
    <row r="638" spans="1:19" x14ac:dyDescent="0.25">
      <c r="A638" t="s">
        <v>508</v>
      </c>
      <c r="B638" t="s">
        <v>13</v>
      </c>
      <c r="C638" s="2" t="s">
        <v>14</v>
      </c>
      <c r="D638" t="s">
        <v>312</v>
      </c>
      <c r="E638" t="s">
        <v>52</v>
      </c>
      <c r="F638" t="s">
        <v>133</v>
      </c>
      <c r="G638" t="s">
        <v>18</v>
      </c>
      <c r="H638" t="str">
        <f t="shared" si="9"/>
        <v>17.001.04.131.0002.2.005.3.3.90.30.00</v>
      </c>
      <c r="I638" t="s">
        <v>737</v>
      </c>
      <c r="J638" t="s">
        <v>738</v>
      </c>
      <c r="K638" t="s">
        <v>21</v>
      </c>
      <c r="L638" t="s">
        <v>313</v>
      </c>
      <c r="M638" t="s">
        <v>58</v>
      </c>
      <c r="N638" t="s">
        <v>134</v>
      </c>
      <c r="O638" t="s">
        <v>25</v>
      </c>
      <c r="P638" t="s">
        <v>49</v>
      </c>
      <c r="R638" s="9">
        <v>20000</v>
      </c>
      <c r="S638" t="s">
        <v>27</v>
      </c>
    </row>
    <row r="639" spans="1:19" x14ac:dyDescent="0.25">
      <c r="A639" t="s">
        <v>508</v>
      </c>
      <c r="B639" t="s">
        <v>13</v>
      </c>
      <c r="C639" s="2" t="s">
        <v>14</v>
      </c>
      <c r="D639" t="s">
        <v>15</v>
      </c>
      <c r="E639" t="s">
        <v>509</v>
      </c>
      <c r="F639" t="s">
        <v>182</v>
      </c>
      <c r="G639" t="s">
        <v>18</v>
      </c>
      <c r="H639" t="str">
        <f t="shared" si="9"/>
        <v>17.001.04.122.0007.2.001.3.3.90.30.00</v>
      </c>
      <c r="I639" t="s">
        <v>737</v>
      </c>
      <c r="J639" t="s">
        <v>738</v>
      </c>
      <c r="K639" t="s">
        <v>21</v>
      </c>
      <c r="L639" t="s">
        <v>22</v>
      </c>
      <c r="M639" t="s">
        <v>512</v>
      </c>
      <c r="N639" t="s">
        <v>183</v>
      </c>
      <c r="O639" t="s">
        <v>25</v>
      </c>
      <c r="P639" t="s">
        <v>537</v>
      </c>
      <c r="Q639" t="s">
        <v>750</v>
      </c>
      <c r="R639" s="9">
        <v>16613</v>
      </c>
      <c r="S639" t="s">
        <v>27</v>
      </c>
    </row>
    <row r="640" spans="1:19" x14ac:dyDescent="0.25">
      <c r="A640" t="s">
        <v>508</v>
      </c>
      <c r="B640" t="s">
        <v>13</v>
      </c>
      <c r="C640" s="2" t="s">
        <v>14</v>
      </c>
      <c r="D640" t="s">
        <v>15</v>
      </c>
      <c r="E640" t="s">
        <v>509</v>
      </c>
      <c r="F640" t="s">
        <v>17</v>
      </c>
      <c r="G640" t="s">
        <v>18</v>
      </c>
      <c r="H640" t="str">
        <f t="shared" si="9"/>
        <v>17.001.04.122.0007.2.011.3.3.90.30.00</v>
      </c>
      <c r="I640" t="s">
        <v>737</v>
      </c>
      <c r="J640" t="s">
        <v>738</v>
      </c>
      <c r="K640" t="s">
        <v>21</v>
      </c>
      <c r="L640" t="s">
        <v>22</v>
      </c>
      <c r="M640" t="s">
        <v>512</v>
      </c>
      <c r="N640" t="s">
        <v>24</v>
      </c>
      <c r="O640" t="s">
        <v>25</v>
      </c>
      <c r="P640" t="s">
        <v>39</v>
      </c>
      <c r="Q640" t="s">
        <v>751</v>
      </c>
      <c r="R640" s="9">
        <v>87257.3</v>
      </c>
      <c r="S640" t="s">
        <v>27</v>
      </c>
    </row>
    <row r="641" spans="1:19" x14ac:dyDescent="0.25">
      <c r="A641" t="s">
        <v>508</v>
      </c>
      <c r="B641" t="s">
        <v>13</v>
      </c>
      <c r="C641" s="2" t="s">
        <v>14</v>
      </c>
      <c r="D641" t="s">
        <v>15</v>
      </c>
      <c r="E641" t="s">
        <v>509</v>
      </c>
      <c r="F641" t="s">
        <v>17</v>
      </c>
      <c r="G641" t="s">
        <v>18</v>
      </c>
      <c r="H641" t="str">
        <f t="shared" si="9"/>
        <v>17.001.04.122.0007.2.011.3.3.90.30.00</v>
      </c>
      <c r="I641" t="s">
        <v>737</v>
      </c>
      <c r="J641" t="s">
        <v>738</v>
      </c>
      <c r="K641" t="s">
        <v>21</v>
      </c>
      <c r="L641" t="s">
        <v>22</v>
      </c>
      <c r="M641" t="s">
        <v>512</v>
      </c>
      <c r="N641" t="s">
        <v>24</v>
      </c>
      <c r="O641" t="s">
        <v>25</v>
      </c>
      <c r="P641" t="s">
        <v>29</v>
      </c>
      <c r="Q641" t="s">
        <v>752</v>
      </c>
      <c r="R641" s="9">
        <v>23455</v>
      </c>
      <c r="S641" t="s">
        <v>27</v>
      </c>
    </row>
    <row r="642" spans="1:19" x14ac:dyDescent="0.25">
      <c r="A642" t="s">
        <v>508</v>
      </c>
      <c r="B642" t="s">
        <v>13</v>
      </c>
      <c r="C642" s="2" t="s">
        <v>14</v>
      </c>
      <c r="D642" t="s">
        <v>15</v>
      </c>
      <c r="E642" t="s">
        <v>509</v>
      </c>
      <c r="F642" t="s">
        <v>17</v>
      </c>
      <c r="G642" t="s">
        <v>18</v>
      </c>
      <c r="H642" t="str">
        <f t="shared" ref="H642:H705" si="10">_xlfn.CONCAT(A642,".",B642,".",C642,".",D642,".",E642,".",F642,".",G642)</f>
        <v>17.001.04.122.0007.2.011.3.3.90.30.00</v>
      </c>
      <c r="I642" t="s">
        <v>737</v>
      </c>
      <c r="J642" t="s">
        <v>738</v>
      </c>
      <c r="K642" t="s">
        <v>21</v>
      </c>
      <c r="L642" t="s">
        <v>22</v>
      </c>
      <c r="M642" t="s">
        <v>512</v>
      </c>
      <c r="N642" t="s">
        <v>24</v>
      </c>
      <c r="O642" t="s">
        <v>25</v>
      </c>
      <c r="P642" t="s">
        <v>28</v>
      </c>
      <c r="Q642" t="s">
        <v>753</v>
      </c>
      <c r="R642" s="9">
        <v>5340.2</v>
      </c>
      <c r="S642" t="s">
        <v>27</v>
      </c>
    </row>
    <row r="643" spans="1:19" x14ac:dyDescent="0.25">
      <c r="A643" t="s">
        <v>508</v>
      </c>
      <c r="B643" t="s">
        <v>13</v>
      </c>
      <c r="C643" s="2" t="s">
        <v>14</v>
      </c>
      <c r="D643" t="s">
        <v>15</v>
      </c>
      <c r="E643" t="s">
        <v>509</v>
      </c>
      <c r="F643" t="s">
        <v>17</v>
      </c>
      <c r="G643" t="s">
        <v>18</v>
      </c>
      <c r="H643" t="str">
        <f t="shared" si="10"/>
        <v>17.001.04.122.0007.2.011.3.3.90.30.00</v>
      </c>
      <c r="I643" t="s">
        <v>737</v>
      </c>
      <c r="J643" t="s">
        <v>738</v>
      </c>
      <c r="K643" t="s">
        <v>21</v>
      </c>
      <c r="L643" t="s">
        <v>22</v>
      </c>
      <c r="M643" t="s">
        <v>512</v>
      </c>
      <c r="N643" t="s">
        <v>24</v>
      </c>
      <c r="O643" t="s">
        <v>25</v>
      </c>
      <c r="P643" t="s">
        <v>29</v>
      </c>
      <c r="Q643" t="s">
        <v>754</v>
      </c>
      <c r="R643" s="9">
        <v>1600.25</v>
      </c>
      <c r="S643" t="s">
        <v>27</v>
      </c>
    </row>
    <row r="644" spans="1:19" x14ac:dyDescent="0.25">
      <c r="A644" t="s">
        <v>508</v>
      </c>
      <c r="B644" t="s">
        <v>13</v>
      </c>
      <c r="C644" s="2" t="s">
        <v>14</v>
      </c>
      <c r="D644" t="s">
        <v>15</v>
      </c>
      <c r="E644" t="s">
        <v>509</v>
      </c>
      <c r="F644" t="s">
        <v>17</v>
      </c>
      <c r="G644" t="s">
        <v>18</v>
      </c>
      <c r="H644" t="str">
        <f t="shared" si="10"/>
        <v>17.001.04.122.0007.2.011.3.3.90.30.00</v>
      </c>
      <c r="I644" t="s">
        <v>737</v>
      </c>
      <c r="J644" t="s">
        <v>738</v>
      </c>
      <c r="K644" t="s">
        <v>21</v>
      </c>
      <c r="L644" t="s">
        <v>22</v>
      </c>
      <c r="M644" t="s">
        <v>512</v>
      </c>
      <c r="N644" t="s">
        <v>24</v>
      </c>
      <c r="O644" t="s">
        <v>25</v>
      </c>
      <c r="P644" t="s">
        <v>28</v>
      </c>
      <c r="Q644" t="s">
        <v>755</v>
      </c>
      <c r="R644" s="9">
        <v>2835</v>
      </c>
      <c r="S644" t="s">
        <v>27</v>
      </c>
    </row>
    <row r="645" spans="1:19" x14ac:dyDescent="0.25">
      <c r="A645" t="s">
        <v>508</v>
      </c>
      <c r="B645" t="s">
        <v>13</v>
      </c>
      <c r="C645" s="2" t="s">
        <v>14</v>
      </c>
      <c r="D645" t="s">
        <v>15</v>
      </c>
      <c r="E645" t="s">
        <v>509</v>
      </c>
      <c r="F645" t="s">
        <v>17</v>
      </c>
      <c r="G645" t="s">
        <v>18</v>
      </c>
      <c r="H645" t="str">
        <f t="shared" si="10"/>
        <v>17.001.04.122.0007.2.011.3.3.90.30.00</v>
      </c>
      <c r="I645" t="s">
        <v>737</v>
      </c>
      <c r="J645" t="s">
        <v>738</v>
      </c>
      <c r="K645" t="s">
        <v>21</v>
      </c>
      <c r="L645" t="s">
        <v>22</v>
      </c>
      <c r="M645" t="s">
        <v>512</v>
      </c>
      <c r="N645" t="s">
        <v>24</v>
      </c>
      <c r="O645" t="s">
        <v>25</v>
      </c>
      <c r="P645" t="s">
        <v>39</v>
      </c>
      <c r="Q645" t="s">
        <v>756</v>
      </c>
      <c r="R645" s="9">
        <v>40581</v>
      </c>
      <c r="S645" t="s">
        <v>27</v>
      </c>
    </row>
    <row r="646" spans="1:19" x14ac:dyDescent="0.25">
      <c r="A646" t="s">
        <v>508</v>
      </c>
      <c r="B646" t="s">
        <v>13</v>
      </c>
      <c r="C646" s="2" t="s">
        <v>14</v>
      </c>
      <c r="D646" t="s">
        <v>15</v>
      </c>
      <c r="E646" t="s">
        <v>509</v>
      </c>
      <c r="F646" t="s">
        <v>17</v>
      </c>
      <c r="G646" t="s">
        <v>18</v>
      </c>
      <c r="H646" t="str">
        <f t="shared" si="10"/>
        <v>17.001.04.122.0007.2.011.3.3.90.30.00</v>
      </c>
      <c r="I646" t="s">
        <v>737</v>
      </c>
      <c r="J646" t="s">
        <v>738</v>
      </c>
      <c r="K646" t="s">
        <v>21</v>
      </c>
      <c r="L646" t="s">
        <v>22</v>
      </c>
      <c r="M646" t="s">
        <v>512</v>
      </c>
      <c r="N646" t="s">
        <v>24</v>
      </c>
      <c r="O646" t="s">
        <v>25</v>
      </c>
      <c r="P646" t="s">
        <v>39</v>
      </c>
      <c r="Q646" t="s">
        <v>757</v>
      </c>
      <c r="R646" s="9">
        <v>9573.6</v>
      </c>
      <c r="S646" t="s">
        <v>27</v>
      </c>
    </row>
    <row r="647" spans="1:19" x14ac:dyDescent="0.25">
      <c r="A647" t="s">
        <v>508</v>
      </c>
      <c r="B647" t="s">
        <v>13</v>
      </c>
      <c r="C647" s="2" t="s">
        <v>14</v>
      </c>
      <c r="D647" t="s">
        <v>15</v>
      </c>
      <c r="E647" t="s">
        <v>509</v>
      </c>
      <c r="F647" t="s">
        <v>17</v>
      </c>
      <c r="G647" t="s">
        <v>31</v>
      </c>
      <c r="H647" t="str">
        <f t="shared" si="10"/>
        <v>17.001.04.122.0007.2.011.3.3.90.39.00</v>
      </c>
      <c r="I647" t="s">
        <v>737</v>
      </c>
      <c r="J647" t="s">
        <v>738</v>
      </c>
      <c r="K647" t="s">
        <v>21</v>
      </c>
      <c r="L647" t="s">
        <v>22</v>
      </c>
      <c r="M647" t="s">
        <v>512</v>
      </c>
      <c r="N647" t="s">
        <v>24</v>
      </c>
      <c r="O647" t="s">
        <v>32</v>
      </c>
      <c r="P647" t="s">
        <v>50</v>
      </c>
      <c r="Q647" t="s">
        <v>758</v>
      </c>
      <c r="R647" s="9">
        <v>23112</v>
      </c>
      <c r="S647" t="s">
        <v>27</v>
      </c>
    </row>
    <row r="648" spans="1:19" x14ac:dyDescent="0.25">
      <c r="A648" t="s">
        <v>508</v>
      </c>
      <c r="B648" t="s">
        <v>13</v>
      </c>
      <c r="C648" s="2" t="s">
        <v>14</v>
      </c>
      <c r="D648" t="s">
        <v>15</v>
      </c>
      <c r="E648" t="s">
        <v>509</v>
      </c>
      <c r="F648" t="s">
        <v>17</v>
      </c>
      <c r="G648" t="s">
        <v>18</v>
      </c>
      <c r="H648" t="str">
        <f t="shared" si="10"/>
        <v>17.001.04.122.0007.2.011.3.3.90.30.00</v>
      </c>
      <c r="I648" t="s">
        <v>737</v>
      </c>
      <c r="J648" t="s">
        <v>738</v>
      </c>
      <c r="K648" t="s">
        <v>21</v>
      </c>
      <c r="L648" t="s">
        <v>22</v>
      </c>
      <c r="M648" t="s">
        <v>512</v>
      </c>
      <c r="N648" t="s">
        <v>24</v>
      </c>
      <c r="O648" t="s">
        <v>25</v>
      </c>
      <c r="P648" t="s">
        <v>39</v>
      </c>
      <c r="Q648" t="s">
        <v>759</v>
      </c>
      <c r="R648" s="9">
        <v>54258.05</v>
      </c>
      <c r="S648" t="s">
        <v>27</v>
      </c>
    </row>
    <row r="649" spans="1:19" x14ac:dyDescent="0.25">
      <c r="A649" t="s">
        <v>508</v>
      </c>
      <c r="B649" t="s">
        <v>13</v>
      </c>
      <c r="C649" s="2" t="s">
        <v>14</v>
      </c>
      <c r="D649" t="s">
        <v>15</v>
      </c>
      <c r="E649" t="s">
        <v>509</v>
      </c>
      <c r="F649" t="s">
        <v>17</v>
      </c>
      <c r="G649" t="s">
        <v>18</v>
      </c>
      <c r="H649" t="str">
        <f t="shared" si="10"/>
        <v>17.001.04.122.0007.2.011.3.3.90.30.00</v>
      </c>
      <c r="I649" t="s">
        <v>737</v>
      </c>
      <c r="J649" t="s">
        <v>738</v>
      </c>
      <c r="K649" t="s">
        <v>21</v>
      </c>
      <c r="L649" t="s">
        <v>22</v>
      </c>
      <c r="M649" t="s">
        <v>512</v>
      </c>
      <c r="N649" t="s">
        <v>24</v>
      </c>
      <c r="O649" t="s">
        <v>25</v>
      </c>
      <c r="P649" t="s">
        <v>39</v>
      </c>
      <c r="Q649" t="s">
        <v>760</v>
      </c>
      <c r="R649" s="9">
        <v>7425.85</v>
      </c>
      <c r="S649" t="s">
        <v>27</v>
      </c>
    </row>
    <row r="650" spans="1:19" x14ac:dyDescent="0.25">
      <c r="A650" t="s">
        <v>508</v>
      </c>
      <c r="B650" t="s">
        <v>13</v>
      </c>
      <c r="C650" s="2" t="s">
        <v>14</v>
      </c>
      <c r="D650" t="s">
        <v>15</v>
      </c>
      <c r="E650" t="s">
        <v>509</v>
      </c>
      <c r="F650" t="s">
        <v>17</v>
      </c>
      <c r="G650" t="s">
        <v>18</v>
      </c>
      <c r="H650" t="str">
        <f t="shared" si="10"/>
        <v>17.001.04.122.0007.2.011.3.3.90.30.00</v>
      </c>
      <c r="I650" t="s">
        <v>737</v>
      </c>
      <c r="J650" t="s">
        <v>738</v>
      </c>
      <c r="K650" t="s">
        <v>21</v>
      </c>
      <c r="L650" t="s">
        <v>22</v>
      </c>
      <c r="M650" t="s">
        <v>512</v>
      </c>
      <c r="N650" t="s">
        <v>24</v>
      </c>
      <c r="O650" t="s">
        <v>25</v>
      </c>
      <c r="P650" t="s">
        <v>28</v>
      </c>
      <c r="Q650" t="s">
        <v>761</v>
      </c>
      <c r="R650" s="9">
        <v>30000</v>
      </c>
      <c r="S650" t="s">
        <v>27</v>
      </c>
    </row>
    <row r="651" spans="1:19" x14ac:dyDescent="0.25">
      <c r="A651" t="s">
        <v>508</v>
      </c>
      <c r="B651" t="s">
        <v>13</v>
      </c>
      <c r="C651" s="2" t="s">
        <v>14</v>
      </c>
      <c r="D651" t="s">
        <v>15</v>
      </c>
      <c r="E651" t="s">
        <v>509</v>
      </c>
      <c r="F651" t="s">
        <v>17</v>
      </c>
      <c r="G651" t="s">
        <v>18</v>
      </c>
      <c r="H651" t="str">
        <f t="shared" si="10"/>
        <v>17.001.04.122.0007.2.011.3.3.90.30.00</v>
      </c>
      <c r="I651" t="s">
        <v>737</v>
      </c>
      <c r="J651" t="s">
        <v>738</v>
      </c>
      <c r="K651" t="s">
        <v>21</v>
      </c>
      <c r="L651" t="s">
        <v>22</v>
      </c>
      <c r="M651" t="s">
        <v>512</v>
      </c>
      <c r="N651" t="s">
        <v>24</v>
      </c>
      <c r="O651" t="s">
        <v>25</v>
      </c>
      <c r="P651" t="s">
        <v>29</v>
      </c>
      <c r="Q651" t="s">
        <v>762</v>
      </c>
      <c r="R651" s="9">
        <v>1790.7</v>
      </c>
      <c r="S651" t="s">
        <v>27</v>
      </c>
    </row>
    <row r="652" spans="1:19" x14ac:dyDescent="0.25">
      <c r="A652" t="s">
        <v>508</v>
      </c>
      <c r="B652" t="s">
        <v>13</v>
      </c>
      <c r="C652" s="2" t="s">
        <v>14</v>
      </c>
      <c r="D652" t="s">
        <v>15</v>
      </c>
      <c r="E652" t="s">
        <v>509</v>
      </c>
      <c r="F652" t="s">
        <v>17</v>
      </c>
      <c r="G652" t="s">
        <v>18</v>
      </c>
      <c r="H652" t="str">
        <f t="shared" si="10"/>
        <v>17.001.04.122.0007.2.011.3.3.90.30.00</v>
      </c>
      <c r="I652" t="s">
        <v>737</v>
      </c>
      <c r="J652" t="s">
        <v>738</v>
      </c>
      <c r="K652" t="s">
        <v>21</v>
      </c>
      <c r="L652" t="s">
        <v>22</v>
      </c>
      <c r="M652" t="s">
        <v>512</v>
      </c>
      <c r="N652" t="s">
        <v>24</v>
      </c>
      <c r="O652" t="s">
        <v>25</v>
      </c>
      <c r="P652" t="s">
        <v>29</v>
      </c>
      <c r="Q652" t="s">
        <v>763</v>
      </c>
      <c r="R652" s="9">
        <v>15433.2</v>
      </c>
      <c r="S652" t="s">
        <v>27</v>
      </c>
    </row>
    <row r="653" spans="1:19" x14ac:dyDescent="0.25">
      <c r="A653" t="s">
        <v>508</v>
      </c>
      <c r="B653" t="s">
        <v>13</v>
      </c>
      <c r="C653" s="2" t="s">
        <v>14</v>
      </c>
      <c r="D653" t="s">
        <v>15</v>
      </c>
      <c r="E653" t="s">
        <v>509</v>
      </c>
      <c r="F653" t="s">
        <v>17</v>
      </c>
      <c r="G653" t="s">
        <v>18</v>
      </c>
      <c r="H653" t="str">
        <f t="shared" si="10"/>
        <v>17.001.04.122.0007.2.011.3.3.90.30.00</v>
      </c>
      <c r="I653" t="s">
        <v>737</v>
      </c>
      <c r="J653" t="s">
        <v>738</v>
      </c>
      <c r="K653" t="s">
        <v>21</v>
      </c>
      <c r="L653" t="s">
        <v>22</v>
      </c>
      <c r="M653" t="s">
        <v>512</v>
      </c>
      <c r="N653" t="s">
        <v>24</v>
      </c>
      <c r="O653" t="s">
        <v>25</v>
      </c>
      <c r="P653" t="s">
        <v>39</v>
      </c>
      <c r="Q653" t="s">
        <v>764</v>
      </c>
      <c r="R653" s="9">
        <v>61600</v>
      </c>
      <c r="S653" t="s">
        <v>27</v>
      </c>
    </row>
    <row r="654" spans="1:19" x14ac:dyDescent="0.25">
      <c r="A654" t="s">
        <v>508</v>
      </c>
      <c r="B654" t="s">
        <v>13</v>
      </c>
      <c r="C654" s="2" t="s">
        <v>14</v>
      </c>
      <c r="D654" t="s">
        <v>15</v>
      </c>
      <c r="E654" t="s">
        <v>509</v>
      </c>
      <c r="F654" t="s">
        <v>17</v>
      </c>
      <c r="G654" t="s">
        <v>18</v>
      </c>
      <c r="H654" t="str">
        <f t="shared" si="10"/>
        <v>17.001.04.122.0007.2.011.3.3.90.30.00</v>
      </c>
      <c r="I654" t="s">
        <v>737</v>
      </c>
      <c r="J654" t="s">
        <v>738</v>
      </c>
      <c r="K654" t="s">
        <v>21</v>
      </c>
      <c r="L654" t="s">
        <v>22</v>
      </c>
      <c r="M654" t="s">
        <v>512</v>
      </c>
      <c r="N654" t="s">
        <v>24</v>
      </c>
      <c r="O654" t="s">
        <v>25</v>
      </c>
      <c r="P654" t="s">
        <v>29</v>
      </c>
      <c r="Q654" t="s">
        <v>765</v>
      </c>
      <c r="R654" s="9">
        <v>10022.950000000001</v>
      </c>
      <c r="S654" t="s">
        <v>27</v>
      </c>
    </row>
    <row r="655" spans="1:19" x14ac:dyDescent="0.25">
      <c r="A655" t="s">
        <v>508</v>
      </c>
      <c r="B655" t="s">
        <v>13</v>
      </c>
      <c r="C655" s="2" t="s">
        <v>14</v>
      </c>
      <c r="D655" t="s">
        <v>15</v>
      </c>
      <c r="E655" t="s">
        <v>509</v>
      </c>
      <c r="F655" t="s">
        <v>17</v>
      </c>
      <c r="G655" t="s">
        <v>31</v>
      </c>
      <c r="H655" t="str">
        <f t="shared" si="10"/>
        <v>17.001.04.122.0007.2.011.3.3.90.39.00</v>
      </c>
      <c r="I655" t="s">
        <v>737</v>
      </c>
      <c r="J655" t="s">
        <v>738</v>
      </c>
      <c r="K655" t="s">
        <v>21</v>
      </c>
      <c r="L655" t="s">
        <v>22</v>
      </c>
      <c r="M655" t="s">
        <v>512</v>
      </c>
      <c r="N655" t="s">
        <v>24</v>
      </c>
      <c r="O655" t="s">
        <v>32</v>
      </c>
      <c r="P655" t="s">
        <v>45</v>
      </c>
      <c r="Q655" t="s">
        <v>766</v>
      </c>
      <c r="R655" s="9">
        <v>450000</v>
      </c>
      <c r="S655" t="s">
        <v>27</v>
      </c>
    </row>
    <row r="656" spans="1:19" x14ac:dyDescent="0.25">
      <c r="A656" t="s">
        <v>508</v>
      </c>
      <c r="B656" t="s">
        <v>13</v>
      </c>
      <c r="C656" s="2" t="s">
        <v>14</v>
      </c>
      <c r="D656" t="s">
        <v>15</v>
      </c>
      <c r="E656" t="s">
        <v>16</v>
      </c>
      <c r="F656" t="s">
        <v>127</v>
      </c>
      <c r="G656" t="s">
        <v>73</v>
      </c>
      <c r="H656" t="str">
        <f t="shared" si="10"/>
        <v>17.001.04.122.0001.2.006.3.3.90.33.00</v>
      </c>
      <c r="I656" t="s">
        <v>737</v>
      </c>
      <c r="J656" t="s">
        <v>738</v>
      </c>
      <c r="K656" t="s">
        <v>21</v>
      </c>
      <c r="L656" t="s">
        <v>22</v>
      </c>
      <c r="M656" t="s">
        <v>23</v>
      </c>
      <c r="N656" t="s">
        <v>130</v>
      </c>
      <c r="O656" t="s">
        <v>74</v>
      </c>
      <c r="P656" t="s">
        <v>545</v>
      </c>
      <c r="R656" s="9">
        <v>1</v>
      </c>
      <c r="S656" t="s">
        <v>27</v>
      </c>
    </row>
    <row r="657" spans="1:19" x14ac:dyDescent="0.25">
      <c r="A657" t="s">
        <v>508</v>
      </c>
      <c r="B657" t="s">
        <v>13</v>
      </c>
      <c r="C657" s="2" t="s">
        <v>14</v>
      </c>
      <c r="D657" t="s">
        <v>15</v>
      </c>
      <c r="E657" t="s">
        <v>16</v>
      </c>
      <c r="F657" t="s">
        <v>127</v>
      </c>
      <c r="G657" t="s">
        <v>31</v>
      </c>
      <c r="H657" t="str">
        <f t="shared" si="10"/>
        <v>17.001.04.122.0001.2.006.3.3.90.39.00</v>
      </c>
      <c r="I657" t="s">
        <v>737</v>
      </c>
      <c r="J657" t="s">
        <v>738</v>
      </c>
      <c r="K657" t="s">
        <v>21</v>
      </c>
      <c r="L657" t="s">
        <v>22</v>
      </c>
      <c r="M657" t="s">
        <v>23</v>
      </c>
      <c r="N657" t="s">
        <v>130</v>
      </c>
      <c r="O657" t="s">
        <v>32</v>
      </c>
      <c r="P657" t="s">
        <v>93</v>
      </c>
      <c r="R657" s="9">
        <v>1</v>
      </c>
      <c r="S657" t="s">
        <v>27</v>
      </c>
    </row>
    <row r="658" spans="1:19" x14ac:dyDescent="0.25">
      <c r="A658" t="s">
        <v>508</v>
      </c>
      <c r="B658" t="s">
        <v>13</v>
      </c>
      <c r="C658" s="2" t="s">
        <v>14</v>
      </c>
      <c r="D658" t="s">
        <v>121</v>
      </c>
      <c r="E658" t="s">
        <v>52</v>
      </c>
      <c r="F658" t="s">
        <v>122</v>
      </c>
      <c r="G658" t="s">
        <v>131</v>
      </c>
      <c r="H658" t="str">
        <f t="shared" si="10"/>
        <v>17.001.04.128.0002.2.003.3.3.90.36.00</v>
      </c>
      <c r="I658" t="s">
        <v>737</v>
      </c>
      <c r="J658" t="s">
        <v>738</v>
      </c>
      <c r="K658" t="s">
        <v>21</v>
      </c>
      <c r="L658" t="s">
        <v>124</v>
      </c>
      <c r="M658" t="s">
        <v>58</v>
      </c>
      <c r="N658" t="s">
        <v>125</v>
      </c>
      <c r="O658" t="s">
        <v>132</v>
      </c>
      <c r="R658" s="9">
        <v>1</v>
      </c>
      <c r="S658" t="s">
        <v>27</v>
      </c>
    </row>
    <row r="659" spans="1:19" x14ac:dyDescent="0.25">
      <c r="A659" t="s">
        <v>508</v>
      </c>
      <c r="B659" t="s">
        <v>13</v>
      </c>
      <c r="C659" s="2" t="s">
        <v>14</v>
      </c>
      <c r="D659" t="s">
        <v>121</v>
      </c>
      <c r="E659" t="s">
        <v>52</v>
      </c>
      <c r="F659" t="s">
        <v>122</v>
      </c>
      <c r="G659" t="s">
        <v>31</v>
      </c>
      <c r="H659" t="str">
        <f t="shared" si="10"/>
        <v>17.001.04.128.0002.2.003.3.3.90.39.00</v>
      </c>
      <c r="I659" t="s">
        <v>737</v>
      </c>
      <c r="J659" t="s">
        <v>738</v>
      </c>
      <c r="K659" t="s">
        <v>21</v>
      </c>
      <c r="L659" t="s">
        <v>124</v>
      </c>
      <c r="M659" t="s">
        <v>58</v>
      </c>
      <c r="N659" t="s">
        <v>125</v>
      </c>
      <c r="O659" t="s">
        <v>32</v>
      </c>
      <c r="P659" t="s">
        <v>93</v>
      </c>
      <c r="R659" s="9">
        <v>1</v>
      </c>
      <c r="S659" t="s">
        <v>27</v>
      </c>
    </row>
    <row r="660" spans="1:19" x14ac:dyDescent="0.25">
      <c r="A660" t="s">
        <v>508</v>
      </c>
      <c r="B660" t="s">
        <v>767</v>
      </c>
      <c r="C660" s="2" t="s">
        <v>14</v>
      </c>
      <c r="D660" t="s">
        <v>740</v>
      </c>
      <c r="E660" t="s">
        <v>509</v>
      </c>
      <c r="F660" t="s">
        <v>438</v>
      </c>
      <c r="G660" t="s">
        <v>31</v>
      </c>
      <c r="H660" t="str">
        <f t="shared" si="10"/>
        <v>17.003.04.541.0007.1.001.3.3.90.39.00</v>
      </c>
      <c r="I660" t="s">
        <v>737</v>
      </c>
      <c r="J660" t="s">
        <v>768</v>
      </c>
      <c r="K660" t="s">
        <v>21</v>
      </c>
      <c r="L660" t="s">
        <v>741</v>
      </c>
      <c r="M660" t="s">
        <v>512</v>
      </c>
      <c r="N660" t="s">
        <v>443</v>
      </c>
      <c r="O660" t="s">
        <v>32</v>
      </c>
      <c r="P660" t="s">
        <v>93</v>
      </c>
      <c r="R660" s="9">
        <v>1</v>
      </c>
      <c r="S660" t="s">
        <v>27</v>
      </c>
    </row>
    <row r="661" spans="1:19" x14ac:dyDescent="0.25">
      <c r="A661" t="s">
        <v>508</v>
      </c>
      <c r="B661" t="s">
        <v>13</v>
      </c>
      <c r="C661" s="2" t="s">
        <v>14</v>
      </c>
      <c r="D661" t="s">
        <v>312</v>
      </c>
      <c r="E661" t="s">
        <v>52</v>
      </c>
      <c r="F661" t="s">
        <v>133</v>
      </c>
      <c r="G661" t="s">
        <v>31</v>
      </c>
      <c r="H661" t="str">
        <f t="shared" si="10"/>
        <v>17.001.04.131.0002.2.005.3.3.90.39.00</v>
      </c>
      <c r="I661" t="s">
        <v>737</v>
      </c>
      <c r="J661" t="s">
        <v>738</v>
      </c>
      <c r="K661" s="30" t="s">
        <v>21</v>
      </c>
      <c r="L661" t="s">
        <v>313</v>
      </c>
      <c r="M661" t="s">
        <v>58</v>
      </c>
      <c r="N661" t="s">
        <v>134</v>
      </c>
      <c r="O661" t="s">
        <v>32</v>
      </c>
      <c r="P661" t="s">
        <v>93</v>
      </c>
      <c r="R661" s="9">
        <v>50000</v>
      </c>
      <c r="S661" t="s">
        <v>27</v>
      </c>
    </row>
    <row r="662" spans="1:19" x14ac:dyDescent="0.25">
      <c r="A662" t="s">
        <v>508</v>
      </c>
      <c r="B662" t="s">
        <v>13</v>
      </c>
      <c r="C662" s="2" t="s">
        <v>515</v>
      </c>
      <c r="D662" t="s">
        <v>15</v>
      </c>
      <c r="E662" t="s">
        <v>16</v>
      </c>
      <c r="F662" t="s">
        <v>17</v>
      </c>
      <c r="G662" t="s">
        <v>69</v>
      </c>
      <c r="H662" t="str">
        <f t="shared" si="10"/>
        <v>17.001.18.122.0001.2.011.3.3.90.93.00</v>
      </c>
      <c r="I662" t="s">
        <v>737</v>
      </c>
      <c r="J662" t="s">
        <v>738</v>
      </c>
      <c r="K662" t="s">
        <v>519</v>
      </c>
      <c r="L662" t="s">
        <v>22</v>
      </c>
      <c r="M662" t="s">
        <v>23</v>
      </c>
      <c r="N662" t="s">
        <v>24</v>
      </c>
      <c r="O662" t="s">
        <v>70</v>
      </c>
      <c r="P662" t="s">
        <v>71</v>
      </c>
      <c r="R662" s="9">
        <v>5000</v>
      </c>
      <c r="S662" t="s">
        <v>27</v>
      </c>
    </row>
    <row r="663" spans="1:19" x14ac:dyDescent="0.25">
      <c r="A663" t="s">
        <v>508</v>
      </c>
      <c r="B663" t="s">
        <v>13</v>
      </c>
      <c r="C663" s="2" t="s">
        <v>515</v>
      </c>
      <c r="D663" t="s">
        <v>769</v>
      </c>
      <c r="E663" t="s">
        <v>509</v>
      </c>
      <c r="F663" t="s">
        <v>770</v>
      </c>
      <c r="G663" t="s">
        <v>18</v>
      </c>
      <c r="H663" t="str">
        <f t="shared" si="10"/>
        <v>17.001.18.422.0007.2.021.3.3.90.30.00</v>
      </c>
      <c r="I663" t="s">
        <v>737</v>
      </c>
      <c r="J663" t="s">
        <v>738</v>
      </c>
      <c r="K663" t="s">
        <v>519</v>
      </c>
      <c r="L663" t="s">
        <v>771</v>
      </c>
      <c r="M663" t="s">
        <v>512</v>
      </c>
      <c r="N663" t="s">
        <v>772</v>
      </c>
      <c r="O663" t="s">
        <v>25</v>
      </c>
      <c r="P663" t="s">
        <v>159</v>
      </c>
      <c r="R663" s="9">
        <v>5000</v>
      </c>
      <c r="S663" t="s">
        <v>27</v>
      </c>
    </row>
    <row r="664" spans="1:19" x14ac:dyDescent="0.25">
      <c r="A664" t="s">
        <v>508</v>
      </c>
      <c r="B664" t="s">
        <v>13</v>
      </c>
      <c r="C664" s="2" t="s">
        <v>515</v>
      </c>
      <c r="D664" t="s">
        <v>769</v>
      </c>
      <c r="E664" t="s">
        <v>509</v>
      </c>
      <c r="F664" t="s">
        <v>770</v>
      </c>
      <c r="G664" t="s">
        <v>31</v>
      </c>
      <c r="H664" t="str">
        <f t="shared" si="10"/>
        <v>17.001.18.422.0007.2.021.3.3.90.39.00</v>
      </c>
      <c r="I664" t="s">
        <v>737</v>
      </c>
      <c r="J664" t="s">
        <v>738</v>
      </c>
      <c r="K664" t="s">
        <v>519</v>
      </c>
      <c r="L664" t="s">
        <v>771</v>
      </c>
      <c r="M664" t="s">
        <v>512</v>
      </c>
      <c r="N664" t="s">
        <v>772</v>
      </c>
      <c r="O664" t="s">
        <v>32</v>
      </c>
      <c r="P664" t="s">
        <v>135</v>
      </c>
      <c r="R664" s="9">
        <v>5000</v>
      </c>
      <c r="S664" t="s">
        <v>27</v>
      </c>
    </row>
    <row r="665" spans="1:19" x14ac:dyDescent="0.25">
      <c r="A665" t="s">
        <v>508</v>
      </c>
      <c r="B665" t="s">
        <v>13</v>
      </c>
      <c r="C665" s="2" t="s">
        <v>515</v>
      </c>
      <c r="D665" t="s">
        <v>740</v>
      </c>
      <c r="E665" t="s">
        <v>509</v>
      </c>
      <c r="F665" t="s">
        <v>139</v>
      </c>
      <c r="G665" t="s">
        <v>31</v>
      </c>
      <c r="H665" t="str">
        <f t="shared" si="10"/>
        <v>17.001.18.541.0007.1.002.3.3.90.39.00</v>
      </c>
      <c r="I665" t="s">
        <v>737</v>
      </c>
      <c r="J665" t="s">
        <v>738</v>
      </c>
      <c r="K665" t="s">
        <v>519</v>
      </c>
      <c r="L665" t="s">
        <v>741</v>
      </c>
      <c r="M665" t="s">
        <v>512</v>
      </c>
      <c r="N665" t="s">
        <v>143</v>
      </c>
      <c r="O665" t="s">
        <v>32</v>
      </c>
      <c r="P665" t="s">
        <v>93</v>
      </c>
      <c r="R665" s="9">
        <v>1</v>
      </c>
      <c r="S665" t="s">
        <v>27</v>
      </c>
    </row>
    <row r="666" spans="1:19" x14ac:dyDescent="0.25">
      <c r="A666" t="s">
        <v>515</v>
      </c>
      <c r="B666" t="s">
        <v>773</v>
      </c>
      <c r="C666" s="2" t="s">
        <v>14</v>
      </c>
      <c r="D666" t="s">
        <v>15</v>
      </c>
      <c r="E666" t="s">
        <v>16</v>
      </c>
      <c r="F666" t="s">
        <v>17</v>
      </c>
      <c r="G666" t="s">
        <v>31</v>
      </c>
      <c r="H666" t="str">
        <f t="shared" si="10"/>
        <v>18.002.04.122.0001.2.011.3.3.90.39.00</v>
      </c>
      <c r="I666" t="s">
        <v>774</v>
      </c>
      <c r="J666" t="s">
        <v>775</v>
      </c>
      <c r="K666" t="s">
        <v>21</v>
      </c>
      <c r="L666" t="s">
        <v>22</v>
      </c>
      <c r="M666" t="s">
        <v>23</v>
      </c>
      <c r="N666" t="s">
        <v>24</v>
      </c>
      <c r="O666" t="s">
        <v>32</v>
      </c>
      <c r="P666" t="s">
        <v>215</v>
      </c>
      <c r="R666" s="9">
        <v>12000000</v>
      </c>
      <c r="S666" t="s">
        <v>27</v>
      </c>
    </row>
    <row r="667" spans="1:19" x14ac:dyDescent="0.25">
      <c r="A667" t="s">
        <v>515</v>
      </c>
      <c r="B667" t="s">
        <v>773</v>
      </c>
      <c r="C667" s="2" t="s">
        <v>14</v>
      </c>
      <c r="D667" t="s">
        <v>15</v>
      </c>
      <c r="E667" t="s">
        <v>16</v>
      </c>
      <c r="F667" t="s">
        <v>17</v>
      </c>
      <c r="G667" t="s">
        <v>31</v>
      </c>
      <c r="H667" t="str">
        <f t="shared" si="10"/>
        <v>18.002.04.122.0001.2.011.3.3.90.39.00</v>
      </c>
      <c r="I667" t="s">
        <v>774</v>
      </c>
      <c r="J667" t="s">
        <v>775</v>
      </c>
      <c r="K667" t="s">
        <v>21</v>
      </c>
      <c r="L667" t="s">
        <v>22</v>
      </c>
      <c r="M667" t="s">
        <v>23</v>
      </c>
      <c r="N667" t="s">
        <v>24</v>
      </c>
      <c r="O667" t="s">
        <v>32</v>
      </c>
      <c r="P667" t="s">
        <v>93</v>
      </c>
      <c r="R667" s="9">
        <v>930000</v>
      </c>
      <c r="S667" t="s">
        <v>27</v>
      </c>
    </row>
    <row r="668" spans="1:19" x14ac:dyDescent="0.25">
      <c r="A668" t="s">
        <v>515</v>
      </c>
      <c r="B668" t="s">
        <v>773</v>
      </c>
      <c r="C668" s="2" t="s">
        <v>14</v>
      </c>
      <c r="D668" t="s">
        <v>15</v>
      </c>
      <c r="E668" t="s">
        <v>16</v>
      </c>
      <c r="F668" t="s">
        <v>17</v>
      </c>
      <c r="G668" t="s">
        <v>31</v>
      </c>
      <c r="H668" t="str">
        <f t="shared" si="10"/>
        <v>18.002.04.122.0001.2.011.3.3.90.39.00</v>
      </c>
      <c r="I668" t="s">
        <v>774</v>
      </c>
      <c r="J668" t="s">
        <v>775</v>
      </c>
      <c r="K668" t="s">
        <v>21</v>
      </c>
      <c r="L668" t="s">
        <v>22</v>
      </c>
      <c r="M668" t="s">
        <v>23</v>
      </c>
      <c r="N668" t="s">
        <v>24</v>
      </c>
      <c r="O668" t="s">
        <v>32</v>
      </c>
      <c r="P668" t="s">
        <v>93</v>
      </c>
      <c r="Q668" t="s">
        <v>776</v>
      </c>
      <c r="R668" s="9">
        <v>5081994</v>
      </c>
      <c r="S668" t="s">
        <v>27</v>
      </c>
    </row>
    <row r="669" spans="1:19" x14ac:dyDescent="0.25">
      <c r="A669" t="s">
        <v>515</v>
      </c>
      <c r="B669" t="s">
        <v>773</v>
      </c>
      <c r="C669" s="2" t="s">
        <v>14</v>
      </c>
      <c r="D669" t="s">
        <v>15</v>
      </c>
      <c r="E669" t="s">
        <v>16</v>
      </c>
      <c r="F669" t="s">
        <v>17</v>
      </c>
      <c r="G669" t="s">
        <v>31</v>
      </c>
      <c r="H669" t="str">
        <f t="shared" si="10"/>
        <v>18.002.04.122.0001.2.011.3.3.90.39.00</v>
      </c>
      <c r="I669" t="s">
        <v>774</v>
      </c>
      <c r="J669" t="s">
        <v>775</v>
      </c>
      <c r="K669" t="s">
        <v>21</v>
      </c>
      <c r="L669" t="s">
        <v>22</v>
      </c>
      <c r="M669" t="s">
        <v>23</v>
      </c>
      <c r="N669" t="s">
        <v>24</v>
      </c>
      <c r="O669" t="s">
        <v>32</v>
      </c>
      <c r="Q669" t="s">
        <v>777</v>
      </c>
      <c r="R669" s="9">
        <v>696000</v>
      </c>
      <c r="S669" t="s">
        <v>27</v>
      </c>
    </row>
    <row r="670" spans="1:19" x14ac:dyDescent="0.25">
      <c r="A670" t="s">
        <v>515</v>
      </c>
      <c r="B670" t="s">
        <v>773</v>
      </c>
      <c r="C670" s="2" t="s">
        <v>14</v>
      </c>
      <c r="D670" t="s">
        <v>15</v>
      </c>
      <c r="E670" t="s">
        <v>16</v>
      </c>
      <c r="F670" t="s">
        <v>17</v>
      </c>
      <c r="G670" t="s">
        <v>118</v>
      </c>
      <c r="H670" t="str">
        <f t="shared" si="10"/>
        <v>18.002.04.122.0001.2.011.3.3.90.92.00</v>
      </c>
      <c r="I670" t="s">
        <v>774</v>
      </c>
      <c r="J670" t="s">
        <v>775</v>
      </c>
      <c r="K670" t="s">
        <v>21</v>
      </c>
      <c r="L670" t="s">
        <v>22</v>
      </c>
      <c r="M670" t="s">
        <v>23</v>
      </c>
      <c r="N670" t="s">
        <v>24</v>
      </c>
      <c r="O670" t="s">
        <v>119</v>
      </c>
      <c r="P670" t="s">
        <v>435</v>
      </c>
      <c r="R670" s="9">
        <v>1</v>
      </c>
      <c r="S670" t="s">
        <v>27</v>
      </c>
    </row>
    <row r="671" spans="1:19" x14ac:dyDescent="0.25">
      <c r="A671" t="s">
        <v>515</v>
      </c>
      <c r="B671" t="s">
        <v>773</v>
      </c>
      <c r="C671" s="2" t="s">
        <v>14</v>
      </c>
      <c r="D671" t="s">
        <v>15</v>
      </c>
      <c r="E671" t="s">
        <v>16</v>
      </c>
      <c r="F671" t="s">
        <v>17</v>
      </c>
      <c r="G671" t="s">
        <v>54</v>
      </c>
      <c r="H671" t="str">
        <f t="shared" si="10"/>
        <v>18.002.04.122.0001.2.011.3.3.90.40.00</v>
      </c>
      <c r="I671" t="s">
        <v>774</v>
      </c>
      <c r="J671" t="s">
        <v>775</v>
      </c>
      <c r="K671" t="s">
        <v>21</v>
      </c>
      <c r="L671" t="s">
        <v>22</v>
      </c>
      <c r="M671" t="s">
        <v>23</v>
      </c>
      <c r="N671" t="s">
        <v>24</v>
      </c>
      <c r="O671" t="s">
        <v>60</v>
      </c>
      <c r="P671" t="s">
        <v>778</v>
      </c>
      <c r="Q671" t="s">
        <v>779</v>
      </c>
      <c r="R671" s="9">
        <v>4503313</v>
      </c>
      <c r="S671" t="s">
        <v>27</v>
      </c>
    </row>
    <row r="672" spans="1:19" x14ac:dyDescent="0.25">
      <c r="A672" t="s">
        <v>515</v>
      </c>
      <c r="B672" t="s">
        <v>773</v>
      </c>
      <c r="C672" s="2" t="s">
        <v>14</v>
      </c>
      <c r="D672" t="s">
        <v>15</v>
      </c>
      <c r="E672" t="s">
        <v>16</v>
      </c>
      <c r="F672" t="s">
        <v>17</v>
      </c>
      <c r="G672" t="s">
        <v>54</v>
      </c>
      <c r="H672" t="str">
        <f t="shared" si="10"/>
        <v>18.002.04.122.0001.2.011.3.3.90.40.00</v>
      </c>
      <c r="I672" t="s">
        <v>774</v>
      </c>
      <c r="J672" t="s">
        <v>775</v>
      </c>
      <c r="K672" t="s">
        <v>21</v>
      </c>
      <c r="L672" t="s">
        <v>22</v>
      </c>
      <c r="M672" t="s">
        <v>23</v>
      </c>
      <c r="N672" t="s">
        <v>24</v>
      </c>
      <c r="O672" t="s">
        <v>60</v>
      </c>
      <c r="P672" t="s">
        <v>778</v>
      </c>
      <c r="Q672" t="s">
        <v>780</v>
      </c>
      <c r="R672" s="9">
        <v>3226380</v>
      </c>
      <c r="S672" t="s">
        <v>27</v>
      </c>
    </row>
    <row r="673" spans="1:19" x14ac:dyDescent="0.25">
      <c r="A673" t="s">
        <v>515</v>
      </c>
      <c r="B673" t="s">
        <v>773</v>
      </c>
      <c r="C673" s="2" t="s">
        <v>14</v>
      </c>
      <c r="D673" t="s">
        <v>15</v>
      </c>
      <c r="E673" t="s">
        <v>16</v>
      </c>
      <c r="F673" t="s">
        <v>17</v>
      </c>
      <c r="G673" t="s">
        <v>69</v>
      </c>
      <c r="H673" t="str">
        <f t="shared" si="10"/>
        <v>18.002.04.122.0001.2.011.3.3.90.93.00</v>
      </c>
      <c r="I673" t="s">
        <v>774</v>
      </c>
      <c r="J673" t="s">
        <v>775</v>
      </c>
      <c r="K673" t="s">
        <v>21</v>
      </c>
      <c r="L673" t="s">
        <v>22</v>
      </c>
      <c r="M673" t="s">
        <v>23</v>
      </c>
      <c r="N673" t="s">
        <v>24</v>
      </c>
      <c r="O673" t="s">
        <v>70</v>
      </c>
      <c r="P673" t="s">
        <v>222</v>
      </c>
      <c r="R673" s="9">
        <v>1</v>
      </c>
      <c r="S673" t="s">
        <v>27</v>
      </c>
    </row>
    <row r="674" spans="1:19" x14ac:dyDescent="0.25">
      <c r="A674" t="s">
        <v>515</v>
      </c>
      <c r="B674" t="s">
        <v>773</v>
      </c>
      <c r="C674" s="2" t="s">
        <v>14</v>
      </c>
      <c r="D674" t="s">
        <v>51</v>
      </c>
      <c r="E674" t="s">
        <v>52</v>
      </c>
      <c r="F674" t="s">
        <v>53</v>
      </c>
      <c r="G674" t="s">
        <v>54</v>
      </c>
      <c r="H674" t="str">
        <f t="shared" si="10"/>
        <v>18.002.04.126.0002.2.007.3.3.90.40.00</v>
      </c>
      <c r="I674" t="s">
        <v>774</v>
      </c>
      <c r="J674" t="s">
        <v>775</v>
      </c>
      <c r="K674" t="s">
        <v>21</v>
      </c>
      <c r="L674" t="s">
        <v>57</v>
      </c>
      <c r="M674" t="s">
        <v>58</v>
      </c>
      <c r="N674" t="s">
        <v>59</v>
      </c>
      <c r="O674" t="s">
        <v>60</v>
      </c>
      <c r="P674" t="s">
        <v>61</v>
      </c>
      <c r="Q674" t="s">
        <v>781</v>
      </c>
      <c r="R674" s="9">
        <v>5817000</v>
      </c>
      <c r="S674" t="s">
        <v>27</v>
      </c>
    </row>
    <row r="675" spans="1:19" x14ac:dyDescent="0.25">
      <c r="A675" t="s">
        <v>515</v>
      </c>
      <c r="B675" t="s">
        <v>773</v>
      </c>
      <c r="C675" s="2" t="s">
        <v>14</v>
      </c>
      <c r="D675" t="s">
        <v>51</v>
      </c>
      <c r="E675" t="s">
        <v>52</v>
      </c>
      <c r="F675" t="s">
        <v>53</v>
      </c>
      <c r="G675" t="s">
        <v>54</v>
      </c>
      <c r="H675" t="str">
        <f t="shared" si="10"/>
        <v>18.002.04.126.0002.2.007.3.3.90.40.00</v>
      </c>
      <c r="I675" t="s">
        <v>774</v>
      </c>
      <c r="J675" t="s">
        <v>775</v>
      </c>
      <c r="K675" t="s">
        <v>21</v>
      </c>
      <c r="L675" t="s">
        <v>57</v>
      </c>
      <c r="M675" t="s">
        <v>58</v>
      </c>
      <c r="N675" t="s">
        <v>59</v>
      </c>
      <c r="O675" t="s">
        <v>60</v>
      </c>
      <c r="P675" t="s">
        <v>61</v>
      </c>
      <c r="Q675" t="s">
        <v>782</v>
      </c>
      <c r="R675" s="9">
        <v>5568056</v>
      </c>
      <c r="S675" t="s">
        <v>27</v>
      </c>
    </row>
    <row r="676" spans="1:19" x14ac:dyDescent="0.25">
      <c r="A676" t="s">
        <v>515</v>
      </c>
      <c r="B676" t="s">
        <v>773</v>
      </c>
      <c r="C676" s="2" t="s">
        <v>14</v>
      </c>
      <c r="D676" t="s">
        <v>121</v>
      </c>
      <c r="E676" t="s">
        <v>16</v>
      </c>
      <c r="F676" t="s">
        <v>201</v>
      </c>
      <c r="G676" t="s">
        <v>204</v>
      </c>
      <c r="H676" t="str">
        <f t="shared" si="10"/>
        <v>18.002.04.128.0001.2.008.3.3.90.48.00</v>
      </c>
      <c r="I676" t="s">
        <v>774</v>
      </c>
      <c r="J676" t="s">
        <v>775</v>
      </c>
      <c r="K676" t="s">
        <v>21</v>
      </c>
      <c r="L676" t="s">
        <v>124</v>
      </c>
      <c r="M676" t="s">
        <v>23</v>
      </c>
      <c r="N676" t="s">
        <v>202</v>
      </c>
      <c r="O676" t="s">
        <v>783</v>
      </c>
      <c r="Q676" t="s">
        <v>784</v>
      </c>
      <c r="R676" s="9">
        <v>24120489</v>
      </c>
      <c r="S676" t="s">
        <v>27</v>
      </c>
    </row>
    <row r="677" spans="1:19" x14ac:dyDescent="0.25">
      <c r="A677" t="s">
        <v>515</v>
      </c>
      <c r="B677" t="s">
        <v>773</v>
      </c>
      <c r="C677" s="2" t="s">
        <v>14</v>
      </c>
      <c r="D677" t="s">
        <v>121</v>
      </c>
      <c r="E677" t="s">
        <v>16</v>
      </c>
      <c r="F677" t="s">
        <v>201</v>
      </c>
      <c r="G677" t="s">
        <v>31</v>
      </c>
      <c r="H677" t="str">
        <f t="shared" si="10"/>
        <v>18.002.04.128.0001.2.008.3.3.90.39.00</v>
      </c>
      <c r="I677" t="s">
        <v>774</v>
      </c>
      <c r="J677" t="s">
        <v>775</v>
      </c>
      <c r="K677" t="s">
        <v>21</v>
      </c>
      <c r="L677" t="s">
        <v>124</v>
      </c>
      <c r="M677" t="s">
        <v>23</v>
      </c>
      <c r="N677" t="s">
        <v>202</v>
      </c>
      <c r="O677" t="s">
        <v>32</v>
      </c>
      <c r="P677" t="s">
        <v>93</v>
      </c>
      <c r="Q677" t="s">
        <v>784</v>
      </c>
      <c r="R677" s="9">
        <v>2240214</v>
      </c>
      <c r="S677" t="s">
        <v>27</v>
      </c>
    </row>
    <row r="678" spans="1:19" x14ac:dyDescent="0.25">
      <c r="A678" t="s">
        <v>515</v>
      </c>
      <c r="B678" t="s">
        <v>773</v>
      </c>
      <c r="C678" s="2" t="s">
        <v>14</v>
      </c>
      <c r="D678" t="s">
        <v>15</v>
      </c>
      <c r="E678" t="s">
        <v>16</v>
      </c>
      <c r="F678" t="s">
        <v>785</v>
      </c>
      <c r="G678" t="s">
        <v>131</v>
      </c>
      <c r="H678" t="str">
        <f t="shared" si="10"/>
        <v>18.002.04.122.0001.2.009.3.3.90.36.00</v>
      </c>
      <c r="I678" t="s">
        <v>774</v>
      </c>
      <c r="J678" t="s">
        <v>775</v>
      </c>
      <c r="K678" t="s">
        <v>21</v>
      </c>
      <c r="L678" t="s">
        <v>22</v>
      </c>
      <c r="M678" t="s">
        <v>23</v>
      </c>
      <c r="N678" t="s">
        <v>786</v>
      </c>
      <c r="O678" t="s">
        <v>132</v>
      </c>
      <c r="P678" t="s">
        <v>787</v>
      </c>
      <c r="Q678" t="s">
        <v>788</v>
      </c>
      <c r="R678" s="9">
        <v>7824093</v>
      </c>
      <c r="S678" t="s">
        <v>27</v>
      </c>
    </row>
    <row r="679" spans="1:19" x14ac:dyDescent="0.25">
      <c r="A679" t="s">
        <v>515</v>
      </c>
      <c r="B679" t="s">
        <v>773</v>
      </c>
      <c r="C679" s="2" t="s">
        <v>14</v>
      </c>
      <c r="D679" t="s">
        <v>15</v>
      </c>
      <c r="E679" t="s">
        <v>16</v>
      </c>
      <c r="F679" t="s">
        <v>785</v>
      </c>
      <c r="G679" t="s">
        <v>31</v>
      </c>
      <c r="H679" t="str">
        <f t="shared" si="10"/>
        <v>18.002.04.122.0001.2.009.3.3.90.39.00</v>
      </c>
      <c r="I679" t="s">
        <v>774</v>
      </c>
      <c r="J679" t="s">
        <v>775</v>
      </c>
      <c r="K679" t="s">
        <v>21</v>
      </c>
      <c r="L679" t="s">
        <v>22</v>
      </c>
      <c r="M679" t="s">
        <v>23</v>
      </c>
      <c r="N679" t="s">
        <v>786</v>
      </c>
      <c r="O679" t="s">
        <v>32</v>
      </c>
      <c r="P679" t="s">
        <v>787</v>
      </c>
      <c r="Q679" t="s">
        <v>788</v>
      </c>
      <c r="R679" s="9">
        <v>15600833</v>
      </c>
      <c r="S679" t="s">
        <v>27</v>
      </c>
    </row>
    <row r="680" spans="1:19" x14ac:dyDescent="0.25">
      <c r="A680" t="s">
        <v>515</v>
      </c>
      <c r="B680" t="s">
        <v>773</v>
      </c>
      <c r="C680" s="2" t="s">
        <v>14</v>
      </c>
      <c r="D680" t="s">
        <v>15</v>
      </c>
      <c r="E680" t="s">
        <v>16</v>
      </c>
      <c r="F680" t="s">
        <v>785</v>
      </c>
      <c r="G680" t="s">
        <v>69</v>
      </c>
      <c r="H680" t="str">
        <f t="shared" si="10"/>
        <v>18.002.04.122.0001.2.009.3.3.90.93.00</v>
      </c>
      <c r="I680" t="s">
        <v>774</v>
      </c>
      <c r="J680" t="s">
        <v>775</v>
      </c>
      <c r="K680" t="s">
        <v>21</v>
      </c>
      <c r="L680" t="s">
        <v>22</v>
      </c>
      <c r="M680" t="s">
        <v>23</v>
      </c>
      <c r="N680" t="s">
        <v>786</v>
      </c>
      <c r="O680" t="s">
        <v>70</v>
      </c>
      <c r="P680" t="s">
        <v>222</v>
      </c>
      <c r="R680" s="9">
        <v>100000</v>
      </c>
      <c r="S680" t="s">
        <v>27</v>
      </c>
    </row>
    <row r="681" spans="1:19" x14ac:dyDescent="0.25">
      <c r="A681" t="s">
        <v>515</v>
      </c>
      <c r="B681" t="s">
        <v>773</v>
      </c>
      <c r="C681" s="2" t="s">
        <v>14</v>
      </c>
      <c r="D681" t="s">
        <v>15</v>
      </c>
      <c r="E681" t="s">
        <v>16</v>
      </c>
      <c r="F681" t="s">
        <v>785</v>
      </c>
      <c r="G681" t="s">
        <v>118</v>
      </c>
      <c r="H681" t="str">
        <f t="shared" si="10"/>
        <v>18.002.04.122.0001.2.009.3.3.90.92.00</v>
      </c>
      <c r="I681" t="s">
        <v>774</v>
      </c>
      <c r="J681" t="s">
        <v>775</v>
      </c>
      <c r="K681" t="s">
        <v>21</v>
      </c>
      <c r="L681" t="s">
        <v>22</v>
      </c>
      <c r="M681" t="s">
        <v>23</v>
      </c>
      <c r="N681" t="s">
        <v>786</v>
      </c>
      <c r="O681" t="s">
        <v>119</v>
      </c>
      <c r="P681" t="s">
        <v>435</v>
      </c>
      <c r="R681" s="9">
        <v>1</v>
      </c>
      <c r="S681" t="s">
        <v>27</v>
      </c>
    </row>
    <row r="682" spans="1:19" x14ac:dyDescent="0.25">
      <c r="A682" t="s">
        <v>515</v>
      </c>
      <c r="B682" t="s">
        <v>13</v>
      </c>
      <c r="C682" s="2" t="s">
        <v>14</v>
      </c>
      <c r="D682" t="s">
        <v>15</v>
      </c>
      <c r="E682" t="s">
        <v>16</v>
      </c>
      <c r="F682" t="s">
        <v>17</v>
      </c>
      <c r="G682" t="s">
        <v>31</v>
      </c>
      <c r="H682" t="str">
        <f t="shared" si="10"/>
        <v>18.001.04.122.0001.2.011.3.3.90.39.00</v>
      </c>
      <c r="I682" t="s">
        <v>789</v>
      </c>
      <c r="J682" t="s">
        <v>790</v>
      </c>
      <c r="K682" t="s">
        <v>21</v>
      </c>
      <c r="L682" t="s">
        <v>22</v>
      </c>
      <c r="M682" t="s">
        <v>23</v>
      </c>
      <c r="N682" t="s">
        <v>24</v>
      </c>
      <c r="O682" t="s">
        <v>32</v>
      </c>
      <c r="P682" t="s">
        <v>462</v>
      </c>
      <c r="Q682" t="s">
        <v>791</v>
      </c>
      <c r="R682" s="9">
        <v>155750.39999999999</v>
      </c>
      <c r="S682" t="s">
        <v>27</v>
      </c>
    </row>
    <row r="683" spans="1:19" x14ac:dyDescent="0.25">
      <c r="A683" t="s">
        <v>515</v>
      </c>
      <c r="B683" t="s">
        <v>13</v>
      </c>
      <c r="C683" s="2" t="s">
        <v>14</v>
      </c>
      <c r="D683" t="s">
        <v>15</v>
      </c>
      <c r="E683" t="s">
        <v>16</v>
      </c>
      <c r="F683" t="s">
        <v>17</v>
      </c>
      <c r="G683" t="s">
        <v>31</v>
      </c>
      <c r="H683" t="str">
        <f t="shared" si="10"/>
        <v>18.001.04.122.0001.2.011.3.3.90.39.00</v>
      </c>
      <c r="I683" t="s">
        <v>789</v>
      </c>
      <c r="J683" t="s">
        <v>790</v>
      </c>
      <c r="K683" t="s">
        <v>21</v>
      </c>
      <c r="L683" t="s">
        <v>22</v>
      </c>
      <c r="M683" t="s">
        <v>23</v>
      </c>
      <c r="N683" t="s">
        <v>24</v>
      </c>
      <c r="O683" t="s">
        <v>32</v>
      </c>
      <c r="P683" t="s">
        <v>462</v>
      </c>
      <c r="Q683" t="s">
        <v>792</v>
      </c>
      <c r="R683" s="9">
        <v>108120.37</v>
      </c>
      <c r="S683" t="s">
        <v>27</v>
      </c>
    </row>
    <row r="684" spans="1:19" x14ac:dyDescent="0.25">
      <c r="A684" t="s">
        <v>515</v>
      </c>
      <c r="B684" t="s">
        <v>13</v>
      </c>
      <c r="C684" s="2" t="s">
        <v>14</v>
      </c>
      <c r="D684" t="s">
        <v>15</v>
      </c>
      <c r="E684" t="s">
        <v>16</v>
      </c>
      <c r="F684" t="s">
        <v>17</v>
      </c>
      <c r="G684" t="s">
        <v>31</v>
      </c>
      <c r="H684" t="str">
        <f t="shared" si="10"/>
        <v>18.001.04.122.0001.2.011.3.3.90.39.00</v>
      </c>
      <c r="I684" t="s">
        <v>789</v>
      </c>
      <c r="J684" t="s">
        <v>790</v>
      </c>
      <c r="K684" t="s">
        <v>21</v>
      </c>
      <c r="L684" t="s">
        <v>22</v>
      </c>
      <c r="M684" t="s">
        <v>23</v>
      </c>
      <c r="N684" t="s">
        <v>24</v>
      </c>
      <c r="O684" t="s">
        <v>32</v>
      </c>
      <c r="P684" t="s">
        <v>462</v>
      </c>
      <c r="Q684" t="s">
        <v>793</v>
      </c>
      <c r="R684" s="9">
        <v>443100</v>
      </c>
      <c r="S684" t="s">
        <v>27</v>
      </c>
    </row>
    <row r="685" spans="1:19" x14ac:dyDescent="0.25">
      <c r="A685" t="s">
        <v>515</v>
      </c>
      <c r="B685" t="s">
        <v>13</v>
      </c>
      <c r="C685" s="2" t="s">
        <v>14</v>
      </c>
      <c r="D685" t="s">
        <v>15</v>
      </c>
      <c r="E685" t="s">
        <v>16</v>
      </c>
      <c r="F685" t="s">
        <v>17</v>
      </c>
      <c r="G685" t="s">
        <v>31</v>
      </c>
      <c r="H685" t="str">
        <f t="shared" si="10"/>
        <v>18.001.04.122.0001.2.011.3.3.90.39.00</v>
      </c>
      <c r="I685" t="s">
        <v>789</v>
      </c>
      <c r="J685" t="s">
        <v>790</v>
      </c>
      <c r="K685" t="s">
        <v>21</v>
      </c>
      <c r="L685" t="s">
        <v>22</v>
      </c>
      <c r="M685" t="s">
        <v>23</v>
      </c>
      <c r="N685" t="s">
        <v>24</v>
      </c>
      <c r="O685" t="s">
        <v>32</v>
      </c>
      <c r="P685" t="s">
        <v>462</v>
      </c>
      <c r="Q685" t="s">
        <v>794</v>
      </c>
      <c r="R685" s="9">
        <v>432075</v>
      </c>
      <c r="S685" t="s">
        <v>27</v>
      </c>
    </row>
    <row r="686" spans="1:19" x14ac:dyDescent="0.25">
      <c r="A686" t="s">
        <v>515</v>
      </c>
      <c r="B686" t="s">
        <v>13</v>
      </c>
      <c r="C686" s="2" t="s">
        <v>14</v>
      </c>
      <c r="D686" t="s">
        <v>15</v>
      </c>
      <c r="E686" t="s">
        <v>16</v>
      </c>
      <c r="F686" t="s">
        <v>17</v>
      </c>
      <c r="G686" t="s">
        <v>31</v>
      </c>
      <c r="H686" t="str">
        <f t="shared" si="10"/>
        <v>18.001.04.122.0001.2.011.3.3.90.39.00</v>
      </c>
      <c r="I686" t="s">
        <v>789</v>
      </c>
      <c r="J686" t="s">
        <v>790</v>
      </c>
      <c r="K686" t="s">
        <v>21</v>
      </c>
      <c r="L686" t="s">
        <v>22</v>
      </c>
      <c r="M686" t="s">
        <v>23</v>
      </c>
      <c r="N686" t="s">
        <v>24</v>
      </c>
      <c r="O686" t="s">
        <v>32</v>
      </c>
      <c r="P686" t="s">
        <v>462</v>
      </c>
      <c r="Q686" t="s">
        <v>795</v>
      </c>
      <c r="R686" s="9">
        <v>537600</v>
      </c>
      <c r="S686" t="s">
        <v>27</v>
      </c>
    </row>
    <row r="687" spans="1:19" x14ac:dyDescent="0.25">
      <c r="A687" t="s">
        <v>515</v>
      </c>
      <c r="B687" t="s">
        <v>13</v>
      </c>
      <c r="C687" s="2" t="s">
        <v>14</v>
      </c>
      <c r="D687" t="s">
        <v>15</v>
      </c>
      <c r="E687" t="s">
        <v>16</v>
      </c>
      <c r="F687" t="s">
        <v>17</v>
      </c>
      <c r="G687" t="s">
        <v>31</v>
      </c>
      <c r="H687" t="str">
        <f t="shared" si="10"/>
        <v>18.001.04.122.0001.2.011.3.3.90.39.00</v>
      </c>
      <c r="I687" t="s">
        <v>789</v>
      </c>
      <c r="J687" t="s">
        <v>790</v>
      </c>
      <c r="K687" t="s">
        <v>21</v>
      </c>
      <c r="L687" t="s">
        <v>22</v>
      </c>
      <c r="M687" t="s">
        <v>23</v>
      </c>
      <c r="N687" t="s">
        <v>24</v>
      </c>
      <c r="O687" t="s">
        <v>32</v>
      </c>
      <c r="P687" t="s">
        <v>462</v>
      </c>
      <c r="Q687" t="s">
        <v>796</v>
      </c>
      <c r="R687" s="9">
        <v>750406.06</v>
      </c>
      <c r="S687" t="s">
        <v>27</v>
      </c>
    </row>
    <row r="688" spans="1:19" x14ac:dyDescent="0.25">
      <c r="A688" t="s">
        <v>515</v>
      </c>
      <c r="B688" t="s">
        <v>13</v>
      </c>
      <c r="C688" s="2" t="s">
        <v>14</v>
      </c>
      <c r="D688" t="s">
        <v>15</v>
      </c>
      <c r="E688" t="s">
        <v>16</v>
      </c>
      <c r="F688" t="s">
        <v>17</v>
      </c>
      <c r="G688" t="s">
        <v>31</v>
      </c>
      <c r="H688" t="str">
        <f t="shared" si="10"/>
        <v>18.001.04.122.0001.2.011.3.3.90.39.00</v>
      </c>
      <c r="I688" t="s">
        <v>789</v>
      </c>
      <c r="J688" t="s">
        <v>790</v>
      </c>
      <c r="K688" t="s">
        <v>21</v>
      </c>
      <c r="L688" t="s">
        <v>22</v>
      </c>
      <c r="M688" t="s">
        <v>23</v>
      </c>
      <c r="N688" t="s">
        <v>24</v>
      </c>
      <c r="O688" t="s">
        <v>32</v>
      </c>
      <c r="P688" t="s">
        <v>462</v>
      </c>
      <c r="Q688" t="s">
        <v>797</v>
      </c>
      <c r="R688" s="9">
        <v>430500</v>
      </c>
      <c r="S688" t="s">
        <v>27</v>
      </c>
    </row>
    <row r="689" spans="1:19" x14ac:dyDescent="0.25">
      <c r="A689" t="s">
        <v>515</v>
      </c>
      <c r="B689" t="s">
        <v>13</v>
      </c>
      <c r="C689" s="2" t="s">
        <v>14</v>
      </c>
      <c r="D689" t="s">
        <v>15</v>
      </c>
      <c r="E689" t="s">
        <v>16</v>
      </c>
      <c r="F689" t="s">
        <v>17</v>
      </c>
      <c r="G689" t="s">
        <v>31</v>
      </c>
      <c r="H689" t="str">
        <f t="shared" si="10"/>
        <v>18.001.04.122.0001.2.011.3.3.90.39.00</v>
      </c>
      <c r="I689" t="s">
        <v>789</v>
      </c>
      <c r="J689" t="s">
        <v>790</v>
      </c>
      <c r="K689" t="s">
        <v>21</v>
      </c>
      <c r="L689" t="s">
        <v>22</v>
      </c>
      <c r="M689" t="s">
        <v>23</v>
      </c>
      <c r="N689" t="s">
        <v>24</v>
      </c>
      <c r="O689" t="s">
        <v>32</v>
      </c>
      <c r="P689" t="s">
        <v>462</v>
      </c>
      <c r="Q689" t="s">
        <v>798</v>
      </c>
      <c r="R689" s="9">
        <v>115500</v>
      </c>
      <c r="S689" t="s">
        <v>27</v>
      </c>
    </row>
    <row r="690" spans="1:19" x14ac:dyDescent="0.25">
      <c r="A690" t="s">
        <v>515</v>
      </c>
      <c r="B690" t="s">
        <v>13</v>
      </c>
      <c r="C690" s="2" t="s">
        <v>14</v>
      </c>
      <c r="D690" t="s">
        <v>15</v>
      </c>
      <c r="E690" t="s">
        <v>16</v>
      </c>
      <c r="F690" t="s">
        <v>17</v>
      </c>
      <c r="G690" t="s">
        <v>31</v>
      </c>
      <c r="H690" t="str">
        <f t="shared" si="10"/>
        <v>18.001.04.122.0001.2.011.3.3.90.39.00</v>
      </c>
      <c r="I690" t="s">
        <v>789</v>
      </c>
      <c r="J690" t="s">
        <v>790</v>
      </c>
      <c r="K690" t="s">
        <v>21</v>
      </c>
      <c r="L690" t="s">
        <v>22</v>
      </c>
      <c r="M690" t="s">
        <v>23</v>
      </c>
      <c r="N690" t="s">
        <v>24</v>
      </c>
      <c r="O690" t="s">
        <v>32</v>
      </c>
      <c r="P690" t="s">
        <v>799</v>
      </c>
      <c r="Q690" t="s">
        <v>800</v>
      </c>
      <c r="R690" s="9">
        <v>3000000</v>
      </c>
      <c r="S690" t="s">
        <v>27</v>
      </c>
    </row>
    <row r="691" spans="1:19" x14ac:dyDescent="0.25">
      <c r="A691" t="s">
        <v>515</v>
      </c>
      <c r="B691" t="s">
        <v>13</v>
      </c>
      <c r="C691" s="2" t="s">
        <v>14</v>
      </c>
      <c r="D691" t="s">
        <v>15</v>
      </c>
      <c r="E691" t="s">
        <v>16</v>
      </c>
      <c r="F691" t="s">
        <v>17</v>
      </c>
      <c r="G691" t="s">
        <v>69</v>
      </c>
      <c r="H691" t="str">
        <f t="shared" si="10"/>
        <v>18.001.04.122.0001.2.011.3.3.90.93.00</v>
      </c>
      <c r="I691" t="s">
        <v>789</v>
      </c>
      <c r="J691" t="s">
        <v>790</v>
      </c>
      <c r="K691" t="s">
        <v>21</v>
      </c>
      <c r="L691" t="s">
        <v>22</v>
      </c>
      <c r="M691" t="s">
        <v>23</v>
      </c>
      <c r="N691" t="s">
        <v>24</v>
      </c>
      <c r="O691" t="s">
        <v>70</v>
      </c>
      <c r="P691" t="s">
        <v>71</v>
      </c>
      <c r="Q691" t="s">
        <v>801</v>
      </c>
      <c r="R691" s="9">
        <v>150000</v>
      </c>
      <c r="S691" t="s">
        <v>27</v>
      </c>
    </row>
    <row r="692" spans="1:19" x14ac:dyDescent="0.25">
      <c r="A692" t="s">
        <v>515</v>
      </c>
      <c r="B692" t="s">
        <v>13</v>
      </c>
      <c r="C692" s="2" t="s">
        <v>14</v>
      </c>
      <c r="D692" t="s">
        <v>15</v>
      </c>
      <c r="E692" t="s">
        <v>16</v>
      </c>
      <c r="F692" t="s">
        <v>17</v>
      </c>
      <c r="G692" t="s">
        <v>31</v>
      </c>
      <c r="H692" t="str">
        <f t="shared" si="10"/>
        <v>18.001.04.122.0001.2.011.3.3.90.39.00</v>
      </c>
      <c r="I692" t="s">
        <v>789</v>
      </c>
      <c r="J692" t="s">
        <v>790</v>
      </c>
      <c r="K692" t="s">
        <v>21</v>
      </c>
      <c r="L692" t="s">
        <v>22</v>
      </c>
      <c r="M692" t="s">
        <v>23</v>
      </c>
      <c r="N692" t="s">
        <v>24</v>
      </c>
      <c r="O692" t="s">
        <v>32</v>
      </c>
      <c r="P692" t="s">
        <v>93</v>
      </c>
      <c r="Q692" t="s">
        <v>802</v>
      </c>
      <c r="R692" s="9">
        <v>3000</v>
      </c>
      <c r="S692" t="s">
        <v>27</v>
      </c>
    </row>
    <row r="693" spans="1:19" x14ac:dyDescent="0.25">
      <c r="A693" t="s">
        <v>515</v>
      </c>
      <c r="B693" t="s">
        <v>13</v>
      </c>
      <c r="C693" s="2" t="s">
        <v>14</v>
      </c>
      <c r="D693" t="s">
        <v>15</v>
      </c>
      <c r="E693" t="s">
        <v>16</v>
      </c>
      <c r="F693" t="s">
        <v>803</v>
      </c>
      <c r="G693" t="s">
        <v>31</v>
      </c>
      <c r="H693" t="str">
        <f t="shared" si="10"/>
        <v>18.001.04.122.0001.0.003.3.3.90.39.00</v>
      </c>
      <c r="I693" t="s">
        <v>789</v>
      </c>
      <c r="J693" t="s">
        <v>790</v>
      </c>
      <c r="K693" t="s">
        <v>21</v>
      </c>
      <c r="L693" t="s">
        <v>22</v>
      </c>
      <c r="M693" t="s">
        <v>23</v>
      </c>
      <c r="N693" t="s">
        <v>804</v>
      </c>
      <c r="O693" t="s">
        <v>32</v>
      </c>
      <c r="P693" t="s">
        <v>93</v>
      </c>
      <c r="Q693" t="s">
        <v>805</v>
      </c>
      <c r="R693" s="9">
        <v>260000</v>
      </c>
      <c r="S693" t="s">
        <v>27</v>
      </c>
    </row>
    <row r="694" spans="1:19" x14ac:dyDescent="0.25">
      <c r="A694" t="s">
        <v>515</v>
      </c>
      <c r="B694" t="s">
        <v>13</v>
      </c>
      <c r="C694" s="2" t="s">
        <v>14</v>
      </c>
      <c r="D694" t="s">
        <v>15</v>
      </c>
      <c r="E694" t="s">
        <v>16</v>
      </c>
      <c r="F694" t="s">
        <v>17</v>
      </c>
      <c r="G694" t="s">
        <v>806</v>
      </c>
      <c r="H694" t="str">
        <f t="shared" si="10"/>
        <v>18.001.04.122.0001.2.011.3.3.90.91.00</v>
      </c>
      <c r="I694" t="s">
        <v>789</v>
      </c>
      <c r="J694" t="s">
        <v>790</v>
      </c>
      <c r="K694" t="s">
        <v>21</v>
      </c>
      <c r="L694" t="s">
        <v>22</v>
      </c>
      <c r="M694" t="s">
        <v>23</v>
      </c>
      <c r="N694" t="s">
        <v>24</v>
      </c>
      <c r="O694" t="s">
        <v>807</v>
      </c>
      <c r="P694" t="s">
        <v>808</v>
      </c>
      <c r="Q694" t="s">
        <v>809</v>
      </c>
      <c r="R694" s="9">
        <v>15000</v>
      </c>
      <c r="S694" t="s">
        <v>27</v>
      </c>
    </row>
    <row r="695" spans="1:19" x14ac:dyDescent="0.25">
      <c r="A695" t="s">
        <v>515</v>
      </c>
      <c r="B695" t="s">
        <v>13</v>
      </c>
      <c r="C695" s="2" t="s">
        <v>14</v>
      </c>
      <c r="D695" t="s">
        <v>810</v>
      </c>
      <c r="E695" t="s">
        <v>488</v>
      </c>
      <c r="F695" t="s">
        <v>811</v>
      </c>
      <c r="G695" t="s">
        <v>69</v>
      </c>
      <c r="H695" t="str">
        <f t="shared" si="10"/>
        <v>18.001.04.453.0013.2.010.3.3.90.93.00</v>
      </c>
      <c r="I695" t="s">
        <v>789</v>
      </c>
      <c r="J695" t="s">
        <v>790</v>
      </c>
      <c r="K695" t="s">
        <v>21</v>
      </c>
      <c r="L695" t="s">
        <v>812</v>
      </c>
      <c r="M695" t="s">
        <v>492</v>
      </c>
      <c r="N695" t="s">
        <v>813</v>
      </c>
      <c r="O695" t="s">
        <v>70</v>
      </c>
      <c r="P695" t="s">
        <v>71</v>
      </c>
      <c r="Q695" t="s">
        <v>814</v>
      </c>
      <c r="R695" s="9">
        <v>600000</v>
      </c>
      <c r="S695" t="s">
        <v>27</v>
      </c>
    </row>
    <row r="696" spans="1:19" x14ac:dyDescent="0.25">
      <c r="A696" t="s">
        <v>515</v>
      </c>
      <c r="B696" t="s">
        <v>767</v>
      </c>
      <c r="C696" s="2" t="s">
        <v>14</v>
      </c>
      <c r="D696" t="s">
        <v>51</v>
      </c>
      <c r="E696" t="s">
        <v>52</v>
      </c>
      <c r="F696" t="s">
        <v>53</v>
      </c>
      <c r="G696" t="s">
        <v>31</v>
      </c>
      <c r="H696" t="str">
        <f t="shared" si="10"/>
        <v>18.003.04.126.0002.2.007.3.3.90.39.00</v>
      </c>
      <c r="I696" t="s">
        <v>815</v>
      </c>
      <c r="J696" t="s">
        <v>816</v>
      </c>
      <c r="K696" t="s">
        <v>21</v>
      </c>
      <c r="L696" t="s">
        <v>57</v>
      </c>
      <c r="M696" t="s">
        <v>58</v>
      </c>
      <c r="N696" t="s">
        <v>59</v>
      </c>
      <c r="O696" t="s">
        <v>32</v>
      </c>
      <c r="P696" t="s">
        <v>33</v>
      </c>
      <c r="Q696" t="s">
        <v>817</v>
      </c>
      <c r="R696" s="9">
        <v>6059826.1500000004</v>
      </c>
      <c r="S696" t="s">
        <v>27</v>
      </c>
    </row>
    <row r="697" spans="1:19" x14ac:dyDescent="0.25">
      <c r="A697" t="s">
        <v>515</v>
      </c>
      <c r="B697" t="s">
        <v>767</v>
      </c>
      <c r="C697" s="2" t="s">
        <v>14</v>
      </c>
      <c r="D697" t="s">
        <v>51</v>
      </c>
      <c r="E697" t="s">
        <v>52</v>
      </c>
      <c r="F697" t="s">
        <v>53</v>
      </c>
      <c r="G697" t="s">
        <v>54</v>
      </c>
      <c r="H697" t="str">
        <f t="shared" si="10"/>
        <v>18.003.04.126.0002.2.007.3.3.90.40.00</v>
      </c>
      <c r="I697" t="s">
        <v>815</v>
      </c>
      <c r="J697" t="s">
        <v>816</v>
      </c>
      <c r="K697" t="s">
        <v>21</v>
      </c>
      <c r="L697" t="s">
        <v>57</v>
      </c>
      <c r="M697" t="s">
        <v>58</v>
      </c>
      <c r="N697" t="s">
        <v>59</v>
      </c>
      <c r="O697" t="s">
        <v>60</v>
      </c>
      <c r="P697" t="s">
        <v>61</v>
      </c>
      <c r="Q697" t="s">
        <v>818</v>
      </c>
      <c r="R697" s="9">
        <v>499600</v>
      </c>
      <c r="S697" t="s">
        <v>27</v>
      </c>
    </row>
    <row r="698" spans="1:19" x14ac:dyDescent="0.25">
      <c r="A698" t="s">
        <v>515</v>
      </c>
      <c r="B698" t="s">
        <v>767</v>
      </c>
      <c r="C698" s="2" t="s">
        <v>14</v>
      </c>
      <c r="D698" t="s">
        <v>51</v>
      </c>
      <c r="E698" t="s">
        <v>52</v>
      </c>
      <c r="F698" t="s">
        <v>53</v>
      </c>
      <c r="G698" t="s">
        <v>54</v>
      </c>
      <c r="H698" t="str">
        <f t="shared" si="10"/>
        <v>18.003.04.126.0002.2.007.3.3.90.40.00</v>
      </c>
      <c r="I698" t="s">
        <v>815</v>
      </c>
      <c r="J698" t="s">
        <v>816</v>
      </c>
      <c r="K698" t="s">
        <v>21</v>
      </c>
      <c r="L698" t="s">
        <v>57</v>
      </c>
      <c r="M698" t="s">
        <v>58</v>
      </c>
      <c r="N698" t="s">
        <v>59</v>
      </c>
      <c r="O698" t="s">
        <v>60</v>
      </c>
      <c r="P698" t="s">
        <v>61</v>
      </c>
      <c r="Q698" t="s">
        <v>819</v>
      </c>
      <c r="R698" s="9">
        <v>918720</v>
      </c>
      <c r="S698" t="s">
        <v>27</v>
      </c>
    </row>
    <row r="699" spans="1:19" x14ac:dyDescent="0.25">
      <c r="A699" t="s">
        <v>515</v>
      </c>
      <c r="B699" t="s">
        <v>767</v>
      </c>
      <c r="C699" s="2" t="s">
        <v>14</v>
      </c>
      <c r="D699" t="s">
        <v>51</v>
      </c>
      <c r="E699" t="s">
        <v>52</v>
      </c>
      <c r="F699" t="s">
        <v>53</v>
      </c>
      <c r="G699" t="s">
        <v>54</v>
      </c>
      <c r="H699" t="str">
        <f t="shared" si="10"/>
        <v>18.003.04.126.0002.2.007.3.3.90.40.00</v>
      </c>
      <c r="I699" t="s">
        <v>815</v>
      </c>
      <c r="J699" t="s">
        <v>816</v>
      </c>
      <c r="K699" t="s">
        <v>21</v>
      </c>
      <c r="L699" t="s">
        <v>57</v>
      </c>
      <c r="M699" t="s">
        <v>58</v>
      </c>
      <c r="N699" t="s">
        <v>59</v>
      </c>
      <c r="O699" t="s">
        <v>60</v>
      </c>
      <c r="P699" t="s">
        <v>61</v>
      </c>
      <c r="Q699" t="s">
        <v>820</v>
      </c>
      <c r="R699" s="9">
        <v>1735047.12</v>
      </c>
      <c r="S699" t="s">
        <v>27</v>
      </c>
    </row>
    <row r="700" spans="1:19" x14ac:dyDescent="0.25">
      <c r="A700" t="s">
        <v>515</v>
      </c>
      <c r="B700" t="s">
        <v>767</v>
      </c>
      <c r="C700" s="2" t="s">
        <v>14</v>
      </c>
      <c r="D700" t="s">
        <v>51</v>
      </c>
      <c r="E700" t="s">
        <v>52</v>
      </c>
      <c r="F700" t="s">
        <v>53</v>
      </c>
      <c r="G700" t="s">
        <v>54</v>
      </c>
      <c r="H700" t="str">
        <f t="shared" si="10"/>
        <v>18.003.04.126.0002.2.007.3.3.90.40.00</v>
      </c>
      <c r="I700" t="s">
        <v>815</v>
      </c>
      <c r="J700" t="s">
        <v>816</v>
      </c>
      <c r="K700" t="s">
        <v>21</v>
      </c>
      <c r="L700" t="s">
        <v>57</v>
      </c>
      <c r="M700" t="s">
        <v>58</v>
      </c>
      <c r="N700" t="s">
        <v>59</v>
      </c>
      <c r="O700" t="s">
        <v>60</v>
      </c>
      <c r="P700" t="s">
        <v>61</v>
      </c>
      <c r="Q700" t="s">
        <v>821</v>
      </c>
      <c r="R700" s="9">
        <v>7786917.4800000004</v>
      </c>
      <c r="S700" t="s">
        <v>27</v>
      </c>
    </row>
    <row r="701" spans="1:19" x14ac:dyDescent="0.25">
      <c r="A701" t="s">
        <v>515</v>
      </c>
      <c r="B701" t="s">
        <v>767</v>
      </c>
      <c r="C701" s="2" t="s">
        <v>14</v>
      </c>
      <c r="D701" t="s">
        <v>51</v>
      </c>
      <c r="E701" t="s">
        <v>52</v>
      </c>
      <c r="F701" t="s">
        <v>53</v>
      </c>
      <c r="G701" t="s">
        <v>54</v>
      </c>
      <c r="H701" t="str">
        <f t="shared" si="10"/>
        <v>18.003.04.126.0002.2.007.3.3.90.40.00</v>
      </c>
      <c r="I701" t="s">
        <v>815</v>
      </c>
      <c r="J701" t="s">
        <v>816</v>
      </c>
      <c r="K701" t="s">
        <v>21</v>
      </c>
      <c r="L701" t="s">
        <v>57</v>
      </c>
      <c r="M701" t="s">
        <v>58</v>
      </c>
      <c r="N701" t="s">
        <v>59</v>
      </c>
      <c r="O701" t="s">
        <v>60</v>
      </c>
      <c r="P701" t="s">
        <v>61</v>
      </c>
      <c r="Q701" t="s">
        <v>822</v>
      </c>
      <c r="R701" s="9">
        <v>3587018.04</v>
      </c>
      <c r="S701" t="s">
        <v>27</v>
      </c>
    </row>
    <row r="702" spans="1:19" x14ac:dyDescent="0.25">
      <c r="A702" t="s">
        <v>515</v>
      </c>
      <c r="B702" t="s">
        <v>767</v>
      </c>
      <c r="C702" s="2" t="s">
        <v>14</v>
      </c>
      <c r="D702" t="s">
        <v>51</v>
      </c>
      <c r="E702" t="s">
        <v>52</v>
      </c>
      <c r="F702" t="s">
        <v>53</v>
      </c>
      <c r="G702" t="s">
        <v>54</v>
      </c>
      <c r="H702" t="str">
        <f t="shared" si="10"/>
        <v>18.003.04.126.0002.2.007.3.3.90.40.00</v>
      </c>
      <c r="I702" t="s">
        <v>815</v>
      </c>
      <c r="J702" t="s">
        <v>816</v>
      </c>
      <c r="K702" t="s">
        <v>21</v>
      </c>
      <c r="L702" t="s">
        <v>57</v>
      </c>
      <c r="M702" t="s">
        <v>58</v>
      </c>
      <c r="N702" t="s">
        <v>59</v>
      </c>
      <c r="O702" t="s">
        <v>60</v>
      </c>
      <c r="P702" t="s">
        <v>61</v>
      </c>
      <c r="Q702" t="s">
        <v>823</v>
      </c>
      <c r="R702" s="9">
        <v>839760</v>
      </c>
      <c r="S702" t="s">
        <v>27</v>
      </c>
    </row>
    <row r="703" spans="1:19" x14ac:dyDescent="0.25">
      <c r="A703" t="s">
        <v>515</v>
      </c>
      <c r="B703" t="s">
        <v>767</v>
      </c>
      <c r="C703" s="2" t="s">
        <v>14</v>
      </c>
      <c r="D703" t="s">
        <v>51</v>
      </c>
      <c r="E703" t="s">
        <v>52</v>
      </c>
      <c r="F703" t="s">
        <v>53</v>
      </c>
      <c r="G703" t="s">
        <v>54</v>
      </c>
      <c r="H703" t="str">
        <f t="shared" si="10"/>
        <v>18.003.04.126.0002.2.007.3.3.90.40.00</v>
      </c>
      <c r="I703" t="s">
        <v>815</v>
      </c>
      <c r="J703" t="s">
        <v>816</v>
      </c>
      <c r="K703" t="s">
        <v>21</v>
      </c>
      <c r="L703" t="s">
        <v>57</v>
      </c>
      <c r="M703" t="s">
        <v>58</v>
      </c>
      <c r="N703" t="s">
        <v>59</v>
      </c>
      <c r="O703" t="s">
        <v>60</v>
      </c>
      <c r="P703" t="s">
        <v>61</v>
      </c>
      <c r="Q703" t="s">
        <v>824</v>
      </c>
      <c r="R703" s="9">
        <v>3150000</v>
      </c>
      <c r="S703" t="s">
        <v>27</v>
      </c>
    </row>
    <row r="704" spans="1:19" x14ac:dyDescent="0.25">
      <c r="A704" t="s">
        <v>515</v>
      </c>
      <c r="B704" t="s">
        <v>767</v>
      </c>
      <c r="C704" s="2" t="s">
        <v>14</v>
      </c>
      <c r="D704" t="s">
        <v>51</v>
      </c>
      <c r="E704" t="s">
        <v>52</v>
      </c>
      <c r="F704" t="s">
        <v>53</v>
      </c>
      <c r="G704" t="s">
        <v>54</v>
      </c>
      <c r="H704" t="str">
        <f t="shared" si="10"/>
        <v>18.003.04.126.0002.2.007.3.3.90.40.00</v>
      </c>
      <c r="I704" t="s">
        <v>815</v>
      </c>
      <c r="J704" t="s">
        <v>816</v>
      </c>
      <c r="K704" t="s">
        <v>21</v>
      </c>
      <c r="L704" t="s">
        <v>57</v>
      </c>
      <c r="M704" t="s">
        <v>58</v>
      </c>
      <c r="N704" t="s">
        <v>59</v>
      </c>
      <c r="O704" t="s">
        <v>60</v>
      </c>
      <c r="P704" t="s">
        <v>61</v>
      </c>
      <c r="Q704" t="s">
        <v>825</v>
      </c>
      <c r="R704" s="9">
        <v>10002310.68</v>
      </c>
      <c r="S704" t="s">
        <v>27</v>
      </c>
    </row>
    <row r="705" spans="1:19" x14ac:dyDescent="0.25">
      <c r="A705" t="s">
        <v>515</v>
      </c>
      <c r="B705" t="s">
        <v>767</v>
      </c>
      <c r="C705" s="2" t="s">
        <v>14</v>
      </c>
      <c r="D705" t="s">
        <v>51</v>
      </c>
      <c r="E705" t="s">
        <v>52</v>
      </c>
      <c r="F705" t="s">
        <v>53</v>
      </c>
      <c r="G705" t="s">
        <v>54</v>
      </c>
      <c r="H705" t="str">
        <f t="shared" si="10"/>
        <v>18.003.04.126.0002.2.007.3.3.90.40.00</v>
      </c>
      <c r="I705" t="s">
        <v>815</v>
      </c>
      <c r="J705" t="s">
        <v>816</v>
      </c>
      <c r="K705" t="s">
        <v>21</v>
      </c>
      <c r="L705" t="s">
        <v>57</v>
      </c>
      <c r="M705" t="s">
        <v>58</v>
      </c>
      <c r="N705" t="s">
        <v>59</v>
      </c>
      <c r="O705" t="s">
        <v>60</v>
      </c>
      <c r="P705" t="s">
        <v>61</v>
      </c>
      <c r="Q705" t="s">
        <v>826</v>
      </c>
      <c r="R705" s="9">
        <v>3498400</v>
      </c>
      <c r="S705" t="s">
        <v>27</v>
      </c>
    </row>
    <row r="706" spans="1:19" x14ac:dyDescent="0.25">
      <c r="A706" t="s">
        <v>515</v>
      </c>
      <c r="B706" t="s">
        <v>767</v>
      </c>
      <c r="C706" s="2" t="s">
        <v>14</v>
      </c>
      <c r="D706" t="s">
        <v>51</v>
      </c>
      <c r="E706" t="s">
        <v>52</v>
      </c>
      <c r="F706" t="s">
        <v>53</v>
      </c>
      <c r="G706" t="s">
        <v>54</v>
      </c>
      <c r="H706" t="str">
        <f t="shared" ref="H706:H769" si="11">_xlfn.CONCAT(A706,".",B706,".",C706,".",D706,".",E706,".",F706,".",G706)</f>
        <v>18.003.04.126.0002.2.007.3.3.90.40.00</v>
      </c>
      <c r="I706" t="s">
        <v>815</v>
      </c>
      <c r="J706" t="s">
        <v>816</v>
      </c>
      <c r="K706" t="s">
        <v>21</v>
      </c>
      <c r="L706" t="s">
        <v>57</v>
      </c>
      <c r="M706" t="s">
        <v>58</v>
      </c>
      <c r="N706" t="s">
        <v>59</v>
      </c>
      <c r="O706" t="s">
        <v>60</v>
      </c>
      <c r="P706" t="s">
        <v>61</v>
      </c>
      <c r="Q706" t="s">
        <v>827</v>
      </c>
      <c r="R706" s="9">
        <v>823400</v>
      </c>
      <c r="S706" t="s">
        <v>27</v>
      </c>
    </row>
    <row r="707" spans="1:19" x14ac:dyDescent="0.25">
      <c r="A707" t="s">
        <v>515</v>
      </c>
      <c r="B707" t="s">
        <v>767</v>
      </c>
      <c r="C707" s="2" t="s">
        <v>14</v>
      </c>
      <c r="D707" t="s">
        <v>51</v>
      </c>
      <c r="E707" t="s">
        <v>52</v>
      </c>
      <c r="F707" t="s">
        <v>53</v>
      </c>
      <c r="G707" t="s">
        <v>54</v>
      </c>
      <c r="H707" t="str">
        <f t="shared" si="11"/>
        <v>18.003.04.126.0002.2.007.3.3.90.40.00</v>
      </c>
      <c r="I707" t="s">
        <v>815</v>
      </c>
      <c r="J707" t="s">
        <v>816</v>
      </c>
      <c r="K707" t="s">
        <v>21</v>
      </c>
      <c r="L707" t="s">
        <v>57</v>
      </c>
      <c r="M707" t="s">
        <v>58</v>
      </c>
      <c r="N707" t="s">
        <v>59</v>
      </c>
      <c r="O707" t="s">
        <v>60</v>
      </c>
      <c r="P707" t="s">
        <v>61</v>
      </c>
      <c r="Q707" t="s">
        <v>828</v>
      </c>
      <c r="R707" s="9">
        <v>14400000</v>
      </c>
      <c r="S707" t="s">
        <v>27</v>
      </c>
    </row>
    <row r="708" spans="1:19" x14ac:dyDescent="0.25">
      <c r="A708" t="s">
        <v>515</v>
      </c>
      <c r="B708" t="s">
        <v>767</v>
      </c>
      <c r="C708" s="2" t="s">
        <v>14</v>
      </c>
      <c r="D708" t="s">
        <v>51</v>
      </c>
      <c r="E708" t="s">
        <v>52</v>
      </c>
      <c r="F708" t="s">
        <v>53</v>
      </c>
      <c r="G708" t="s">
        <v>54</v>
      </c>
      <c r="H708" t="str">
        <f t="shared" si="11"/>
        <v>18.003.04.126.0002.2.007.3.3.90.40.00</v>
      </c>
      <c r="I708" t="s">
        <v>815</v>
      </c>
      <c r="J708" t="s">
        <v>816</v>
      </c>
      <c r="K708" t="s">
        <v>21</v>
      </c>
      <c r="L708" t="s">
        <v>57</v>
      </c>
      <c r="M708" t="s">
        <v>58</v>
      </c>
      <c r="N708" t="s">
        <v>59</v>
      </c>
      <c r="O708" t="s">
        <v>60</v>
      </c>
      <c r="P708" t="s">
        <v>61</v>
      </c>
      <c r="Q708" t="s">
        <v>829</v>
      </c>
      <c r="R708" s="9">
        <v>1022583.36</v>
      </c>
      <c r="S708" t="s">
        <v>27</v>
      </c>
    </row>
    <row r="709" spans="1:19" x14ac:dyDescent="0.25">
      <c r="A709" t="s">
        <v>515</v>
      </c>
      <c r="B709" t="s">
        <v>767</v>
      </c>
      <c r="C709" s="2" t="s">
        <v>14</v>
      </c>
      <c r="D709" t="s">
        <v>51</v>
      </c>
      <c r="E709" t="s">
        <v>52</v>
      </c>
      <c r="F709" t="s">
        <v>53</v>
      </c>
      <c r="G709" t="s">
        <v>54</v>
      </c>
      <c r="H709" t="str">
        <f t="shared" si="11"/>
        <v>18.003.04.126.0002.2.007.3.3.90.40.00</v>
      </c>
      <c r="I709" t="s">
        <v>815</v>
      </c>
      <c r="J709" t="s">
        <v>816</v>
      </c>
      <c r="K709" t="s">
        <v>21</v>
      </c>
      <c r="L709" t="s">
        <v>57</v>
      </c>
      <c r="M709" t="s">
        <v>58</v>
      </c>
      <c r="N709" t="s">
        <v>59</v>
      </c>
      <c r="O709" t="s">
        <v>60</v>
      </c>
      <c r="P709" t="s">
        <v>61</v>
      </c>
      <c r="Q709" t="s">
        <v>830</v>
      </c>
      <c r="R709" s="9">
        <v>8067506.1600000001</v>
      </c>
      <c r="S709" t="s">
        <v>27</v>
      </c>
    </row>
    <row r="710" spans="1:19" x14ac:dyDescent="0.25">
      <c r="A710" t="s">
        <v>515</v>
      </c>
      <c r="B710" t="s">
        <v>767</v>
      </c>
      <c r="C710" s="2" t="s">
        <v>14</v>
      </c>
      <c r="D710" t="s">
        <v>51</v>
      </c>
      <c r="E710" t="s">
        <v>52</v>
      </c>
      <c r="F710" t="s">
        <v>53</v>
      </c>
      <c r="G710" t="s">
        <v>54</v>
      </c>
      <c r="H710" t="str">
        <f t="shared" si="11"/>
        <v>18.003.04.126.0002.2.007.3.3.90.40.00</v>
      </c>
      <c r="I710" t="s">
        <v>815</v>
      </c>
      <c r="J710" t="s">
        <v>816</v>
      </c>
      <c r="K710" t="s">
        <v>21</v>
      </c>
      <c r="L710" t="s">
        <v>57</v>
      </c>
      <c r="M710" t="s">
        <v>58</v>
      </c>
      <c r="N710" t="s">
        <v>59</v>
      </c>
      <c r="O710" t="s">
        <v>60</v>
      </c>
      <c r="P710" t="s">
        <v>61</v>
      </c>
      <c r="Q710" t="s">
        <v>831</v>
      </c>
      <c r="R710" s="9">
        <v>7524000</v>
      </c>
      <c r="S710" t="s">
        <v>27</v>
      </c>
    </row>
    <row r="711" spans="1:19" x14ac:dyDescent="0.25">
      <c r="A711" t="s">
        <v>515</v>
      </c>
      <c r="B711" t="s">
        <v>767</v>
      </c>
      <c r="C711" s="2" t="s">
        <v>14</v>
      </c>
      <c r="D711" t="s">
        <v>51</v>
      </c>
      <c r="E711" t="s">
        <v>52</v>
      </c>
      <c r="F711" t="s">
        <v>53</v>
      </c>
      <c r="G711" t="s">
        <v>54</v>
      </c>
      <c r="H711" t="str">
        <f t="shared" si="11"/>
        <v>18.003.04.126.0002.2.007.3.3.90.40.00</v>
      </c>
      <c r="I711" t="s">
        <v>815</v>
      </c>
      <c r="J711" t="s">
        <v>816</v>
      </c>
      <c r="K711" t="s">
        <v>21</v>
      </c>
      <c r="L711" t="s">
        <v>57</v>
      </c>
      <c r="M711" t="s">
        <v>58</v>
      </c>
      <c r="N711" t="s">
        <v>59</v>
      </c>
      <c r="O711" t="s">
        <v>60</v>
      </c>
      <c r="P711" t="s">
        <v>61</v>
      </c>
      <c r="Q711" t="s">
        <v>832</v>
      </c>
      <c r="R711" s="9">
        <v>1800000</v>
      </c>
      <c r="S711" t="s">
        <v>27</v>
      </c>
    </row>
    <row r="712" spans="1:19" x14ac:dyDescent="0.25">
      <c r="A712" t="s">
        <v>515</v>
      </c>
      <c r="B712" t="s">
        <v>767</v>
      </c>
      <c r="C712" s="2" t="s">
        <v>14</v>
      </c>
      <c r="D712" t="s">
        <v>51</v>
      </c>
      <c r="E712" t="s">
        <v>52</v>
      </c>
      <c r="F712" t="s">
        <v>53</v>
      </c>
      <c r="G712" t="s">
        <v>54</v>
      </c>
      <c r="H712" t="str">
        <f t="shared" si="11"/>
        <v>18.003.04.126.0002.2.007.3.3.90.40.00</v>
      </c>
      <c r="I712" t="s">
        <v>815</v>
      </c>
      <c r="J712" t="s">
        <v>816</v>
      </c>
      <c r="K712" t="s">
        <v>21</v>
      </c>
      <c r="L712" t="s">
        <v>57</v>
      </c>
      <c r="M712" t="s">
        <v>58</v>
      </c>
      <c r="N712" t="s">
        <v>59</v>
      </c>
      <c r="O712" t="s">
        <v>60</v>
      </c>
      <c r="P712" t="s">
        <v>61</v>
      </c>
      <c r="Q712" t="s">
        <v>833</v>
      </c>
      <c r="R712" s="9">
        <v>5282446.32</v>
      </c>
      <c r="S712" t="s">
        <v>27</v>
      </c>
    </row>
    <row r="713" spans="1:19" x14ac:dyDescent="0.25">
      <c r="A713" t="s">
        <v>515</v>
      </c>
      <c r="B713" t="s">
        <v>767</v>
      </c>
      <c r="C713" s="2" t="s">
        <v>14</v>
      </c>
      <c r="D713" t="s">
        <v>51</v>
      </c>
      <c r="E713" t="s">
        <v>52</v>
      </c>
      <c r="F713" t="s">
        <v>53</v>
      </c>
      <c r="G713" t="s">
        <v>54</v>
      </c>
      <c r="H713" t="str">
        <f t="shared" si="11"/>
        <v>18.003.04.126.0002.2.007.3.3.90.40.00</v>
      </c>
      <c r="I713" t="s">
        <v>815</v>
      </c>
      <c r="J713" t="s">
        <v>816</v>
      </c>
      <c r="K713" t="s">
        <v>21</v>
      </c>
      <c r="L713" t="s">
        <v>57</v>
      </c>
      <c r="M713" t="s">
        <v>58</v>
      </c>
      <c r="N713" t="s">
        <v>59</v>
      </c>
      <c r="O713" t="s">
        <v>60</v>
      </c>
      <c r="P713" t="s">
        <v>61</v>
      </c>
      <c r="Q713" t="s">
        <v>834</v>
      </c>
      <c r="R713" s="9">
        <v>11190000</v>
      </c>
      <c r="S713" t="s">
        <v>27</v>
      </c>
    </row>
    <row r="714" spans="1:19" x14ac:dyDescent="0.25">
      <c r="A714" t="s">
        <v>515</v>
      </c>
      <c r="B714" t="s">
        <v>767</v>
      </c>
      <c r="C714" s="2" t="s">
        <v>14</v>
      </c>
      <c r="D714" t="s">
        <v>51</v>
      </c>
      <c r="E714" t="s">
        <v>52</v>
      </c>
      <c r="F714" t="s">
        <v>53</v>
      </c>
      <c r="G714" t="s">
        <v>54</v>
      </c>
      <c r="H714" t="str">
        <f t="shared" si="11"/>
        <v>18.003.04.126.0002.2.007.3.3.90.40.00</v>
      </c>
      <c r="I714" t="s">
        <v>815</v>
      </c>
      <c r="J714" t="s">
        <v>816</v>
      </c>
      <c r="K714" t="s">
        <v>21</v>
      </c>
      <c r="L714" t="s">
        <v>57</v>
      </c>
      <c r="M714" t="s">
        <v>58</v>
      </c>
      <c r="N714" t="s">
        <v>59</v>
      </c>
      <c r="O714" t="s">
        <v>60</v>
      </c>
      <c r="P714" t="s">
        <v>61</v>
      </c>
      <c r="Q714" t="s">
        <v>835</v>
      </c>
      <c r="R714" s="9">
        <v>16080000</v>
      </c>
      <c r="S714" t="s">
        <v>27</v>
      </c>
    </row>
    <row r="715" spans="1:19" x14ac:dyDescent="0.25">
      <c r="A715" t="s">
        <v>515</v>
      </c>
      <c r="B715" t="s">
        <v>767</v>
      </c>
      <c r="C715" s="2" t="s">
        <v>14</v>
      </c>
      <c r="D715" t="s">
        <v>51</v>
      </c>
      <c r="E715" t="s">
        <v>52</v>
      </c>
      <c r="F715" t="s">
        <v>53</v>
      </c>
      <c r="G715" t="s">
        <v>80</v>
      </c>
      <c r="H715" t="str">
        <f t="shared" si="11"/>
        <v>18.003.04.126.0002.2.007.4.4.90.52.00</v>
      </c>
      <c r="I715" t="s">
        <v>815</v>
      </c>
      <c r="J715" t="s">
        <v>816</v>
      </c>
      <c r="K715" t="s">
        <v>21</v>
      </c>
      <c r="L715" t="s">
        <v>57</v>
      </c>
      <c r="M715" t="s">
        <v>58</v>
      </c>
      <c r="N715" t="s">
        <v>59</v>
      </c>
      <c r="O715" t="s">
        <v>81</v>
      </c>
      <c r="P715" t="s">
        <v>678</v>
      </c>
      <c r="Q715" t="s">
        <v>836</v>
      </c>
      <c r="R715" s="9">
        <v>4900000</v>
      </c>
      <c r="S715" t="s">
        <v>27</v>
      </c>
    </row>
    <row r="716" spans="1:19" x14ac:dyDescent="0.25">
      <c r="A716" t="s">
        <v>515</v>
      </c>
      <c r="B716" t="s">
        <v>767</v>
      </c>
      <c r="C716" s="2" t="s">
        <v>14</v>
      </c>
      <c r="D716" t="s">
        <v>51</v>
      </c>
      <c r="E716" t="s">
        <v>52</v>
      </c>
      <c r="F716" t="s">
        <v>53</v>
      </c>
      <c r="G716" t="s">
        <v>18</v>
      </c>
      <c r="H716" t="str">
        <f t="shared" si="11"/>
        <v>18.003.04.126.0002.2.007.3.3.90.30.00</v>
      </c>
      <c r="I716" t="s">
        <v>815</v>
      </c>
      <c r="J716" t="s">
        <v>816</v>
      </c>
      <c r="K716" t="s">
        <v>21</v>
      </c>
      <c r="L716" t="s">
        <v>57</v>
      </c>
      <c r="M716" t="s">
        <v>58</v>
      </c>
      <c r="N716" t="s">
        <v>59</v>
      </c>
      <c r="O716" t="s">
        <v>25</v>
      </c>
      <c r="P716" t="s">
        <v>61</v>
      </c>
      <c r="Q716" t="s">
        <v>837</v>
      </c>
      <c r="R716" s="9">
        <v>200000</v>
      </c>
      <c r="S716" t="s">
        <v>27</v>
      </c>
    </row>
    <row r="717" spans="1:19" x14ac:dyDescent="0.25">
      <c r="A717" t="s">
        <v>515</v>
      </c>
      <c r="B717" t="s">
        <v>767</v>
      </c>
      <c r="C717" s="2" t="s">
        <v>14</v>
      </c>
      <c r="D717" t="s">
        <v>51</v>
      </c>
      <c r="E717" t="s">
        <v>52</v>
      </c>
      <c r="F717" t="s">
        <v>53</v>
      </c>
      <c r="G717" t="s">
        <v>31</v>
      </c>
      <c r="H717" t="str">
        <f t="shared" si="11"/>
        <v>18.003.04.126.0002.2.007.3.3.90.39.00</v>
      </c>
      <c r="I717" t="s">
        <v>815</v>
      </c>
      <c r="J717" t="s">
        <v>816</v>
      </c>
      <c r="K717" t="s">
        <v>21</v>
      </c>
      <c r="L717" t="s">
        <v>57</v>
      </c>
      <c r="M717" t="s">
        <v>58</v>
      </c>
      <c r="N717" t="s">
        <v>59</v>
      </c>
      <c r="O717" t="s">
        <v>32</v>
      </c>
      <c r="P717" t="s">
        <v>61</v>
      </c>
      <c r="Q717" t="s">
        <v>837</v>
      </c>
      <c r="R717" s="9">
        <v>200000</v>
      </c>
      <c r="S717" t="s">
        <v>27</v>
      </c>
    </row>
    <row r="718" spans="1:19" x14ac:dyDescent="0.25">
      <c r="A718" t="s">
        <v>515</v>
      </c>
      <c r="B718" t="s">
        <v>767</v>
      </c>
      <c r="C718" s="2" t="s">
        <v>14</v>
      </c>
      <c r="D718" t="s">
        <v>51</v>
      </c>
      <c r="E718" t="s">
        <v>52</v>
      </c>
      <c r="F718" t="s">
        <v>53</v>
      </c>
      <c r="G718" t="s">
        <v>54</v>
      </c>
      <c r="H718" t="str">
        <f t="shared" si="11"/>
        <v>18.003.04.126.0002.2.007.3.3.90.40.00</v>
      </c>
      <c r="I718" t="s">
        <v>815</v>
      </c>
      <c r="J718" t="s">
        <v>816</v>
      </c>
      <c r="K718" t="s">
        <v>21</v>
      </c>
      <c r="L718" t="s">
        <v>57</v>
      </c>
      <c r="M718" t="s">
        <v>58</v>
      </c>
      <c r="N718" t="s">
        <v>59</v>
      </c>
      <c r="O718" t="s">
        <v>60</v>
      </c>
      <c r="P718" t="s">
        <v>61</v>
      </c>
      <c r="Q718" t="s">
        <v>838</v>
      </c>
      <c r="R718" s="9">
        <v>3600000</v>
      </c>
      <c r="S718" t="s">
        <v>27</v>
      </c>
    </row>
    <row r="719" spans="1:19" x14ac:dyDescent="0.25">
      <c r="A719" t="s">
        <v>515</v>
      </c>
      <c r="B719" t="s">
        <v>767</v>
      </c>
      <c r="C719" s="2" t="s">
        <v>14</v>
      </c>
      <c r="D719" t="s">
        <v>51</v>
      </c>
      <c r="E719" t="s">
        <v>52</v>
      </c>
      <c r="F719" t="s">
        <v>53</v>
      </c>
      <c r="G719" t="s">
        <v>80</v>
      </c>
      <c r="H719" t="str">
        <f t="shared" si="11"/>
        <v>18.003.04.126.0002.2.007.4.4.90.52.00</v>
      </c>
      <c r="I719" t="s">
        <v>815</v>
      </c>
      <c r="J719" t="s">
        <v>816</v>
      </c>
      <c r="K719" t="s">
        <v>21</v>
      </c>
      <c r="L719" t="s">
        <v>57</v>
      </c>
      <c r="M719" t="s">
        <v>58</v>
      </c>
      <c r="N719" t="s">
        <v>59</v>
      </c>
      <c r="O719" t="s">
        <v>81</v>
      </c>
      <c r="P719" t="s">
        <v>678</v>
      </c>
      <c r="Q719" t="s">
        <v>839</v>
      </c>
      <c r="R719" s="9">
        <v>211478.39999999999</v>
      </c>
      <c r="S719" t="s">
        <v>27</v>
      </c>
    </row>
    <row r="720" spans="1:19" x14ac:dyDescent="0.25">
      <c r="A720" t="s">
        <v>515</v>
      </c>
      <c r="B720" t="s">
        <v>767</v>
      </c>
      <c r="C720" s="2" t="s">
        <v>14</v>
      </c>
      <c r="D720" t="s">
        <v>51</v>
      </c>
      <c r="E720" t="s">
        <v>52</v>
      </c>
      <c r="F720" t="s">
        <v>53</v>
      </c>
      <c r="G720" t="s">
        <v>54</v>
      </c>
      <c r="H720" t="str">
        <f t="shared" si="11"/>
        <v>18.003.04.126.0002.2.007.3.3.90.40.00</v>
      </c>
      <c r="I720" t="s">
        <v>815</v>
      </c>
      <c r="J720" t="s">
        <v>816</v>
      </c>
      <c r="K720" t="s">
        <v>21</v>
      </c>
      <c r="L720" t="s">
        <v>57</v>
      </c>
      <c r="M720" t="s">
        <v>58</v>
      </c>
      <c r="N720" t="s">
        <v>59</v>
      </c>
      <c r="O720" t="s">
        <v>60</v>
      </c>
      <c r="P720" t="s">
        <v>61</v>
      </c>
      <c r="Q720" t="s">
        <v>840</v>
      </c>
      <c r="R720" s="9">
        <v>2474309.2799999998</v>
      </c>
      <c r="S720" t="s">
        <v>27</v>
      </c>
    </row>
    <row r="721" spans="1:19" x14ac:dyDescent="0.25">
      <c r="A721" t="s">
        <v>515</v>
      </c>
      <c r="B721" t="s">
        <v>767</v>
      </c>
      <c r="C721" s="2" t="s">
        <v>14</v>
      </c>
      <c r="D721" t="s">
        <v>51</v>
      </c>
      <c r="E721" t="s">
        <v>52</v>
      </c>
      <c r="F721" t="s">
        <v>53</v>
      </c>
      <c r="G721" t="s">
        <v>54</v>
      </c>
      <c r="H721" t="str">
        <f t="shared" si="11"/>
        <v>18.003.04.126.0002.2.007.3.3.90.40.00</v>
      </c>
      <c r="I721" t="s">
        <v>815</v>
      </c>
      <c r="J721" t="s">
        <v>816</v>
      </c>
      <c r="K721" t="s">
        <v>21</v>
      </c>
      <c r="L721" t="s">
        <v>57</v>
      </c>
      <c r="M721" t="s">
        <v>58</v>
      </c>
      <c r="N721" t="s">
        <v>59</v>
      </c>
      <c r="O721" t="s">
        <v>60</v>
      </c>
      <c r="P721" t="s">
        <v>61</v>
      </c>
      <c r="Q721" t="s">
        <v>841</v>
      </c>
      <c r="R721" s="9">
        <v>3600000</v>
      </c>
      <c r="S721" t="s">
        <v>27</v>
      </c>
    </row>
    <row r="722" spans="1:19" x14ac:dyDescent="0.25">
      <c r="A722" t="s">
        <v>515</v>
      </c>
      <c r="B722" t="s">
        <v>767</v>
      </c>
      <c r="C722" s="2" t="s">
        <v>14</v>
      </c>
      <c r="D722" t="s">
        <v>51</v>
      </c>
      <c r="E722" t="s">
        <v>52</v>
      </c>
      <c r="F722" t="s">
        <v>53</v>
      </c>
      <c r="G722" t="s">
        <v>54</v>
      </c>
      <c r="H722" t="str">
        <f t="shared" si="11"/>
        <v>18.003.04.126.0002.2.007.3.3.90.40.00</v>
      </c>
      <c r="I722" t="s">
        <v>815</v>
      </c>
      <c r="J722" t="s">
        <v>816</v>
      </c>
      <c r="K722" t="s">
        <v>21</v>
      </c>
      <c r="L722" t="s">
        <v>57</v>
      </c>
      <c r="M722" t="s">
        <v>58</v>
      </c>
      <c r="N722" t="s">
        <v>59</v>
      </c>
      <c r="O722" t="s">
        <v>60</v>
      </c>
      <c r="P722" t="s">
        <v>61</v>
      </c>
      <c r="Q722" t="s">
        <v>842</v>
      </c>
      <c r="R722" s="9">
        <v>140000</v>
      </c>
      <c r="S722" t="s">
        <v>27</v>
      </c>
    </row>
    <row r="723" spans="1:19" x14ac:dyDescent="0.25">
      <c r="A723" t="s">
        <v>843</v>
      </c>
      <c r="B723" t="s">
        <v>13</v>
      </c>
      <c r="C723" s="2" t="s">
        <v>14</v>
      </c>
      <c r="D723" t="s">
        <v>312</v>
      </c>
      <c r="E723" t="s">
        <v>52</v>
      </c>
      <c r="F723" t="s">
        <v>133</v>
      </c>
      <c r="G723" t="s">
        <v>31</v>
      </c>
      <c r="H723" t="str">
        <f t="shared" si="11"/>
        <v>19.001.04.131.0002.2.005.3.3.90.39.00</v>
      </c>
      <c r="I723" t="s">
        <v>844</v>
      </c>
      <c r="J723" t="s">
        <v>845</v>
      </c>
      <c r="K723" t="s">
        <v>21</v>
      </c>
      <c r="L723" t="s">
        <v>313</v>
      </c>
      <c r="M723" t="s">
        <v>58</v>
      </c>
      <c r="N723" t="s">
        <v>134</v>
      </c>
      <c r="O723" t="s">
        <v>32</v>
      </c>
      <c r="P723" t="s">
        <v>50</v>
      </c>
      <c r="R723" s="9">
        <v>14300</v>
      </c>
      <c r="S723" t="s">
        <v>27</v>
      </c>
    </row>
    <row r="724" spans="1:19" x14ac:dyDescent="0.25">
      <c r="A724" t="s">
        <v>843</v>
      </c>
      <c r="B724" t="s">
        <v>13</v>
      </c>
      <c r="C724" s="2" t="s">
        <v>14</v>
      </c>
      <c r="D724" t="s">
        <v>312</v>
      </c>
      <c r="E724" t="s">
        <v>52</v>
      </c>
      <c r="F724" t="s">
        <v>133</v>
      </c>
      <c r="G724" t="s">
        <v>18</v>
      </c>
      <c r="H724" t="str">
        <f t="shared" si="11"/>
        <v>19.001.04.131.0002.2.005.3.3.90.30.00</v>
      </c>
      <c r="I724" t="s">
        <v>844</v>
      </c>
      <c r="J724" t="s">
        <v>845</v>
      </c>
      <c r="K724" t="s">
        <v>21</v>
      </c>
      <c r="L724" t="s">
        <v>313</v>
      </c>
      <c r="M724" t="s">
        <v>58</v>
      </c>
      <c r="N724" t="s">
        <v>134</v>
      </c>
      <c r="O724" t="s">
        <v>25</v>
      </c>
      <c r="P724" t="s">
        <v>49</v>
      </c>
      <c r="R724" s="9">
        <v>13750</v>
      </c>
      <c r="S724" t="s">
        <v>27</v>
      </c>
    </row>
    <row r="725" spans="1:19" x14ac:dyDescent="0.25">
      <c r="A725" t="s">
        <v>843</v>
      </c>
      <c r="B725" t="s">
        <v>13</v>
      </c>
      <c r="C725" s="2" t="s">
        <v>14</v>
      </c>
      <c r="D725" t="s">
        <v>312</v>
      </c>
      <c r="E725" t="s">
        <v>52</v>
      </c>
      <c r="F725" t="s">
        <v>133</v>
      </c>
      <c r="G725" t="s">
        <v>31</v>
      </c>
      <c r="H725" t="str">
        <f t="shared" si="11"/>
        <v>19.001.04.131.0002.2.005.3.3.90.39.00</v>
      </c>
      <c r="I725" t="s">
        <v>844</v>
      </c>
      <c r="J725" t="s">
        <v>845</v>
      </c>
      <c r="K725" t="s">
        <v>21</v>
      </c>
      <c r="L725" t="s">
        <v>313</v>
      </c>
      <c r="M725" t="s">
        <v>58</v>
      </c>
      <c r="N725" t="s">
        <v>134</v>
      </c>
      <c r="O725" t="s">
        <v>32</v>
      </c>
      <c r="P725" t="s">
        <v>135</v>
      </c>
      <c r="R725" s="9">
        <v>176849.2</v>
      </c>
      <c r="S725" t="s">
        <v>27</v>
      </c>
    </row>
    <row r="726" spans="1:19" x14ac:dyDescent="0.25">
      <c r="A726" t="s">
        <v>843</v>
      </c>
      <c r="B726" t="s">
        <v>13</v>
      </c>
      <c r="C726" s="2" t="s">
        <v>14</v>
      </c>
      <c r="D726" t="s">
        <v>312</v>
      </c>
      <c r="E726" t="s">
        <v>52</v>
      </c>
      <c r="F726" t="s">
        <v>133</v>
      </c>
      <c r="G726" t="s">
        <v>31</v>
      </c>
      <c r="H726" t="str">
        <f t="shared" si="11"/>
        <v>19.001.04.131.0002.2.005.3.3.90.39.00</v>
      </c>
      <c r="I726" t="s">
        <v>844</v>
      </c>
      <c r="J726" t="s">
        <v>845</v>
      </c>
      <c r="K726" t="s">
        <v>21</v>
      </c>
      <c r="L726" t="s">
        <v>313</v>
      </c>
      <c r="M726" t="s">
        <v>58</v>
      </c>
      <c r="N726" t="s">
        <v>134</v>
      </c>
      <c r="O726" t="s">
        <v>32</v>
      </c>
      <c r="P726" t="s">
        <v>45</v>
      </c>
      <c r="R726" s="9">
        <v>27500</v>
      </c>
      <c r="S726" t="s">
        <v>27</v>
      </c>
    </row>
    <row r="727" spans="1:19" x14ac:dyDescent="0.25">
      <c r="A727" t="s">
        <v>843</v>
      </c>
      <c r="B727" t="s">
        <v>13</v>
      </c>
      <c r="C727" s="2" t="s">
        <v>14</v>
      </c>
      <c r="D727" t="s">
        <v>15</v>
      </c>
      <c r="E727" t="s">
        <v>16</v>
      </c>
      <c r="F727" t="s">
        <v>127</v>
      </c>
      <c r="G727" t="s">
        <v>73</v>
      </c>
      <c r="H727" t="str">
        <f t="shared" si="11"/>
        <v>19.001.04.122.0001.2.006.3.3.90.33.00</v>
      </c>
      <c r="I727" t="s">
        <v>844</v>
      </c>
      <c r="J727" t="s">
        <v>845</v>
      </c>
      <c r="K727" t="s">
        <v>21</v>
      </c>
      <c r="L727" t="s">
        <v>22</v>
      </c>
      <c r="M727" t="s">
        <v>23</v>
      </c>
      <c r="N727" t="s">
        <v>130</v>
      </c>
      <c r="O727" t="s">
        <v>74</v>
      </c>
      <c r="P727" t="s">
        <v>846</v>
      </c>
      <c r="R727" s="9">
        <v>66000</v>
      </c>
      <c r="S727" t="s">
        <v>27</v>
      </c>
    </row>
    <row r="728" spans="1:19" x14ac:dyDescent="0.25">
      <c r="A728" t="s">
        <v>843</v>
      </c>
      <c r="B728" t="s">
        <v>13</v>
      </c>
      <c r="C728" s="2" t="s">
        <v>14</v>
      </c>
      <c r="D728" t="s">
        <v>15</v>
      </c>
      <c r="E728" t="s">
        <v>16</v>
      </c>
      <c r="F728" t="s">
        <v>127</v>
      </c>
      <c r="G728" t="s">
        <v>31</v>
      </c>
      <c r="H728" t="str">
        <f t="shared" si="11"/>
        <v>19.001.04.122.0001.2.006.3.3.90.39.00</v>
      </c>
      <c r="I728" t="s">
        <v>844</v>
      </c>
      <c r="J728" t="s">
        <v>845</v>
      </c>
      <c r="K728" t="s">
        <v>21</v>
      </c>
      <c r="L728" t="s">
        <v>22</v>
      </c>
      <c r="M728" t="s">
        <v>23</v>
      </c>
      <c r="N728" t="s">
        <v>130</v>
      </c>
      <c r="O728" t="s">
        <v>32</v>
      </c>
      <c r="P728" t="s">
        <v>93</v>
      </c>
      <c r="R728" s="9">
        <v>66000</v>
      </c>
      <c r="S728" t="s">
        <v>27</v>
      </c>
    </row>
    <row r="729" spans="1:19" x14ac:dyDescent="0.25">
      <c r="A729" t="s">
        <v>843</v>
      </c>
      <c r="B729" t="s">
        <v>13</v>
      </c>
      <c r="C729" s="2" t="s">
        <v>14</v>
      </c>
      <c r="D729" t="s">
        <v>15</v>
      </c>
      <c r="E729" t="s">
        <v>16</v>
      </c>
      <c r="F729" t="s">
        <v>182</v>
      </c>
      <c r="G729" t="s">
        <v>391</v>
      </c>
      <c r="H729" t="str">
        <f t="shared" si="11"/>
        <v>19.001.04.122.0001.2.001.</v>
      </c>
      <c r="I729" t="s">
        <v>844</v>
      </c>
      <c r="J729" t="s">
        <v>845</v>
      </c>
      <c r="K729" t="s">
        <v>21</v>
      </c>
      <c r="L729" t="s">
        <v>22</v>
      </c>
      <c r="M729" t="s">
        <v>23</v>
      </c>
      <c r="N729" t="s">
        <v>183</v>
      </c>
      <c r="P729" t="s">
        <v>847</v>
      </c>
      <c r="R729" s="9">
        <v>17263390.100000001</v>
      </c>
      <c r="S729" t="s">
        <v>27</v>
      </c>
    </row>
    <row r="730" spans="1:19" x14ac:dyDescent="0.25">
      <c r="A730" t="s">
        <v>843</v>
      </c>
      <c r="B730" t="s">
        <v>13</v>
      </c>
      <c r="C730" s="2" t="s">
        <v>14</v>
      </c>
      <c r="D730" t="s">
        <v>121</v>
      </c>
      <c r="E730" t="s">
        <v>52</v>
      </c>
      <c r="F730" t="s">
        <v>122</v>
      </c>
      <c r="G730" t="s">
        <v>31</v>
      </c>
      <c r="H730" t="str">
        <f t="shared" si="11"/>
        <v>19.001.04.128.0002.2.003.3.3.90.39.00</v>
      </c>
      <c r="I730" t="s">
        <v>844</v>
      </c>
      <c r="J730" t="s">
        <v>845</v>
      </c>
      <c r="K730" t="s">
        <v>21</v>
      </c>
      <c r="L730" t="s">
        <v>124</v>
      </c>
      <c r="M730" t="s">
        <v>58</v>
      </c>
      <c r="N730" t="s">
        <v>125</v>
      </c>
      <c r="O730" t="s">
        <v>32</v>
      </c>
      <c r="P730" t="s">
        <v>581</v>
      </c>
      <c r="R730" s="9">
        <v>150000</v>
      </c>
      <c r="S730" t="s">
        <v>27</v>
      </c>
    </row>
    <row r="731" spans="1:19" x14ac:dyDescent="0.25">
      <c r="A731" t="s">
        <v>843</v>
      </c>
      <c r="B731" t="s">
        <v>13</v>
      </c>
      <c r="C731" s="2" t="s">
        <v>14</v>
      </c>
      <c r="D731" t="s">
        <v>15</v>
      </c>
      <c r="E731" t="s">
        <v>16</v>
      </c>
      <c r="F731" t="s">
        <v>848</v>
      </c>
      <c r="G731" t="s">
        <v>31</v>
      </c>
      <c r="H731" t="str">
        <f t="shared" si="11"/>
        <v>19.001.04.122.0001.2.002.3.3.90.39.00</v>
      </c>
      <c r="I731" t="s">
        <v>844</v>
      </c>
      <c r="J731" t="s">
        <v>845</v>
      </c>
      <c r="K731" t="s">
        <v>21</v>
      </c>
      <c r="L731" t="s">
        <v>22</v>
      </c>
      <c r="M731" t="s">
        <v>23</v>
      </c>
      <c r="N731" t="s">
        <v>849</v>
      </c>
      <c r="O731" t="s">
        <v>32</v>
      </c>
      <c r="P731" t="s">
        <v>93</v>
      </c>
      <c r="R731" s="9">
        <v>10073446.039999999</v>
      </c>
      <c r="S731" t="s">
        <v>27</v>
      </c>
    </row>
    <row r="732" spans="1:19" x14ac:dyDescent="0.25">
      <c r="A732" t="s">
        <v>843</v>
      </c>
      <c r="B732" t="s">
        <v>618</v>
      </c>
      <c r="C732" s="2" t="s">
        <v>14</v>
      </c>
      <c r="D732" t="s">
        <v>15</v>
      </c>
      <c r="E732" t="s">
        <v>16</v>
      </c>
      <c r="F732" t="s">
        <v>848</v>
      </c>
      <c r="G732" t="s">
        <v>31</v>
      </c>
      <c r="H732" t="str">
        <f t="shared" si="11"/>
        <v>19.005.04.122.0001.2.002.3.3.90.39.00</v>
      </c>
      <c r="I732" t="s">
        <v>844</v>
      </c>
      <c r="J732" t="s">
        <v>850</v>
      </c>
      <c r="K732" t="s">
        <v>21</v>
      </c>
      <c r="L732" t="s">
        <v>22</v>
      </c>
      <c r="M732" t="s">
        <v>23</v>
      </c>
      <c r="N732" t="s">
        <v>849</v>
      </c>
      <c r="O732" t="s">
        <v>32</v>
      </c>
      <c r="P732" t="s">
        <v>93</v>
      </c>
      <c r="R732" s="9">
        <v>1</v>
      </c>
      <c r="S732" t="s">
        <v>27</v>
      </c>
    </row>
    <row r="733" spans="1:19" x14ac:dyDescent="0.25">
      <c r="A733" t="s">
        <v>843</v>
      </c>
      <c r="B733" t="s">
        <v>13</v>
      </c>
      <c r="C733" s="2" t="s">
        <v>14</v>
      </c>
      <c r="D733" t="s">
        <v>436</v>
      </c>
      <c r="E733" t="s">
        <v>437</v>
      </c>
      <c r="F733" t="s">
        <v>438</v>
      </c>
      <c r="G733" t="s">
        <v>31</v>
      </c>
      <c r="H733" t="str">
        <f t="shared" si="11"/>
        <v>19.001.04.121.0004.1.001.3.3.90.39.00</v>
      </c>
      <c r="I733" t="s">
        <v>844</v>
      </c>
      <c r="J733" t="s">
        <v>845</v>
      </c>
      <c r="K733" t="s">
        <v>21</v>
      </c>
      <c r="L733" t="s">
        <v>441</v>
      </c>
      <c r="M733" t="s">
        <v>442</v>
      </c>
      <c r="N733" t="s">
        <v>443</v>
      </c>
      <c r="O733" t="s">
        <v>32</v>
      </c>
      <c r="P733" t="s">
        <v>93</v>
      </c>
      <c r="R733" s="9">
        <v>2500000</v>
      </c>
      <c r="S733" t="s">
        <v>27</v>
      </c>
    </row>
    <row r="734" spans="1:19" x14ac:dyDescent="0.25">
      <c r="A734" t="s">
        <v>843</v>
      </c>
      <c r="B734" t="s">
        <v>13</v>
      </c>
      <c r="C734" s="2" t="s">
        <v>14</v>
      </c>
      <c r="D734" t="s">
        <v>487</v>
      </c>
      <c r="E734" t="s">
        <v>488</v>
      </c>
      <c r="F734" t="str">
        <f>"2.011"</f>
        <v>2.011</v>
      </c>
      <c r="G734" t="s">
        <v>31</v>
      </c>
      <c r="H734" t="str">
        <f t="shared" si="11"/>
        <v>19.001.04.451.0013.2.011.3.3.90.39.00</v>
      </c>
      <c r="I734" t="s">
        <v>844</v>
      </c>
      <c r="J734" t="s">
        <v>845</v>
      </c>
      <c r="K734" t="s">
        <v>21</v>
      </c>
      <c r="L734" t="s">
        <v>491</v>
      </c>
      <c r="M734" t="s">
        <v>492</v>
      </c>
      <c r="N734" t="str">
        <f>F734</f>
        <v>2.011</v>
      </c>
      <c r="O734" t="s">
        <v>32</v>
      </c>
      <c r="P734" t="s">
        <v>215</v>
      </c>
      <c r="R734" s="9">
        <v>175000</v>
      </c>
      <c r="S734" t="s">
        <v>27</v>
      </c>
    </row>
    <row r="735" spans="1:19" x14ac:dyDescent="0.25">
      <c r="A735" t="s">
        <v>843</v>
      </c>
      <c r="B735" t="s">
        <v>618</v>
      </c>
      <c r="C735" s="2" t="s">
        <v>14</v>
      </c>
      <c r="D735" t="s">
        <v>487</v>
      </c>
      <c r="E735" t="s">
        <v>488</v>
      </c>
      <c r="F735" t="str">
        <f>"2.011"</f>
        <v>2.011</v>
      </c>
      <c r="G735" t="s">
        <v>31</v>
      </c>
      <c r="H735" t="str">
        <f t="shared" si="11"/>
        <v>19.005.04.451.0013.2.011.3.3.90.39.00</v>
      </c>
      <c r="I735" t="s">
        <v>844</v>
      </c>
      <c r="J735" t="s">
        <v>850</v>
      </c>
      <c r="K735" t="s">
        <v>21</v>
      </c>
      <c r="L735" t="s">
        <v>491</v>
      </c>
      <c r="M735" t="s">
        <v>492</v>
      </c>
      <c r="N735" t="str">
        <f>F735</f>
        <v>2.011</v>
      </c>
      <c r="O735" t="s">
        <v>32</v>
      </c>
      <c r="P735" t="s">
        <v>215</v>
      </c>
      <c r="R735" s="9">
        <v>75000</v>
      </c>
      <c r="S735" t="s">
        <v>27</v>
      </c>
    </row>
    <row r="736" spans="1:19" x14ac:dyDescent="0.25">
      <c r="A736" t="s">
        <v>843</v>
      </c>
      <c r="B736" t="s">
        <v>13</v>
      </c>
      <c r="C736" s="2" t="s">
        <v>14</v>
      </c>
      <c r="D736" t="s">
        <v>15</v>
      </c>
      <c r="E736" t="s">
        <v>488</v>
      </c>
      <c r="F736" t="str">
        <f>"2.036"</f>
        <v>2.036</v>
      </c>
      <c r="G736" t="s">
        <v>69</v>
      </c>
      <c r="H736" t="str">
        <f t="shared" si="11"/>
        <v>19.001.04.122.0013.2.036.3.3.90.93.00</v>
      </c>
      <c r="I736" t="s">
        <v>844</v>
      </c>
      <c r="J736" t="s">
        <v>845</v>
      </c>
      <c r="K736" t="s">
        <v>21</v>
      </c>
      <c r="L736" t="s">
        <v>22</v>
      </c>
      <c r="M736" t="s">
        <v>492</v>
      </c>
      <c r="N736" t="str">
        <f>F736</f>
        <v>2.036</v>
      </c>
      <c r="O736" t="s">
        <v>70</v>
      </c>
      <c r="P736" t="s">
        <v>188</v>
      </c>
      <c r="Q736" t="s">
        <v>851</v>
      </c>
      <c r="R736" s="9">
        <v>1</v>
      </c>
      <c r="S736" t="s">
        <v>27</v>
      </c>
    </row>
    <row r="737" spans="1:19" x14ac:dyDescent="0.25">
      <c r="A737" t="s">
        <v>843</v>
      </c>
      <c r="B737" t="s">
        <v>13</v>
      </c>
      <c r="C737" s="2" t="s">
        <v>14</v>
      </c>
      <c r="D737" t="s">
        <v>15</v>
      </c>
      <c r="E737" t="s">
        <v>488</v>
      </c>
      <c r="F737" t="str">
        <f>"2.036"</f>
        <v>2.036</v>
      </c>
      <c r="G737" t="s">
        <v>69</v>
      </c>
      <c r="H737" t="str">
        <f t="shared" si="11"/>
        <v>19.001.04.122.0013.2.036.3.3.90.93.00</v>
      </c>
      <c r="I737" t="s">
        <v>844</v>
      </c>
      <c r="J737" t="s">
        <v>845</v>
      </c>
      <c r="K737" t="s">
        <v>21</v>
      </c>
      <c r="L737" t="s">
        <v>22</v>
      </c>
      <c r="M737" t="s">
        <v>492</v>
      </c>
      <c r="N737" t="str">
        <f>F737</f>
        <v>2.036</v>
      </c>
      <c r="O737" t="s">
        <v>70</v>
      </c>
      <c r="P737" t="s">
        <v>93</v>
      </c>
      <c r="Q737" t="s">
        <v>852</v>
      </c>
      <c r="R737" s="9">
        <v>1</v>
      </c>
      <c r="S737" t="s">
        <v>27</v>
      </c>
    </row>
    <row r="738" spans="1:19" x14ac:dyDescent="0.25">
      <c r="A738" t="s">
        <v>843</v>
      </c>
      <c r="B738" t="s">
        <v>13</v>
      </c>
      <c r="C738" s="2" t="s">
        <v>14</v>
      </c>
      <c r="D738" t="s">
        <v>15</v>
      </c>
      <c r="E738" t="s">
        <v>16</v>
      </c>
      <c r="F738" t="s">
        <v>182</v>
      </c>
      <c r="G738" t="s">
        <v>391</v>
      </c>
      <c r="H738" t="str">
        <f t="shared" si="11"/>
        <v>19.001.04.122.0001.2.001.</v>
      </c>
      <c r="I738" t="s">
        <v>844</v>
      </c>
      <c r="J738" t="s">
        <v>845</v>
      </c>
      <c r="K738" t="s">
        <v>21</v>
      </c>
      <c r="L738" t="s">
        <v>22</v>
      </c>
      <c r="M738" t="s">
        <v>23</v>
      </c>
      <c r="N738" t="s">
        <v>183</v>
      </c>
      <c r="R738" s="9">
        <v>1</v>
      </c>
      <c r="S738" t="s">
        <v>27</v>
      </c>
    </row>
    <row r="739" spans="1:19" x14ac:dyDescent="0.25">
      <c r="A739" t="s">
        <v>843</v>
      </c>
      <c r="B739" t="s">
        <v>13</v>
      </c>
      <c r="C739" s="2" t="s">
        <v>486</v>
      </c>
      <c r="D739" t="s">
        <v>436</v>
      </c>
      <c r="E739" t="s">
        <v>488</v>
      </c>
      <c r="F739" t="s">
        <v>139</v>
      </c>
      <c r="G739" t="s">
        <v>31</v>
      </c>
      <c r="H739" t="str">
        <f t="shared" si="11"/>
        <v>19.001.15.121.0013.1.002.3.3.90.39.00</v>
      </c>
      <c r="I739" t="s">
        <v>844</v>
      </c>
      <c r="J739" t="s">
        <v>845</v>
      </c>
      <c r="K739" t="s">
        <v>490</v>
      </c>
      <c r="L739" t="s">
        <v>441</v>
      </c>
      <c r="M739" t="s">
        <v>492</v>
      </c>
      <c r="N739" t="s">
        <v>143</v>
      </c>
      <c r="O739" t="s">
        <v>32</v>
      </c>
      <c r="P739" t="s">
        <v>93</v>
      </c>
      <c r="R739" s="9">
        <v>600000</v>
      </c>
      <c r="S739" t="s">
        <v>27</v>
      </c>
    </row>
    <row r="740" spans="1:19" x14ac:dyDescent="0.25">
      <c r="A740" t="s">
        <v>843</v>
      </c>
      <c r="B740" t="s">
        <v>13</v>
      </c>
      <c r="C740" s="2" t="s">
        <v>486</v>
      </c>
      <c r="D740" t="s">
        <v>487</v>
      </c>
      <c r="E740" t="s">
        <v>488</v>
      </c>
      <c r="F740" t="s">
        <v>139</v>
      </c>
      <c r="G740" t="s">
        <v>31</v>
      </c>
      <c r="H740" t="str">
        <f t="shared" si="11"/>
        <v>19.001.15.451.0013.1.002.3.3.90.39.00</v>
      </c>
      <c r="I740" t="s">
        <v>844</v>
      </c>
      <c r="J740" t="s">
        <v>845</v>
      </c>
      <c r="K740" t="s">
        <v>490</v>
      </c>
      <c r="L740" t="s">
        <v>491</v>
      </c>
      <c r="M740" t="s">
        <v>492</v>
      </c>
      <c r="N740" t="s">
        <v>143</v>
      </c>
      <c r="O740" t="s">
        <v>32</v>
      </c>
      <c r="P740" t="s">
        <v>93</v>
      </c>
      <c r="R740" s="9">
        <v>1</v>
      </c>
      <c r="S740" t="s">
        <v>27</v>
      </c>
    </row>
    <row r="741" spans="1:19" x14ac:dyDescent="0.25">
      <c r="A741" t="s">
        <v>843</v>
      </c>
      <c r="B741" t="s">
        <v>13</v>
      </c>
      <c r="C741" s="2" t="s">
        <v>486</v>
      </c>
      <c r="D741" t="s">
        <v>487</v>
      </c>
      <c r="E741" t="s">
        <v>488</v>
      </c>
      <c r="F741" t="s">
        <v>853</v>
      </c>
      <c r="G741" t="s">
        <v>31</v>
      </c>
      <c r="H741" t="str">
        <f t="shared" si="11"/>
        <v>19.001.15.451.0013.2.036.3.3.90.39.00</v>
      </c>
      <c r="I741" t="s">
        <v>844</v>
      </c>
      <c r="J741" t="s">
        <v>845</v>
      </c>
      <c r="K741" t="s">
        <v>490</v>
      </c>
      <c r="L741" t="s">
        <v>491</v>
      </c>
      <c r="M741" t="s">
        <v>492</v>
      </c>
      <c r="N741" t="s">
        <v>854</v>
      </c>
      <c r="O741" t="s">
        <v>32</v>
      </c>
      <c r="P741" t="s">
        <v>93</v>
      </c>
      <c r="R741" s="9">
        <v>1676951.82</v>
      </c>
      <c r="S741" t="s">
        <v>27</v>
      </c>
    </row>
    <row r="742" spans="1:19" x14ac:dyDescent="0.25">
      <c r="A742" t="s">
        <v>843</v>
      </c>
      <c r="B742" t="s">
        <v>13</v>
      </c>
      <c r="C742" s="2" t="s">
        <v>486</v>
      </c>
      <c r="D742" t="s">
        <v>810</v>
      </c>
      <c r="E742" t="s">
        <v>488</v>
      </c>
      <c r="F742" t="s">
        <v>811</v>
      </c>
      <c r="G742" t="s">
        <v>31</v>
      </c>
      <c r="H742" t="str">
        <f t="shared" si="11"/>
        <v>19.001.15.453.0013.2.010.3.3.90.39.00</v>
      </c>
      <c r="I742" t="s">
        <v>844</v>
      </c>
      <c r="J742" t="s">
        <v>845</v>
      </c>
      <c r="K742" t="s">
        <v>490</v>
      </c>
      <c r="L742" t="s">
        <v>812</v>
      </c>
      <c r="M742" t="s">
        <v>492</v>
      </c>
      <c r="N742" t="s">
        <v>813</v>
      </c>
      <c r="O742" t="s">
        <v>32</v>
      </c>
      <c r="P742" t="s">
        <v>93</v>
      </c>
      <c r="R742" s="9">
        <v>1800000</v>
      </c>
      <c r="S742" t="s">
        <v>27</v>
      </c>
    </row>
    <row r="743" spans="1:19" x14ac:dyDescent="0.25">
      <c r="A743" t="s">
        <v>843</v>
      </c>
      <c r="B743" t="s">
        <v>13</v>
      </c>
      <c r="C743" s="2" t="s">
        <v>486</v>
      </c>
      <c r="D743" t="s">
        <v>487</v>
      </c>
      <c r="E743" t="s">
        <v>488</v>
      </c>
      <c r="F743" t="s">
        <v>489</v>
      </c>
      <c r="G743" t="s">
        <v>391</v>
      </c>
      <c r="H743" t="str">
        <f t="shared" si="11"/>
        <v>19.001.15.451.0013.1.006.</v>
      </c>
      <c r="I743" t="s">
        <v>844</v>
      </c>
      <c r="J743" t="s">
        <v>845</v>
      </c>
      <c r="K743" t="s">
        <v>490</v>
      </c>
      <c r="L743" t="s">
        <v>491</v>
      </c>
      <c r="M743" t="s">
        <v>492</v>
      </c>
      <c r="N743" t="s">
        <v>493</v>
      </c>
      <c r="R743" s="9">
        <v>1</v>
      </c>
      <c r="S743" t="s">
        <v>27</v>
      </c>
    </row>
    <row r="744" spans="1:19" x14ac:dyDescent="0.25">
      <c r="A744" t="s">
        <v>843</v>
      </c>
      <c r="B744" t="s">
        <v>618</v>
      </c>
      <c r="C744" s="2" t="s">
        <v>486</v>
      </c>
      <c r="D744" t="s">
        <v>487</v>
      </c>
      <c r="E744" t="s">
        <v>488</v>
      </c>
      <c r="F744" t="s">
        <v>468</v>
      </c>
      <c r="G744" t="s">
        <v>31</v>
      </c>
      <c r="H744" t="str">
        <f t="shared" si="11"/>
        <v>19.005.15.451.0013.2.034.3.3.90.39.00</v>
      </c>
      <c r="I744" t="s">
        <v>844</v>
      </c>
      <c r="J744" t="s">
        <v>850</v>
      </c>
      <c r="K744" t="s">
        <v>490</v>
      </c>
      <c r="L744" t="s">
        <v>491</v>
      </c>
      <c r="M744" t="s">
        <v>492</v>
      </c>
      <c r="N744" t="s">
        <v>470</v>
      </c>
      <c r="O744" t="s">
        <v>32</v>
      </c>
      <c r="Q744" t="s">
        <v>855</v>
      </c>
      <c r="R744" s="9">
        <v>22978754.100000001</v>
      </c>
      <c r="S744" t="s">
        <v>27</v>
      </c>
    </row>
    <row r="745" spans="1:19" x14ac:dyDescent="0.25">
      <c r="A745" t="s">
        <v>843</v>
      </c>
      <c r="B745" t="s">
        <v>13</v>
      </c>
      <c r="C745" s="2" t="s">
        <v>486</v>
      </c>
      <c r="D745" t="s">
        <v>487</v>
      </c>
      <c r="E745" t="s">
        <v>488</v>
      </c>
      <c r="F745" t="s">
        <v>468</v>
      </c>
      <c r="G745" t="s">
        <v>31</v>
      </c>
      <c r="H745" t="str">
        <f t="shared" si="11"/>
        <v>19.001.15.451.0013.2.034.3.3.90.39.00</v>
      </c>
      <c r="I745" t="s">
        <v>844</v>
      </c>
      <c r="J745" t="s">
        <v>845</v>
      </c>
      <c r="K745" t="s">
        <v>490</v>
      </c>
      <c r="L745" t="s">
        <v>491</v>
      </c>
      <c r="M745" t="s">
        <v>492</v>
      </c>
      <c r="N745" t="s">
        <v>470</v>
      </c>
      <c r="O745" t="s">
        <v>32</v>
      </c>
      <c r="Q745" t="s">
        <v>855</v>
      </c>
      <c r="R745" s="9">
        <v>34468131.140000001</v>
      </c>
      <c r="S745" t="s">
        <v>27</v>
      </c>
    </row>
    <row r="746" spans="1:19" x14ac:dyDescent="0.25">
      <c r="A746" t="s">
        <v>843</v>
      </c>
      <c r="B746" t="s">
        <v>13</v>
      </c>
      <c r="C746" s="2" t="s">
        <v>486</v>
      </c>
      <c r="D746" t="s">
        <v>51</v>
      </c>
      <c r="E746" t="s">
        <v>488</v>
      </c>
      <c r="F746" t="s">
        <v>53</v>
      </c>
      <c r="G746" t="s">
        <v>31</v>
      </c>
      <c r="H746" t="str">
        <f t="shared" si="11"/>
        <v>19.001.15.126.0013.2.007.3.3.90.39.00</v>
      </c>
      <c r="I746" t="s">
        <v>844</v>
      </c>
      <c r="J746" t="s">
        <v>845</v>
      </c>
      <c r="K746" t="s">
        <v>490</v>
      </c>
      <c r="L746" t="s">
        <v>57</v>
      </c>
      <c r="M746" t="s">
        <v>492</v>
      </c>
      <c r="N746" t="s">
        <v>59</v>
      </c>
      <c r="O746" t="s">
        <v>32</v>
      </c>
      <c r="R746" s="9">
        <v>1699489.44</v>
      </c>
      <c r="S746" t="s">
        <v>27</v>
      </c>
    </row>
    <row r="747" spans="1:19" x14ac:dyDescent="0.25">
      <c r="A747" t="s">
        <v>843</v>
      </c>
      <c r="B747" t="s">
        <v>13</v>
      </c>
      <c r="C747" s="2" t="s">
        <v>486</v>
      </c>
      <c r="D747" t="s">
        <v>51</v>
      </c>
      <c r="E747" t="s">
        <v>488</v>
      </c>
      <c r="F747" t="s">
        <v>53</v>
      </c>
      <c r="G747" t="s">
        <v>31</v>
      </c>
      <c r="H747" t="str">
        <f t="shared" si="11"/>
        <v>19.001.15.126.0013.2.007.3.3.90.39.00</v>
      </c>
      <c r="I747" t="s">
        <v>844</v>
      </c>
      <c r="J747" t="s">
        <v>845</v>
      </c>
      <c r="K747" t="s">
        <v>490</v>
      </c>
      <c r="L747" t="s">
        <v>57</v>
      </c>
      <c r="M747" t="s">
        <v>492</v>
      </c>
      <c r="N747" t="s">
        <v>59</v>
      </c>
      <c r="O747" t="s">
        <v>32</v>
      </c>
      <c r="R747" s="9">
        <v>6105000</v>
      </c>
      <c r="S747" t="s">
        <v>27</v>
      </c>
    </row>
    <row r="748" spans="1:19" x14ac:dyDescent="0.25">
      <c r="A748" t="s">
        <v>843</v>
      </c>
      <c r="B748" t="s">
        <v>13</v>
      </c>
      <c r="C748" s="2" t="s">
        <v>486</v>
      </c>
      <c r="D748" t="s">
        <v>51</v>
      </c>
      <c r="E748" t="s">
        <v>488</v>
      </c>
      <c r="F748" t="s">
        <v>53</v>
      </c>
      <c r="G748" t="s">
        <v>31</v>
      </c>
      <c r="H748" t="str">
        <f t="shared" si="11"/>
        <v>19.001.15.126.0013.2.007.3.3.90.39.00</v>
      </c>
      <c r="I748" t="s">
        <v>844</v>
      </c>
      <c r="J748" t="s">
        <v>845</v>
      </c>
      <c r="K748" t="s">
        <v>490</v>
      </c>
      <c r="L748" t="s">
        <v>57</v>
      </c>
      <c r="M748" t="s">
        <v>492</v>
      </c>
      <c r="N748" t="s">
        <v>59</v>
      </c>
      <c r="O748" t="s">
        <v>32</v>
      </c>
      <c r="R748" s="9">
        <v>5270882.62</v>
      </c>
      <c r="S748" t="s">
        <v>27</v>
      </c>
    </row>
    <row r="749" spans="1:19" x14ac:dyDescent="0.25">
      <c r="A749" t="s">
        <v>843</v>
      </c>
      <c r="B749" t="s">
        <v>618</v>
      </c>
      <c r="C749" s="2" t="s">
        <v>486</v>
      </c>
      <c r="D749" t="s">
        <v>51</v>
      </c>
      <c r="E749" t="s">
        <v>488</v>
      </c>
      <c r="F749" t="s">
        <v>53</v>
      </c>
      <c r="G749" t="s">
        <v>31</v>
      </c>
      <c r="H749" t="str">
        <f t="shared" si="11"/>
        <v>19.005.15.126.0013.2.007.3.3.90.39.00</v>
      </c>
      <c r="I749" t="s">
        <v>844</v>
      </c>
      <c r="J749" t="s">
        <v>850</v>
      </c>
      <c r="K749" t="s">
        <v>490</v>
      </c>
      <c r="L749" t="s">
        <v>57</v>
      </c>
      <c r="M749" t="s">
        <v>492</v>
      </c>
      <c r="N749" t="s">
        <v>59</v>
      </c>
      <c r="O749" t="s">
        <v>32</v>
      </c>
      <c r="R749" s="9">
        <v>1132992.96</v>
      </c>
      <c r="S749" t="s">
        <v>27</v>
      </c>
    </row>
    <row r="750" spans="1:19" x14ac:dyDescent="0.25">
      <c r="A750" t="s">
        <v>843</v>
      </c>
      <c r="B750" t="s">
        <v>618</v>
      </c>
      <c r="C750" s="2" t="s">
        <v>486</v>
      </c>
      <c r="D750" t="s">
        <v>51</v>
      </c>
      <c r="E750" t="s">
        <v>488</v>
      </c>
      <c r="F750" t="s">
        <v>53</v>
      </c>
      <c r="G750" t="s">
        <v>31</v>
      </c>
      <c r="H750" t="str">
        <f t="shared" si="11"/>
        <v>19.005.15.126.0013.2.007.3.3.90.39.00</v>
      </c>
      <c r="I750" t="s">
        <v>844</v>
      </c>
      <c r="J750" t="s">
        <v>850</v>
      </c>
      <c r="K750" t="s">
        <v>490</v>
      </c>
      <c r="L750" t="s">
        <v>57</v>
      </c>
      <c r="M750" t="s">
        <v>492</v>
      </c>
      <c r="N750" t="s">
        <v>59</v>
      </c>
      <c r="O750" t="s">
        <v>32</v>
      </c>
      <c r="R750" s="9">
        <v>4070000</v>
      </c>
      <c r="S750" t="s">
        <v>27</v>
      </c>
    </row>
    <row r="751" spans="1:19" x14ac:dyDescent="0.25">
      <c r="A751" t="s">
        <v>843</v>
      </c>
      <c r="B751" t="s">
        <v>618</v>
      </c>
      <c r="C751" s="2" t="s">
        <v>486</v>
      </c>
      <c r="D751" t="s">
        <v>51</v>
      </c>
      <c r="E751" t="s">
        <v>488</v>
      </c>
      <c r="F751" t="s">
        <v>53</v>
      </c>
      <c r="G751" t="s">
        <v>31</v>
      </c>
      <c r="H751" t="str">
        <f t="shared" si="11"/>
        <v>19.005.15.126.0013.2.007.3.3.90.39.00</v>
      </c>
      <c r="I751" t="s">
        <v>844</v>
      </c>
      <c r="J751" t="s">
        <v>850</v>
      </c>
      <c r="K751" t="s">
        <v>490</v>
      </c>
      <c r="L751" t="s">
        <v>57</v>
      </c>
      <c r="M751" t="s">
        <v>492</v>
      </c>
      <c r="N751" t="s">
        <v>59</v>
      </c>
      <c r="O751" t="s">
        <v>32</v>
      </c>
      <c r="R751" s="9">
        <v>3513921.74</v>
      </c>
      <c r="S751" t="s">
        <v>27</v>
      </c>
    </row>
    <row r="752" spans="1:19" x14ac:dyDescent="0.25">
      <c r="A752" t="s">
        <v>843</v>
      </c>
      <c r="B752" t="s">
        <v>13</v>
      </c>
      <c r="C752" s="2" t="s">
        <v>486</v>
      </c>
      <c r="D752" t="s">
        <v>810</v>
      </c>
      <c r="E752" t="s">
        <v>488</v>
      </c>
      <c r="F752" t="s">
        <v>811</v>
      </c>
      <c r="G752" t="s">
        <v>31</v>
      </c>
      <c r="H752" t="str">
        <f t="shared" si="11"/>
        <v>19.001.15.453.0013.2.010.3.3.90.39.00</v>
      </c>
      <c r="I752" t="s">
        <v>844</v>
      </c>
      <c r="J752" t="s">
        <v>845</v>
      </c>
      <c r="K752" t="s">
        <v>490</v>
      </c>
      <c r="L752" t="s">
        <v>812</v>
      </c>
      <c r="M752" t="s">
        <v>492</v>
      </c>
      <c r="N752" t="s">
        <v>813</v>
      </c>
      <c r="O752" t="s">
        <v>32</v>
      </c>
      <c r="R752" s="9">
        <v>1800000</v>
      </c>
      <c r="S752" t="s">
        <v>27</v>
      </c>
    </row>
    <row r="753" spans="1:19" x14ac:dyDescent="0.25">
      <c r="A753" t="s">
        <v>843</v>
      </c>
      <c r="B753" t="s">
        <v>13</v>
      </c>
      <c r="C753" s="2" t="s">
        <v>486</v>
      </c>
      <c r="D753" t="s">
        <v>487</v>
      </c>
      <c r="E753" t="s">
        <v>488</v>
      </c>
      <c r="F753" t="s">
        <v>17</v>
      </c>
      <c r="G753" t="s">
        <v>18</v>
      </c>
      <c r="H753" t="str">
        <f t="shared" si="11"/>
        <v>19.001.15.451.0013.2.011.3.3.90.30.00</v>
      </c>
      <c r="I753" t="s">
        <v>844</v>
      </c>
      <c r="J753" t="s">
        <v>845</v>
      </c>
      <c r="K753" t="s">
        <v>490</v>
      </c>
      <c r="L753" t="s">
        <v>491</v>
      </c>
      <c r="M753" t="s">
        <v>492</v>
      </c>
      <c r="N753" t="s">
        <v>24</v>
      </c>
      <c r="O753" t="s">
        <v>25</v>
      </c>
      <c r="P753" t="s">
        <v>28</v>
      </c>
      <c r="R753" s="9">
        <v>56100</v>
      </c>
      <c r="S753" t="s">
        <v>27</v>
      </c>
    </row>
    <row r="754" spans="1:19" x14ac:dyDescent="0.25">
      <c r="A754" t="s">
        <v>843</v>
      </c>
      <c r="B754" t="s">
        <v>13</v>
      </c>
      <c r="C754" s="2" t="s">
        <v>486</v>
      </c>
      <c r="D754" t="s">
        <v>487</v>
      </c>
      <c r="E754" t="s">
        <v>488</v>
      </c>
      <c r="F754" t="s">
        <v>17</v>
      </c>
      <c r="G754" t="s">
        <v>18</v>
      </c>
      <c r="H754" t="str">
        <f t="shared" si="11"/>
        <v>19.001.15.451.0013.2.011.3.3.90.30.00</v>
      </c>
      <c r="I754" t="s">
        <v>844</v>
      </c>
      <c r="J754" t="s">
        <v>845</v>
      </c>
      <c r="K754" t="s">
        <v>490</v>
      </c>
      <c r="L754" t="s">
        <v>491</v>
      </c>
      <c r="M754" t="s">
        <v>492</v>
      </c>
      <c r="N754" t="s">
        <v>24</v>
      </c>
      <c r="O754" t="s">
        <v>25</v>
      </c>
      <c r="P754" t="s">
        <v>29</v>
      </c>
      <c r="R754" s="9">
        <v>33000</v>
      </c>
      <c r="S754" t="s">
        <v>27</v>
      </c>
    </row>
    <row r="755" spans="1:19" x14ac:dyDescent="0.25">
      <c r="A755" t="s">
        <v>843</v>
      </c>
      <c r="B755" t="s">
        <v>13</v>
      </c>
      <c r="C755" s="2" t="s">
        <v>486</v>
      </c>
      <c r="D755" t="s">
        <v>487</v>
      </c>
      <c r="E755" t="s">
        <v>488</v>
      </c>
      <c r="F755" t="s">
        <v>17</v>
      </c>
      <c r="G755" t="s">
        <v>18</v>
      </c>
      <c r="H755" t="str">
        <f t="shared" si="11"/>
        <v>19.001.15.451.0013.2.011.3.3.90.30.00</v>
      </c>
      <c r="I755" t="s">
        <v>844</v>
      </c>
      <c r="J755" t="s">
        <v>845</v>
      </c>
      <c r="K755" t="s">
        <v>490</v>
      </c>
      <c r="L755" t="s">
        <v>491</v>
      </c>
      <c r="M755" t="s">
        <v>492</v>
      </c>
      <c r="N755" t="s">
        <v>24</v>
      </c>
      <c r="O755" t="s">
        <v>25</v>
      </c>
      <c r="P755" t="s">
        <v>30</v>
      </c>
      <c r="R755" s="9">
        <v>11000</v>
      </c>
      <c r="S755" t="s">
        <v>27</v>
      </c>
    </row>
    <row r="756" spans="1:19" x14ac:dyDescent="0.25">
      <c r="A756" t="s">
        <v>843</v>
      </c>
      <c r="B756" t="s">
        <v>13</v>
      </c>
      <c r="C756" s="2" t="s">
        <v>486</v>
      </c>
      <c r="D756" t="s">
        <v>487</v>
      </c>
      <c r="E756" t="s">
        <v>488</v>
      </c>
      <c r="F756" t="s">
        <v>17</v>
      </c>
      <c r="G756" t="s">
        <v>18</v>
      </c>
      <c r="H756" t="str">
        <f t="shared" si="11"/>
        <v>19.001.15.451.0013.2.011.3.3.90.30.00</v>
      </c>
      <c r="I756" t="s">
        <v>844</v>
      </c>
      <c r="J756" t="s">
        <v>845</v>
      </c>
      <c r="K756" t="s">
        <v>490</v>
      </c>
      <c r="L756" t="s">
        <v>491</v>
      </c>
      <c r="M756" t="s">
        <v>492</v>
      </c>
      <c r="N756" t="s">
        <v>24</v>
      </c>
      <c r="O756" t="s">
        <v>25</v>
      </c>
      <c r="P756" t="s">
        <v>89</v>
      </c>
      <c r="Q756" t="s">
        <v>856</v>
      </c>
      <c r="R756" s="9">
        <v>66000</v>
      </c>
      <c r="S756" t="s">
        <v>27</v>
      </c>
    </row>
    <row r="757" spans="1:19" x14ac:dyDescent="0.25">
      <c r="A757" t="s">
        <v>843</v>
      </c>
      <c r="B757" t="s">
        <v>13</v>
      </c>
      <c r="C757" s="2" t="s">
        <v>486</v>
      </c>
      <c r="D757" t="s">
        <v>487</v>
      </c>
      <c r="E757" t="s">
        <v>488</v>
      </c>
      <c r="F757" t="s">
        <v>17</v>
      </c>
      <c r="G757" t="s">
        <v>31</v>
      </c>
      <c r="H757" t="str">
        <f t="shared" si="11"/>
        <v>19.001.15.451.0013.2.011.3.3.90.39.00</v>
      </c>
      <c r="I757" t="s">
        <v>844</v>
      </c>
      <c r="J757" t="s">
        <v>845</v>
      </c>
      <c r="K757" t="s">
        <v>490</v>
      </c>
      <c r="L757" t="s">
        <v>491</v>
      </c>
      <c r="M757" t="s">
        <v>492</v>
      </c>
      <c r="N757" t="s">
        <v>24</v>
      </c>
      <c r="O757" t="s">
        <v>32</v>
      </c>
      <c r="P757" t="s">
        <v>44</v>
      </c>
      <c r="Q757" t="s">
        <v>856</v>
      </c>
      <c r="R757" s="9">
        <v>22000</v>
      </c>
      <c r="S757" t="s">
        <v>27</v>
      </c>
    </row>
    <row r="758" spans="1:19" x14ac:dyDescent="0.25">
      <c r="A758" t="s">
        <v>843</v>
      </c>
      <c r="B758" t="s">
        <v>13</v>
      </c>
      <c r="C758" s="2" t="s">
        <v>486</v>
      </c>
      <c r="D758" t="s">
        <v>487</v>
      </c>
      <c r="E758" t="s">
        <v>488</v>
      </c>
      <c r="F758" t="s">
        <v>17</v>
      </c>
      <c r="G758" t="s">
        <v>31</v>
      </c>
      <c r="H758" t="str">
        <f t="shared" si="11"/>
        <v>19.001.15.451.0013.2.011.3.3.90.39.00</v>
      </c>
      <c r="I758" t="s">
        <v>844</v>
      </c>
      <c r="J758" t="s">
        <v>845</v>
      </c>
      <c r="K758" t="s">
        <v>490</v>
      </c>
      <c r="L758" t="s">
        <v>491</v>
      </c>
      <c r="M758" t="s">
        <v>492</v>
      </c>
      <c r="N758" t="s">
        <v>24</v>
      </c>
      <c r="O758" t="s">
        <v>32</v>
      </c>
      <c r="P758" t="s">
        <v>45</v>
      </c>
      <c r="R758" s="9">
        <v>1536821.75</v>
      </c>
      <c r="S758" t="s">
        <v>27</v>
      </c>
    </row>
    <row r="759" spans="1:19" x14ac:dyDescent="0.25">
      <c r="A759" t="s">
        <v>843</v>
      </c>
      <c r="B759" t="s">
        <v>13</v>
      </c>
      <c r="C759" s="2" t="s">
        <v>486</v>
      </c>
      <c r="D759" t="s">
        <v>487</v>
      </c>
      <c r="E759" t="s">
        <v>488</v>
      </c>
      <c r="F759" t="s">
        <v>17</v>
      </c>
      <c r="G759" t="s">
        <v>31</v>
      </c>
      <c r="H759" t="str">
        <f t="shared" si="11"/>
        <v>19.001.15.451.0013.2.011.3.3.90.39.00</v>
      </c>
      <c r="I759" t="s">
        <v>844</v>
      </c>
      <c r="J759" t="s">
        <v>845</v>
      </c>
      <c r="K759" t="s">
        <v>490</v>
      </c>
      <c r="L759" t="s">
        <v>491</v>
      </c>
      <c r="M759" t="s">
        <v>492</v>
      </c>
      <c r="N759" t="s">
        <v>24</v>
      </c>
      <c r="O759" t="s">
        <v>32</v>
      </c>
      <c r="P759" t="s">
        <v>45</v>
      </c>
      <c r="R759" s="9">
        <v>56674.73</v>
      </c>
      <c r="S759" t="s">
        <v>27</v>
      </c>
    </row>
    <row r="760" spans="1:19" x14ac:dyDescent="0.25">
      <c r="A760" t="s">
        <v>843</v>
      </c>
      <c r="B760" t="s">
        <v>13</v>
      </c>
      <c r="C760" s="2" t="s">
        <v>486</v>
      </c>
      <c r="D760" t="s">
        <v>487</v>
      </c>
      <c r="E760" t="s">
        <v>488</v>
      </c>
      <c r="F760" t="s">
        <v>17</v>
      </c>
      <c r="G760" t="s">
        <v>18</v>
      </c>
      <c r="H760" t="str">
        <f t="shared" si="11"/>
        <v>19.001.15.451.0013.2.011.3.3.90.30.00</v>
      </c>
      <c r="I760" t="s">
        <v>844</v>
      </c>
      <c r="J760" t="s">
        <v>845</v>
      </c>
      <c r="K760" t="s">
        <v>490</v>
      </c>
      <c r="L760" t="s">
        <v>491</v>
      </c>
      <c r="M760" t="s">
        <v>492</v>
      </c>
      <c r="N760" t="s">
        <v>24</v>
      </c>
      <c r="O760" t="s">
        <v>25</v>
      </c>
      <c r="Q760" t="s">
        <v>857</v>
      </c>
      <c r="R760" s="9">
        <v>2200</v>
      </c>
      <c r="S760" t="s">
        <v>27</v>
      </c>
    </row>
    <row r="761" spans="1:19" x14ac:dyDescent="0.25">
      <c r="A761" t="s">
        <v>843</v>
      </c>
      <c r="B761" t="s">
        <v>13</v>
      </c>
      <c r="C761" s="2" t="s">
        <v>486</v>
      </c>
      <c r="D761" t="s">
        <v>487</v>
      </c>
      <c r="E761" t="s">
        <v>488</v>
      </c>
      <c r="F761" t="s">
        <v>17</v>
      </c>
      <c r="G761" t="s">
        <v>31</v>
      </c>
      <c r="H761" t="str">
        <f t="shared" si="11"/>
        <v>19.001.15.451.0013.2.011.3.3.90.39.00</v>
      </c>
      <c r="I761" t="s">
        <v>844</v>
      </c>
      <c r="J761" t="s">
        <v>845</v>
      </c>
      <c r="K761" t="s">
        <v>490</v>
      </c>
      <c r="L761" t="s">
        <v>491</v>
      </c>
      <c r="M761" t="s">
        <v>492</v>
      </c>
      <c r="N761" t="s">
        <v>24</v>
      </c>
      <c r="O761" t="s">
        <v>32</v>
      </c>
      <c r="Q761" t="s">
        <v>858</v>
      </c>
      <c r="R761" s="9">
        <v>8415</v>
      </c>
      <c r="S761" t="s">
        <v>27</v>
      </c>
    </row>
    <row r="762" spans="1:19" x14ac:dyDescent="0.25">
      <c r="A762" t="s">
        <v>843</v>
      </c>
      <c r="B762" t="s">
        <v>13</v>
      </c>
      <c r="C762" s="2" t="s">
        <v>486</v>
      </c>
      <c r="D762" t="s">
        <v>487</v>
      </c>
      <c r="E762" t="s">
        <v>488</v>
      </c>
      <c r="F762" t="s">
        <v>17</v>
      </c>
      <c r="G762" t="s">
        <v>80</v>
      </c>
      <c r="H762" t="str">
        <f t="shared" si="11"/>
        <v>19.001.15.451.0013.2.011.4.4.90.52.00</v>
      </c>
      <c r="I762" t="s">
        <v>844</v>
      </c>
      <c r="J762" t="s">
        <v>845</v>
      </c>
      <c r="K762" t="s">
        <v>490</v>
      </c>
      <c r="L762" t="s">
        <v>491</v>
      </c>
      <c r="M762" t="s">
        <v>492</v>
      </c>
      <c r="N762" t="s">
        <v>24</v>
      </c>
      <c r="O762" t="s">
        <v>81</v>
      </c>
      <c r="P762" t="s">
        <v>82</v>
      </c>
      <c r="Q762" t="s">
        <v>859</v>
      </c>
      <c r="R762" s="9">
        <v>1</v>
      </c>
      <c r="S762" t="s">
        <v>27</v>
      </c>
    </row>
    <row r="763" spans="1:19" x14ac:dyDescent="0.25">
      <c r="A763" t="s">
        <v>843</v>
      </c>
      <c r="B763" t="s">
        <v>13</v>
      </c>
      <c r="C763" s="2" t="s">
        <v>486</v>
      </c>
      <c r="D763" t="s">
        <v>487</v>
      </c>
      <c r="E763" t="s">
        <v>488</v>
      </c>
      <c r="F763" t="s">
        <v>17</v>
      </c>
      <c r="G763" t="s">
        <v>18</v>
      </c>
      <c r="H763" t="str">
        <f t="shared" si="11"/>
        <v>19.001.15.451.0013.2.011.3.3.90.30.00</v>
      </c>
      <c r="I763" t="s">
        <v>844</v>
      </c>
      <c r="J763" t="s">
        <v>845</v>
      </c>
      <c r="K763" t="s">
        <v>490</v>
      </c>
      <c r="L763" t="s">
        <v>491</v>
      </c>
      <c r="M763" t="s">
        <v>492</v>
      </c>
      <c r="N763" t="s">
        <v>24</v>
      </c>
      <c r="O763" t="s">
        <v>25</v>
      </c>
      <c r="P763" t="s">
        <v>225</v>
      </c>
      <c r="Q763" t="s">
        <v>860</v>
      </c>
      <c r="R763" s="9">
        <v>1325061.8400000001</v>
      </c>
      <c r="S763" t="s">
        <v>27</v>
      </c>
    </row>
    <row r="764" spans="1:19" x14ac:dyDescent="0.25">
      <c r="A764" t="s">
        <v>843</v>
      </c>
      <c r="B764" t="s">
        <v>13</v>
      </c>
      <c r="C764" s="2" t="s">
        <v>486</v>
      </c>
      <c r="D764" t="s">
        <v>487</v>
      </c>
      <c r="E764" t="s">
        <v>488</v>
      </c>
      <c r="F764" t="s">
        <v>17</v>
      </c>
      <c r="G764" t="s">
        <v>18</v>
      </c>
      <c r="H764" t="str">
        <f t="shared" si="11"/>
        <v>19.001.15.451.0013.2.011.3.3.90.30.00</v>
      </c>
      <c r="I764" t="s">
        <v>844</v>
      </c>
      <c r="J764" t="s">
        <v>845</v>
      </c>
      <c r="K764" t="s">
        <v>490</v>
      </c>
      <c r="L764" t="s">
        <v>491</v>
      </c>
      <c r="M764" t="s">
        <v>492</v>
      </c>
      <c r="N764" t="s">
        <v>24</v>
      </c>
      <c r="O764" t="s">
        <v>25</v>
      </c>
      <c r="P764" t="s">
        <v>572</v>
      </c>
      <c r="R764" s="9">
        <v>19800</v>
      </c>
      <c r="S764" t="s">
        <v>27</v>
      </c>
    </row>
    <row r="765" spans="1:19" x14ac:dyDescent="0.25">
      <c r="A765" t="s">
        <v>843</v>
      </c>
      <c r="B765" t="s">
        <v>13</v>
      </c>
      <c r="C765" s="2" t="s">
        <v>486</v>
      </c>
      <c r="D765" t="s">
        <v>487</v>
      </c>
      <c r="E765" t="s">
        <v>488</v>
      </c>
      <c r="F765" t="s">
        <v>17</v>
      </c>
      <c r="G765" t="s">
        <v>80</v>
      </c>
      <c r="H765" t="str">
        <f t="shared" si="11"/>
        <v>19.001.15.451.0013.2.011.4.4.90.52.00</v>
      </c>
      <c r="I765" t="s">
        <v>844</v>
      </c>
      <c r="J765" t="s">
        <v>845</v>
      </c>
      <c r="K765" t="s">
        <v>490</v>
      </c>
      <c r="L765" t="s">
        <v>491</v>
      </c>
      <c r="M765" t="s">
        <v>492</v>
      </c>
      <c r="N765" t="s">
        <v>24</v>
      </c>
      <c r="O765" t="s">
        <v>81</v>
      </c>
      <c r="P765" t="s">
        <v>82</v>
      </c>
      <c r="R765" s="9">
        <v>33000</v>
      </c>
      <c r="S765" t="s">
        <v>27</v>
      </c>
    </row>
    <row r="766" spans="1:19" x14ac:dyDescent="0.25">
      <c r="A766" t="s">
        <v>843</v>
      </c>
      <c r="B766" t="s">
        <v>13</v>
      </c>
      <c r="C766" s="2" t="s">
        <v>486</v>
      </c>
      <c r="D766" t="s">
        <v>487</v>
      </c>
      <c r="E766" t="s">
        <v>488</v>
      </c>
      <c r="F766" t="s">
        <v>17</v>
      </c>
      <c r="G766" t="s">
        <v>80</v>
      </c>
      <c r="H766" t="str">
        <f t="shared" si="11"/>
        <v>19.001.15.451.0013.2.011.4.4.90.52.00</v>
      </c>
      <c r="I766" t="s">
        <v>844</v>
      </c>
      <c r="J766" t="s">
        <v>845</v>
      </c>
      <c r="K766" t="s">
        <v>490</v>
      </c>
      <c r="L766" t="s">
        <v>491</v>
      </c>
      <c r="M766" t="s">
        <v>492</v>
      </c>
      <c r="N766" t="s">
        <v>24</v>
      </c>
      <c r="O766" t="s">
        <v>81</v>
      </c>
      <c r="R766" s="9">
        <v>5000</v>
      </c>
      <c r="S766" t="s">
        <v>27</v>
      </c>
    </row>
    <row r="767" spans="1:19" x14ac:dyDescent="0.25">
      <c r="A767" t="s">
        <v>843</v>
      </c>
      <c r="B767" t="s">
        <v>13</v>
      </c>
      <c r="C767" s="2" t="s">
        <v>486</v>
      </c>
      <c r="D767" t="s">
        <v>487</v>
      </c>
      <c r="E767" t="s">
        <v>488</v>
      </c>
      <c r="F767" t="s">
        <v>17</v>
      </c>
      <c r="G767" t="s">
        <v>80</v>
      </c>
      <c r="H767" t="str">
        <f t="shared" si="11"/>
        <v>19.001.15.451.0013.2.011.4.4.90.52.00</v>
      </c>
      <c r="I767" t="s">
        <v>844</v>
      </c>
      <c r="J767" t="s">
        <v>845</v>
      </c>
      <c r="K767" t="s">
        <v>490</v>
      </c>
      <c r="L767" t="s">
        <v>491</v>
      </c>
      <c r="M767" t="s">
        <v>492</v>
      </c>
      <c r="N767" t="s">
        <v>24</v>
      </c>
      <c r="O767" t="s">
        <v>81</v>
      </c>
      <c r="P767" t="s">
        <v>82</v>
      </c>
      <c r="R767" s="9">
        <v>4400</v>
      </c>
      <c r="S767" t="s">
        <v>27</v>
      </c>
    </row>
    <row r="768" spans="1:19" x14ac:dyDescent="0.25">
      <c r="A768" t="s">
        <v>843</v>
      </c>
      <c r="B768" t="s">
        <v>13</v>
      </c>
      <c r="C768" s="2" t="s">
        <v>486</v>
      </c>
      <c r="D768" t="s">
        <v>487</v>
      </c>
      <c r="E768" t="s">
        <v>488</v>
      </c>
      <c r="F768" t="str">
        <f>"2.011"</f>
        <v>2.011</v>
      </c>
      <c r="G768" t="s">
        <v>31</v>
      </c>
      <c r="H768" t="str">
        <f t="shared" si="11"/>
        <v>19.001.15.451.0013.2.011.3.3.90.39.00</v>
      </c>
      <c r="I768" t="s">
        <v>844</v>
      </c>
      <c r="J768" t="s">
        <v>845</v>
      </c>
      <c r="K768" t="s">
        <v>490</v>
      </c>
      <c r="L768" t="s">
        <v>491</v>
      </c>
      <c r="M768" t="s">
        <v>492</v>
      </c>
      <c r="N768" t="str">
        <f>F768</f>
        <v>2.011</v>
      </c>
      <c r="O768" t="s">
        <v>32</v>
      </c>
      <c r="P768" t="s">
        <v>462</v>
      </c>
      <c r="R768" s="9">
        <v>1550000</v>
      </c>
      <c r="S768" t="s">
        <v>27</v>
      </c>
    </row>
    <row r="769" spans="1:19" x14ac:dyDescent="0.25">
      <c r="A769" t="s">
        <v>843</v>
      </c>
      <c r="B769" t="s">
        <v>13</v>
      </c>
      <c r="C769" s="2" t="s">
        <v>486</v>
      </c>
      <c r="D769" t="s">
        <v>487</v>
      </c>
      <c r="E769" t="s">
        <v>488</v>
      </c>
      <c r="F769" t="s">
        <v>17</v>
      </c>
      <c r="G769" t="s">
        <v>131</v>
      </c>
      <c r="H769" t="str">
        <f t="shared" si="11"/>
        <v>19.001.15.451.0013.2.011.3.3.90.36.00</v>
      </c>
      <c r="I769" t="s">
        <v>844</v>
      </c>
      <c r="J769" t="s">
        <v>845</v>
      </c>
      <c r="K769" t="s">
        <v>490</v>
      </c>
      <c r="L769" t="s">
        <v>491</v>
      </c>
      <c r="M769" t="s">
        <v>492</v>
      </c>
      <c r="N769" t="s">
        <v>24</v>
      </c>
      <c r="O769" t="s">
        <v>132</v>
      </c>
      <c r="P769" t="s">
        <v>861</v>
      </c>
      <c r="R769" s="9">
        <v>8800</v>
      </c>
      <c r="S769" t="s">
        <v>27</v>
      </c>
    </row>
    <row r="770" spans="1:19" x14ac:dyDescent="0.25">
      <c r="A770" t="s">
        <v>843</v>
      </c>
      <c r="B770" t="s">
        <v>13</v>
      </c>
      <c r="C770" s="2" t="s">
        <v>486</v>
      </c>
      <c r="D770" t="s">
        <v>769</v>
      </c>
      <c r="E770" t="s">
        <v>488</v>
      </c>
      <c r="F770" t="s">
        <v>770</v>
      </c>
      <c r="G770" t="s">
        <v>31</v>
      </c>
      <c r="H770" t="str">
        <f t="shared" ref="H770:H833" si="12">_xlfn.CONCAT(A770,".",B770,".",C770,".",D770,".",E770,".",F770,".",G770)</f>
        <v>19.001.15.422.0013.2.021.3.3.90.39.00</v>
      </c>
      <c r="I770" t="s">
        <v>844</v>
      </c>
      <c r="J770" t="s">
        <v>845</v>
      </c>
      <c r="K770" t="s">
        <v>490</v>
      </c>
      <c r="L770" t="s">
        <v>771</v>
      </c>
      <c r="M770" t="s">
        <v>492</v>
      </c>
      <c r="N770" t="s">
        <v>772</v>
      </c>
      <c r="O770" t="s">
        <v>32</v>
      </c>
      <c r="P770" t="s">
        <v>50</v>
      </c>
      <c r="R770" s="9">
        <v>5500</v>
      </c>
      <c r="S770" t="s">
        <v>27</v>
      </c>
    </row>
    <row r="771" spans="1:19" x14ac:dyDescent="0.25">
      <c r="A771" t="s">
        <v>843</v>
      </c>
      <c r="B771" t="s">
        <v>13</v>
      </c>
      <c r="C771" s="2" t="s">
        <v>486</v>
      </c>
      <c r="D771" t="s">
        <v>769</v>
      </c>
      <c r="E771" t="s">
        <v>488</v>
      </c>
      <c r="F771" t="s">
        <v>770</v>
      </c>
      <c r="G771" t="s">
        <v>18</v>
      </c>
      <c r="H771" t="str">
        <f t="shared" si="12"/>
        <v>19.001.15.422.0013.2.021.3.3.90.30.00</v>
      </c>
      <c r="I771" t="s">
        <v>844</v>
      </c>
      <c r="J771" t="s">
        <v>845</v>
      </c>
      <c r="K771" t="s">
        <v>490</v>
      </c>
      <c r="L771" t="s">
        <v>771</v>
      </c>
      <c r="M771" t="s">
        <v>492</v>
      </c>
      <c r="N771" t="s">
        <v>772</v>
      </c>
      <c r="O771" t="s">
        <v>25</v>
      </c>
      <c r="P771" t="s">
        <v>49</v>
      </c>
      <c r="R771" s="9">
        <v>5500</v>
      </c>
      <c r="S771" t="s">
        <v>27</v>
      </c>
    </row>
    <row r="772" spans="1:19" x14ac:dyDescent="0.25">
      <c r="A772" t="s">
        <v>843</v>
      </c>
      <c r="B772" t="s">
        <v>13</v>
      </c>
      <c r="C772" s="2" t="s">
        <v>486</v>
      </c>
      <c r="D772" t="s">
        <v>769</v>
      </c>
      <c r="E772" t="s">
        <v>488</v>
      </c>
      <c r="F772" t="s">
        <v>770</v>
      </c>
      <c r="G772" t="s">
        <v>31</v>
      </c>
      <c r="H772" t="str">
        <f t="shared" si="12"/>
        <v>19.001.15.422.0013.2.021.3.3.90.39.00</v>
      </c>
      <c r="I772" t="s">
        <v>844</v>
      </c>
      <c r="J772" t="s">
        <v>845</v>
      </c>
      <c r="K772" t="s">
        <v>490</v>
      </c>
      <c r="L772" t="s">
        <v>771</v>
      </c>
      <c r="M772" t="s">
        <v>492</v>
      </c>
      <c r="N772" t="s">
        <v>772</v>
      </c>
      <c r="O772" t="s">
        <v>32</v>
      </c>
      <c r="R772" s="9">
        <v>71512.100000000006</v>
      </c>
      <c r="S772" t="s">
        <v>27</v>
      </c>
    </row>
    <row r="773" spans="1:19" x14ac:dyDescent="0.25">
      <c r="A773" t="s">
        <v>843</v>
      </c>
      <c r="B773" t="s">
        <v>13</v>
      </c>
      <c r="C773" s="2" t="s">
        <v>486</v>
      </c>
      <c r="D773" t="s">
        <v>769</v>
      </c>
      <c r="E773" t="s">
        <v>488</v>
      </c>
      <c r="F773" t="s">
        <v>770</v>
      </c>
      <c r="G773" t="s">
        <v>31</v>
      </c>
      <c r="H773" t="str">
        <f t="shared" si="12"/>
        <v>19.001.15.422.0013.2.021.3.3.90.39.00</v>
      </c>
      <c r="I773" t="s">
        <v>844</v>
      </c>
      <c r="J773" t="s">
        <v>845</v>
      </c>
      <c r="K773" t="s">
        <v>490</v>
      </c>
      <c r="L773" t="s">
        <v>771</v>
      </c>
      <c r="M773" t="s">
        <v>492</v>
      </c>
      <c r="N773" t="s">
        <v>772</v>
      </c>
      <c r="O773" t="s">
        <v>32</v>
      </c>
      <c r="R773" s="9">
        <v>5500</v>
      </c>
      <c r="S773" t="s">
        <v>27</v>
      </c>
    </row>
    <row r="774" spans="1:19" x14ac:dyDescent="0.25">
      <c r="A774" t="s">
        <v>843</v>
      </c>
      <c r="B774" t="s">
        <v>13</v>
      </c>
      <c r="C774" s="2" t="s">
        <v>486</v>
      </c>
      <c r="D774" t="s">
        <v>769</v>
      </c>
      <c r="E774" t="s">
        <v>488</v>
      </c>
      <c r="F774" t="s">
        <v>770</v>
      </c>
      <c r="G774" t="s">
        <v>31</v>
      </c>
      <c r="H774" t="str">
        <f t="shared" si="12"/>
        <v>19.001.15.422.0013.2.021.3.3.90.39.00</v>
      </c>
      <c r="I774" t="s">
        <v>844</v>
      </c>
      <c r="J774" t="s">
        <v>845</v>
      </c>
      <c r="K774" t="s">
        <v>490</v>
      </c>
      <c r="L774" t="s">
        <v>771</v>
      </c>
      <c r="M774" t="s">
        <v>492</v>
      </c>
      <c r="N774" t="s">
        <v>772</v>
      </c>
      <c r="O774" t="s">
        <v>32</v>
      </c>
      <c r="R774" s="9">
        <v>484000</v>
      </c>
      <c r="S774" t="s">
        <v>27</v>
      </c>
    </row>
    <row r="775" spans="1:19" x14ac:dyDescent="0.25">
      <c r="A775" t="s">
        <v>862</v>
      </c>
      <c r="B775" t="s">
        <v>13</v>
      </c>
      <c r="C775" s="2" t="s">
        <v>108</v>
      </c>
      <c r="D775" t="s">
        <v>51</v>
      </c>
      <c r="E775" t="s">
        <v>863</v>
      </c>
      <c r="F775" t="s">
        <v>53</v>
      </c>
      <c r="G775" t="s">
        <v>31</v>
      </c>
      <c r="H775" t="str">
        <f t="shared" si="12"/>
        <v>20.001.06.126.0006.2.007.3.3.90.39.00</v>
      </c>
      <c r="I775" t="s">
        <v>864</v>
      </c>
      <c r="J775" t="s">
        <v>865</v>
      </c>
      <c r="K775" t="s">
        <v>866</v>
      </c>
      <c r="L775" t="s">
        <v>57</v>
      </c>
      <c r="M775" t="s">
        <v>867</v>
      </c>
      <c r="N775" t="s">
        <v>59</v>
      </c>
      <c r="O775" t="s">
        <v>32</v>
      </c>
      <c r="P775" t="s">
        <v>93</v>
      </c>
      <c r="Q775" t="s">
        <v>868</v>
      </c>
      <c r="R775" s="9">
        <v>39024117.119999997</v>
      </c>
      <c r="S775" t="s">
        <v>27</v>
      </c>
    </row>
    <row r="776" spans="1:19" x14ac:dyDescent="0.25">
      <c r="A776" t="s">
        <v>862</v>
      </c>
      <c r="B776" t="s">
        <v>13</v>
      </c>
      <c r="C776" s="2" t="s">
        <v>108</v>
      </c>
      <c r="D776" t="s">
        <v>869</v>
      </c>
      <c r="E776" t="s">
        <v>863</v>
      </c>
      <c r="F776" t="s">
        <v>17</v>
      </c>
      <c r="G776" t="s">
        <v>31</v>
      </c>
      <c r="H776" t="str">
        <f t="shared" si="12"/>
        <v>20.001.06.181.0006.2.011.3.3.90.39.00</v>
      </c>
      <c r="I776" t="s">
        <v>864</v>
      </c>
      <c r="J776" t="s">
        <v>865</v>
      </c>
      <c r="K776" t="s">
        <v>866</v>
      </c>
      <c r="L776" t="s">
        <v>870</v>
      </c>
      <c r="M776" t="s">
        <v>867</v>
      </c>
      <c r="N776" t="s">
        <v>24</v>
      </c>
      <c r="O776" t="s">
        <v>32</v>
      </c>
      <c r="P776" t="s">
        <v>93</v>
      </c>
      <c r="Q776" t="s">
        <v>871</v>
      </c>
      <c r="R776" s="9">
        <v>8296154.3200000003</v>
      </c>
      <c r="S776" t="s">
        <v>27</v>
      </c>
    </row>
    <row r="777" spans="1:19" x14ac:dyDescent="0.25">
      <c r="A777" t="s">
        <v>862</v>
      </c>
      <c r="B777" t="s">
        <v>13</v>
      </c>
      <c r="C777" s="2" t="s">
        <v>108</v>
      </c>
      <c r="D777" t="s">
        <v>869</v>
      </c>
      <c r="E777" t="s">
        <v>863</v>
      </c>
      <c r="F777" t="s">
        <v>17</v>
      </c>
      <c r="G777" t="s">
        <v>31</v>
      </c>
      <c r="H777" t="str">
        <f t="shared" si="12"/>
        <v>20.001.06.181.0006.2.011.3.3.90.39.00</v>
      </c>
      <c r="I777" t="s">
        <v>864</v>
      </c>
      <c r="J777" t="s">
        <v>865</v>
      </c>
      <c r="K777" t="s">
        <v>866</v>
      </c>
      <c r="L777" t="s">
        <v>870</v>
      </c>
      <c r="M777" t="s">
        <v>867</v>
      </c>
      <c r="N777" t="s">
        <v>24</v>
      </c>
      <c r="O777" t="s">
        <v>32</v>
      </c>
      <c r="P777" t="s">
        <v>93</v>
      </c>
      <c r="Q777" t="s">
        <v>872</v>
      </c>
      <c r="R777" s="9">
        <v>495335.82</v>
      </c>
      <c r="S777" t="s">
        <v>27</v>
      </c>
    </row>
    <row r="778" spans="1:19" x14ac:dyDescent="0.25">
      <c r="A778" t="s">
        <v>862</v>
      </c>
      <c r="B778" t="s">
        <v>13</v>
      </c>
      <c r="C778" s="2" t="s">
        <v>108</v>
      </c>
      <c r="D778" t="s">
        <v>869</v>
      </c>
      <c r="E778" t="s">
        <v>863</v>
      </c>
      <c r="F778" t="s">
        <v>17</v>
      </c>
      <c r="G778" t="s">
        <v>31</v>
      </c>
      <c r="H778" t="str">
        <f t="shared" si="12"/>
        <v>20.001.06.181.0006.2.011.3.3.90.39.00</v>
      </c>
      <c r="I778" t="s">
        <v>864</v>
      </c>
      <c r="J778" t="s">
        <v>865</v>
      </c>
      <c r="K778" t="s">
        <v>866</v>
      </c>
      <c r="L778" t="s">
        <v>870</v>
      </c>
      <c r="M778" t="s">
        <v>867</v>
      </c>
      <c r="N778" t="s">
        <v>24</v>
      </c>
      <c r="O778" t="s">
        <v>32</v>
      </c>
      <c r="P778" t="s">
        <v>93</v>
      </c>
      <c r="Q778" t="s">
        <v>873</v>
      </c>
      <c r="R778" s="9">
        <v>424154.51</v>
      </c>
      <c r="S778" t="s">
        <v>27</v>
      </c>
    </row>
    <row r="779" spans="1:19" x14ac:dyDescent="0.25">
      <c r="A779" t="s">
        <v>710</v>
      </c>
      <c r="B779" t="s">
        <v>13</v>
      </c>
      <c r="C779" s="2" t="s">
        <v>14</v>
      </c>
      <c r="D779" t="s">
        <v>15</v>
      </c>
      <c r="E779" t="s">
        <v>16</v>
      </c>
      <c r="F779" t="s">
        <v>182</v>
      </c>
      <c r="G779" t="s">
        <v>391</v>
      </c>
      <c r="H779" t="str">
        <f t="shared" si="12"/>
        <v>23.001.04.122.0001.2.001.</v>
      </c>
      <c r="I779" t="s">
        <v>874</v>
      </c>
      <c r="J779" t="s">
        <v>875</v>
      </c>
      <c r="K779" t="s">
        <v>21</v>
      </c>
      <c r="L779" t="s">
        <v>22</v>
      </c>
      <c r="M779" t="s">
        <v>23</v>
      </c>
      <c r="N779" t="s">
        <v>183</v>
      </c>
      <c r="R779" s="9">
        <v>3277473</v>
      </c>
      <c r="S779" t="s">
        <v>27</v>
      </c>
    </row>
    <row r="780" spans="1:19" x14ac:dyDescent="0.25">
      <c r="A780" t="s">
        <v>710</v>
      </c>
      <c r="B780" t="s">
        <v>13</v>
      </c>
      <c r="C780" s="2" t="s">
        <v>14</v>
      </c>
      <c r="D780" t="s">
        <v>15</v>
      </c>
      <c r="E780" t="s">
        <v>16</v>
      </c>
      <c r="F780" t="s">
        <v>182</v>
      </c>
      <c r="G780" t="s">
        <v>391</v>
      </c>
      <c r="H780" t="str">
        <f t="shared" si="12"/>
        <v>23.001.04.122.0001.2.001.</v>
      </c>
      <c r="I780" t="s">
        <v>874</v>
      </c>
      <c r="J780" t="s">
        <v>875</v>
      </c>
      <c r="K780" t="s">
        <v>21</v>
      </c>
      <c r="L780" t="s">
        <v>22</v>
      </c>
      <c r="M780" t="s">
        <v>23</v>
      </c>
      <c r="N780" t="s">
        <v>183</v>
      </c>
      <c r="R780" s="9">
        <v>609597</v>
      </c>
      <c r="S780" t="s">
        <v>27</v>
      </c>
    </row>
    <row r="781" spans="1:19" x14ac:dyDescent="0.25">
      <c r="A781" t="s">
        <v>710</v>
      </c>
      <c r="B781" t="s">
        <v>13</v>
      </c>
      <c r="C781" s="2" t="s">
        <v>14</v>
      </c>
      <c r="D781" t="s">
        <v>15</v>
      </c>
      <c r="E781" t="s">
        <v>16</v>
      </c>
      <c r="F781" t="s">
        <v>182</v>
      </c>
      <c r="G781" t="s">
        <v>391</v>
      </c>
      <c r="H781" t="str">
        <f t="shared" si="12"/>
        <v>23.001.04.122.0001.2.001.</v>
      </c>
      <c r="I781" t="s">
        <v>874</v>
      </c>
      <c r="J781" t="s">
        <v>875</v>
      </c>
      <c r="K781" t="s">
        <v>21</v>
      </c>
      <c r="L781" t="s">
        <v>22</v>
      </c>
      <c r="M781" t="s">
        <v>23</v>
      </c>
      <c r="N781" t="s">
        <v>183</v>
      </c>
      <c r="R781" s="9">
        <v>123993</v>
      </c>
      <c r="S781" t="s">
        <v>27</v>
      </c>
    </row>
    <row r="782" spans="1:19" x14ac:dyDescent="0.25">
      <c r="A782" t="s">
        <v>710</v>
      </c>
      <c r="B782" t="s">
        <v>13</v>
      </c>
      <c r="C782" s="2" t="s">
        <v>14</v>
      </c>
      <c r="D782" t="s">
        <v>15</v>
      </c>
      <c r="E782" t="s">
        <v>16</v>
      </c>
      <c r="F782" t="s">
        <v>182</v>
      </c>
      <c r="G782" t="s">
        <v>391</v>
      </c>
      <c r="H782" t="str">
        <f t="shared" si="12"/>
        <v>23.001.04.122.0001.2.001.</v>
      </c>
      <c r="I782" t="s">
        <v>874</v>
      </c>
      <c r="J782" t="s">
        <v>875</v>
      </c>
      <c r="K782" t="s">
        <v>21</v>
      </c>
      <c r="L782" t="s">
        <v>22</v>
      </c>
      <c r="M782" t="s">
        <v>23</v>
      </c>
      <c r="N782" t="s">
        <v>183</v>
      </c>
      <c r="R782" s="9">
        <v>2</v>
      </c>
      <c r="S782" t="s">
        <v>27</v>
      </c>
    </row>
    <row r="783" spans="1:19" x14ac:dyDescent="0.25">
      <c r="A783" t="s">
        <v>710</v>
      </c>
      <c r="B783" t="s">
        <v>13</v>
      </c>
      <c r="C783" s="2" t="s">
        <v>14</v>
      </c>
      <c r="D783" t="s">
        <v>15</v>
      </c>
      <c r="E783" t="s">
        <v>16</v>
      </c>
      <c r="F783" t="s">
        <v>182</v>
      </c>
      <c r="G783" t="s">
        <v>391</v>
      </c>
      <c r="H783" t="str">
        <f t="shared" si="12"/>
        <v>23.001.04.122.0001.2.001.</v>
      </c>
      <c r="I783" t="s">
        <v>874</v>
      </c>
      <c r="J783" t="s">
        <v>875</v>
      </c>
      <c r="K783" t="s">
        <v>21</v>
      </c>
      <c r="L783" t="s">
        <v>22</v>
      </c>
      <c r="M783" t="s">
        <v>23</v>
      </c>
      <c r="N783" t="s">
        <v>183</v>
      </c>
      <c r="R783" s="9">
        <v>46942</v>
      </c>
      <c r="S783" t="s">
        <v>27</v>
      </c>
    </row>
    <row r="784" spans="1:19" x14ac:dyDescent="0.25">
      <c r="A784" t="s">
        <v>710</v>
      </c>
      <c r="B784" t="s">
        <v>13</v>
      </c>
      <c r="C784" s="2" t="s">
        <v>14</v>
      </c>
      <c r="D784" t="s">
        <v>15</v>
      </c>
      <c r="E784" t="s">
        <v>16</v>
      </c>
      <c r="F784" t="s">
        <v>133</v>
      </c>
      <c r="G784" t="s">
        <v>80</v>
      </c>
      <c r="H784" t="str">
        <f t="shared" si="12"/>
        <v>23.001.04.122.0001.2.005.4.4.90.52.00</v>
      </c>
      <c r="I784" t="s">
        <v>874</v>
      </c>
      <c r="J784" t="s">
        <v>875</v>
      </c>
      <c r="K784" t="s">
        <v>21</v>
      </c>
      <c r="L784" t="s">
        <v>22</v>
      </c>
      <c r="M784" t="s">
        <v>23</v>
      </c>
      <c r="N784" t="s">
        <v>134</v>
      </c>
      <c r="O784" t="s">
        <v>81</v>
      </c>
      <c r="P784" t="s">
        <v>876</v>
      </c>
      <c r="R784" s="9">
        <v>200000</v>
      </c>
      <c r="S784" t="s">
        <v>27</v>
      </c>
    </row>
    <row r="785" spans="1:19" x14ac:dyDescent="0.25">
      <c r="A785" t="s">
        <v>710</v>
      </c>
      <c r="B785" t="s">
        <v>13</v>
      </c>
      <c r="C785" s="2" t="s">
        <v>14</v>
      </c>
      <c r="D785" t="s">
        <v>15</v>
      </c>
      <c r="E785" t="s">
        <v>16</v>
      </c>
      <c r="F785" t="s">
        <v>133</v>
      </c>
      <c r="G785" t="s">
        <v>31</v>
      </c>
      <c r="H785" t="str">
        <f t="shared" si="12"/>
        <v>23.001.04.122.0001.2.005.3.3.90.39.00</v>
      </c>
      <c r="I785" t="s">
        <v>874</v>
      </c>
      <c r="J785" t="s">
        <v>875</v>
      </c>
      <c r="K785" t="s">
        <v>21</v>
      </c>
      <c r="L785" t="s">
        <v>22</v>
      </c>
      <c r="M785" t="s">
        <v>23</v>
      </c>
      <c r="N785" t="s">
        <v>134</v>
      </c>
      <c r="O785" t="s">
        <v>32</v>
      </c>
      <c r="P785" t="s">
        <v>150</v>
      </c>
      <c r="R785" s="9">
        <v>6018000</v>
      </c>
      <c r="S785" t="s">
        <v>27</v>
      </c>
    </row>
    <row r="786" spans="1:19" x14ac:dyDescent="0.25">
      <c r="A786" t="s">
        <v>710</v>
      </c>
      <c r="B786" t="s">
        <v>13</v>
      </c>
      <c r="C786" s="2" t="s">
        <v>14</v>
      </c>
      <c r="D786" t="s">
        <v>15</v>
      </c>
      <c r="E786" t="s">
        <v>16</v>
      </c>
      <c r="F786" t="s">
        <v>133</v>
      </c>
      <c r="G786" t="s">
        <v>31</v>
      </c>
      <c r="H786" t="str">
        <f t="shared" si="12"/>
        <v>23.001.04.122.0001.2.005.3.3.90.39.00</v>
      </c>
      <c r="I786" t="s">
        <v>874</v>
      </c>
      <c r="J786" t="s">
        <v>875</v>
      </c>
      <c r="K786" t="s">
        <v>21</v>
      </c>
      <c r="L786" t="s">
        <v>22</v>
      </c>
      <c r="M786" t="s">
        <v>23</v>
      </c>
      <c r="N786" t="s">
        <v>134</v>
      </c>
      <c r="O786" t="s">
        <v>32</v>
      </c>
      <c r="P786" t="s">
        <v>150</v>
      </c>
      <c r="Q786" t="s">
        <v>877</v>
      </c>
      <c r="R786" s="9">
        <v>22000000</v>
      </c>
      <c r="S786" t="s">
        <v>27</v>
      </c>
    </row>
    <row r="787" spans="1:19" x14ac:dyDescent="0.25">
      <c r="A787" t="s">
        <v>710</v>
      </c>
      <c r="B787" t="s">
        <v>13</v>
      </c>
      <c r="C787" s="2" t="s">
        <v>14</v>
      </c>
      <c r="D787" t="s">
        <v>15</v>
      </c>
      <c r="E787" t="s">
        <v>16</v>
      </c>
      <c r="F787" t="s">
        <v>127</v>
      </c>
      <c r="G787" t="s">
        <v>31</v>
      </c>
      <c r="H787" t="str">
        <f t="shared" si="12"/>
        <v>23.001.04.122.0001.2.006.3.3.90.39.00</v>
      </c>
      <c r="I787" t="s">
        <v>874</v>
      </c>
      <c r="J787" t="s">
        <v>875</v>
      </c>
      <c r="K787" t="s">
        <v>21</v>
      </c>
      <c r="L787" t="s">
        <v>22</v>
      </c>
      <c r="M787" t="s">
        <v>23</v>
      </c>
      <c r="N787" t="s">
        <v>130</v>
      </c>
      <c r="O787" t="s">
        <v>32</v>
      </c>
      <c r="P787" t="s">
        <v>93</v>
      </c>
      <c r="R787" s="9">
        <v>1</v>
      </c>
      <c r="S787" t="s">
        <v>27</v>
      </c>
    </row>
    <row r="788" spans="1:19" x14ac:dyDescent="0.25">
      <c r="A788" t="s">
        <v>710</v>
      </c>
      <c r="B788" t="s">
        <v>13</v>
      </c>
      <c r="C788" s="2" t="s">
        <v>14</v>
      </c>
      <c r="D788" t="s">
        <v>15</v>
      </c>
      <c r="E788" t="s">
        <v>16</v>
      </c>
      <c r="F788" t="s">
        <v>127</v>
      </c>
      <c r="G788" t="s">
        <v>31</v>
      </c>
      <c r="H788" t="str">
        <f t="shared" si="12"/>
        <v>23.001.04.122.0001.2.006.3.3.90.39.00</v>
      </c>
      <c r="I788" t="s">
        <v>874</v>
      </c>
      <c r="J788" t="s">
        <v>875</v>
      </c>
      <c r="K788" t="s">
        <v>21</v>
      </c>
      <c r="L788" t="s">
        <v>22</v>
      </c>
      <c r="M788" t="s">
        <v>23</v>
      </c>
      <c r="N788" t="s">
        <v>130</v>
      </c>
      <c r="O788" t="s">
        <v>32</v>
      </c>
      <c r="P788" t="s">
        <v>93</v>
      </c>
      <c r="R788" s="9">
        <v>1</v>
      </c>
      <c r="S788" t="s">
        <v>27</v>
      </c>
    </row>
    <row r="789" spans="1:19" x14ac:dyDescent="0.25">
      <c r="A789" t="s">
        <v>710</v>
      </c>
      <c r="B789" t="s">
        <v>13</v>
      </c>
      <c r="C789" s="2" t="s">
        <v>14</v>
      </c>
      <c r="D789" t="s">
        <v>15</v>
      </c>
      <c r="E789" t="s">
        <v>16</v>
      </c>
      <c r="F789" t="s">
        <v>17</v>
      </c>
      <c r="G789" t="s">
        <v>31</v>
      </c>
      <c r="H789" t="str">
        <f t="shared" si="12"/>
        <v>23.001.04.122.0001.2.011.3.3.90.39.00</v>
      </c>
      <c r="I789" t="s">
        <v>874</v>
      </c>
      <c r="J789" t="s">
        <v>875</v>
      </c>
      <c r="K789" t="s">
        <v>21</v>
      </c>
      <c r="L789" t="s">
        <v>22</v>
      </c>
      <c r="M789" t="s">
        <v>23</v>
      </c>
      <c r="N789" t="s">
        <v>24</v>
      </c>
      <c r="O789" t="s">
        <v>32</v>
      </c>
      <c r="P789" t="s">
        <v>220</v>
      </c>
      <c r="R789" s="9">
        <v>10000</v>
      </c>
      <c r="S789" t="s">
        <v>27</v>
      </c>
    </row>
    <row r="790" spans="1:19" x14ac:dyDescent="0.25">
      <c r="A790" t="s">
        <v>710</v>
      </c>
      <c r="B790" t="s">
        <v>13</v>
      </c>
      <c r="C790" s="2" t="s">
        <v>14</v>
      </c>
      <c r="D790" t="s">
        <v>15</v>
      </c>
      <c r="E790" t="s">
        <v>16</v>
      </c>
      <c r="F790" t="s">
        <v>17</v>
      </c>
      <c r="G790" t="s">
        <v>31</v>
      </c>
      <c r="H790" t="str">
        <f t="shared" si="12"/>
        <v>23.001.04.122.0001.2.011.3.3.90.39.00</v>
      </c>
      <c r="I790" t="s">
        <v>874</v>
      </c>
      <c r="J790" t="s">
        <v>875</v>
      </c>
      <c r="K790" t="s">
        <v>21</v>
      </c>
      <c r="L790" t="s">
        <v>22</v>
      </c>
      <c r="M790" t="s">
        <v>23</v>
      </c>
      <c r="N790" t="s">
        <v>24</v>
      </c>
      <c r="O790" t="s">
        <v>32</v>
      </c>
      <c r="P790" t="s">
        <v>220</v>
      </c>
      <c r="R790" s="9">
        <v>10000</v>
      </c>
      <c r="S790" t="s">
        <v>27</v>
      </c>
    </row>
    <row r="791" spans="1:19" x14ac:dyDescent="0.25">
      <c r="A791" t="s">
        <v>710</v>
      </c>
      <c r="B791" t="s">
        <v>13</v>
      </c>
      <c r="C791" s="2" t="s">
        <v>14</v>
      </c>
      <c r="D791" t="s">
        <v>15</v>
      </c>
      <c r="E791" t="s">
        <v>16</v>
      </c>
      <c r="F791" t="s">
        <v>17</v>
      </c>
      <c r="G791" t="s">
        <v>31</v>
      </c>
      <c r="H791" t="str">
        <f t="shared" si="12"/>
        <v>23.001.04.122.0001.2.011.3.3.90.39.00</v>
      </c>
      <c r="I791" t="s">
        <v>874</v>
      </c>
      <c r="J791" t="s">
        <v>875</v>
      </c>
      <c r="K791" t="s">
        <v>21</v>
      </c>
      <c r="L791" t="s">
        <v>22</v>
      </c>
      <c r="M791" t="s">
        <v>23</v>
      </c>
      <c r="N791" t="s">
        <v>24</v>
      </c>
      <c r="O791" t="s">
        <v>32</v>
      </c>
      <c r="P791" t="s">
        <v>220</v>
      </c>
      <c r="R791" s="9">
        <v>10000</v>
      </c>
      <c r="S791" t="s">
        <v>27</v>
      </c>
    </row>
    <row r="792" spans="1:19" x14ac:dyDescent="0.25">
      <c r="A792" t="s">
        <v>710</v>
      </c>
      <c r="B792" t="s">
        <v>13</v>
      </c>
      <c r="C792" s="2" t="s">
        <v>14</v>
      </c>
      <c r="D792" t="s">
        <v>15</v>
      </c>
      <c r="E792" t="s">
        <v>16</v>
      </c>
      <c r="F792" t="s">
        <v>17</v>
      </c>
      <c r="G792" t="s">
        <v>31</v>
      </c>
      <c r="H792" t="str">
        <f t="shared" si="12"/>
        <v>23.001.04.122.0001.2.011.3.3.90.39.00</v>
      </c>
      <c r="I792" t="s">
        <v>874</v>
      </c>
      <c r="J792" t="s">
        <v>875</v>
      </c>
      <c r="K792" t="s">
        <v>21</v>
      </c>
      <c r="L792" t="s">
        <v>22</v>
      </c>
      <c r="M792" t="s">
        <v>23</v>
      </c>
      <c r="N792" t="s">
        <v>24</v>
      </c>
      <c r="O792" t="s">
        <v>32</v>
      </c>
      <c r="P792" t="s">
        <v>93</v>
      </c>
      <c r="R792" s="9">
        <v>22000</v>
      </c>
      <c r="S792" t="s">
        <v>27</v>
      </c>
    </row>
    <row r="793" spans="1:19" x14ac:dyDescent="0.25">
      <c r="A793" t="s">
        <v>710</v>
      </c>
      <c r="B793" t="s">
        <v>13</v>
      </c>
      <c r="C793" s="2" t="s">
        <v>14</v>
      </c>
      <c r="D793" t="s">
        <v>15</v>
      </c>
      <c r="E793" t="s">
        <v>16</v>
      </c>
      <c r="F793" t="s">
        <v>17</v>
      </c>
      <c r="G793" t="s">
        <v>31</v>
      </c>
      <c r="H793" t="str">
        <f t="shared" si="12"/>
        <v>23.001.04.122.0001.2.011.3.3.90.39.00</v>
      </c>
      <c r="I793" t="s">
        <v>874</v>
      </c>
      <c r="J793" t="s">
        <v>875</v>
      </c>
      <c r="K793" t="s">
        <v>21</v>
      </c>
      <c r="L793" t="s">
        <v>22</v>
      </c>
      <c r="M793" t="s">
        <v>23</v>
      </c>
      <c r="N793" t="s">
        <v>24</v>
      </c>
      <c r="O793" t="s">
        <v>32</v>
      </c>
      <c r="P793" t="s">
        <v>93</v>
      </c>
      <c r="R793" s="9">
        <v>303000</v>
      </c>
      <c r="S793" t="s">
        <v>27</v>
      </c>
    </row>
    <row r="794" spans="1:19" x14ac:dyDescent="0.25">
      <c r="A794" t="s">
        <v>710</v>
      </c>
      <c r="B794" t="s">
        <v>13</v>
      </c>
      <c r="C794" s="2" t="s">
        <v>14</v>
      </c>
      <c r="D794" t="s">
        <v>121</v>
      </c>
      <c r="E794" t="s">
        <v>52</v>
      </c>
      <c r="F794" t="s">
        <v>122</v>
      </c>
      <c r="G794" t="s">
        <v>80</v>
      </c>
      <c r="H794" t="str">
        <f t="shared" si="12"/>
        <v>23.001.04.128.0002.2.003.4.4.90.52.00</v>
      </c>
      <c r="I794" t="s">
        <v>874</v>
      </c>
      <c r="J794" t="s">
        <v>875</v>
      </c>
      <c r="K794" t="s">
        <v>21</v>
      </c>
      <c r="L794" t="s">
        <v>124</v>
      </c>
      <c r="M794" t="s">
        <v>58</v>
      </c>
      <c r="N794" t="s">
        <v>125</v>
      </c>
      <c r="O794" t="s">
        <v>81</v>
      </c>
      <c r="P794" t="s">
        <v>876</v>
      </c>
      <c r="R794" s="9">
        <v>15000</v>
      </c>
      <c r="S794" t="s">
        <v>27</v>
      </c>
    </row>
    <row r="795" spans="1:19" x14ac:dyDescent="0.25">
      <c r="A795" t="s">
        <v>710</v>
      </c>
      <c r="B795" t="s">
        <v>13</v>
      </c>
      <c r="C795" s="2" t="s">
        <v>14</v>
      </c>
      <c r="D795" t="s">
        <v>312</v>
      </c>
      <c r="E795" t="s">
        <v>52</v>
      </c>
      <c r="F795" t="s">
        <v>133</v>
      </c>
      <c r="G795" t="s">
        <v>80</v>
      </c>
      <c r="H795" t="str">
        <f t="shared" si="12"/>
        <v>23.001.04.131.0002.2.005.4.4.90.52.00</v>
      </c>
      <c r="I795" t="s">
        <v>874</v>
      </c>
      <c r="J795" t="s">
        <v>875</v>
      </c>
      <c r="K795" t="s">
        <v>21</v>
      </c>
      <c r="L795" t="s">
        <v>313</v>
      </c>
      <c r="M795" t="s">
        <v>58</v>
      </c>
      <c r="N795" t="s">
        <v>134</v>
      </c>
      <c r="O795" t="s">
        <v>81</v>
      </c>
      <c r="P795" t="s">
        <v>876</v>
      </c>
      <c r="R795" s="9">
        <v>80000</v>
      </c>
      <c r="S795" t="s">
        <v>27</v>
      </c>
    </row>
    <row r="796" spans="1:19" x14ac:dyDescent="0.25">
      <c r="A796" t="s">
        <v>710</v>
      </c>
      <c r="B796" t="s">
        <v>13</v>
      </c>
      <c r="C796" s="2" t="s">
        <v>14</v>
      </c>
      <c r="D796" t="s">
        <v>312</v>
      </c>
      <c r="E796" t="s">
        <v>52</v>
      </c>
      <c r="F796" t="s">
        <v>133</v>
      </c>
      <c r="G796" t="s">
        <v>31</v>
      </c>
      <c r="H796" t="str">
        <f t="shared" si="12"/>
        <v>23.001.04.131.0002.2.005.3.3.90.39.00</v>
      </c>
      <c r="I796" t="s">
        <v>874</v>
      </c>
      <c r="J796" t="s">
        <v>875</v>
      </c>
      <c r="K796" t="s">
        <v>21</v>
      </c>
      <c r="L796" t="s">
        <v>313</v>
      </c>
      <c r="M796" t="s">
        <v>58</v>
      </c>
      <c r="N796" t="s">
        <v>134</v>
      </c>
      <c r="O796" t="s">
        <v>32</v>
      </c>
      <c r="P796" t="s">
        <v>50</v>
      </c>
      <c r="R796" s="9">
        <v>150000</v>
      </c>
      <c r="S796" t="s">
        <v>27</v>
      </c>
    </row>
    <row r="797" spans="1:19" x14ac:dyDescent="0.25">
      <c r="A797" t="s">
        <v>710</v>
      </c>
      <c r="B797" t="s">
        <v>13</v>
      </c>
      <c r="C797" s="2" t="s">
        <v>14</v>
      </c>
      <c r="D797" t="s">
        <v>312</v>
      </c>
      <c r="E797" t="s">
        <v>52</v>
      </c>
      <c r="F797" t="s">
        <v>133</v>
      </c>
      <c r="G797" t="s">
        <v>31</v>
      </c>
      <c r="H797" t="str">
        <f t="shared" si="12"/>
        <v>23.001.04.131.0002.2.005.3.3.90.39.00</v>
      </c>
      <c r="I797" t="s">
        <v>874</v>
      </c>
      <c r="J797" t="s">
        <v>875</v>
      </c>
      <c r="K797" t="s">
        <v>21</v>
      </c>
      <c r="L797" t="s">
        <v>313</v>
      </c>
      <c r="M797" t="s">
        <v>58</v>
      </c>
      <c r="N797" t="s">
        <v>134</v>
      </c>
      <c r="O797" t="s">
        <v>32</v>
      </c>
      <c r="S797" t="s">
        <v>27</v>
      </c>
    </row>
    <row r="798" spans="1:19" x14ac:dyDescent="0.25">
      <c r="A798" t="s">
        <v>710</v>
      </c>
      <c r="B798" t="s">
        <v>13</v>
      </c>
      <c r="C798" s="2" t="s">
        <v>14</v>
      </c>
      <c r="D798" t="s">
        <v>312</v>
      </c>
      <c r="E798" t="s">
        <v>52</v>
      </c>
      <c r="F798" t="s">
        <v>133</v>
      </c>
      <c r="G798" t="s">
        <v>31</v>
      </c>
      <c r="H798" t="str">
        <f t="shared" si="12"/>
        <v>23.001.04.131.0002.2.005.3.3.90.39.00</v>
      </c>
      <c r="I798" t="s">
        <v>874</v>
      </c>
      <c r="J798" t="s">
        <v>875</v>
      </c>
      <c r="K798" t="s">
        <v>21</v>
      </c>
      <c r="L798" t="s">
        <v>313</v>
      </c>
      <c r="M798" t="s">
        <v>58</v>
      </c>
      <c r="N798" t="s">
        <v>134</v>
      </c>
      <c r="O798" t="s">
        <v>32</v>
      </c>
      <c r="P798" t="s">
        <v>50</v>
      </c>
      <c r="R798" s="9">
        <v>80000</v>
      </c>
      <c r="S798" t="s">
        <v>27</v>
      </c>
    </row>
    <row r="799" spans="1:19" x14ac:dyDescent="0.25">
      <c r="A799" t="s">
        <v>710</v>
      </c>
      <c r="B799" t="s">
        <v>13</v>
      </c>
      <c r="C799" s="2" t="s">
        <v>14</v>
      </c>
      <c r="D799" t="s">
        <v>312</v>
      </c>
      <c r="E799" t="s">
        <v>52</v>
      </c>
      <c r="F799" t="s">
        <v>133</v>
      </c>
      <c r="G799" t="s">
        <v>31</v>
      </c>
      <c r="H799" t="str">
        <f t="shared" si="12"/>
        <v>23.001.04.131.0002.2.005.3.3.90.39.00</v>
      </c>
      <c r="I799" t="s">
        <v>874</v>
      </c>
      <c r="J799" t="s">
        <v>875</v>
      </c>
      <c r="K799" t="s">
        <v>21</v>
      </c>
      <c r="L799" t="s">
        <v>313</v>
      </c>
      <c r="M799" t="s">
        <v>58</v>
      </c>
      <c r="N799" t="s">
        <v>134</v>
      </c>
      <c r="O799" t="s">
        <v>32</v>
      </c>
      <c r="R799" s="9">
        <v>2400000</v>
      </c>
      <c r="S799" t="s">
        <v>27</v>
      </c>
    </row>
    <row r="800" spans="1:19" x14ac:dyDescent="0.25">
      <c r="A800" t="s">
        <v>710</v>
      </c>
      <c r="B800" t="s">
        <v>13</v>
      </c>
      <c r="C800" s="2" t="s">
        <v>14</v>
      </c>
      <c r="D800" t="s">
        <v>312</v>
      </c>
      <c r="E800" t="s">
        <v>52</v>
      </c>
      <c r="F800" t="s">
        <v>133</v>
      </c>
      <c r="G800" t="s">
        <v>31</v>
      </c>
      <c r="H800" t="str">
        <f t="shared" si="12"/>
        <v>23.001.04.131.0002.2.005.3.3.90.39.00</v>
      </c>
      <c r="I800" t="s">
        <v>874</v>
      </c>
      <c r="J800" t="s">
        <v>875</v>
      </c>
      <c r="K800" t="s">
        <v>21</v>
      </c>
      <c r="L800" t="s">
        <v>313</v>
      </c>
      <c r="M800" t="s">
        <v>58</v>
      </c>
      <c r="N800" t="s">
        <v>134</v>
      </c>
      <c r="O800" t="s">
        <v>32</v>
      </c>
      <c r="R800" s="9">
        <v>3600000</v>
      </c>
      <c r="S800" t="s">
        <v>27</v>
      </c>
    </row>
    <row r="801" spans="1:19" x14ac:dyDescent="0.25">
      <c r="A801" t="s">
        <v>710</v>
      </c>
      <c r="B801" t="s">
        <v>13</v>
      </c>
      <c r="C801" s="2" t="s">
        <v>14</v>
      </c>
      <c r="D801" t="s">
        <v>312</v>
      </c>
      <c r="E801" t="s">
        <v>52</v>
      </c>
      <c r="F801" t="s">
        <v>133</v>
      </c>
      <c r="G801" t="s">
        <v>31</v>
      </c>
      <c r="H801" t="str">
        <f t="shared" si="12"/>
        <v>23.001.04.131.0002.2.005.3.3.90.39.00</v>
      </c>
      <c r="I801" t="s">
        <v>874</v>
      </c>
      <c r="J801" t="s">
        <v>875</v>
      </c>
      <c r="K801" t="s">
        <v>21</v>
      </c>
      <c r="L801" t="s">
        <v>313</v>
      </c>
      <c r="M801" t="s">
        <v>58</v>
      </c>
      <c r="N801" t="s">
        <v>134</v>
      </c>
      <c r="O801" t="s">
        <v>32</v>
      </c>
      <c r="R801" s="9">
        <v>11000000</v>
      </c>
      <c r="S801" t="s">
        <v>27</v>
      </c>
    </row>
    <row r="802" spans="1:19" x14ac:dyDescent="0.25">
      <c r="A802" t="s">
        <v>710</v>
      </c>
      <c r="B802" t="s">
        <v>13</v>
      </c>
      <c r="C802" s="2" t="s">
        <v>14</v>
      </c>
      <c r="D802" t="s">
        <v>312</v>
      </c>
      <c r="E802" t="s">
        <v>52</v>
      </c>
      <c r="F802" t="s">
        <v>133</v>
      </c>
      <c r="G802" t="s">
        <v>31</v>
      </c>
      <c r="H802" t="str">
        <f t="shared" si="12"/>
        <v>23.001.04.131.0002.2.005.3.3.90.39.00</v>
      </c>
      <c r="I802" t="s">
        <v>874</v>
      </c>
      <c r="J802" t="s">
        <v>875</v>
      </c>
      <c r="K802" t="s">
        <v>21</v>
      </c>
      <c r="L802" t="s">
        <v>313</v>
      </c>
      <c r="M802" t="s">
        <v>58</v>
      </c>
      <c r="N802" t="s">
        <v>134</v>
      </c>
      <c r="O802" t="s">
        <v>32</v>
      </c>
      <c r="R802" s="9">
        <v>10000000</v>
      </c>
      <c r="S802" t="s">
        <v>27</v>
      </c>
    </row>
    <row r="803" spans="1:19" x14ac:dyDescent="0.25">
      <c r="A803" t="s">
        <v>710</v>
      </c>
      <c r="B803" t="s">
        <v>13</v>
      </c>
      <c r="C803" s="2" t="s">
        <v>14</v>
      </c>
      <c r="D803" t="s">
        <v>312</v>
      </c>
      <c r="E803" t="s">
        <v>52</v>
      </c>
      <c r="F803" t="s">
        <v>133</v>
      </c>
      <c r="G803" t="s">
        <v>31</v>
      </c>
      <c r="H803" t="str">
        <f t="shared" si="12"/>
        <v>23.001.04.131.0002.2.005.3.3.90.39.00</v>
      </c>
      <c r="I803" t="s">
        <v>874</v>
      </c>
      <c r="J803" t="s">
        <v>875</v>
      </c>
      <c r="K803" t="s">
        <v>21</v>
      </c>
      <c r="L803" t="s">
        <v>313</v>
      </c>
      <c r="M803" t="s">
        <v>58</v>
      </c>
      <c r="N803" t="s">
        <v>134</v>
      </c>
      <c r="O803" t="s">
        <v>32</v>
      </c>
      <c r="R803" s="9">
        <v>400000</v>
      </c>
      <c r="S803" t="s">
        <v>27</v>
      </c>
    </row>
    <row r="804" spans="1:19" x14ac:dyDescent="0.25">
      <c r="A804" t="s">
        <v>878</v>
      </c>
      <c r="B804" t="s">
        <v>13</v>
      </c>
      <c r="C804" s="2" t="s">
        <v>14</v>
      </c>
      <c r="D804" t="s">
        <v>15</v>
      </c>
      <c r="E804" t="s">
        <v>16</v>
      </c>
      <c r="F804" t="s">
        <v>438</v>
      </c>
      <c r="G804" t="s">
        <v>31</v>
      </c>
      <c r="H804" t="str">
        <f t="shared" si="12"/>
        <v>24.001.04.122.0001.1.001.3.3.90.39.00</v>
      </c>
      <c r="I804" t="s">
        <v>879</v>
      </c>
      <c r="J804" t="s">
        <v>880</v>
      </c>
      <c r="K804" t="s">
        <v>21</v>
      </c>
      <c r="L804" t="s">
        <v>22</v>
      </c>
      <c r="M804" t="s">
        <v>23</v>
      </c>
      <c r="N804" t="s">
        <v>443</v>
      </c>
      <c r="O804" t="s">
        <v>32</v>
      </c>
      <c r="Q804" t="s">
        <v>881</v>
      </c>
      <c r="R804" s="9">
        <v>6301385</v>
      </c>
      <c r="S804" t="s">
        <v>27</v>
      </c>
    </row>
    <row r="805" spans="1:19" ht="30" x14ac:dyDescent="0.25">
      <c r="A805" t="s">
        <v>878</v>
      </c>
      <c r="B805" t="s">
        <v>13</v>
      </c>
      <c r="C805" s="2" t="s">
        <v>14</v>
      </c>
      <c r="D805" t="s">
        <v>436</v>
      </c>
      <c r="E805" t="s">
        <v>16</v>
      </c>
      <c r="F805" t="s">
        <v>17</v>
      </c>
      <c r="G805" t="s">
        <v>31</v>
      </c>
      <c r="H805" t="str">
        <f t="shared" si="12"/>
        <v>24.001.04.121.0001.2.011.3.3.90.39.00</v>
      </c>
      <c r="I805" t="s">
        <v>879</v>
      </c>
      <c r="J805" t="s">
        <v>880</v>
      </c>
      <c r="K805" t="s">
        <v>21</v>
      </c>
      <c r="L805" t="s">
        <v>441</v>
      </c>
      <c r="M805" t="s">
        <v>23</v>
      </c>
      <c r="N805" t="s">
        <v>24</v>
      </c>
      <c r="O805" t="s">
        <v>32</v>
      </c>
      <c r="Q805" s="1" t="s">
        <v>882</v>
      </c>
      <c r="R805" s="9">
        <v>1500000</v>
      </c>
      <c r="S805" t="s">
        <v>27</v>
      </c>
    </row>
    <row r="806" spans="1:19" ht="45" x14ac:dyDescent="0.25">
      <c r="A806" t="s">
        <v>878</v>
      </c>
      <c r="B806" t="s">
        <v>13</v>
      </c>
      <c r="C806" s="2" t="s">
        <v>14</v>
      </c>
      <c r="D806" t="s">
        <v>436</v>
      </c>
      <c r="E806" t="s">
        <v>16</v>
      </c>
      <c r="F806" t="s">
        <v>17</v>
      </c>
      <c r="G806" t="s">
        <v>18</v>
      </c>
      <c r="H806" t="str">
        <f t="shared" si="12"/>
        <v>24.001.04.121.0001.2.011.3.3.90.30.00</v>
      </c>
      <c r="I806" t="s">
        <v>879</v>
      </c>
      <c r="J806" t="s">
        <v>880</v>
      </c>
      <c r="K806" t="s">
        <v>21</v>
      </c>
      <c r="L806" t="s">
        <v>441</v>
      </c>
      <c r="M806" t="s">
        <v>23</v>
      </c>
      <c r="N806" t="s">
        <v>24</v>
      </c>
      <c r="O806" t="s">
        <v>25</v>
      </c>
      <c r="P806" t="s">
        <v>49</v>
      </c>
      <c r="Q806" s="1" t="s">
        <v>883</v>
      </c>
      <c r="R806" s="9">
        <v>40000</v>
      </c>
      <c r="S806" t="s">
        <v>27</v>
      </c>
    </row>
    <row r="807" spans="1:19" ht="60" x14ac:dyDescent="0.25">
      <c r="A807" t="s">
        <v>878</v>
      </c>
      <c r="B807" t="s">
        <v>13</v>
      </c>
      <c r="C807" s="2" t="s">
        <v>14</v>
      </c>
      <c r="D807" t="s">
        <v>436</v>
      </c>
      <c r="E807" t="s">
        <v>16</v>
      </c>
      <c r="F807" t="s">
        <v>17</v>
      </c>
      <c r="G807" t="s">
        <v>31</v>
      </c>
      <c r="H807" t="str">
        <f t="shared" si="12"/>
        <v>24.001.04.121.0001.2.011.3.3.90.39.00</v>
      </c>
      <c r="I807" t="s">
        <v>879</v>
      </c>
      <c r="J807" t="s">
        <v>880</v>
      </c>
      <c r="K807" t="s">
        <v>21</v>
      </c>
      <c r="L807" t="s">
        <v>441</v>
      </c>
      <c r="M807" t="s">
        <v>23</v>
      </c>
      <c r="N807" t="s">
        <v>24</v>
      </c>
      <c r="O807" t="s">
        <v>32</v>
      </c>
      <c r="Q807" s="1" t="s">
        <v>884</v>
      </c>
      <c r="R807" s="9">
        <v>40000</v>
      </c>
      <c r="S807" t="s">
        <v>27</v>
      </c>
    </row>
    <row r="808" spans="1:19" ht="45" x14ac:dyDescent="0.25">
      <c r="A808" t="s">
        <v>878</v>
      </c>
      <c r="B808" t="s">
        <v>13</v>
      </c>
      <c r="C808" s="2" t="s">
        <v>14</v>
      </c>
      <c r="D808" t="s">
        <v>436</v>
      </c>
      <c r="E808" t="s">
        <v>16</v>
      </c>
      <c r="F808" t="s">
        <v>17</v>
      </c>
      <c r="G808" t="s">
        <v>18</v>
      </c>
      <c r="H808" t="str">
        <f t="shared" si="12"/>
        <v>24.001.04.121.0001.2.011.3.3.90.30.00</v>
      </c>
      <c r="I808" t="s">
        <v>879</v>
      </c>
      <c r="J808" t="s">
        <v>880</v>
      </c>
      <c r="K808" t="s">
        <v>21</v>
      </c>
      <c r="L808" t="s">
        <v>441</v>
      </c>
      <c r="M808" t="s">
        <v>23</v>
      </c>
      <c r="N808" t="s">
        <v>24</v>
      </c>
      <c r="O808" t="s">
        <v>25</v>
      </c>
      <c r="P808" t="s">
        <v>29</v>
      </c>
      <c r="Q808" s="1" t="s">
        <v>885</v>
      </c>
      <c r="R808" s="9">
        <v>38685</v>
      </c>
      <c r="S808" t="s">
        <v>27</v>
      </c>
    </row>
    <row r="809" spans="1:19" ht="75" x14ac:dyDescent="0.25">
      <c r="A809" t="s">
        <v>878</v>
      </c>
      <c r="B809" t="s">
        <v>13</v>
      </c>
      <c r="C809" s="2" t="s">
        <v>14</v>
      </c>
      <c r="D809" t="s">
        <v>436</v>
      </c>
      <c r="E809" t="s">
        <v>16</v>
      </c>
      <c r="F809" t="s">
        <v>17</v>
      </c>
      <c r="G809" t="s">
        <v>18</v>
      </c>
      <c r="H809" t="str">
        <f t="shared" si="12"/>
        <v>24.001.04.121.0001.2.011.3.3.90.30.00</v>
      </c>
      <c r="I809" t="s">
        <v>879</v>
      </c>
      <c r="J809" t="s">
        <v>880</v>
      </c>
      <c r="K809" t="s">
        <v>21</v>
      </c>
      <c r="L809" t="s">
        <v>441</v>
      </c>
      <c r="M809" t="s">
        <v>23</v>
      </c>
      <c r="N809" t="s">
        <v>24</v>
      </c>
      <c r="O809" t="s">
        <v>25</v>
      </c>
      <c r="P809" t="s">
        <v>30</v>
      </c>
      <c r="Q809" s="1" t="s">
        <v>886</v>
      </c>
      <c r="R809" s="9">
        <v>35000</v>
      </c>
      <c r="S809" t="s">
        <v>27</v>
      </c>
    </row>
    <row r="810" spans="1:19" ht="90" x14ac:dyDescent="0.25">
      <c r="A810" t="s">
        <v>878</v>
      </c>
      <c r="B810" t="s">
        <v>13</v>
      </c>
      <c r="C810" s="2" t="s">
        <v>14</v>
      </c>
      <c r="D810" t="s">
        <v>436</v>
      </c>
      <c r="E810" t="s">
        <v>16</v>
      </c>
      <c r="F810" t="s">
        <v>17</v>
      </c>
      <c r="G810" t="s">
        <v>31</v>
      </c>
      <c r="H810" t="str">
        <f t="shared" si="12"/>
        <v>24.001.04.121.0001.2.011.3.3.90.39.00</v>
      </c>
      <c r="I810" t="s">
        <v>879</v>
      </c>
      <c r="J810" t="s">
        <v>880</v>
      </c>
      <c r="K810" t="s">
        <v>21</v>
      </c>
      <c r="L810" t="s">
        <v>441</v>
      </c>
      <c r="M810" t="s">
        <v>23</v>
      </c>
      <c r="N810" t="s">
        <v>24</v>
      </c>
      <c r="O810" t="s">
        <v>32</v>
      </c>
      <c r="Q810" s="1" t="s">
        <v>887</v>
      </c>
      <c r="R810" s="9">
        <v>30000</v>
      </c>
      <c r="S810" t="s">
        <v>27</v>
      </c>
    </row>
    <row r="811" spans="1:19" ht="75" x14ac:dyDescent="0.25">
      <c r="A811" t="s">
        <v>878</v>
      </c>
      <c r="B811" t="s">
        <v>13</v>
      </c>
      <c r="C811" s="2" t="s">
        <v>14</v>
      </c>
      <c r="D811" t="s">
        <v>436</v>
      </c>
      <c r="E811" t="s">
        <v>16</v>
      </c>
      <c r="F811" t="s">
        <v>17</v>
      </c>
      <c r="G811" t="s">
        <v>31</v>
      </c>
      <c r="H811" t="str">
        <f t="shared" si="12"/>
        <v>24.001.04.121.0001.2.011.3.3.90.39.00</v>
      </c>
      <c r="I811" t="s">
        <v>879</v>
      </c>
      <c r="J811" t="s">
        <v>880</v>
      </c>
      <c r="K811" t="s">
        <v>21</v>
      </c>
      <c r="L811" t="s">
        <v>441</v>
      </c>
      <c r="M811" t="s">
        <v>23</v>
      </c>
      <c r="N811" t="s">
        <v>24</v>
      </c>
      <c r="O811" t="s">
        <v>32</v>
      </c>
      <c r="Q811" s="1" t="s">
        <v>888</v>
      </c>
      <c r="R811" s="9">
        <v>10000</v>
      </c>
      <c r="S811" t="s">
        <v>27</v>
      </c>
    </row>
    <row r="812" spans="1:19" ht="60" x14ac:dyDescent="0.25">
      <c r="A812" t="s">
        <v>878</v>
      </c>
      <c r="B812" t="s">
        <v>13</v>
      </c>
      <c r="C812" s="2" t="s">
        <v>14</v>
      </c>
      <c r="D812" t="s">
        <v>436</v>
      </c>
      <c r="E812" t="s">
        <v>16</v>
      </c>
      <c r="F812" t="s">
        <v>17</v>
      </c>
      <c r="G812" t="s">
        <v>31</v>
      </c>
      <c r="H812" t="str">
        <f t="shared" si="12"/>
        <v>24.001.04.121.0001.2.011.3.3.90.39.00</v>
      </c>
      <c r="I812" t="s">
        <v>879</v>
      </c>
      <c r="J812" t="s">
        <v>880</v>
      </c>
      <c r="K812" t="s">
        <v>21</v>
      </c>
      <c r="L812" t="s">
        <v>441</v>
      </c>
      <c r="M812" t="s">
        <v>23</v>
      </c>
      <c r="N812" t="s">
        <v>24</v>
      </c>
      <c r="O812" t="s">
        <v>32</v>
      </c>
      <c r="P812" t="s">
        <v>93</v>
      </c>
      <c r="Q812" s="1" t="s">
        <v>889</v>
      </c>
      <c r="R812" s="9">
        <v>88656</v>
      </c>
      <c r="S812" t="s">
        <v>27</v>
      </c>
    </row>
    <row r="813" spans="1:19" ht="45" x14ac:dyDescent="0.25">
      <c r="A813" t="s">
        <v>878</v>
      </c>
      <c r="B813" t="s">
        <v>13</v>
      </c>
      <c r="C813" s="2" t="s">
        <v>14</v>
      </c>
      <c r="D813" t="s">
        <v>436</v>
      </c>
      <c r="E813" t="s">
        <v>16</v>
      </c>
      <c r="F813" t="s">
        <v>17</v>
      </c>
      <c r="G813" t="s">
        <v>80</v>
      </c>
      <c r="H813" t="str">
        <f t="shared" si="12"/>
        <v>24.001.04.121.0001.2.011.4.4.90.52.00</v>
      </c>
      <c r="I813" t="s">
        <v>879</v>
      </c>
      <c r="J813" t="s">
        <v>880</v>
      </c>
      <c r="K813" t="s">
        <v>21</v>
      </c>
      <c r="L813" t="s">
        <v>441</v>
      </c>
      <c r="M813" t="s">
        <v>23</v>
      </c>
      <c r="N813" t="s">
        <v>24</v>
      </c>
      <c r="O813" t="s">
        <v>81</v>
      </c>
      <c r="P813" t="s">
        <v>42</v>
      </c>
      <c r="Q813" s="1" t="s">
        <v>890</v>
      </c>
      <c r="R813" s="9">
        <v>60000</v>
      </c>
      <c r="S813" t="s">
        <v>27</v>
      </c>
    </row>
    <row r="814" spans="1:19" ht="45" x14ac:dyDescent="0.25">
      <c r="A814" t="s">
        <v>878</v>
      </c>
      <c r="B814" t="s">
        <v>13</v>
      </c>
      <c r="C814" s="2" t="s">
        <v>14</v>
      </c>
      <c r="D814" t="s">
        <v>436</v>
      </c>
      <c r="E814" t="s">
        <v>16</v>
      </c>
      <c r="F814" t="s">
        <v>53</v>
      </c>
      <c r="G814" t="s">
        <v>54</v>
      </c>
      <c r="H814" t="str">
        <f t="shared" si="12"/>
        <v>24.001.04.121.0001.2.007.3.3.90.40.00</v>
      </c>
      <c r="I814" t="s">
        <v>879</v>
      </c>
      <c r="J814" t="s">
        <v>880</v>
      </c>
      <c r="K814" t="s">
        <v>21</v>
      </c>
      <c r="L814" t="s">
        <v>441</v>
      </c>
      <c r="M814" t="s">
        <v>23</v>
      </c>
      <c r="N814" t="s">
        <v>59</v>
      </c>
      <c r="O814" t="s">
        <v>60</v>
      </c>
      <c r="Q814" s="1" t="s">
        <v>891</v>
      </c>
      <c r="R814" s="9">
        <v>20782</v>
      </c>
      <c r="S814" t="s">
        <v>27</v>
      </c>
    </row>
    <row r="815" spans="1:19" ht="75" x14ac:dyDescent="0.25">
      <c r="A815" t="s">
        <v>878</v>
      </c>
      <c r="B815" t="s">
        <v>13</v>
      </c>
      <c r="C815" s="2" t="s">
        <v>14</v>
      </c>
      <c r="D815" t="s">
        <v>436</v>
      </c>
      <c r="E815" t="s">
        <v>16</v>
      </c>
      <c r="F815" t="s">
        <v>133</v>
      </c>
      <c r="G815" t="s">
        <v>192</v>
      </c>
      <c r="H815" t="str">
        <f t="shared" si="12"/>
        <v>24.001.04.121.0001.2.005.3.3.90.31.00</v>
      </c>
      <c r="I815" t="s">
        <v>879</v>
      </c>
      <c r="J815" t="s">
        <v>880</v>
      </c>
      <c r="K815" t="s">
        <v>21</v>
      </c>
      <c r="L815" t="s">
        <v>441</v>
      </c>
      <c r="M815" t="s">
        <v>23</v>
      </c>
      <c r="N815" t="s">
        <v>134</v>
      </c>
      <c r="O815" t="s">
        <v>193</v>
      </c>
      <c r="Q815" s="1" t="s">
        <v>892</v>
      </c>
      <c r="R815" s="9">
        <v>207820</v>
      </c>
      <c r="S815" t="s">
        <v>27</v>
      </c>
    </row>
    <row r="816" spans="1:19" ht="45" x14ac:dyDescent="0.25">
      <c r="A816" t="s">
        <v>878</v>
      </c>
      <c r="B816" t="s">
        <v>13</v>
      </c>
      <c r="C816" s="2" t="s">
        <v>14</v>
      </c>
      <c r="D816" t="s">
        <v>436</v>
      </c>
      <c r="E816" t="s">
        <v>16</v>
      </c>
      <c r="F816" t="s">
        <v>133</v>
      </c>
      <c r="G816" t="s">
        <v>18</v>
      </c>
      <c r="H816" t="str">
        <f t="shared" si="12"/>
        <v>24.001.04.121.0001.2.005.3.3.90.30.00</v>
      </c>
      <c r="I816" t="s">
        <v>879</v>
      </c>
      <c r="J816" t="s">
        <v>880</v>
      </c>
      <c r="K816" t="s">
        <v>21</v>
      </c>
      <c r="L816" t="s">
        <v>441</v>
      </c>
      <c r="M816" t="s">
        <v>23</v>
      </c>
      <c r="N816" t="s">
        <v>134</v>
      </c>
      <c r="O816" t="s">
        <v>25</v>
      </c>
      <c r="P816" t="s">
        <v>49</v>
      </c>
      <c r="Q816" s="1" t="s">
        <v>893</v>
      </c>
      <c r="R816" s="9">
        <v>250000</v>
      </c>
      <c r="S816" t="s">
        <v>27</v>
      </c>
    </row>
    <row r="817" spans="1:19" ht="45" x14ac:dyDescent="0.25">
      <c r="A817" t="s">
        <v>878</v>
      </c>
      <c r="B817" t="s">
        <v>13</v>
      </c>
      <c r="C817" s="2" t="s">
        <v>14</v>
      </c>
      <c r="D817" t="s">
        <v>436</v>
      </c>
      <c r="E817" t="s">
        <v>16</v>
      </c>
      <c r="F817" t="s">
        <v>133</v>
      </c>
      <c r="G817" t="s">
        <v>31</v>
      </c>
      <c r="H817" t="str">
        <f t="shared" si="12"/>
        <v>24.001.04.121.0001.2.005.3.3.90.39.00</v>
      </c>
      <c r="I817" t="s">
        <v>879</v>
      </c>
      <c r="J817" t="s">
        <v>880</v>
      </c>
      <c r="K817" t="s">
        <v>21</v>
      </c>
      <c r="L817" t="s">
        <v>441</v>
      </c>
      <c r="M817" t="s">
        <v>23</v>
      </c>
      <c r="N817" t="s">
        <v>134</v>
      </c>
      <c r="O817" t="s">
        <v>32</v>
      </c>
      <c r="P817" t="s">
        <v>50</v>
      </c>
      <c r="Q817" s="1" t="s">
        <v>894</v>
      </c>
      <c r="R817" s="9">
        <v>250000</v>
      </c>
      <c r="S817" t="s">
        <v>27</v>
      </c>
    </row>
    <row r="818" spans="1:19" ht="75" x14ac:dyDescent="0.25">
      <c r="A818" t="s">
        <v>878</v>
      </c>
      <c r="B818" t="s">
        <v>13</v>
      </c>
      <c r="C818" s="2" t="s">
        <v>14</v>
      </c>
      <c r="D818" t="s">
        <v>436</v>
      </c>
      <c r="E818" t="s">
        <v>16</v>
      </c>
      <c r="F818" t="s">
        <v>133</v>
      </c>
      <c r="G818" t="s">
        <v>31</v>
      </c>
      <c r="H818" t="str">
        <f t="shared" si="12"/>
        <v>24.001.04.121.0001.2.005.3.3.90.39.00</v>
      </c>
      <c r="I818" t="s">
        <v>879</v>
      </c>
      <c r="J818" t="s">
        <v>880</v>
      </c>
      <c r="K818" t="s">
        <v>21</v>
      </c>
      <c r="L818" t="s">
        <v>441</v>
      </c>
      <c r="M818" t="s">
        <v>23</v>
      </c>
      <c r="N818" t="s">
        <v>134</v>
      </c>
      <c r="O818" t="s">
        <v>32</v>
      </c>
      <c r="Q818" s="1" t="s">
        <v>895</v>
      </c>
      <c r="R818" s="9">
        <v>500000</v>
      </c>
      <c r="S818" t="s">
        <v>27</v>
      </c>
    </row>
    <row r="819" spans="1:19" ht="45" x14ac:dyDescent="0.25">
      <c r="A819" t="s">
        <v>878</v>
      </c>
      <c r="B819" t="s">
        <v>13</v>
      </c>
      <c r="C819" s="2" t="s">
        <v>14</v>
      </c>
      <c r="D819" t="s">
        <v>436</v>
      </c>
      <c r="E819" t="s">
        <v>16</v>
      </c>
      <c r="F819" t="s">
        <v>133</v>
      </c>
      <c r="G819" t="s">
        <v>31</v>
      </c>
      <c r="H819" t="str">
        <f t="shared" si="12"/>
        <v>24.001.04.121.0001.2.005.3.3.90.39.00</v>
      </c>
      <c r="I819" t="s">
        <v>879</v>
      </c>
      <c r="J819" t="s">
        <v>880</v>
      </c>
      <c r="K819" t="s">
        <v>21</v>
      </c>
      <c r="L819" t="s">
        <v>441</v>
      </c>
      <c r="M819" t="s">
        <v>23</v>
      </c>
      <c r="N819" t="s">
        <v>134</v>
      </c>
      <c r="O819" t="s">
        <v>32</v>
      </c>
      <c r="P819" t="s">
        <v>135</v>
      </c>
      <c r="Q819" s="1" t="s">
        <v>896</v>
      </c>
      <c r="R819" s="9">
        <v>454302</v>
      </c>
      <c r="S819" t="s">
        <v>27</v>
      </c>
    </row>
    <row r="820" spans="1:19" x14ac:dyDescent="0.25">
      <c r="A820" t="s">
        <v>878</v>
      </c>
      <c r="B820" t="s">
        <v>13</v>
      </c>
      <c r="C820" s="2" t="s">
        <v>14</v>
      </c>
      <c r="D820" t="s">
        <v>436</v>
      </c>
      <c r="E820" t="s">
        <v>16</v>
      </c>
      <c r="F820" t="s">
        <v>17</v>
      </c>
      <c r="G820" t="s">
        <v>178</v>
      </c>
      <c r="H820" t="str">
        <f t="shared" si="12"/>
        <v>24.001.04.121.0001.2.011.4.4.90.51.00</v>
      </c>
      <c r="I820" t="s">
        <v>879</v>
      </c>
      <c r="J820" t="s">
        <v>880</v>
      </c>
      <c r="K820" t="s">
        <v>21</v>
      </c>
      <c r="L820" t="s">
        <v>441</v>
      </c>
      <c r="M820" t="s">
        <v>23</v>
      </c>
      <c r="N820" t="s">
        <v>24</v>
      </c>
      <c r="O820" t="s">
        <v>180</v>
      </c>
      <c r="Q820" t="s">
        <v>897</v>
      </c>
      <c r="R820" s="9">
        <v>2000000</v>
      </c>
      <c r="S820" t="s">
        <v>27</v>
      </c>
    </row>
    <row r="821" spans="1:19" x14ac:dyDescent="0.25">
      <c r="A821" t="s">
        <v>878</v>
      </c>
      <c r="B821" t="s">
        <v>13</v>
      </c>
      <c r="C821" s="2" t="s">
        <v>14</v>
      </c>
      <c r="D821" t="s">
        <v>436</v>
      </c>
      <c r="E821" t="s">
        <v>16</v>
      </c>
      <c r="F821" t="s">
        <v>139</v>
      </c>
      <c r="G821" t="s">
        <v>80</v>
      </c>
      <c r="H821" t="str">
        <f t="shared" si="12"/>
        <v>24.001.04.121.0001.1.002.4.4.90.52.00</v>
      </c>
      <c r="I821" t="s">
        <v>879</v>
      </c>
      <c r="J821" t="s">
        <v>880</v>
      </c>
      <c r="K821" t="s">
        <v>21</v>
      </c>
      <c r="L821" t="s">
        <v>441</v>
      </c>
      <c r="M821" t="s">
        <v>23</v>
      </c>
      <c r="N821" t="s">
        <v>143</v>
      </c>
      <c r="O821" t="s">
        <v>81</v>
      </c>
      <c r="Q821" t="s">
        <v>897</v>
      </c>
      <c r="R821" s="9">
        <v>3000000</v>
      </c>
      <c r="S821" t="s">
        <v>27</v>
      </c>
    </row>
    <row r="822" spans="1:19" x14ac:dyDescent="0.25">
      <c r="A822" t="s">
        <v>551</v>
      </c>
      <c r="B822" t="s">
        <v>13</v>
      </c>
      <c r="C822" s="2" t="s">
        <v>14</v>
      </c>
      <c r="D822" t="s">
        <v>15</v>
      </c>
      <c r="E822" t="s">
        <v>16</v>
      </c>
      <c r="F822" t="s">
        <v>17</v>
      </c>
      <c r="G822" t="s">
        <v>18</v>
      </c>
      <c r="H822" t="str">
        <f t="shared" si="12"/>
        <v>27.001.04.122.0001.2.011.3.3.90.30.00</v>
      </c>
      <c r="I822" t="s">
        <v>898</v>
      </c>
      <c r="J822" t="s">
        <v>899</v>
      </c>
      <c r="K822" t="s">
        <v>21</v>
      </c>
      <c r="L822" t="s">
        <v>22</v>
      </c>
      <c r="M822" t="s">
        <v>23</v>
      </c>
      <c r="N822" t="s">
        <v>24</v>
      </c>
      <c r="O822" t="s">
        <v>25</v>
      </c>
      <c r="P822" t="s">
        <v>28</v>
      </c>
      <c r="Q822" t="s">
        <v>900</v>
      </c>
      <c r="R822" s="9">
        <v>13717</v>
      </c>
      <c r="S822" t="s">
        <v>27</v>
      </c>
    </row>
    <row r="823" spans="1:19" x14ac:dyDescent="0.25">
      <c r="A823" t="s">
        <v>551</v>
      </c>
      <c r="B823" t="s">
        <v>13</v>
      </c>
      <c r="C823" s="2" t="s">
        <v>14</v>
      </c>
      <c r="D823" t="s">
        <v>15</v>
      </c>
      <c r="E823" t="s">
        <v>16</v>
      </c>
      <c r="F823" t="s">
        <v>17</v>
      </c>
      <c r="G823" t="s">
        <v>18</v>
      </c>
      <c r="H823" t="str">
        <f t="shared" si="12"/>
        <v>27.001.04.122.0001.2.011.3.3.90.30.00</v>
      </c>
      <c r="I823" t="s">
        <v>898</v>
      </c>
      <c r="J823" t="s">
        <v>899</v>
      </c>
      <c r="K823" t="s">
        <v>21</v>
      </c>
      <c r="L823" t="s">
        <v>22</v>
      </c>
      <c r="M823" t="s">
        <v>23</v>
      </c>
      <c r="N823" t="s">
        <v>24</v>
      </c>
      <c r="O823" t="s">
        <v>25</v>
      </c>
      <c r="P823" t="s">
        <v>30</v>
      </c>
      <c r="Q823" t="s">
        <v>900</v>
      </c>
      <c r="R823" s="9">
        <v>4157</v>
      </c>
      <c r="S823" t="s">
        <v>27</v>
      </c>
    </row>
    <row r="824" spans="1:19" x14ac:dyDescent="0.25">
      <c r="A824" t="s">
        <v>551</v>
      </c>
      <c r="B824" t="s">
        <v>13</v>
      </c>
      <c r="C824" s="2" t="s">
        <v>14</v>
      </c>
      <c r="D824" t="s">
        <v>15</v>
      </c>
      <c r="E824" t="s">
        <v>16</v>
      </c>
      <c r="F824" t="s">
        <v>17</v>
      </c>
      <c r="G824" t="s">
        <v>18</v>
      </c>
      <c r="H824" t="str">
        <f t="shared" si="12"/>
        <v>27.001.04.122.0001.2.011.3.3.90.30.00</v>
      </c>
      <c r="I824" t="s">
        <v>898</v>
      </c>
      <c r="J824" t="s">
        <v>899</v>
      </c>
      <c r="K824" t="s">
        <v>21</v>
      </c>
      <c r="L824" t="s">
        <v>22</v>
      </c>
      <c r="M824" t="s">
        <v>23</v>
      </c>
      <c r="N824" t="s">
        <v>24</v>
      </c>
      <c r="O824" t="s">
        <v>25</v>
      </c>
      <c r="P824" t="s">
        <v>29</v>
      </c>
      <c r="Q824" t="s">
        <v>900</v>
      </c>
      <c r="R824" s="9">
        <v>10391</v>
      </c>
      <c r="S824" t="s">
        <v>27</v>
      </c>
    </row>
    <row r="825" spans="1:19" x14ac:dyDescent="0.25">
      <c r="A825" t="s">
        <v>551</v>
      </c>
      <c r="B825" t="s">
        <v>13</v>
      </c>
      <c r="C825" s="2" t="s">
        <v>14</v>
      </c>
      <c r="D825" t="s">
        <v>15</v>
      </c>
      <c r="E825" t="s">
        <v>16</v>
      </c>
      <c r="F825" t="s">
        <v>17</v>
      </c>
      <c r="G825" t="s">
        <v>18</v>
      </c>
      <c r="H825" t="str">
        <f t="shared" si="12"/>
        <v>27.001.04.122.0001.2.011.3.3.90.30.00</v>
      </c>
      <c r="I825" t="s">
        <v>898</v>
      </c>
      <c r="J825" t="s">
        <v>899</v>
      </c>
      <c r="K825" t="s">
        <v>21</v>
      </c>
      <c r="L825" t="s">
        <v>22</v>
      </c>
      <c r="M825" t="s">
        <v>23</v>
      </c>
      <c r="N825" t="s">
        <v>24</v>
      </c>
      <c r="O825" t="s">
        <v>25</v>
      </c>
      <c r="P825" t="s">
        <v>39</v>
      </c>
      <c r="Q825" t="s">
        <v>900</v>
      </c>
      <c r="R825" s="9">
        <v>9000</v>
      </c>
      <c r="S825" t="s">
        <v>27</v>
      </c>
    </row>
    <row r="826" spans="1:19" x14ac:dyDescent="0.25">
      <c r="A826" t="s">
        <v>551</v>
      </c>
      <c r="B826" t="s">
        <v>13</v>
      </c>
      <c r="C826" s="2" t="s">
        <v>14</v>
      </c>
      <c r="D826" t="s">
        <v>15</v>
      </c>
      <c r="E826" t="s">
        <v>16</v>
      </c>
      <c r="F826" t="s">
        <v>17</v>
      </c>
      <c r="G826" t="s">
        <v>18</v>
      </c>
      <c r="H826" t="str">
        <f t="shared" si="12"/>
        <v>27.001.04.122.0001.2.011.3.3.90.30.00</v>
      </c>
      <c r="I826" t="s">
        <v>898</v>
      </c>
      <c r="J826" t="s">
        <v>899</v>
      </c>
      <c r="K826" t="s">
        <v>21</v>
      </c>
      <c r="L826" t="s">
        <v>22</v>
      </c>
      <c r="M826" t="s">
        <v>23</v>
      </c>
      <c r="N826" t="s">
        <v>24</v>
      </c>
      <c r="O826" t="s">
        <v>25</v>
      </c>
      <c r="P826" t="s">
        <v>89</v>
      </c>
      <c r="Q826" t="s">
        <v>900</v>
      </c>
      <c r="R826" s="9">
        <v>9456</v>
      </c>
      <c r="S826" t="s">
        <v>27</v>
      </c>
    </row>
    <row r="827" spans="1:19" x14ac:dyDescent="0.25">
      <c r="A827" t="s">
        <v>551</v>
      </c>
      <c r="B827" t="s">
        <v>13</v>
      </c>
      <c r="C827" s="2" t="s">
        <v>14</v>
      </c>
      <c r="D827" t="s">
        <v>15</v>
      </c>
      <c r="E827" t="s">
        <v>16</v>
      </c>
      <c r="F827" t="s">
        <v>17</v>
      </c>
      <c r="G827" t="s">
        <v>31</v>
      </c>
      <c r="H827" t="str">
        <f t="shared" si="12"/>
        <v>27.001.04.122.0001.2.011.3.3.90.39.00</v>
      </c>
      <c r="I827" t="s">
        <v>898</v>
      </c>
      <c r="J827" t="s">
        <v>899</v>
      </c>
      <c r="K827" t="s">
        <v>21</v>
      </c>
      <c r="L827" t="s">
        <v>22</v>
      </c>
      <c r="M827" t="s">
        <v>23</v>
      </c>
      <c r="N827" t="s">
        <v>24</v>
      </c>
      <c r="O827" t="s">
        <v>32</v>
      </c>
      <c r="P827" t="s">
        <v>33</v>
      </c>
      <c r="Q827" t="s">
        <v>901</v>
      </c>
      <c r="R827" s="9">
        <v>15000</v>
      </c>
      <c r="S827" t="s">
        <v>27</v>
      </c>
    </row>
    <row r="828" spans="1:19" x14ac:dyDescent="0.25">
      <c r="A828" t="s">
        <v>551</v>
      </c>
      <c r="B828" t="s">
        <v>13</v>
      </c>
      <c r="C828" s="2" t="s">
        <v>14</v>
      </c>
      <c r="D828" t="s">
        <v>15</v>
      </c>
      <c r="E828" t="s">
        <v>16</v>
      </c>
      <c r="F828" t="s">
        <v>17</v>
      </c>
      <c r="G828" t="s">
        <v>31</v>
      </c>
      <c r="H828" t="str">
        <f t="shared" si="12"/>
        <v>27.001.04.122.0001.2.011.3.3.90.39.00</v>
      </c>
      <c r="I828" t="s">
        <v>898</v>
      </c>
      <c r="J828" t="s">
        <v>899</v>
      </c>
      <c r="K828" t="s">
        <v>21</v>
      </c>
      <c r="L828" t="s">
        <v>22</v>
      </c>
      <c r="M828" t="s">
        <v>23</v>
      </c>
      <c r="N828" t="s">
        <v>24</v>
      </c>
      <c r="O828" t="s">
        <v>32</v>
      </c>
      <c r="P828" t="s">
        <v>105</v>
      </c>
      <c r="Q828" t="s">
        <v>902</v>
      </c>
      <c r="R828" s="9">
        <v>10600</v>
      </c>
      <c r="S828" t="s">
        <v>27</v>
      </c>
    </row>
    <row r="829" spans="1:19" x14ac:dyDescent="0.25">
      <c r="A829" t="s">
        <v>551</v>
      </c>
      <c r="B829" t="s">
        <v>13</v>
      </c>
      <c r="C829" s="2" t="s">
        <v>14</v>
      </c>
      <c r="D829" t="s">
        <v>15</v>
      </c>
      <c r="E829" t="s">
        <v>16</v>
      </c>
      <c r="F829" t="s">
        <v>17</v>
      </c>
      <c r="G829" t="s">
        <v>31</v>
      </c>
      <c r="H829" t="str">
        <f t="shared" si="12"/>
        <v>27.001.04.122.0001.2.011.3.3.90.39.00</v>
      </c>
      <c r="I829" t="s">
        <v>898</v>
      </c>
      <c r="J829" t="s">
        <v>899</v>
      </c>
      <c r="K829" t="s">
        <v>21</v>
      </c>
      <c r="L829" t="s">
        <v>22</v>
      </c>
      <c r="M829" t="s">
        <v>23</v>
      </c>
      <c r="N829" t="s">
        <v>24</v>
      </c>
      <c r="O829" t="s">
        <v>32</v>
      </c>
      <c r="P829" t="s">
        <v>44</v>
      </c>
      <c r="Q829" t="s">
        <v>900</v>
      </c>
      <c r="R829" s="9">
        <v>4053</v>
      </c>
      <c r="S829" t="s">
        <v>27</v>
      </c>
    </row>
    <row r="830" spans="1:19" x14ac:dyDescent="0.25">
      <c r="A830" t="s">
        <v>551</v>
      </c>
      <c r="B830" t="s">
        <v>13</v>
      </c>
      <c r="C830" s="2" t="s">
        <v>14</v>
      </c>
      <c r="D830" t="s">
        <v>15</v>
      </c>
      <c r="E830" t="s">
        <v>16</v>
      </c>
      <c r="F830" t="s">
        <v>17</v>
      </c>
      <c r="G830" t="s">
        <v>31</v>
      </c>
      <c r="H830" t="str">
        <f t="shared" si="12"/>
        <v>27.001.04.122.0001.2.011.3.3.90.39.00</v>
      </c>
      <c r="I830" t="s">
        <v>898</v>
      </c>
      <c r="J830" t="s">
        <v>899</v>
      </c>
      <c r="K830" t="s">
        <v>21</v>
      </c>
      <c r="L830" t="s">
        <v>22</v>
      </c>
      <c r="M830" t="s">
        <v>23</v>
      </c>
      <c r="N830" t="s">
        <v>24</v>
      </c>
      <c r="O830" t="s">
        <v>32</v>
      </c>
      <c r="P830" t="s">
        <v>93</v>
      </c>
      <c r="Q830" t="s">
        <v>900</v>
      </c>
      <c r="R830" s="9">
        <v>2000</v>
      </c>
      <c r="S830" t="s">
        <v>27</v>
      </c>
    </row>
    <row r="831" spans="1:19" x14ac:dyDescent="0.25">
      <c r="A831" t="s">
        <v>551</v>
      </c>
      <c r="B831" t="s">
        <v>13</v>
      </c>
      <c r="C831" s="2" t="s">
        <v>14</v>
      </c>
      <c r="D831" t="s">
        <v>15</v>
      </c>
      <c r="E831" t="s">
        <v>16</v>
      </c>
      <c r="F831" t="s">
        <v>17</v>
      </c>
      <c r="G831" t="s">
        <v>80</v>
      </c>
      <c r="H831" t="str">
        <f t="shared" si="12"/>
        <v>27.001.04.122.0001.2.011.4.4.90.52.00</v>
      </c>
      <c r="I831" t="s">
        <v>898</v>
      </c>
      <c r="J831" t="s">
        <v>899</v>
      </c>
      <c r="K831" t="s">
        <v>21</v>
      </c>
      <c r="L831" t="s">
        <v>22</v>
      </c>
      <c r="M831" t="s">
        <v>23</v>
      </c>
      <c r="N831" t="s">
        <v>24</v>
      </c>
      <c r="O831" t="s">
        <v>81</v>
      </c>
      <c r="P831" t="s">
        <v>82</v>
      </c>
      <c r="Q831" t="s">
        <v>900</v>
      </c>
      <c r="R831" s="9">
        <v>3118</v>
      </c>
      <c r="S831" t="s">
        <v>27</v>
      </c>
    </row>
    <row r="832" spans="1:19" x14ac:dyDescent="0.25">
      <c r="A832" t="s">
        <v>551</v>
      </c>
      <c r="B832" t="s">
        <v>13</v>
      </c>
      <c r="C832" s="2" t="s">
        <v>14</v>
      </c>
      <c r="D832" t="s">
        <v>15</v>
      </c>
      <c r="E832" t="s">
        <v>16</v>
      </c>
      <c r="F832" t="s">
        <v>17</v>
      </c>
      <c r="G832" t="s">
        <v>80</v>
      </c>
      <c r="H832" t="str">
        <f t="shared" si="12"/>
        <v>27.001.04.122.0001.2.011.4.4.90.52.00</v>
      </c>
      <c r="I832" t="s">
        <v>898</v>
      </c>
      <c r="J832" t="s">
        <v>899</v>
      </c>
      <c r="K832" t="s">
        <v>21</v>
      </c>
      <c r="L832" t="s">
        <v>22</v>
      </c>
      <c r="M832" t="s">
        <v>23</v>
      </c>
      <c r="N832" t="s">
        <v>24</v>
      </c>
      <c r="O832" t="s">
        <v>81</v>
      </c>
      <c r="P832" t="s">
        <v>224</v>
      </c>
      <c r="Q832" t="s">
        <v>900</v>
      </c>
      <c r="R832" s="9">
        <v>29897</v>
      </c>
      <c r="S832" t="s">
        <v>27</v>
      </c>
    </row>
    <row r="833" spans="1:19" x14ac:dyDescent="0.25">
      <c r="A833" t="s">
        <v>551</v>
      </c>
      <c r="B833" t="s">
        <v>13</v>
      </c>
      <c r="C833" s="2" t="s">
        <v>14</v>
      </c>
      <c r="D833" t="s">
        <v>51</v>
      </c>
      <c r="E833" t="s">
        <v>16</v>
      </c>
      <c r="F833" t="s">
        <v>53</v>
      </c>
      <c r="G833" t="s">
        <v>31</v>
      </c>
      <c r="H833" t="str">
        <f t="shared" si="12"/>
        <v>27.001.04.126.0001.2.007.3.3.90.39.00</v>
      </c>
      <c r="I833" t="s">
        <v>898</v>
      </c>
      <c r="J833" t="s">
        <v>899</v>
      </c>
      <c r="K833" t="s">
        <v>21</v>
      </c>
      <c r="L833" t="s">
        <v>57</v>
      </c>
      <c r="M833" t="s">
        <v>23</v>
      </c>
      <c r="N833" t="s">
        <v>59</v>
      </c>
      <c r="O833" t="s">
        <v>32</v>
      </c>
      <c r="P833" t="s">
        <v>93</v>
      </c>
      <c r="Q833" t="s">
        <v>900</v>
      </c>
      <c r="R833" s="9">
        <v>3361</v>
      </c>
      <c r="S833" t="s">
        <v>27</v>
      </c>
    </row>
    <row r="834" spans="1:19" x14ac:dyDescent="0.25">
      <c r="A834" t="s">
        <v>551</v>
      </c>
      <c r="B834" t="s">
        <v>13</v>
      </c>
      <c r="C834" s="2" t="s">
        <v>14</v>
      </c>
      <c r="D834" t="s">
        <v>51</v>
      </c>
      <c r="E834" t="s">
        <v>16</v>
      </c>
      <c r="F834" t="s">
        <v>53</v>
      </c>
      <c r="G834" t="s">
        <v>54</v>
      </c>
      <c r="H834" t="str">
        <f t="shared" ref="H834:H897" si="13">_xlfn.CONCAT(A834,".",B834,".",C834,".",D834,".",E834,".",F834,".",G834)</f>
        <v>27.001.04.126.0001.2.007.3.3.90.40.00</v>
      </c>
      <c r="I834" t="s">
        <v>898</v>
      </c>
      <c r="J834" t="s">
        <v>899</v>
      </c>
      <c r="K834" t="s">
        <v>21</v>
      </c>
      <c r="L834" t="s">
        <v>57</v>
      </c>
      <c r="M834" t="s">
        <v>23</v>
      </c>
      <c r="N834" t="s">
        <v>59</v>
      </c>
      <c r="O834" t="s">
        <v>60</v>
      </c>
      <c r="P834" t="s">
        <v>903</v>
      </c>
      <c r="Q834" t="s">
        <v>904</v>
      </c>
      <c r="R834" s="9">
        <v>164000</v>
      </c>
      <c r="S834" t="s">
        <v>27</v>
      </c>
    </row>
    <row r="835" spans="1:19" x14ac:dyDescent="0.25">
      <c r="A835" t="s">
        <v>551</v>
      </c>
      <c r="B835" t="s">
        <v>13</v>
      </c>
      <c r="C835" s="2" t="s">
        <v>14</v>
      </c>
      <c r="D835" t="s">
        <v>51</v>
      </c>
      <c r="E835" t="s">
        <v>16</v>
      </c>
      <c r="F835" t="s">
        <v>53</v>
      </c>
      <c r="G835" t="s">
        <v>54</v>
      </c>
      <c r="H835" t="str">
        <f t="shared" si="13"/>
        <v>27.001.04.126.0001.2.007.3.3.90.40.00</v>
      </c>
      <c r="I835" t="s">
        <v>898</v>
      </c>
      <c r="J835" t="s">
        <v>899</v>
      </c>
      <c r="K835" t="s">
        <v>21</v>
      </c>
      <c r="L835" t="s">
        <v>57</v>
      </c>
      <c r="M835" t="s">
        <v>23</v>
      </c>
      <c r="N835" t="s">
        <v>59</v>
      </c>
      <c r="O835" t="s">
        <v>60</v>
      </c>
      <c r="P835" t="s">
        <v>61</v>
      </c>
      <c r="Q835" t="s">
        <v>905</v>
      </c>
      <c r="R835" s="9">
        <v>3371440</v>
      </c>
      <c r="S835" t="s">
        <v>27</v>
      </c>
    </row>
    <row r="836" spans="1:19" x14ac:dyDescent="0.25">
      <c r="A836" t="s">
        <v>551</v>
      </c>
      <c r="B836" t="s">
        <v>13</v>
      </c>
      <c r="C836" s="2" t="s">
        <v>14</v>
      </c>
      <c r="D836" t="s">
        <v>121</v>
      </c>
      <c r="E836" t="s">
        <v>52</v>
      </c>
      <c r="F836" t="s">
        <v>122</v>
      </c>
      <c r="G836" t="s">
        <v>31</v>
      </c>
      <c r="H836" t="str">
        <f t="shared" si="13"/>
        <v>27.001.04.128.0002.2.003.3.3.90.39.00</v>
      </c>
      <c r="I836" t="s">
        <v>898</v>
      </c>
      <c r="J836" t="s">
        <v>899</v>
      </c>
      <c r="K836" t="s">
        <v>21</v>
      </c>
      <c r="L836" t="s">
        <v>124</v>
      </c>
      <c r="M836" t="s">
        <v>58</v>
      </c>
      <c r="N836" t="s">
        <v>125</v>
      </c>
      <c r="O836" t="s">
        <v>32</v>
      </c>
      <c r="P836" t="s">
        <v>581</v>
      </c>
      <c r="Q836" t="s">
        <v>900</v>
      </c>
      <c r="R836" s="9">
        <v>10000</v>
      </c>
      <c r="S836" t="s">
        <v>27</v>
      </c>
    </row>
    <row r="837" spans="1:19" x14ac:dyDescent="0.25">
      <c r="A837" t="s">
        <v>551</v>
      </c>
      <c r="B837" t="s">
        <v>13</v>
      </c>
      <c r="C837" s="2" t="s">
        <v>14</v>
      </c>
      <c r="D837" t="s">
        <v>312</v>
      </c>
      <c r="E837" t="s">
        <v>52</v>
      </c>
      <c r="F837" t="s">
        <v>133</v>
      </c>
      <c r="G837" t="s">
        <v>18</v>
      </c>
      <c r="H837" t="str">
        <f t="shared" si="13"/>
        <v>27.001.04.131.0002.2.005.3.3.90.30.00</v>
      </c>
      <c r="I837" t="s">
        <v>898</v>
      </c>
      <c r="J837" t="s">
        <v>899</v>
      </c>
      <c r="K837" t="s">
        <v>21</v>
      </c>
      <c r="L837" t="s">
        <v>313</v>
      </c>
      <c r="M837" t="s">
        <v>58</v>
      </c>
      <c r="N837" t="s">
        <v>134</v>
      </c>
      <c r="O837" t="s">
        <v>25</v>
      </c>
      <c r="P837" t="s">
        <v>39</v>
      </c>
      <c r="Q837" t="s">
        <v>900</v>
      </c>
      <c r="R837" s="9">
        <v>500</v>
      </c>
      <c r="S837" t="s">
        <v>27</v>
      </c>
    </row>
    <row r="838" spans="1:19" x14ac:dyDescent="0.25">
      <c r="A838" t="s">
        <v>551</v>
      </c>
      <c r="B838" t="s">
        <v>13</v>
      </c>
      <c r="C838" s="2" t="s">
        <v>14</v>
      </c>
      <c r="D838" t="s">
        <v>312</v>
      </c>
      <c r="E838" t="s">
        <v>52</v>
      </c>
      <c r="F838" t="s">
        <v>133</v>
      </c>
      <c r="G838" t="s">
        <v>31</v>
      </c>
      <c r="H838" t="str">
        <f t="shared" si="13"/>
        <v>27.001.04.131.0002.2.005.3.3.90.39.00</v>
      </c>
      <c r="I838" t="s">
        <v>898</v>
      </c>
      <c r="J838" t="s">
        <v>899</v>
      </c>
      <c r="K838" t="s">
        <v>21</v>
      </c>
      <c r="L838" t="s">
        <v>313</v>
      </c>
      <c r="M838" t="s">
        <v>58</v>
      </c>
      <c r="N838" t="s">
        <v>134</v>
      </c>
      <c r="O838" t="s">
        <v>32</v>
      </c>
      <c r="P838" t="s">
        <v>50</v>
      </c>
      <c r="Q838" t="s">
        <v>900</v>
      </c>
      <c r="R838" s="9">
        <v>28922</v>
      </c>
      <c r="S838" t="s">
        <v>27</v>
      </c>
    </row>
    <row r="839" spans="1:19" x14ac:dyDescent="0.25">
      <c r="A839" t="s">
        <v>551</v>
      </c>
      <c r="B839" t="s">
        <v>13</v>
      </c>
      <c r="C839" s="2" t="s">
        <v>14</v>
      </c>
      <c r="D839" t="s">
        <v>312</v>
      </c>
      <c r="E839" t="s">
        <v>52</v>
      </c>
      <c r="F839" t="s">
        <v>133</v>
      </c>
      <c r="G839" t="s">
        <v>31</v>
      </c>
      <c r="H839" t="str">
        <f t="shared" si="13"/>
        <v>27.001.04.131.0002.2.005.3.3.90.39.00</v>
      </c>
      <c r="I839" t="s">
        <v>898</v>
      </c>
      <c r="J839" t="s">
        <v>899</v>
      </c>
      <c r="K839" t="s">
        <v>21</v>
      </c>
      <c r="L839" t="s">
        <v>313</v>
      </c>
      <c r="M839" t="s">
        <v>58</v>
      </c>
      <c r="N839" t="s">
        <v>134</v>
      </c>
      <c r="O839" t="s">
        <v>32</v>
      </c>
      <c r="P839" t="s">
        <v>114</v>
      </c>
      <c r="Q839" t="s">
        <v>900</v>
      </c>
      <c r="R839" s="9">
        <v>2079</v>
      </c>
      <c r="S839" t="s">
        <v>27</v>
      </c>
    </row>
    <row r="840" spans="1:19" x14ac:dyDescent="0.25">
      <c r="A840" t="s">
        <v>551</v>
      </c>
      <c r="B840" t="s">
        <v>13</v>
      </c>
      <c r="C840" s="2" t="s">
        <v>14</v>
      </c>
      <c r="D840" t="s">
        <v>312</v>
      </c>
      <c r="E840" t="s">
        <v>52</v>
      </c>
      <c r="F840" t="s">
        <v>133</v>
      </c>
      <c r="G840" t="s">
        <v>31</v>
      </c>
      <c r="H840" t="str">
        <f t="shared" si="13"/>
        <v>27.001.04.131.0002.2.005.3.3.90.39.00</v>
      </c>
      <c r="I840" t="s">
        <v>898</v>
      </c>
      <c r="J840" t="s">
        <v>899</v>
      </c>
      <c r="K840" t="s">
        <v>21</v>
      </c>
      <c r="L840" t="s">
        <v>313</v>
      </c>
      <c r="M840" t="s">
        <v>58</v>
      </c>
      <c r="N840" t="s">
        <v>134</v>
      </c>
      <c r="O840" t="s">
        <v>32</v>
      </c>
      <c r="P840" t="s">
        <v>135</v>
      </c>
      <c r="Q840" t="s">
        <v>900</v>
      </c>
      <c r="R840" s="9">
        <v>2250</v>
      </c>
      <c r="S840" t="s">
        <v>27</v>
      </c>
    </row>
    <row r="841" spans="1:19" x14ac:dyDescent="0.25">
      <c r="A841" t="s">
        <v>551</v>
      </c>
      <c r="B841" t="s">
        <v>13</v>
      </c>
      <c r="C841" s="2" t="s">
        <v>14</v>
      </c>
      <c r="D841" t="s">
        <v>312</v>
      </c>
      <c r="E841" t="s">
        <v>52</v>
      </c>
      <c r="F841" t="s">
        <v>133</v>
      </c>
      <c r="G841" t="s">
        <v>80</v>
      </c>
      <c r="H841" t="str">
        <f t="shared" si="13"/>
        <v>27.001.04.131.0002.2.005.4.4.90.52.00</v>
      </c>
      <c r="I841" t="s">
        <v>898</v>
      </c>
      <c r="J841" t="s">
        <v>899</v>
      </c>
      <c r="K841" t="s">
        <v>21</v>
      </c>
      <c r="L841" t="s">
        <v>313</v>
      </c>
      <c r="M841" t="s">
        <v>58</v>
      </c>
      <c r="N841" t="s">
        <v>134</v>
      </c>
      <c r="O841" t="s">
        <v>81</v>
      </c>
      <c r="P841" t="s">
        <v>224</v>
      </c>
      <c r="Q841" t="s">
        <v>900</v>
      </c>
      <c r="R841" s="9">
        <v>500</v>
      </c>
      <c r="S841" t="s">
        <v>27</v>
      </c>
    </row>
    <row r="842" spans="1:19" x14ac:dyDescent="0.25">
      <c r="A842" t="s">
        <v>906</v>
      </c>
      <c r="B842" t="s">
        <v>13</v>
      </c>
      <c r="C842" s="2" t="s">
        <v>14</v>
      </c>
      <c r="D842" t="s">
        <v>15</v>
      </c>
      <c r="E842" t="s">
        <v>437</v>
      </c>
      <c r="F842" t="s">
        <v>438</v>
      </c>
      <c r="G842" t="s">
        <v>31</v>
      </c>
      <c r="H842" t="str">
        <f t="shared" si="13"/>
        <v>28.001.04.122.0004.1.001.3.3.90.39.00</v>
      </c>
      <c r="I842" t="s">
        <v>907</v>
      </c>
      <c r="J842" t="s">
        <v>908</v>
      </c>
      <c r="K842" t="s">
        <v>21</v>
      </c>
      <c r="L842" t="s">
        <v>22</v>
      </c>
      <c r="M842" t="s">
        <v>442</v>
      </c>
      <c r="N842" t="s">
        <v>443</v>
      </c>
      <c r="O842" t="s">
        <v>32</v>
      </c>
      <c r="P842" t="s">
        <v>65</v>
      </c>
      <c r="Q842">
        <v>0</v>
      </c>
      <c r="R842" s="9">
        <v>1</v>
      </c>
      <c r="S842" t="s">
        <v>27</v>
      </c>
    </row>
    <row r="843" spans="1:19" x14ac:dyDescent="0.25">
      <c r="A843" t="s">
        <v>906</v>
      </c>
      <c r="B843" t="s">
        <v>13</v>
      </c>
      <c r="C843" s="2" t="s">
        <v>14</v>
      </c>
      <c r="D843" t="s">
        <v>15</v>
      </c>
      <c r="E843" t="s">
        <v>16</v>
      </c>
      <c r="F843" t="s">
        <v>139</v>
      </c>
      <c r="G843" t="s">
        <v>18</v>
      </c>
      <c r="H843" t="str">
        <f t="shared" si="13"/>
        <v>28.001.04.122.0001.1.002.3.3.90.30.00</v>
      </c>
      <c r="I843" t="s">
        <v>907</v>
      </c>
      <c r="J843" t="s">
        <v>908</v>
      </c>
      <c r="K843" t="s">
        <v>21</v>
      </c>
      <c r="L843" t="s">
        <v>22</v>
      </c>
      <c r="M843" t="s">
        <v>23</v>
      </c>
      <c r="N843" t="s">
        <v>143</v>
      </c>
      <c r="O843" t="s">
        <v>25</v>
      </c>
      <c r="P843" t="s">
        <v>39</v>
      </c>
      <c r="Q843">
        <v>0</v>
      </c>
      <c r="R843" s="9">
        <v>1</v>
      </c>
      <c r="S843" t="s">
        <v>27</v>
      </c>
    </row>
    <row r="844" spans="1:19" x14ac:dyDescent="0.25">
      <c r="A844" t="s">
        <v>906</v>
      </c>
      <c r="B844" t="s">
        <v>13</v>
      </c>
      <c r="C844" s="2" t="s">
        <v>14</v>
      </c>
      <c r="D844" t="s">
        <v>15</v>
      </c>
      <c r="E844" t="s">
        <v>16</v>
      </c>
      <c r="F844" t="s">
        <v>139</v>
      </c>
      <c r="G844" t="s">
        <v>31</v>
      </c>
      <c r="H844" t="str">
        <f t="shared" si="13"/>
        <v>28.001.04.122.0001.1.002.3.3.90.39.00</v>
      </c>
      <c r="I844" t="s">
        <v>907</v>
      </c>
      <c r="J844" t="s">
        <v>908</v>
      </c>
      <c r="K844" t="s">
        <v>21</v>
      </c>
      <c r="L844" t="s">
        <v>22</v>
      </c>
      <c r="M844" t="s">
        <v>23</v>
      </c>
      <c r="N844" t="s">
        <v>143</v>
      </c>
      <c r="O844" t="s">
        <v>32</v>
      </c>
      <c r="P844" t="s">
        <v>93</v>
      </c>
      <c r="Q844">
        <v>0</v>
      </c>
      <c r="R844" s="9">
        <v>1</v>
      </c>
      <c r="S844" t="s">
        <v>27</v>
      </c>
    </row>
    <row r="845" spans="1:19" x14ac:dyDescent="0.25">
      <c r="A845" t="s">
        <v>906</v>
      </c>
      <c r="B845" t="s">
        <v>13</v>
      </c>
      <c r="C845" s="2" t="s">
        <v>14</v>
      </c>
      <c r="D845" t="s">
        <v>15</v>
      </c>
      <c r="E845" t="s">
        <v>16</v>
      </c>
      <c r="F845" t="s">
        <v>127</v>
      </c>
      <c r="G845" t="s">
        <v>73</v>
      </c>
      <c r="H845" t="str">
        <f t="shared" si="13"/>
        <v>28.001.04.122.0001.2.006.3.3.90.33.00</v>
      </c>
      <c r="I845" t="s">
        <v>907</v>
      </c>
      <c r="J845" t="s">
        <v>908</v>
      </c>
      <c r="K845" t="s">
        <v>21</v>
      </c>
      <c r="L845" t="s">
        <v>22</v>
      </c>
      <c r="M845" t="s">
        <v>23</v>
      </c>
      <c r="N845" t="s">
        <v>130</v>
      </c>
      <c r="O845" t="s">
        <v>74</v>
      </c>
      <c r="P845" t="s">
        <v>545</v>
      </c>
      <c r="Q845">
        <v>0</v>
      </c>
      <c r="R845" s="9">
        <v>420000</v>
      </c>
      <c r="S845" t="s">
        <v>27</v>
      </c>
    </row>
    <row r="846" spans="1:19" x14ac:dyDescent="0.25">
      <c r="A846" t="s">
        <v>906</v>
      </c>
      <c r="B846" t="s">
        <v>13</v>
      </c>
      <c r="C846" s="2" t="s">
        <v>14</v>
      </c>
      <c r="D846" t="s">
        <v>15</v>
      </c>
      <c r="E846" t="s">
        <v>16</v>
      </c>
      <c r="F846" t="s">
        <v>127</v>
      </c>
      <c r="G846" t="s">
        <v>31</v>
      </c>
      <c r="H846" t="str">
        <f t="shared" si="13"/>
        <v>28.001.04.122.0001.2.006.3.3.90.39.00</v>
      </c>
      <c r="I846" t="s">
        <v>907</v>
      </c>
      <c r="J846" t="s">
        <v>908</v>
      </c>
      <c r="K846" t="s">
        <v>21</v>
      </c>
      <c r="L846" t="s">
        <v>22</v>
      </c>
      <c r="M846" t="s">
        <v>23</v>
      </c>
      <c r="N846" t="s">
        <v>130</v>
      </c>
      <c r="O846" t="s">
        <v>32</v>
      </c>
      <c r="P846" t="s">
        <v>558</v>
      </c>
      <c r="R846" s="9">
        <v>120000</v>
      </c>
      <c r="S846" t="s">
        <v>27</v>
      </c>
    </row>
    <row r="847" spans="1:19" x14ac:dyDescent="0.25">
      <c r="A847" t="s">
        <v>906</v>
      </c>
      <c r="B847" t="s">
        <v>13</v>
      </c>
      <c r="C847" s="2" t="s">
        <v>14</v>
      </c>
      <c r="D847" t="s">
        <v>15</v>
      </c>
      <c r="E847" t="s">
        <v>16</v>
      </c>
      <c r="F847" t="s">
        <v>17</v>
      </c>
      <c r="G847" t="s">
        <v>18</v>
      </c>
      <c r="H847" t="str">
        <f t="shared" si="13"/>
        <v>28.001.04.122.0001.2.011.3.3.90.30.00</v>
      </c>
      <c r="I847" t="s">
        <v>907</v>
      </c>
      <c r="J847" t="s">
        <v>908</v>
      </c>
      <c r="K847" t="s">
        <v>21</v>
      </c>
      <c r="L847" t="s">
        <v>22</v>
      </c>
      <c r="M847" t="s">
        <v>23</v>
      </c>
      <c r="N847" t="s">
        <v>24</v>
      </c>
      <c r="O847" t="s">
        <v>25</v>
      </c>
      <c r="P847" t="s">
        <v>26</v>
      </c>
      <c r="R847" s="9">
        <v>1000</v>
      </c>
      <c r="S847" t="s">
        <v>27</v>
      </c>
    </row>
    <row r="848" spans="1:19" x14ac:dyDescent="0.25">
      <c r="A848" t="s">
        <v>906</v>
      </c>
      <c r="B848" t="s">
        <v>13</v>
      </c>
      <c r="C848" s="2" t="s">
        <v>14</v>
      </c>
      <c r="D848" t="s">
        <v>15</v>
      </c>
      <c r="E848" t="s">
        <v>16</v>
      </c>
      <c r="F848" t="s">
        <v>17</v>
      </c>
      <c r="G848" t="s">
        <v>18</v>
      </c>
      <c r="H848" t="str">
        <f t="shared" si="13"/>
        <v>28.001.04.122.0001.2.011.3.3.90.30.00</v>
      </c>
      <c r="I848" t="s">
        <v>907</v>
      </c>
      <c r="J848" t="s">
        <v>908</v>
      </c>
      <c r="K848" t="s">
        <v>21</v>
      </c>
      <c r="L848" t="s">
        <v>22</v>
      </c>
      <c r="M848" t="s">
        <v>23</v>
      </c>
      <c r="N848" t="s">
        <v>24</v>
      </c>
      <c r="O848" t="s">
        <v>25</v>
      </c>
      <c r="P848" t="s">
        <v>49</v>
      </c>
      <c r="R848" s="9">
        <v>60000</v>
      </c>
      <c r="S848" t="s">
        <v>27</v>
      </c>
    </row>
    <row r="849" spans="1:19" x14ac:dyDescent="0.25">
      <c r="A849" t="s">
        <v>906</v>
      </c>
      <c r="B849" t="s">
        <v>13</v>
      </c>
      <c r="C849" s="2" t="s">
        <v>14</v>
      </c>
      <c r="D849" t="s">
        <v>15</v>
      </c>
      <c r="E849" t="s">
        <v>16</v>
      </c>
      <c r="F849" t="s">
        <v>17</v>
      </c>
      <c r="G849" t="s">
        <v>18</v>
      </c>
      <c r="H849" t="str">
        <f t="shared" si="13"/>
        <v>28.001.04.122.0001.2.011.3.3.90.30.00</v>
      </c>
      <c r="I849" t="s">
        <v>907</v>
      </c>
      <c r="J849" t="s">
        <v>908</v>
      </c>
      <c r="K849" t="s">
        <v>21</v>
      </c>
      <c r="L849" t="s">
        <v>22</v>
      </c>
      <c r="M849" t="s">
        <v>23</v>
      </c>
      <c r="N849" t="s">
        <v>24</v>
      </c>
      <c r="O849" t="s">
        <v>25</v>
      </c>
      <c r="P849" t="s">
        <v>28</v>
      </c>
      <c r="Q849">
        <v>0</v>
      </c>
      <c r="R849" s="9">
        <v>30000</v>
      </c>
      <c r="S849" t="s">
        <v>27</v>
      </c>
    </row>
    <row r="850" spans="1:19" x14ac:dyDescent="0.25">
      <c r="A850" t="s">
        <v>906</v>
      </c>
      <c r="B850" t="s">
        <v>13</v>
      </c>
      <c r="C850" s="2" t="s">
        <v>14</v>
      </c>
      <c r="D850" t="s">
        <v>15</v>
      </c>
      <c r="E850" t="s">
        <v>16</v>
      </c>
      <c r="F850" t="s">
        <v>17</v>
      </c>
      <c r="G850" t="s">
        <v>18</v>
      </c>
      <c r="H850" t="str">
        <f t="shared" si="13"/>
        <v>28.001.04.122.0001.2.011.3.3.90.30.00</v>
      </c>
      <c r="I850" t="s">
        <v>907</v>
      </c>
      <c r="J850" t="s">
        <v>908</v>
      </c>
      <c r="K850" t="s">
        <v>21</v>
      </c>
      <c r="L850" t="s">
        <v>22</v>
      </c>
      <c r="M850" t="s">
        <v>23</v>
      </c>
      <c r="N850" t="s">
        <v>24</v>
      </c>
      <c r="O850" t="s">
        <v>25</v>
      </c>
      <c r="P850" t="s">
        <v>30</v>
      </c>
      <c r="R850" s="9">
        <v>40000</v>
      </c>
      <c r="S850" t="s">
        <v>27</v>
      </c>
    </row>
    <row r="851" spans="1:19" x14ac:dyDescent="0.25">
      <c r="A851" t="s">
        <v>906</v>
      </c>
      <c r="B851" t="s">
        <v>13</v>
      </c>
      <c r="C851" s="2" t="s">
        <v>14</v>
      </c>
      <c r="D851" t="s">
        <v>15</v>
      </c>
      <c r="E851" t="s">
        <v>16</v>
      </c>
      <c r="F851" t="s">
        <v>17</v>
      </c>
      <c r="G851" t="s">
        <v>18</v>
      </c>
      <c r="H851" t="str">
        <f t="shared" si="13"/>
        <v>28.001.04.122.0001.2.011.3.3.90.30.00</v>
      </c>
      <c r="I851" t="s">
        <v>907</v>
      </c>
      <c r="J851" t="s">
        <v>908</v>
      </c>
      <c r="K851" t="s">
        <v>21</v>
      </c>
      <c r="L851" t="s">
        <v>22</v>
      </c>
      <c r="M851" t="s">
        <v>23</v>
      </c>
      <c r="N851" t="s">
        <v>24</v>
      </c>
      <c r="O851" t="s">
        <v>25</v>
      </c>
      <c r="P851" t="s">
        <v>29</v>
      </c>
      <c r="Q851">
        <v>0</v>
      </c>
      <c r="R851" s="9">
        <v>50000</v>
      </c>
      <c r="S851" t="s">
        <v>27</v>
      </c>
    </row>
    <row r="852" spans="1:19" x14ac:dyDescent="0.25">
      <c r="A852" t="s">
        <v>906</v>
      </c>
      <c r="B852" t="s">
        <v>13</v>
      </c>
      <c r="C852" s="2" t="s">
        <v>14</v>
      </c>
      <c r="D852" t="s">
        <v>15</v>
      </c>
      <c r="E852" t="s">
        <v>16</v>
      </c>
      <c r="F852" t="s">
        <v>17</v>
      </c>
      <c r="G852" t="s">
        <v>18</v>
      </c>
      <c r="H852" t="str">
        <f t="shared" si="13"/>
        <v>28.001.04.122.0001.2.011.3.3.90.30.00</v>
      </c>
      <c r="I852" t="s">
        <v>907</v>
      </c>
      <c r="J852" t="s">
        <v>908</v>
      </c>
      <c r="K852" t="s">
        <v>21</v>
      </c>
      <c r="L852" t="s">
        <v>22</v>
      </c>
      <c r="M852" t="s">
        <v>23</v>
      </c>
      <c r="N852" t="s">
        <v>24</v>
      </c>
      <c r="O852" t="s">
        <v>25</v>
      </c>
      <c r="P852" t="s">
        <v>87</v>
      </c>
      <c r="Q852">
        <v>0</v>
      </c>
      <c r="R852" s="9">
        <v>24176</v>
      </c>
      <c r="S852" t="s">
        <v>27</v>
      </c>
    </row>
    <row r="853" spans="1:19" x14ac:dyDescent="0.25">
      <c r="A853" t="s">
        <v>906</v>
      </c>
      <c r="B853" t="s">
        <v>13</v>
      </c>
      <c r="C853" s="2" t="s">
        <v>14</v>
      </c>
      <c r="D853" t="s">
        <v>15</v>
      </c>
      <c r="E853" t="s">
        <v>16</v>
      </c>
      <c r="F853" t="s">
        <v>17</v>
      </c>
      <c r="G853" t="s">
        <v>18</v>
      </c>
      <c r="H853" t="str">
        <f t="shared" si="13"/>
        <v>28.001.04.122.0001.2.011.3.3.90.30.00</v>
      </c>
      <c r="I853" t="s">
        <v>907</v>
      </c>
      <c r="J853" t="s">
        <v>908</v>
      </c>
      <c r="K853" t="s">
        <v>21</v>
      </c>
      <c r="L853" t="s">
        <v>22</v>
      </c>
      <c r="M853" t="s">
        <v>23</v>
      </c>
      <c r="N853" t="s">
        <v>24</v>
      </c>
      <c r="O853" t="s">
        <v>25</v>
      </c>
      <c r="P853" t="s">
        <v>39</v>
      </c>
      <c r="Q853">
        <v>0</v>
      </c>
      <c r="R853" s="9">
        <v>60000</v>
      </c>
      <c r="S853" t="s">
        <v>27</v>
      </c>
    </row>
    <row r="854" spans="1:19" x14ac:dyDescent="0.25">
      <c r="A854" t="s">
        <v>906</v>
      </c>
      <c r="B854" t="s">
        <v>13</v>
      </c>
      <c r="C854" s="2" t="s">
        <v>14</v>
      </c>
      <c r="D854" t="s">
        <v>15</v>
      </c>
      <c r="E854" t="s">
        <v>16</v>
      </c>
      <c r="F854" t="s">
        <v>17</v>
      </c>
      <c r="G854" t="s">
        <v>31</v>
      </c>
      <c r="H854" t="str">
        <f t="shared" si="13"/>
        <v>28.001.04.122.0001.2.011.3.3.90.39.00</v>
      </c>
      <c r="I854" t="s">
        <v>907</v>
      </c>
      <c r="J854" t="s">
        <v>908</v>
      </c>
      <c r="K854" t="s">
        <v>21</v>
      </c>
      <c r="L854" t="s">
        <v>22</v>
      </c>
      <c r="M854" t="s">
        <v>23</v>
      </c>
      <c r="N854" t="s">
        <v>24</v>
      </c>
      <c r="O854" t="s">
        <v>32</v>
      </c>
      <c r="P854" t="s">
        <v>45</v>
      </c>
      <c r="Q854">
        <v>0</v>
      </c>
      <c r="R854" s="9">
        <v>44000</v>
      </c>
      <c r="S854" t="s">
        <v>27</v>
      </c>
    </row>
    <row r="855" spans="1:19" x14ac:dyDescent="0.25">
      <c r="A855" t="s">
        <v>906</v>
      </c>
      <c r="B855" t="s">
        <v>13</v>
      </c>
      <c r="C855" s="2" t="s">
        <v>14</v>
      </c>
      <c r="D855" t="s">
        <v>15</v>
      </c>
      <c r="E855" t="s">
        <v>16</v>
      </c>
      <c r="F855" t="s">
        <v>17</v>
      </c>
      <c r="G855" t="s">
        <v>31</v>
      </c>
      <c r="H855" t="str">
        <f t="shared" si="13"/>
        <v>28.001.04.122.0001.2.011.3.3.90.39.00</v>
      </c>
      <c r="I855" t="s">
        <v>907</v>
      </c>
      <c r="J855" t="s">
        <v>908</v>
      </c>
      <c r="K855" t="s">
        <v>21</v>
      </c>
      <c r="L855" t="s">
        <v>22</v>
      </c>
      <c r="M855" t="s">
        <v>23</v>
      </c>
      <c r="N855" t="s">
        <v>24</v>
      </c>
      <c r="O855" t="s">
        <v>32</v>
      </c>
      <c r="P855" t="s">
        <v>105</v>
      </c>
      <c r="Q855">
        <v>0</v>
      </c>
      <c r="R855" s="9">
        <v>20000</v>
      </c>
      <c r="S855" t="s">
        <v>27</v>
      </c>
    </row>
    <row r="856" spans="1:19" x14ac:dyDescent="0.25">
      <c r="A856" t="s">
        <v>906</v>
      </c>
      <c r="B856" t="s">
        <v>13</v>
      </c>
      <c r="C856" s="2" t="s">
        <v>14</v>
      </c>
      <c r="D856" t="s">
        <v>15</v>
      </c>
      <c r="E856" t="s">
        <v>16</v>
      </c>
      <c r="F856" t="s">
        <v>17</v>
      </c>
      <c r="G856" t="s">
        <v>31</v>
      </c>
      <c r="H856" t="str">
        <f t="shared" si="13"/>
        <v>28.001.04.122.0001.2.011.3.3.90.39.00</v>
      </c>
      <c r="I856" t="s">
        <v>907</v>
      </c>
      <c r="J856" t="s">
        <v>908</v>
      </c>
      <c r="K856" t="s">
        <v>21</v>
      </c>
      <c r="L856" t="s">
        <v>22</v>
      </c>
      <c r="M856" t="s">
        <v>23</v>
      </c>
      <c r="N856" t="s">
        <v>24</v>
      </c>
      <c r="O856" t="s">
        <v>32</v>
      </c>
      <c r="P856" t="s">
        <v>44</v>
      </c>
      <c r="Q856">
        <v>0</v>
      </c>
      <c r="R856" s="9">
        <v>15000</v>
      </c>
      <c r="S856" t="s">
        <v>27</v>
      </c>
    </row>
    <row r="857" spans="1:19" x14ac:dyDescent="0.25">
      <c r="A857" t="s">
        <v>906</v>
      </c>
      <c r="B857" t="s">
        <v>13</v>
      </c>
      <c r="C857" s="2" t="s">
        <v>14</v>
      </c>
      <c r="D857" t="s">
        <v>15</v>
      </c>
      <c r="E857" t="s">
        <v>16</v>
      </c>
      <c r="F857" t="s">
        <v>17</v>
      </c>
      <c r="G857" t="s">
        <v>18</v>
      </c>
      <c r="H857" t="str">
        <f t="shared" si="13"/>
        <v>28.001.04.122.0001.2.011.3.3.90.30.00</v>
      </c>
      <c r="I857" t="s">
        <v>907</v>
      </c>
      <c r="J857" t="s">
        <v>908</v>
      </c>
      <c r="K857" t="s">
        <v>21</v>
      </c>
      <c r="L857" t="s">
        <v>22</v>
      </c>
      <c r="M857" t="s">
        <v>23</v>
      </c>
      <c r="N857" t="s">
        <v>24</v>
      </c>
      <c r="O857" t="s">
        <v>25</v>
      </c>
      <c r="P857" t="s">
        <v>89</v>
      </c>
      <c r="Q857">
        <v>0</v>
      </c>
      <c r="R857" s="9">
        <v>40000</v>
      </c>
      <c r="S857" t="s">
        <v>27</v>
      </c>
    </row>
    <row r="858" spans="1:19" x14ac:dyDescent="0.25">
      <c r="A858" t="s">
        <v>906</v>
      </c>
      <c r="B858" t="s">
        <v>13</v>
      </c>
      <c r="C858" s="2" t="s">
        <v>14</v>
      </c>
      <c r="D858" t="s">
        <v>15</v>
      </c>
      <c r="E858" t="s">
        <v>16</v>
      </c>
      <c r="F858" t="s">
        <v>17</v>
      </c>
      <c r="G858" t="s">
        <v>31</v>
      </c>
      <c r="H858" t="str">
        <f t="shared" si="13"/>
        <v>28.001.04.122.0001.2.011.3.3.90.39.00</v>
      </c>
      <c r="I858" t="s">
        <v>907</v>
      </c>
      <c r="J858" t="s">
        <v>908</v>
      </c>
      <c r="K858" t="s">
        <v>21</v>
      </c>
      <c r="L858" t="s">
        <v>22</v>
      </c>
      <c r="M858" t="s">
        <v>23</v>
      </c>
      <c r="N858" t="s">
        <v>24</v>
      </c>
      <c r="O858" t="s">
        <v>32</v>
      </c>
      <c r="P858" t="s">
        <v>65</v>
      </c>
      <c r="Q858">
        <v>0</v>
      </c>
      <c r="R858" s="9">
        <v>1</v>
      </c>
      <c r="S858" t="s">
        <v>27</v>
      </c>
    </row>
    <row r="859" spans="1:19" x14ac:dyDescent="0.25">
      <c r="A859" t="s">
        <v>906</v>
      </c>
      <c r="B859" t="s">
        <v>13</v>
      </c>
      <c r="C859" s="2" t="s">
        <v>14</v>
      </c>
      <c r="D859" t="s">
        <v>51</v>
      </c>
      <c r="E859" t="s">
        <v>52</v>
      </c>
      <c r="F859" t="s">
        <v>53</v>
      </c>
      <c r="G859" t="s">
        <v>31</v>
      </c>
      <c r="H859" t="str">
        <f t="shared" si="13"/>
        <v>28.001.04.126.0002.2.007.3.3.90.39.00</v>
      </c>
      <c r="I859" t="s">
        <v>907</v>
      </c>
      <c r="J859" t="s">
        <v>908</v>
      </c>
      <c r="K859" t="s">
        <v>21</v>
      </c>
      <c r="L859" t="s">
        <v>57</v>
      </c>
      <c r="M859" t="s">
        <v>58</v>
      </c>
      <c r="N859" t="s">
        <v>59</v>
      </c>
      <c r="O859" t="s">
        <v>32</v>
      </c>
      <c r="P859" t="s">
        <v>93</v>
      </c>
      <c r="Q859">
        <v>0</v>
      </c>
      <c r="R859" s="9">
        <v>1</v>
      </c>
      <c r="S859" t="s">
        <v>27</v>
      </c>
    </row>
    <row r="860" spans="1:19" x14ac:dyDescent="0.25">
      <c r="A860" t="s">
        <v>906</v>
      </c>
      <c r="B860" t="s">
        <v>13</v>
      </c>
      <c r="C860" s="2" t="s">
        <v>14</v>
      </c>
      <c r="D860" t="s">
        <v>51</v>
      </c>
      <c r="E860" t="s">
        <v>52</v>
      </c>
      <c r="F860" t="s">
        <v>53</v>
      </c>
      <c r="G860" t="s">
        <v>54</v>
      </c>
      <c r="H860" t="str">
        <f t="shared" si="13"/>
        <v>28.001.04.126.0002.2.007.3.3.90.40.00</v>
      </c>
      <c r="I860" t="s">
        <v>907</v>
      </c>
      <c r="J860" t="s">
        <v>908</v>
      </c>
      <c r="K860" t="s">
        <v>21</v>
      </c>
      <c r="L860" t="s">
        <v>57</v>
      </c>
      <c r="M860" t="s">
        <v>58</v>
      </c>
      <c r="N860" t="s">
        <v>59</v>
      </c>
      <c r="O860" t="s">
        <v>60</v>
      </c>
      <c r="Q860">
        <v>0</v>
      </c>
      <c r="R860" s="9">
        <v>1679599</v>
      </c>
      <c r="S860" t="s">
        <v>27</v>
      </c>
    </row>
    <row r="861" spans="1:19" x14ac:dyDescent="0.25">
      <c r="A861" t="s">
        <v>906</v>
      </c>
      <c r="B861" t="s">
        <v>13</v>
      </c>
      <c r="C861" s="2" t="s">
        <v>14</v>
      </c>
      <c r="D861" t="s">
        <v>121</v>
      </c>
      <c r="E861" t="s">
        <v>52</v>
      </c>
      <c r="F861" t="s">
        <v>122</v>
      </c>
      <c r="G861" t="s">
        <v>131</v>
      </c>
      <c r="H861" t="str">
        <f t="shared" si="13"/>
        <v>28.001.04.128.0002.2.003.3.3.90.36.00</v>
      </c>
      <c r="I861" t="s">
        <v>907</v>
      </c>
      <c r="J861" t="s">
        <v>908</v>
      </c>
      <c r="K861" t="s">
        <v>21</v>
      </c>
      <c r="L861" t="s">
        <v>124</v>
      </c>
      <c r="M861" t="s">
        <v>58</v>
      </c>
      <c r="N861" t="s">
        <v>125</v>
      </c>
      <c r="O861" t="s">
        <v>132</v>
      </c>
      <c r="R861" s="9">
        <v>1</v>
      </c>
      <c r="S861" t="s">
        <v>27</v>
      </c>
    </row>
    <row r="862" spans="1:19" x14ac:dyDescent="0.25">
      <c r="A862" t="s">
        <v>906</v>
      </c>
      <c r="B862" t="s">
        <v>13</v>
      </c>
      <c r="C862" s="2" t="s">
        <v>14</v>
      </c>
      <c r="D862" t="s">
        <v>121</v>
      </c>
      <c r="E862" t="s">
        <v>52</v>
      </c>
      <c r="F862" t="s">
        <v>122</v>
      </c>
      <c r="G862" t="s">
        <v>31</v>
      </c>
      <c r="H862" t="str">
        <f t="shared" si="13"/>
        <v>28.001.04.128.0002.2.003.3.3.90.39.00</v>
      </c>
      <c r="I862" t="s">
        <v>907</v>
      </c>
      <c r="J862" t="s">
        <v>908</v>
      </c>
      <c r="K862" t="s">
        <v>21</v>
      </c>
      <c r="L862" t="s">
        <v>124</v>
      </c>
      <c r="M862" t="s">
        <v>58</v>
      </c>
      <c r="N862" t="s">
        <v>125</v>
      </c>
      <c r="O862" t="s">
        <v>32</v>
      </c>
      <c r="P862" t="s">
        <v>65</v>
      </c>
      <c r="Q862">
        <v>0</v>
      </c>
      <c r="S862" t="s">
        <v>27</v>
      </c>
    </row>
    <row r="863" spans="1:19" x14ac:dyDescent="0.25">
      <c r="A863" t="s">
        <v>906</v>
      </c>
      <c r="B863" t="s">
        <v>13</v>
      </c>
      <c r="C863" s="2" t="s">
        <v>14</v>
      </c>
      <c r="D863" t="s">
        <v>312</v>
      </c>
      <c r="E863" t="s">
        <v>52</v>
      </c>
      <c r="F863" t="s">
        <v>133</v>
      </c>
      <c r="G863" t="s">
        <v>18</v>
      </c>
      <c r="H863" t="str">
        <f t="shared" si="13"/>
        <v>28.001.04.131.0002.2.005.3.3.90.30.00</v>
      </c>
      <c r="I863" t="s">
        <v>907</v>
      </c>
      <c r="J863" t="s">
        <v>908</v>
      </c>
      <c r="K863" t="s">
        <v>21</v>
      </c>
      <c r="L863" t="s">
        <v>313</v>
      </c>
      <c r="M863" t="s">
        <v>58</v>
      </c>
      <c r="N863" t="s">
        <v>134</v>
      </c>
      <c r="O863" t="s">
        <v>25</v>
      </c>
      <c r="P863" t="s">
        <v>30</v>
      </c>
      <c r="R863" s="9">
        <v>40000</v>
      </c>
      <c r="S863" t="s">
        <v>27</v>
      </c>
    </row>
    <row r="864" spans="1:19" x14ac:dyDescent="0.25">
      <c r="A864" t="s">
        <v>906</v>
      </c>
      <c r="B864" t="s">
        <v>13</v>
      </c>
      <c r="C864" s="2" t="s">
        <v>14</v>
      </c>
      <c r="D864" t="s">
        <v>312</v>
      </c>
      <c r="E864" t="s">
        <v>52</v>
      </c>
      <c r="F864" t="s">
        <v>133</v>
      </c>
      <c r="G864" t="s">
        <v>31</v>
      </c>
      <c r="H864" t="str">
        <f t="shared" si="13"/>
        <v>28.001.04.131.0002.2.005.3.3.90.39.00</v>
      </c>
      <c r="I864" t="s">
        <v>907</v>
      </c>
      <c r="J864" t="s">
        <v>908</v>
      </c>
      <c r="K864" t="s">
        <v>21</v>
      </c>
      <c r="L864" t="s">
        <v>313</v>
      </c>
      <c r="M864" t="s">
        <v>58</v>
      </c>
      <c r="N864" t="s">
        <v>134</v>
      </c>
      <c r="O864" t="s">
        <v>32</v>
      </c>
      <c r="P864" t="s">
        <v>49</v>
      </c>
      <c r="R864" s="9">
        <v>45000</v>
      </c>
      <c r="S864" t="s">
        <v>27</v>
      </c>
    </row>
    <row r="865" spans="1:19" x14ac:dyDescent="0.25">
      <c r="A865" t="s">
        <v>906</v>
      </c>
      <c r="B865" t="s">
        <v>13</v>
      </c>
      <c r="C865" s="2" t="s">
        <v>14</v>
      </c>
      <c r="D865" t="s">
        <v>312</v>
      </c>
      <c r="E865" t="s">
        <v>52</v>
      </c>
      <c r="F865" t="s">
        <v>133</v>
      </c>
      <c r="G865" t="s">
        <v>18</v>
      </c>
      <c r="H865" t="str">
        <f t="shared" si="13"/>
        <v>28.001.04.131.0002.2.005.3.3.90.30.00</v>
      </c>
      <c r="I865" t="s">
        <v>907</v>
      </c>
      <c r="J865" t="s">
        <v>908</v>
      </c>
      <c r="K865" t="s">
        <v>21</v>
      </c>
      <c r="L865" t="s">
        <v>313</v>
      </c>
      <c r="M865" t="s">
        <v>58</v>
      </c>
      <c r="N865" t="s">
        <v>134</v>
      </c>
      <c r="O865" t="s">
        <v>25</v>
      </c>
      <c r="P865" t="s">
        <v>537</v>
      </c>
      <c r="Q865">
        <v>0</v>
      </c>
      <c r="R865" s="9">
        <v>1</v>
      </c>
      <c r="S865" t="s">
        <v>27</v>
      </c>
    </row>
    <row r="866" spans="1:19" x14ac:dyDescent="0.25">
      <c r="A866" t="s">
        <v>906</v>
      </c>
      <c r="B866" t="s">
        <v>13</v>
      </c>
      <c r="C866" s="2" t="s">
        <v>14</v>
      </c>
      <c r="D866" t="s">
        <v>312</v>
      </c>
      <c r="E866" t="s">
        <v>52</v>
      </c>
      <c r="F866" t="s">
        <v>133</v>
      </c>
      <c r="G866" t="s">
        <v>31</v>
      </c>
      <c r="H866" t="str">
        <f t="shared" si="13"/>
        <v>28.001.04.131.0002.2.005.3.3.90.39.00</v>
      </c>
      <c r="I866" t="s">
        <v>907</v>
      </c>
      <c r="J866" t="s">
        <v>908</v>
      </c>
      <c r="K866" t="s">
        <v>21</v>
      </c>
      <c r="L866" t="s">
        <v>313</v>
      </c>
      <c r="M866" t="s">
        <v>58</v>
      </c>
      <c r="N866" t="s">
        <v>134</v>
      </c>
      <c r="O866" t="s">
        <v>32</v>
      </c>
      <c r="P866" t="s">
        <v>50</v>
      </c>
      <c r="Q866">
        <v>0</v>
      </c>
      <c r="R866" s="9">
        <v>1</v>
      </c>
      <c r="S866" t="s">
        <v>27</v>
      </c>
    </row>
    <row r="867" spans="1:19" x14ac:dyDescent="0.25">
      <c r="A867" t="s">
        <v>906</v>
      </c>
      <c r="B867" t="s">
        <v>13</v>
      </c>
      <c r="C867" s="2" t="s">
        <v>14</v>
      </c>
      <c r="D867" t="s">
        <v>15</v>
      </c>
      <c r="E867" t="s">
        <v>16</v>
      </c>
      <c r="F867" t="s">
        <v>17</v>
      </c>
      <c r="G867" t="s">
        <v>80</v>
      </c>
      <c r="H867" t="str">
        <f t="shared" si="13"/>
        <v>28.001.04.122.0001.2.011.4.4.90.52.00</v>
      </c>
      <c r="I867" t="s">
        <v>907</v>
      </c>
      <c r="J867" t="s">
        <v>908</v>
      </c>
      <c r="K867" t="s">
        <v>21</v>
      </c>
      <c r="L867" t="s">
        <v>22</v>
      </c>
      <c r="M867" t="s">
        <v>23</v>
      </c>
      <c r="N867" t="s">
        <v>24</v>
      </c>
      <c r="O867" t="s">
        <v>81</v>
      </c>
      <c r="P867" t="s">
        <v>224</v>
      </c>
      <c r="R867" s="9">
        <v>50000</v>
      </c>
      <c r="S867" t="s">
        <v>27</v>
      </c>
    </row>
    <row r="868" spans="1:19" x14ac:dyDescent="0.25">
      <c r="A868" t="s">
        <v>906</v>
      </c>
      <c r="B868" t="s">
        <v>13</v>
      </c>
      <c r="C868" s="2" t="s">
        <v>14</v>
      </c>
      <c r="D868" t="s">
        <v>15</v>
      </c>
      <c r="E868" t="s">
        <v>16</v>
      </c>
      <c r="F868" t="s">
        <v>17</v>
      </c>
      <c r="G868" t="s">
        <v>80</v>
      </c>
      <c r="H868" t="str">
        <f t="shared" si="13"/>
        <v>28.001.04.122.0001.2.011.4.4.90.52.00</v>
      </c>
      <c r="I868" t="s">
        <v>907</v>
      </c>
      <c r="J868" t="s">
        <v>908</v>
      </c>
      <c r="K868" t="s">
        <v>21</v>
      </c>
      <c r="L868" t="s">
        <v>22</v>
      </c>
      <c r="M868" t="s">
        <v>23</v>
      </c>
      <c r="N868" t="s">
        <v>24</v>
      </c>
      <c r="O868" t="s">
        <v>81</v>
      </c>
      <c r="P868" t="s">
        <v>82</v>
      </c>
      <c r="Q868">
        <v>0</v>
      </c>
      <c r="R868" s="9">
        <v>60000</v>
      </c>
      <c r="S868" t="s">
        <v>27</v>
      </c>
    </row>
    <row r="869" spans="1:19" x14ac:dyDescent="0.25">
      <c r="A869" t="s">
        <v>906</v>
      </c>
      <c r="B869" t="s">
        <v>13</v>
      </c>
      <c r="C869" s="2" t="s">
        <v>14</v>
      </c>
      <c r="D869" t="s">
        <v>15</v>
      </c>
      <c r="E869" t="s">
        <v>16</v>
      </c>
      <c r="F869" t="s">
        <v>17</v>
      </c>
      <c r="G869" t="s">
        <v>80</v>
      </c>
      <c r="H869" t="str">
        <f t="shared" si="13"/>
        <v>28.001.04.122.0001.2.011.4.4.90.52.00</v>
      </c>
      <c r="I869" t="s">
        <v>907</v>
      </c>
      <c r="J869" t="s">
        <v>908</v>
      </c>
      <c r="K869" t="s">
        <v>21</v>
      </c>
      <c r="L869" t="s">
        <v>22</v>
      </c>
      <c r="M869" t="s">
        <v>23</v>
      </c>
      <c r="N869" t="s">
        <v>24</v>
      </c>
      <c r="O869" t="s">
        <v>81</v>
      </c>
      <c r="P869" t="s">
        <v>42</v>
      </c>
      <c r="Q869">
        <v>0</v>
      </c>
      <c r="R869" s="9">
        <v>20000</v>
      </c>
      <c r="S869" t="s">
        <v>27</v>
      </c>
    </row>
    <row r="870" spans="1:19" x14ac:dyDescent="0.25">
      <c r="A870" t="s">
        <v>906</v>
      </c>
      <c r="B870" t="s">
        <v>659</v>
      </c>
      <c r="C870" s="2" t="s">
        <v>14</v>
      </c>
      <c r="D870" t="s">
        <v>312</v>
      </c>
      <c r="E870" t="s">
        <v>16</v>
      </c>
      <c r="F870" t="s">
        <v>133</v>
      </c>
      <c r="G870" t="s">
        <v>31</v>
      </c>
      <c r="H870" t="str">
        <f t="shared" si="13"/>
        <v>28.007.04.131.0001.2.005.3.3.90.39.00</v>
      </c>
      <c r="I870" t="s">
        <v>907</v>
      </c>
      <c r="J870" t="s">
        <v>909</v>
      </c>
      <c r="K870" t="s">
        <v>21</v>
      </c>
      <c r="L870" t="s">
        <v>313</v>
      </c>
      <c r="M870" t="s">
        <v>23</v>
      </c>
      <c r="N870" t="s">
        <v>134</v>
      </c>
      <c r="O870" t="s">
        <v>32</v>
      </c>
      <c r="P870" t="s">
        <v>160</v>
      </c>
      <c r="Q870">
        <v>0</v>
      </c>
      <c r="R870" s="9">
        <v>1</v>
      </c>
      <c r="S870" t="s">
        <v>27</v>
      </c>
    </row>
    <row r="871" spans="1:19" x14ac:dyDescent="0.25">
      <c r="A871" t="s">
        <v>906</v>
      </c>
      <c r="B871" t="s">
        <v>659</v>
      </c>
      <c r="C871" s="2" t="s">
        <v>14</v>
      </c>
      <c r="D871" t="s">
        <v>15</v>
      </c>
      <c r="E871" t="s">
        <v>16</v>
      </c>
      <c r="F871" t="s">
        <v>133</v>
      </c>
      <c r="G871" t="s">
        <v>18</v>
      </c>
      <c r="H871" t="str">
        <f t="shared" si="13"/>
        <v>28.007.04.122.0001.2.005.3.3.90.30.00</v>
      </c>
      <c r="I871" t="s">
        <v>907</v>
      </c>
      <c r="J871" t="s">
        <v>909</v>
      </c>
      <c r="K871" t="s">
        <v>21</v>
      </c>
      <c r="L871" t="s">
        <v>22</v>
      </c>
      <c r="M871" t="s">
        <v>23</v>
      </c>
      <c r="N871" t="s">
        <v>134</v>
      </c>
      <c r="O871" t="s">
        <v>25</v>
      </c>
      <c r="P871" t="s">
        <v>49</v>
      </c>
      <c r="R871" s="9">
        <v>8000</v>
      </c>
      <c r="S871" t="s">
        <v>27</v>
      </c>
    </row>
    <row r="872" spans="1:19" x14ac:dyDescent="0.25">
      <c r="A872" t="s">
        <v>910</v>
      </c>
      <c r="B872" t="s">
        <v>13</v>
      </c>
      <c r="C872" s="2" t="s">
        <v>14</v>
      </c>
      <c r="D872" t="s">
        <v>15</v>
      </c>
      <c r="E872" t="s">
        <v>16</v>
      </c>
      <c r="F872" t="s">
        <v>127</v>
      </c>
      <c r="G872" t="s">
        <v>73</v>
      </c>
      <c r="H872" t="str">
        <f t="shared" si="13"/>
        <v>30.001.04.122.0001.2.006.3.3.90.33.00</v>
      </c>
      <c r="I872" t="s">
        <v>911</v>
      </c>
      <c r="J872" t="s">
        <v>912</v>
      </c>
      <c r="K872" t="s">
        <v>21</v>
      </c>
      <c r="L872" t="s">
        <v>22</v>
      </c>
      <c r="M872" t="s">
        <v>23</v>
      </c>
      <c r="N872" t="s">
        <v>130</v>
      </c>
      <c r="O872" t="s">
        <v>74</v>
      </c>
      <c r="R872" s="9">
        <v>35000</v>
      </c>
      <c r="S872" t="s">
        <v>27</v>
      </c>
    </row>
    <row r="873" spans="1:19" x14ac:dyDescent="0.25">
      <c r="A873" t="s">
        <v>910</v>
      </c>
      <c r="B873" t="s">
        <v>13</v>
      </c>
      <c r="C873" s="2" t="s">
        <v>14</v>
      </c>
      <c r="D873" t="s">
        <v>15</v>
      </c>
      <c r="E873" t="s">
        <v>16</v>
      </c>
      <c r="F873" t="s">
        <v>17</v>
      </c>
      <c r="G873" t="s">
        <v>18</v>
      </c>
      <c r="H873" t="str">
        <f t="shared" si="13"/>
        <v>30.001.04.122.0001.2.011.3.3.90.30.00</v>
      </c>
      <c r="I873" t="s">
        <v>911</v>
      </c>
      <c r="J873" t="s">
        <v>912</v>
      </c>
      <c r="K873" t="s">
        <v>21</v>
      </c>
      <c r="L873" t="s">
        <v>22</v>
      </c>
      <c r="M873" t="s">
        <v>23</v>
      </c>
      <c r="N873" t="s">
        <v>24</v>
      </c>
      <c r="O873" t="s">
        <v>25</v>
      </c>
      <c r="P873" t="s">
        <v>39</v>
      </c>
      <c r="R873" s="9">
        <v>50000</v>
      </c>
      <c r="S873" t="s">
        <v>27</v>
      </c>
    </row>
    <row r="874" spans="1:19" x14ac:dyDescent="0.25">
      <c r="A874" t="s">
        <v>910</v>
      </c>
      <c r="B874" t="s">
        <v>13</v>
      </c>
      <c r="C874" s="2" t="s">
        <v>14</v>
      </c>
      <c r="D874" t="s">
        <v>15</v>
      </c>
      <c r="E874" t="s">
        <v>16</v>
      </c>
      <c r="F874" t="s">
        <v>17</v>
      </c>
      <c r="G874" t="s">
        <v>18</v>
      </c>
      <c r="H874" t="str">
        <f t="shared" si="13"/>
        <v>30.001.04.122.0001.2.011.3.3.90.30.00</v>
      </c>
      <c r="I874" t="s">
        <v>911</v>
      </c>
      <c r="J874" t="s">
        <v>912</v>
      </c>
      <c r="K874" t="s">
        <v>21</v>
      </c>
      <c r="L874" t="s">
        <v>22</v>
      </c>
      <c r="M874" t="s">
        <v>23</v>
      </c>
      <c r="N874" t="s">
        <v>24</v>
      </c>
      <c r="O874" t="s">
        <v>25</v>
      </c>
      <c r="P874" t="s">
        <v>28</v>
      </c>
      <c r="R874" s="9">
        <v>10000</v>
      </c>
      <c r="S874" t="s">
        <v>27</v>
      </c>
    </row>
    <row r="875" spans="1:19" x14ac:dyDescent="0.25">
      <c r="A875" t="s">
        <v>910</v>
      </c>
      <c r="B875" t="s">
        <v>13</v>
      </c>
      <c r="C875" s="2" t="s">
        <v>14</v>
      </c>
      <c r="D875" t="s">
        <v>15</v>
      </c>
      <c r="E875" t="s">
        <v>16</v>
      </c>
      <c r="F875" t="s">
        <v>17</v>
      </c>
      <c r="G875" t="s">
        <v>18</v>
      </c>
      <c r="H875" t="str">
        <f t="shared" si="13"/>
        <v>30.001.04.122.0001.2.011.3.3.90.30.00</v>
      </c>
      <c r="I875" t="s">
        <v>911</v>
      </c>
      <c r="J875" t="s">
        <v>912</v>
      </c>
      <c r="K875" t="s">
        <v>21</v>
      </c>
      <c r="L875" t="s">
        <v>22</v>
      </c>
      <c r="M875" t="s">
        <v>23</v>
      </c>
      <c r="N875" t="s">
        <v>24</v>
      </c>
      <c r="O875" t="s">
        <v>25</v>
      </c>
      <c r="P875" t="s">
        <v>30</v>
      </c>
      <c r="R875" s="9">
        <v>15000</v>
      </c>
      <c r="S875" t="s">
        <v>27</v>
      </c>
    </row>
    <row r="876" spans="1:19" x14ac:dyDescent="0.25">
      <c r="A876" t="s">
        <v>910</v>
      </c>
      <c r="B876" t="s">
        <v>13</v>
      </c>
      <c r="C876" s="2" t="s">
        <v>14</v>
      </c>
      <c r="D876" t="s">
        <v>15</v>
      </c>
      <c r="E876" t="s">
        <v>16</v>
      </c>
      <c r="F876" t="s">
        <v>17</v>
      </c>
      <c r="G876" t="s">
        <v>18</v>
      </c>
      <c r="H876" t="str">
        <f t="shared" si="13"/>
        <v>30.001.04.122.0001.2.011.3.3.90.30.00</v>
      </c>
      <c r="I876" t="s">
        <v>911</v>
      </c>
      <c r="J876" t="s">
        <v>912</v>
      </c>
      <c r="K876" t="s">
        <v>21</v>
      </c>
      <c r="L876" t="s">
        <v>22</v>
      </c>
      <c r="M876" t="s">
        <v>23</v>
      </c>
      <c r="N876" t="s">
        <v>24</v>
      </c>
      <c r="O876" t="s">
        <v>25</v>
      </c>
      <c r="P876" t="s">
        <v>49</v>
      </c>
      <c r="R876" s="9">
        <v>15000</v>
      </c>
      <c r="S876" t="s">
        <v>27</v>
      </c>
    </row>
    <row r="877" spans="1:19" x14ac:dyDescent="0.25">
      <c r="A877" t="s">
        <v>910</v>
      </c>
      <c r="B877" t="s">
        <v>13</v>
      </c>
      <c r="C877" s="2" t="s">
        <v>610</v>
      </c>
      <c r="D877" t="s">
        <v>913</v>
      </c>
      <c r="E877" t="str">
        <f>"0018"</f>
        <v>0018</v>
      </c>
      <c r="F877" t="s">
        <v>686</v>
      </c>
      <c r="G877" t="s">
        <v>152</v>
      </c>
      <c r="H877" t="str">
        <f t="shared" si="13"/>
        <v>30.001.14.242.0018.2.041.3.3.50.39.00</v>
      </c>
      <c r="I877" t="s">
        <v>911</v>
      </c>
      <c r="J877" t="s">
        <v>912</v>
      </c>
      <c r="K877" t="s">
        <v>914</v>
      </c>
      <c r="L877" t="s">
        <v>915</v>
      </c>
      <c r="M877" t="str">
        <f>E877</f>
        <v>0018</v>
      </c>
      <c r="N877" t="s">
        <v>688</v>
      </c>
      <c r="O877" t="s">
        <v>154</v>
      </c>
      <c r="P877" t="s">
        <v>155</v>
      </c>
      <c r="Q877" t="s">
        <v>916</v>
      </c>
      <c r="R877" s="9">
        <v>4400000</v>
      </c>
      <c r="S877" t="s">
        <v>27</v>
      </c>
    </row>
    <row r="878" spans="1:19" x14ac:dyDescent="0.25">
      <c r="A878" t="s">
        <v>910</v>
      </c>
      <c r="B878" t="s">
        <v>13</v>
      </c>
      <c r="C878" s="2" t="s">
        <v>610</v>
      </c>
      <c r="D878" t="s">
        <v>913</v>
      </c>
      <c r="E878" t="str">
        <f>"0018"</f>
        <v>0018</v>
      </c>
      <c r="F878" t="s">
        <v>686</v>
      </c>
      <c r="G878" t="s">
        <v>40</v>
      </c>
      <c r="H878" t="str">
        <f t="shared" si="13"/>
        <v>30.001.14.242.0018.2.041.4.4.50.52.00</v>
      </c>
      <c r="I878" t="s">
        <v>911</v>
      </c>
      <c r="J878" t="s">
        <v>912</v>
      </c>
      <c r="K878" t="s">
        <v>914</v>
      </c>
      <c r="L878" t="s">
        <v>915</v>
      </c>
      <c r="M878" t="str">
        <f>E878</f>
        <v>0018</v>
      </c>
      <c r="N878" t="s">
        <v>688</v>
      </c>
      <c r="O878" t="s">
        <v>41</v>
      </c>
      <c r="P878" t="s">
        <v>705</v>
      </c>
      <c r="Q878" t="s">
        <v>917</v>
      </c>
      <c r="R878" s="9">
        <v>27753.97</v>
      </c>
      <c r="S878" t="s">
        <v>27</v>
      </c>
    </row>
    <row r="879" spans="1:19" x14ac:dyDescent="0.25">
      <c r="A879" t="s">
        <v>910</v>
      </c>
      <c r="B879" t="s">
        <v>13</v>
      </c>
      <c r="C879" s="2" t="s">
        <v>610</v>
      </c>
      <c r="D879" t="s">
        <v>913</v>
      </c>
      <c r="E879" t="str">
        <f>"0018"</f>
        <v>0018</v>
      </c>
      <c r="F879" t="s">
        <v>686</v>
      </c>
      <c r="G879" t="s">
        <v>152</v>
      </c>
      <c r="H879" t="str">
        <f t="shared" si="13"/>
        <v>30.001.14.242.0018.2.041.3.3.50.39.00</v>
      </c>
      <c r="I879" t="s">
        <v>911</v>
      </c>
      <c r="J879" t="s">
        <v>912</v>
      </c>
      <c r="K879" t="s">
        <v>914</v>
      </c>
      <c r="L879" t="s">
        <v>915</v>
      </c>
      <c r="M879" t="str">
        <f>E879</f>
        <v>0018</v>
      </c>
      <c r="N879" t="s">
        <v>688</v>
      </c>
      <c r="O879" t="s">
        <v>154</v>
      </c>
      <c r="P879" t="s">
        <v>536</v>
      </c>
      <c r="Q879" t="s">
        <v>918</v>
      </c>
      <c r="R879" s="9">
        <v>760000</v>
      </c>
      <c r="S879" t="s">
        <v>27</v>
      </c>
    </row>
    <row r="880" spans="1:19" x14ac:dyDescent="0.25">
      <c r="A880" t="s">
        <v>919</v>
      </c>
      <c r="B880" t="s">
        <v>13</v>
      </c>
      <c r="C880" s="2" t="s">
        <v>14</v>
      </c>
      <c r="D880" t="s">
        <v>15</v>
      </c>
      <c r="E880" t="s">
        <v>16</v>
      </c>
      <c r="F880" t="s">
        <v>17</v>
      </c>
      <c r="G880" t="s">
        <v>18</v>
      </c>
      <c r="H880" t="str">
        <f t="shared" si="13"/>
        <v>31.001.04.122.0001.2.011.3.3.90.30.00</v>
      </c>
      <c r="I880" t="s">
        <v>920</v>
      </c>
      <c r="J880" t="s">
        <v>921</v>
      </c>
      <c r="K880" t="s">
        <v>21</v>
      </c>
      <c r="L880" t="s">
        <v>22</v>
      </c>
      <c r="M880" t="s">
        <v>23</v>
      </c>
      <c r="N880" t="s">
        <v>24</v>
      </c>
      <c r="O880" t="s">
        <v>25</v>
      </c>
      <c r="P880" t="s">
        <v>26</v>
      </c>
      <c r="Q880" t="s">
        <v>922</v>
      </c>
      <c r="R880" s="9">
        <v>1500</v>
      </c>
      <c r="S880" t="s">
        <v>27</v>
      </c>
    </row>
    <row r="881" spans="1:19" x14ac:dyDescent="0.25">
      <c r="A881" t="s">
        <v>919</v>
      </c>
      <c r="B881" t="s">
        <v>13</v>
      </c>
      <c r="C881" s="2" t="s">
        <v>14</v>
      </c>
      <c r="D881" t="s">
        <v>15</v>
      </c>
      <c r="E881" t="s">
        <v>16</v>
      </c>
      <c r="F881" t="s">
        <v>17</v>
      </c>
      <c r="G881" t="s">
        <v>18</v>
      </c>
      <c r="H881" t="str">
        <f t="shared" si="13"/>
        <v>31.001.04.122.0001.2.011.3.3.90.30.00</v>
      </c>
      <c r="I881" t="s">
        <v>920</v>
      </c>
      <c r="J881" t="s">
        <v>921</v>
      </c>
      <c r="K881" t="s">
        <v>21</v>
      </c>
      <c r="L881" t="s">
        <v>22</v>
      </c>
      <c r="M881" t="s">
        <v>23</v>
      </c>
      <c r="N881" t="s">
        <v>24</v>
      </c>
      <c r="O881" t="s">
        <v>25</v>
      </c>
      <c r="P881" t="s">
        <v>28</v>
      </c>
      <c r="Q881" t="s">
        <v>922</v>
      </c>
      <c r="R881" s="9">
        <v>20000</v>
      </c>
      <c r="S881" t="s">
        <v>27</v>
      </c>
    </row>
    <row r="882" spans="1:19" x14ac:dyDescent="0.25">
      <c r="A882" t="s">
        <v>919</v>
      </c>
      <c r="B882" t="s">
        <v>13</v>
      </c>
      <c r="C882" s="2" t="s">
        <v>14</v>
      </c>
      <c r="D882" t="s">
        <v>15</v>
      </c>
      <c r="E882" t="s">
        <v>16</v>
      </c>
      <c r="F882" t="s">
        <v>17</v>
      </c>
      <c r="G882" t="s">
        <v>18</v>
      </c>
      <c r="H882" t="str">
        <f t="shared" si="13"/>
        <v>31.001.04.122.0001.2.011.3.3.90.30.00</v>
      </c>
      <c r="I882" t="s">
        <v>920</v>
      </c>
      <c r="J882" t="s">
        <v>921</v>
      </c>
      <c r="K882" t="s">
        <v>21</v>
      </c>
      <c r="L882" t="s">
        <v>22</v>
      </c>
      <c r="M882" t="s">
        <v>23</v>
      </c>
      <c r="N882" t="s">
        <v>24</v>
      </c>
      <c r="O882" t="s">
        <v>25</v>
      </c>
      <c r="P882" t="s">
        <v>29</v>
      </c>
      <c r="Q882" t="s">
        <v>922</v>
      </c>
      <c r="R882" s="9">
        <v>15000</v>
      </c>
      <c r="S882" t="s">
        <v>27</v>
      </c>
    </row>
    <row r="883" spans="1:19" x14ac:dyDescent="0.25">
      <c r="A883" t="s">
        <v>919</v>
      </c>
      <c r="B883" t="s">
        <v>13</v>
      </c>
      <c r="C883" s="2" t="s">
        <v>14</v>
      </c>
      <c r="D883" t="s">
        <v>15</v>
      </c>
      <c r="E883" t="s">
        <v>16</v>
      </c>
      <c r="F883" t="s">
        <v>17</v>
      </c>
      <c r="G883" t="s">
        <v>18</v>
      </c>
      <c r="H883" t="str">
        <f t="shared" si="13"/>
        <v>31.001.04.122.0001.2.011.3.3.90.30.00</v>
      </c>
      <c r="I883" t="s">
        <v>920</v>
      </c>
      <c r="J883" t="s">
        <v>921</v>
      </c>
      <c r="K883" t="s">
        <v>21</v>
      </c>
      <c r="L883" t="s">
        <v>22</v>
      </c>
      <c r="M883" t="s">
        <v>23</v>
      </c>
      <c r="N883" t="s">
        <v>24</v>
      </c>
      <c r="O883" t="s">
        <v>25</v>
      </c>
      <c r="P883" t="s">
        <v>30</v>
      </c>
      <c r="Q883" t="s">
        <v>922</v>
      </c>
      <c r="R883" s="9">
        <v>15000</v>
      </c>
      <c r="S883" t="s">
        <v>27</v>
      </c>
    </row>
    <row r="884" spans="1:19" x14ac:dyDescent="0.25">
      <c r="A884" t="s">
        <v>919</v>
      </c>
      <c r="B884" t="s">
        <v>13</v>
      </c>
      <c r="C884" s="2" t="s">
        <v>14</v>
      </c>
      <c r="D884" t="s">
        <v>15</v>
      </c>
      <c r="E884" t="s">
        <v>16</v>
      </c>
      <c r="F884" t="s">
        <v>17</v>
      </c>
      <c r="G884" t="s">
        <v>18</v>
      </c>
      <c r="H884" t="str">
        <f t="shared" si="13"/>
        <v>31.001.04.122.0001.2.011.3.3.90.30.00</v>
      </c>
      <c r="I884" t="s">
        <v>920</v>
      </c>
      <c r="J884" t="s">
        <v>921</v>
      </c>
      <c r="K884" t="s">
        <v>21</v>
      </c>
      <c r="L884" t="s">
        <v>22</v>
      </c>
      <c r="M884" t="s">
        <v>23</v>
      </c>
      <c r="N884" t="s">
        <v>24</v>
      </c>
      <c r="O884" t="s">
        <v>25</v>
      </c>
      <c r="P884" t="s">
        <v>89</v>
      </c>
      <c r="Q884" t="s">
        <v>922</v>
      </c>
      <c r="R884" s="9">
        <v>25000</v>
      </c>
      <c r="S884" t="s">
        <v>27</v>
      </c>
    </row>
    <row r="885" spans="1:19" x14ac:dyDescent="0.25">
      <c r="A885" t="s">
        <v>919</v>
      </c>
      <c r="B885" t="s">
        <v>13</v>
      </c>
      <c r="C885" s="2" t="s">
        <v>14</v>
      </c>
      <c r="D885" t="s">
        <v>15</v>
      </c>
      <c r="E885" t="s">
        <v>16</v>
      </c>
      <c r="F885" t="s">
        <v>17</v>
      </c>
      <c r="G885" t="s">
        <v>18</v>
      </c>
      <c r="H885" t="str">
        <f t="shared" si="13"/>
        <v>31.001.04.122.0001.2.011.3.3.90.30.00</v>
      </c>
      <c r="I885" t="s">
        <v>920</v>
      </c>
      <c r="J885" t="s">
        <v>921</v>
      </c>
      <c r="K885" t="s">
        <v>21</v>
      </c>
      <c r="L885" t="s">
        <v>22</v>
      </c>
      <c r="M885" t="s">
        <v>23</v>
      </c>
      <c r="N885" t="s">
        <v>24</v>
      </c>
      <c r="O885" t="s">
        <v>25</v>
      </c>
      <c r="P885" t="s">
        <v>87</v>
      </c>
      <c r="Q885" t="s">
        <v>923</v>
      </c>
      <c r="R885" s="9">
        <v>50000</v>
      </c>
      <c r="S885" t="s">
        <v>27</v>
      </c>
    </row>
    <row r="886" spans="1:19" x14ac:dyDescent="0.25">
      <c r="A886" t="s">
        <v>919</v>
      </c>
      <c r="B886" t="s">
        <v>13</v>
      </c>
      <c r="C886" s="2" t="s">
        <v>14</v>
      </c>
      <c r="D886" t="s">
        <v>15</v>
      </c>
      <c r="E886" t="s">
        <v>16</v>
      </c>
      <c r="F886" t="s">
        <v>17</v>
      </c>
      <c r="G886" t="s">
        <v>18</v>
      </c>
      <c r="H886" t="str">
        <f t="shared" si="13"/>
        <v>31.001.04.122.0001.2.011.3.3.90.30.00</v>
      </c>
      <c r="I886" t="s">
        <v>920</v>
      </c>
      <c r="J886" t="s">
        <v>921</v>
      </c>
      <c r="K886" t="s">
        <v>21</v>
      </c>
      <c r="L886" t="s">
        <v>22</v>
      </c>
      <c r="M886" t="s">
        <v>23</v>
      </c>
      <c r="N886" t="s">
        <v>24</v>
      </c>
      <c r="O886" t="s">
        <v>25</v>
      </c>
      <c r="P886" t="s">
        <v>49</v>
      </c>
      <c r="Q886" t="s">
        <v>924</v>
      </c>
      <c r="R886" s="9">
        <v>30000</v>
      </c>
      <c r="S886" t="s">
        <v>27</v>
      </c>
    </row>
    <row r="887" spans="1:19" x14ac:dyDescent="0.25">
      <c r="A887" t="s">
        <v>919</v>
      </c>
      <c r="B887" t="s">
        <v>13</v>
      </c>
      <c r="C887" s="2" t="s">
        <v>14</v>
      </c>
      <c r="D887" t="s">
        <v>769</v>
      </c>
      <c r="E887" t="s">
        <v>643</v>
      </c>
      <c r="F887" t="s">
        <v>133</v>
      </c>
      <c r="G887" t="s">
        <v>31</v>
      </c>
      <c r="H887" t="str">
        <f t="shared" si="13"/>
        <v>31.001.04.422.0018.2.005.3.3.90.39.00</v>
      </c>
      <c r="I887" t="s">
        <v>920</v>
      </c>
      <c r="J887" t="s">
        <v>921</v>
      </c>
      <c r="K887" t="s">
        <v>21</v>
      </c>
      <c r="L887" t="s">
        <v>771</v>
      </c>
      <c r="M887" t="s">
        <v>645</v>
      </c>
      <c r="N887" t="s">
        <v>134</v>
      </c>
      <c r="O887" t="s">
        <v>32</v>
      </c>
      <c r="P887" t="s">
        <v>925</v>
      </c>
      <c r="Q887" t="s">
        <v>926</v>
      </c>
      <c r="R887" s="9">
        <v>50000</v>
      </c>
      <c r="S887" t="s">
        <v>27</v>
      </c>
    </row>
    <row r="888" spans="1:19" x14ac:dyDescent="0.25">
      <c r="A888" t="s">
        <v>919</v>
      </c>
      <c r="B888" t="s">
        <v>13</v>
      </c>
      <c r="C888" s="2" t="s">
        <v>14</v>
      </c>
      <c r="D888" t="s">
        <v>15</v>
      </c>
      <c r="E888" t="s">
        <v>16</v>
      </c>
      <c r="F888" t="s">
        <v>17</v>
      </c>
      <c r="G888" t="s">
        <v>80</v>
      </c>
      <c r="H888" t="str">
        <f t="shared" si="13"/>
        <v>31.001.04.122.0001.2.011.4.4.90.52.00</v>
      </c>
      <c r="I888" t="s">
        <v>920</v>
      </c>
      <c r="J888" t="s">
        <v>921</v>
      </c>
      <c r="K888" t="s">
        <v>21</v>
      </c>
      <c r="L888" t="s">
        <v>22</v>
      </c>
      <c r="M888" t="s">
        <v>23</v>
      </c>
      <c r="N888" t="s">
        <v>24</v>
      </c>
      <c r="O888" t="s">
        <v>81</v>
      </c>
      <c r="P888" t="s">
        <v>82</v>
      </c>
      <c r="Q888" t="s">
        <v>927</v>
      </c>
      <c r="R888" s="9">
        <v>20000</v>
      </c>
      <c r="S888" t="s">
        <v>27</v>
      </c>
    </row>
    <row r="889" spans="1:19" x14ac:dyDescent="0.25">
      <c r="A889" t="s">
        <v>919</v>
      </c>
      <c r="B889" t="s">
        <v>13</v>
      </c>
      <c r="C889" s="2" t="s">
        <v>14</v>
      </c>
      <c r="D889" t="s">
        <v>15</v>
      </c>
      <c r="E889" t="s">
        <v>16</v>
      </c>
      <c r="F889" t="s">
        <v>17</v>
      </c>
      <c r="G889" t="s">
        <v>31</v>
      </c>
      <c r="H889" t="str">
        <f t="shared" si="13"/>
        <v>31.001.04.122.0001.2.011.3.3.90.39.00</v>
      </c>
      <c r="I889" t="s">
        <v>920</v>
      </c>
      <c r="J889" t="s">
        <v>921</v>
      </c>
      <c r="K889" t="s">
        <v>21</v>
      </c>
      <c r="L889" t="s">
        <v>22</v>
      </c>
      <c r="M889" t="s">
        <v>23</v>
      </c>
      <c r="N889" t="s">
        <v>24</v>
      </c>
      <c r="O889" t="s">
        <v>32</v>
      </c>
      <c r="P889" t="s">
        <v>44</v>
      </c>
      <c r="Q889" t="s">
        <v>928</v>
      </c>
      <c r="R889" s="9">
        <v>15000</v>
      </c>
      <c r="S889" t="s">
        <v>27</v>
      </c>
    </row>
    <row r="890" spans="1:19" x14ac:dyDescent="0.25">
      <c r="A890" t="s">
        <v>919</v>
      </c>
      <c r="B890" t="s">
        <v>13</v>
      </c>
      <c r="C890" s="2" t="s">
        <v>14</v>
      </c>
      <c r="D890" t="s">
        <v>121</v>
      </c>
      <c r="E890" t="s">
        <v>16</v>
      </c>
      <c r="F890" t="s">
        <v>122</v>
      </c>
      <c r="G890" t="s">
        <v>31</v>
      </c>
      <c r="H890" t="str">
        <f t="shared" si="13"/>
        <v>31.001.04.128.0001.2.003.3.3.90.39.00</v>
      </c>
      <c r="I890" t="s">
        <v>920</v>
      </c>
      <c r="J890" t="s">
        <v>921</v>
      </c>
      <c r="K890" t="s">
        <v>21</v>
      </c>
      <c r="L890" t="s">
        <v>124</v>
      </c>
      <c r="M890" t="s">
        <v>23</v>
      </c>
      <c r="N890" t="s">
        <v>125</v>
      </c>
      <c r="O890" t="s">
        <v>32</v>
      </c>
      <c r="P890" t="s">
        <v>557</v>
      </c>
      <c r="Q890" t="s">
        <v>929</v>
      </c>
      <c r="R890" s="9">
        <v>50000</v>
      </c>
      <c r="S890" t="s">
        <v>27</v>
      </c>
    </row>
    <row r="891" spans="1:19" x14ac:dyDescent="0.25">
      <c r="A891" t="s">
        <v>919</v>
      </c>
      <c r="B891" t="s">
        <v>13</v>
      </c>
      <c r="C891" s="2" t="s">
        <v>14</v>
      </c>
      <c r="D891" t="s">
        <v>769</v>
      </c>
      <c r="E891" t="s">
        <v>52</v>
      </c>
      <c r="F891" t="s">
        <v>122</v>
      </c>
      <c r="G891" t="s">
        <v>930</v>
      </c>
      <c r="H891" t="str">
        <f t="shared" si="13"/>
        <v>31.001.04.422.0002.2.003.3.3.90.35.00</v>
      </c>
      <c r="I891" t="s">
        <v>920</v>
      </c>
      <c r="J891" t="s">
        <v>921</v>
      </c>
      <c r="K891" t="s">
        <v>21</v>
      </c>
      <c r="L891" t="s">
        <v>771</v>
      </c>
      <c r="M891" t="s">
        <v>58</v>
      </c>
      <c r="N891" t="s">
        <v>125</v>
      </c>
      <c r="O891" t="s">
        <v>931</v>
      </c>
      <c r="Q891" t="s">
        <v>932</v>
      </c>
      <c r="R891" s="9">
        <v>300000</v>
      </c>
      <c r="S891" t="s">
        <v>27</v>
      </c>
    </row>
    <row r="892" spans="1:19" x14ac:dyDescent="0.25">
      <c r="A892" t="s">
        <v>919</v>
      </c>
      <c r="B892" t="s">
        <v>13</v>
      </c>
      <c r="C892" s="2" t="s">
        <v>14</v>
      </c>
      <c r="D892" t="s">
        <v>769</v>
      </c>
      <c r="E892" t="s">
        <v>643</v>
      </c>
      <c r="F892" t="s">
        <v>133</v>
      </c>
      <c r="G892" t="s">
        <v>31</v>
      </c>
      <c r="H892" t="str">
        <f t="shared" si="13"/>
        <v>31.001.04.422.0018.2.005.3.3.90.39.00</v>
      </c>
      <c r="I892" t="s">
        <v>920</v>
      </c>
      <c r="J892" t="s">
        <v>921</v>
      </c>
      <c r="K892" t="s">
        <v>21</v>
      </c>
      <c r="L892" t="s">
        <v>771</v>
      </c>
      <c r="M892" t="s">
        <v>645</v>
      </c>
      <c r="N892" t="s">
        <v>134</v>
      </c>
      <c r="O892" t="s">
        <v>32</v>
      </c>
      <c r="P892" t="s">
        <v>50</v>
      </c>
      <c r="Q892" t="s">
        <v>933</v>
      </c>
      <c r="R892" s="9">
        <v>90000</v>
      </c>
      <c r="S892" t="s">
        <v>27</v>
      </c>
    </row>
    <row r="893" spans="1:19" x14ac:dyDescent="0.25">
      <c r="A893" t="s">
        <v>919</v>
      </c>
      <c r="B893" t="s">
        <v>13</v>
      </c>
      <c r="C893" s="2" t="s">
        <v>14</v>
      </c>
      <c r="D893" t="s">
        <v>15</v>
      </c>
      <c r="E893" t="s">
        <v>16</v>
      </c>
      <c r="F893" t="s">
        <v>127</v>
      </c>
      <c r="G893" t="s">
        <v>73</v>
      </c>
      <c r="H893" t="str">
        <f t="shared" si="13"/>
        <v>31.001.04.122.0001.2.006.3.3.90.33.00</v>
      </c>
      <c r="I893" t="s">
        <v>920</v>
      </c>
      <c r="J893" t="s">
        <v>921</v>
      </c>
      <c r="K893" t="s">
        <v>21</v>
      </c>
      <c r="L893" t="s">
        <v>22</v>
      </c>
      <c r="M893" t="s">
        <v>23</v>
      </c>
      <c r="N893" t="s">
        <v>130</v>
      </c>
      <c r="O893" t="s">
        <v>74</v>
      </c>
      <c r="Q893" t="s">
        <v>922</v>
      </c>
      <c r="R893" s="9">
        <v>60000</v>
      </c>
      <c r="S893" t="s">
        <v>27</v>
      </c>
    </row>
    <row r="894" spans="1:19" x14ac:dyDescent="0.25">
      <c r="A894" t="s">
        <v>919</v>
      </c>
      <c r="B894" t="s">
        <v>13</v>
      </c>
      <c r="C894" s="2" t="s">
        <v>610</v>
      </c>
      <c r="D894" t="s">
        <v>934</v>
      </c>
      <c r="E894" t="s">
        <v>695</v>
      </c>
      <c r="F894" t="s">
        <v>935</v>
      </c>
      <c r="G894" t="s">
        <v>80</v>
      </c>
      <c r="H894" t="str">
        <f t="shared" si="13"/>
        <v>31.001.14.391.0009.2.029.4.4.90.52.00</v>
      </c>
      <c r="I894" t="s">
        <v>920</v>
      </c>
      <c r="J894" t="s">
        <v>921</v>
      </c>
      <c r="K894" t="s">
        <v>914</v>
      </c>
      <c r="L894" t="s">
        <v>936</v>
      </c>
      <c r="M894" t="s">
        <v>699</v>
      </c>
      <c r="N894" t="s">
        <v>937</v>
      </c>
      <c r="O894" t="s">
        <v>81</v>
      </c>
      <c r="P894" t="s">
        <v>82</v>
      </c>
      <c r="Q894" t="s">
        <v>938</v>
      </c>
      <c r="R894" s="9">
        <v>50000</v>
      </c>
      <c r="S894" t="s">
        <v>27</v>
      </c>
    </row>
    <row r="895" spans="1:19" x14ac:dyDescent="0.25">
      <c r="A895" t="s">
        <v>919</v>
      </c>
      <c r="B895" t="s">
        <v>13</v>
      </c>
      <c r="C895" s="2" t="s">
        <v>610</v>
      </c>
      <c r="D895" t="s">
        <v>934</v>
      </c>
      <c r="E895" t="s">
        <v>695</v>
      </c>
      <c r="F895" t="s">
        <v>139</v>
      </c>
      <c r="G895" t="s">
        <v>31</v>
      </c>
      <c r="H895" t="str">
        <f t="shared" si="13"/>
        <v>31.001.14.391.0009.1.002.3.3.90.39.00</v>
      </c>
      <c r="I895" t="s">
        <v>920</v>
      </c>
      <c r="J895" t="s">
        <v>921</v>
      </c>
      <c r="K895" t="s">
        <v>914</v>
      </c>
      <c r="L895" t="s">
        <v>936</v>
      </c>
      <c r="M895" t="s">
        <v>699</v>
      </c>
      <c r="N895" t="s">
        <v>143</v>
      </c>
      <c r="O895" t="s">
        <v>32</v>
      </c>
      <c r="P895" t="s">
        <v>33</v>
      </c>
      <c r="Q895" t="s">
        <v>939</v>
      </c>
      <c r="R895" s="9">
        <v>50000</v>
      </c>
      <c r="S895" t="s">
        <v>27</v>
      </c>
    </row>
    <row r="896" spans="1:19" x14ac:dyDescent="0.25">
      <c r="A896" t="s">
        <v>919</v>
      </c>
      <c r="B896" t="s">
        <v>13</v>
      </c>
      <c r="C896" s="2" t="s">
        <v>610</v>
      </c>
      <c r="D896" t="s">
        <v>312</v>
      </c>
      <c r="E896" t="s">
        <v>52</v>
      </c>
      <c r="F896" t="s">
        <v>133</v>
      </c>
      <c r="G896" t="s">
        <v>31</v>
      </c>
      <c r="H896" t="str">
        <f t="shared" si="13"/>
        <v>31.001.14.131.0002.2.005.3.3.90.39.00</v>
      </c>
      <c r="I896" t="s">
        <v>920</v>
      </c>
      <c r="J896" t="s">
        <v>921</v>
      </c>
      <c r="K896" t="s">
        <v>914</v>
      </c>
      <c r="L896" t="s">
        <v>313</v>
      </c>
      <c r="M896" t="s">
        <v>58</v>
      </c>
      <c r="N896" t="s">
        <v>134</v>
      </c>
      <c r="O896" t="s">
        <v>32</v>
      </c>
      <c r="P896" t="s">
        <v>160</v>
      </c>
      <c r="Q896" t="s">
        <v>940</v>
      </c>
      <c r="R896" s="9">
        <v>100000</v>
      </c>
      <c r="S896" t="s">
        <v>27</v>
      </c>
    </row>
    <row r="897" spans="1:19" x14ac:dyDescent="0.25">
      <c r="A897" t="s">
        <v>919</v>
      </c>
      <c r="B897" t="s">
        <v>13</v>
      </c>
      <c r="C897" s="2" t="s">
        <v>610</v>
      </c>
      <c r="D897" t="s">
        <v>312</v>
      </c>
      <c r="E897" t="s">
        <v>52</v>
      </c>
      <c r="F897" t="s">
        <v>133</v>
      </c>
      <c r="G897" t="s">
        <v>31</v>
      </c>
      <c r="H897" t="str">
        <f t="shared" si="13"/>
        <v>31.001.14.131.0002.2.005.3.3.90.39.00</v>
      </c>
      <c r="I897" t="s">
        <v>920</v>
      </c>
      <c r="J897" t="s">
        <v>921</v>
      </c>
      <c r="K897" t="s">
        <v>914</v>
      </c>
      <c r="L897" t="s">
        <v>313</v>
      </c>
      <c r="M897" t="s">
        <v>58</v>
      </c>
      <c r="N897" t="s">
        <v>134</v>
      </c>
      <c r="O897" t="s">
        <v>32</v>
      </c>
      <c r="P897" t="s">
        <v>135</v>
      </c>
      <c r="Q897" t="s">
        <v>941</v>
      </c>
      <c r="R897" s="9">
        <v>50000</v>
      </c>
      <c r="S897" t="s">
        <v>27</v>
      </c>
    </row>
    <row r="898" spans="1:19" x14ac:dyDescent="0.25">
      <c r="A898" t="s">
        <v>919</v>
      </c>
      <c r="B898" t="s">
        <v>13</v>
      </c>
      <c r="C898" s="2" t="s">
        <v>610</v>
      </c>
      <c r="D898" t="s">
        <v>769</v>
      </c>
      <c r="E898" t="s">
        <v>695</v>
      </c>
      <c r="F898" t="s">
        <v>935</v>
      </c>
      <c r="G898" t="s">
        <v>192</v>
      </c>
      <c r="H898" t="str">
        <f t="shared" ref="H898:H961" si="14">_xlfn.CONCAT(A898,".",B898,".",C898,".",D898,".",E898,".",F898,".",G898)</f>
        <v>31.001.14.422.0009.2.029.3.3.90.31.00</v>
      </c>
      <c r="I898" t="s">
        <v>920</v>
      </c>
      <c r="J898" t="s">
        <v>921</v>
      </c>
      <c r="K898" t="s">
        <v>914</v>
      </c>
      <c r="L898" t="s">
        <v>771</v>
      </c>
      <c r="M898" t="s">
        <v>699</v>
      </c>
      <c r="N898" t="s">
        <v>937</v>
      </c>
      <c r="O898" t="s">
        <v>193</v>
      </c>
      <c r="Q898" t="s">
        <v>942</v>
      </c>
      <c r="R898" s="9">
        <v>100000</v>
      </c>
      <c r="S898" t="s">
        <v>27</v>
      </c>
    </row>
    <row r="899" spans="1:19" x14ac:dyDescent="0.25">
      <c r="A899" t="s">
        <v>919</v>
      </c>
      <c r="B899" t="s">
        <v>13</v>
      </c>
      <c r="C899" s="2" t="s">
        <v>610</v>
      </c>
      <c r="D899" t="s">
        <v>769</v>
      </c>
      <c r="E899" t="s">
        <v>643</v>
      </c>
      <c r="F899" t="s">
        <v>133</v>
      </c>
      <c r="G899" t="s">
        <v>131</v>
      </c>
      <c r="H899" t="str">
        <f t="shared" si="14"/>
        <v>31.001.14.422.0018.2.005.3.3.90.36.00</v>
      </c>
      <c r="I899" t="s">
        <v>920</v>
      </c>
      <c r="J899" t="s">
        <v>921</v>
      </c>
      <c r="K899" t="s">
        <v>914</v>
      </c>
      <c r="L899" t="s">
        <v>771</v>
      </c>
      <c r="M899" t="s">
        <v>645</v>
      </c>
      <c r="N899" t="s">
        <v>134</v>
      </c>
      <c r="O899" t="s">
        <v>132</v>
      </c>
      <c r="Q899" t="s">
        <v>943</v>
      </c>
      <c r="R899" s="9">
        <v>50000</v>
      </c>
      <c r="S899" t="s">
        <v>27</v>
      </c>
    </row>
    <row r="900" spans="1:19" x14ac:dyDescent="0.25">
      <c r="A900" t="s">
        <v>919</v>
      </c>
      <c r="B900" t="s">
        <v>13</v>
      </c>
      <c r="C900" s="2" t="s">
        <v>610</v>
      </c>
      <c r="D900" t="s">
        <v>769</v>
      </c>
      <c r="E900" t="s">
        <v>643</v>
      </c>
      <c r="F900" t="s">
        <v>133</v>
      </c>
      <c r="G900" t="s">
        <v>31</v>
      </c>
      <c r="H900" t="str">
        <f t="shared" si="14"/>
        <v>31.001.14.422.0018.2.005.3.3.90.39.00</v>
      </c>
      <c r="I900" t="s">
        <v>920</v>
      </c>
      <c r="J900" t="s">
        <v>921</v>
      </c>
      <c r="K900" t="s">
        <v>914</v>
      </c>
      <c r="L900" t="s">
        <v>771</v>
      </c>
      <c r="M900" t="s">
        <v>645</v>
      </c>
      <c r="N900" t="s">
        <v>134</v>
      </c>
      <c r="O900" t="s">
        <v>32</v>
      </c>
      <c r="P900" t="s">
        <v>557</v>
      </c>
      <c r="Q900" t="s">
        <v>943</v>
      </c>
      <c r="R900" s="9">
        <v>200000</v>
      </c>
      <c r="S900" t="s">
        <v>27</v>
      </c>
    </row>
    <row r="901" spans="1:19" x14ac:dyDescent="0.25">
      <c r="A901" t="s">
        <v>919</v>
      </c>
      <c r="B901" t="s">
        <v>13</v>
      </c>
      <c r="C901" s="2" t="s">
        <v>610</v>
      </c>
      <c r="D901" t="s">
        <v>769</v>
      </c>
      <c r="E901" t="s">
        <v>643</v>
      </c>
      <c r="F901" t="s">
        <v>133</v>
      </c>
      <c r="G901" t="s">
        <v>31</v>
      </c>
      <c r="H901" t="str">
        <f t="shared" si="14"/>
        <v>31.001.14.422.0018.2.005.3.3.90.39.00</v>
      </c>
      <c r="I901" t="s">
        <v>920</v>
      </c>
      <c r="J901" t="s">
        <v>921</v>
      </c>
      <c r="K901" t="s">
        <v>914</v>
      </c>
      <c r="L901" t="s">
        <v>771</v>
      </c>
      <c r="M901" t="s">
        <v>645</v>
      </c>
      <c r="N901" t="s">
        <v>134</v>
      </c>
      <c r="O901" t="s">
        <v>32</v>
      </c>
      <c r="P901" t="s">
        <v>135</v>
      </c>
      <c r="Q901" t="s">
        <v>944</v>
      </c>
      <c r="R901" s="9">
        <v>100000</v>
      </c>
      <c r="S901" t="s">
        <v>27</v>
      </c>
    </row>
    <row r="902" spans="1:19" x14ac:dyDescent="0.25">
      <c r="A902" t="s">
        <v>919</v>
      </c>
      <c r="B902" t="s">
        <v>13</v>
      </c>
      <c r="C902" s="2" t="s">
        <v>610</v>
      </c>
      <c r="D902" t="s">
        <v>769</v>
      </c>
      <c r="E902" t="s">
        <v>643</v>
      </c>
      <c r="F902" t="s">
        <v>133</v>
      </c>
      <c r="G902" t="s">
        <v>18</v>
      </c>
      <c r="H902" t="str">
        <f t="shared" si="14"/>
        <v>31.001.14.422.0018.2.005.3.3.90.30.00</v>
      </c>
      <c r="I902" t="s">
        <v>920</v>
      </c>
      <c r="J902" t="s">
        <v>921</v>
      </c>
      <c r="K902" t="s">
        <v>914</v>
      </c>
      <c r="L902" t="s">
        <v>771</v>
      </c>
      <c r="M902" t="s">
        <v>645</v>
      </c>
      <c r="N902" t="s">
        <v>134</v>
      </c>
      <c r="O902" t="s">
        <v>25</v>
      </c>
      <c r="P902" t="s">
        <v>49</v>
      </c>
      <c r="Q902" t="s">
        <v>945</v>
      </c>
      <c r="R902" s="9">
        <v>30000</v>
      </c>
      <c r="S902" t="s">
        <v>27</v>
      </c>
    </row>
    <row r="903" spans="1:19" x14ac:dyDescent="0.25">
      <c r="A903" t="s">
        <v>919</v>
      </c>
      <c r="B903" t="s">
        <v>13</v>
      </c>
      <c r="C903" s="2" t="s">
        <v>610</v>
      </c>
      <c r="D903" t="s">
        <v>769</v>
      </c>
      <c r="E903" t="s">
        <v>52</v>
      </c>
      <c r="F903" t="s">
        <v>17</v>
      </c>
      <c r="G903" t="s">
        <v>73</v>
      </c>
      <c r="H903" t="str">
        <f t="shared" si="14"/>
        <v>31.001.14.422.0002.2.011.3.3.90.33.00</v>
      </c>
      <c r="I903" t="s">
        <v>920</v>
      </c>
      <c r="J903" t="s">
        <v>921</v>
      </c>
      <c r="K903" t="s">
        <v>914</v>
      </c>
      <c r="L903" t="s">
        <v>771</v>
      </c>
      <c r="M903" t="s">
        <v>58</v>
      </c>
      <c r="N903" t="s">
        <v>24</v>
      </c>
      <c r="O903" t="s">
        <v>74</v>
      </c>
      <c r="Q903" t="s">
        <v>922</v>
      </c>
      <c r="R903" s="9">
        <v>20000</v>
      </c>
      <c r="S903" t="s">
        <v>27</v>
      </c>
    </row>
    <row r="904" spans="1:19" x14ac:dyDescent="0.25">
      <c r="A904" t="s">
        <v>919</v>
      </c>
      <c r="B904" t="s">
        <v>13</v>
      </c>
      <c r="C904" s="2" t="s">
        <v>610</v>
      </c>
      <c r="D904" t="s">
        <v>769</v>
      </c>
      <c r="E904" t="s">
        <v>52</v>
      </c>
      <c r="F904" t="s">
        <v>17</v>
      </c>
      <c r="G904" t="s">
        <v>31</v>
      </c>
      <c r="H904" t="str">
        <f t="shared" si="14"/>
        <v>31.001.14.422.0002.2.011.3.3.90.39.00</v>
      </c>
      <c r="I904" t="s">
        <v>920</v>
      </c>
      <c r="J904" t="s">
        <v>921</v>
      </c>
      <c r="K904" t="s">
        <v>914</v>
      </c>
      <c r="L904" t="s">
        <v>771</v>
      </c>
      <c r="M904" t="s">
        <v>58</v>
      </c>
      <c r="N904" t="s">
        <v>24</v>
      </c>
      <c r="O904" t="s">
        <v>32</v>
      </c>
      <c r="P904" t="s">
        <v>557</v>
      </c>
      <c r="Q904" t="s">
        <v>946</v>
      </c>
      <c r="R904" s="9">
        <v>20000</v>
      </c>
      <c r="S904" t="s">
        <v>27</v>
      </c>
    </row>
    <row r="905" spans="1:19" x14ac:dyDescent="0.25">
      <c r="A905" t="s">
        <v>919</v>
      </c>
      <c r="B905" t="s">
        <v>13</v>
      </c>
      <c r="C905" s="2" t="s">
        <v>610</v>
      </c>
      <c r="D905" t="s">
        <v>934</v>
      </c>
      <c r="E905" t="s">
        <v>695</v>
      </c>
      <c r="F905" t="s">
        <v>935</v>
      </c>
      <c r="G905" t="s">
        <v>54</v>
      </c>
      <c r="H905" t="str">
        <f t="shared" si="14"/>
        <v>31.001.14.391.0009.2.029.3.3.90.40.00</v>
      </c>
      <c r="I905" t="s">
        <v>920</v>
      </c>
      <c r="J905" t="s">
        <v>921</v>
      </c>
      <c r="K905" t="s">
        <v>914</v>
      </c>
      <c r="L905" t="s">
        <v>936</v>
      </c>
      <c r="M905" t="s">
        <v>699</v>
      </c>
      <c r="N905" t="s">
        <v>937</v>
      </c>
      <c r="O905" t="s">
        <v>60</v>
      </c>
      <c r="Q905" t="s">
        <v>947</v>
      </c>
      <c r="R905" s="9">
        <v>100000</v>
      </c>
      <c r="S905" t="s">
        <v>27</v>
      </c>
    </row>
    <row r="906" spans="1:19" x14ac:dyDescent="0.25">
      <c r="A906" t="s">
        <v>948</v>
      </c>
      <c r="B906" t="s">
        <v>13</v>
      </c>
      <c r="C906" s="2" t="s">
        <v>14</v>
      </c>
      <c r="D906" t="s">
        <v>15</v>
      </c>
      <c r="E906" t="s">
        <v>16</v>
      </c>
      <c r="F906" t="s">
        <v>127</v>
      </c>
      <c r="G906" t="s">
        <v>31</v>
      </c>
      <c r="H906" t="str">
        <f t="shared" si="14"/>
        <v>32.001.04.122.0001.2.006.3.3.90.39.00</v>
      </c>
      <c r="I906" t="s">
        <v>949</v>
      </c>
      <c r="J906" t="s">
        <v>950</v>
      </c>
      <c r="K906" t="s">
        <v>21</v>
      </c>
      <c r="L906" t="s">
        <v>22</v>
      </c>
      <c r="M906" t="s">
        <v>23</v>
      </c>
      <c r="N906" t="s">
        <v>130</v>
      </c>
      <c r="O906" t="s">
        <v>32</v>
      </c>
      <c r="P906" t="s">
        <v>702</v>
      </c>
      <c r="R906" s="9">
        <v>40000</v>
      </c>
      <c r="S906" t="s">
        <v>27</v>
      </c>
    </row>
    <row r="907" spans="1:19" x14ac:dyDescent="0.25">
      <c r="A907" t="s">
        <v>948</v>
      </c>
      <c r="B907" t="s">
        <v>13</v>
      </c>
      <c r="C907" s="2" t="s">
        <v>14</v>
      </c>
      <c r="D907" t="s">
        <v>312</v>
      </c>
      <c r="E907" t="s">
        <v>16</v>
      </c>
      <c r="F907" t="s">
        <v>133</v>
      </c>
      <c r="G907" t="s">
        <v>31</v>
      </c>
      <c r="H907" t="str">
        <f t="shared" si="14"/>
        <v>32.001.04.131.0001.2.005.3.3.90.39.00</v>
      </c>
      <c r="I907" t="s">
        <v>949</v>
      </c>
      <c r="J907" t="s">
        <v>950</v>
      </c>
      <c r="K907" t="s">
        <v>21</v>
      </c>
      <c r="L907" t="s">
        <v>313</v>
      </c>
      <c r="M907" t="s">
        <v>23</v>
      </c>
      <c r="N907" t="s">
        <v>134</v>
      </c>
      <c r="O907" t="s">
        <v>32</v>
      </c>
      <c r="P907" t="s">
        <v>135</v>
      </c>
      <c r="R907" s="9">
        <v>70000</v>
      </c>
      <c r="S907" t="s">
        <v>27</v>
      </c>
    </row>
    <row r="908" spans="1:19" x14ac:dyDescent="0.25">
      <c r="A908" t="s">
        <v>948</v>
      </c>
      <c r="B908" t="s">
        <v>13</v>
      </c>
      <c r="C908" s="2" t="s">
        <v>14</v>
      </c>
      <c r="D908" t="s">
        <v>312</v>
      </c>
      <c r="E908" t="s">
        <v>52</v>
      </c>
      <c r="F908" t="s">
        <v>133</v>
      </c>
      <c r="G908" t="s">
        <v>31</v>
      </c>
      <c r="H908" t="str">
        <f t="shared" si="14"/>
        <v>32.001.04.131.0002.2.005.3.3.90.39.00</v>
      </c>
      <c r="I908" t="s">
        <v>949</v>
      </c>
      <c r="J908" t="s">
        <v>950</v>
      </c>
      <c r="K908" t="s">
        <v>21</v>
      </c>
      <c r="L908" t="s">
        <v>313</v>
      </c>
      <c r="M908" t="s">
        <v>58</v>
      </c>
      <c r="N908" t="s">
        <v>134</v>
      </c>
      <c r="O908" t="s">
        <v>32</v>
      </c>
      <c r="P908" t="s">
        <v>50</v>
      </c>
      <c r="Q908" t="s">
        <v>951</v>
      </c>
      <c r="R908" s="9">
        <v>10000</v>
      </c>
      <c r="S908" t="s">
        <v>27</v>
      </c>
    </row>
    <row r="909" spans="1:19" x14ac:dyDescent="0.25">
      <c r="A909" t="s">
        <v>948</v>
      </c>
      <c r="B909" t="s">
        <v>13</v>
      </c>
      <c r="C909" s="2" t="s">
        <v>610</v>
      </c>
      <c r="D909" t="s">
        <v>769</v>
      </c>
      <c r="E909" t="s">
        <v>643</v>
      </c>
      <c r="F909" t="s">
        <v>17</v>
      </c>
      <c r="G909" t="s">
        <v>37</v>
      </c>
      <c r="H909" t="str">
        <f t="shared" si="14"/>
        <v>32.001.14.422.0018.2.011.3.3.71.70.00</v>
      </c>
      <c r="I909" t="s">
        <v>949</v>
      </c>
      <c r="J909" t="s">
        <v>950</v>
      </c>
      <c r="K909" t="s">
        <v>914</v>
      </c>
      <c r="L909" t="s">
        <v>771</v>
      </c>
      <c r="M909" t="s">
        <v>645</v>
      </c>
      <c r="N909" t="s">
        <v>24</v>
      </c>
      <c r="O909" t="s">
        <v>38</v>
      </c>
      <c r="P909" t="s">
        <v>36</v>
      </c>
      <c r="Q909" t="s">
        <v>952</v>
      </c>
      <c r="R909" s="9">
        <v>234633</v>
      </c>
      <c r="S909" t="s">
        <v>27</v>
      </c>
    </row>
    <row r="910" spans="1:19" x14ac:dyDescent="0.25">
      <c r="A910" t="s">
        <v>948</v>
      </c>
      <c r="B910" t="s">
        <v>13</v>
      </c>
      <c r="C910" s="2" t="s">
        <v>610</v>
      </c>
      <c r="D910" t="s">
        <v>769</v>
      </c>
      <c r="E910" t="s">
        <v>643</v>
      </c>
      <c r="F910" t="s">
        <v>17</v>
      </c>
      <c r="G910" t="s">
        <v>653</v>
      </c>
      <c r="H910" t="str">
        <f t="shared" si="14"/>
        <v>32.001.14.422.0018.2.011.4.4.71.70.00</v>
      </c>
      <c r="I910" t="s">
        <v>949</v>
      </c>
      <c r="J910" t="s">
        <v>950</v>
      </c>
      <c r="K910" t="s">
        <v>914</v>
      </c>
      <c r="L910" t="s">
        <v>771</v>
      </c>
      <c r="M910" t="s">
        <v>645</v>
      </c>
      <c r="N910" t="s">
        <v>24</v>
      </c>
      <c r="O910" t="s">
        <v>654</v>
      </c>
      <c r="P910" t="s">
        <v>36</v>
      </c>
      <c r="Q910" t="s">
        <v>953</v>
      </c>
      <c r="R910" s="9">
        <v>31995</v>
      </c>
      <c r="S910" t="s">
        <v>27</v>
      </c>
    </row>
    <row r="911" spans="1:19" x14ac:dyDescent="0.25">
      <c r="A911" t="s">
        <v>948</v>
      </c>
      <c r="B911" t="s">
        <v>13</v>
      </c>
      <c r="C911" s="2" t="s">
        <v>610</v>
      </c>
      <c r="D911" t="s">
        <v>769</v>
      </c>
      <c r="E911" t="s">
        <v>643</v>
      </c>
      <c r="F911" t="s">
        <v>17</v>
      </c>
      <c r="G911" t="s">
        <v>18</v>
      </c>
      <c r="H911" t="str">
        <f t="shared" si="14"/>
        <v>32.001.14.422.0018.2.011.3.3.90.30.00</v>
      </c>
      <c r="I911" t="s">
        <v>949</v>
      </c>
      <c r="J911" t="s">
        <v>950</v>
      </c>
      <c r="K911" t="s">
        <v>914</v>
      </c>
      <c r="L911" t="s">
        <v>771</v>
      </c>
      <c r="M911" t="s">
        <v>645</v>
      </c>
      <c r="N911" t="s">
        <v>24</v>
      </c>
      <c r="O911" t="s">
        <v>25</v>
      </c>
      <c r="P911" t="s">
        <v>49</v>
      </c>
      <c r="R911" s="9">
        <v>5000</v>
      </c>
      <c r="S911" t="s">
        <v>27</v>
      </c>
    </row>
    <row r="912" spans="1:19" x14ac:dyDescent="0.25">
      <c r="A912" t="s">
        <v>948</v>
      </c>
      <c r="B912" t="s">
        <v>13</v>
      </c>
      <c r="C912" s="2" t="s">
        <v>610</v>
      </c>
      <c r="D912" t="s">
        <v>769</v>
      </c>
      <c r="E912" t="s">
        <v>643</v>
      </c>
      <c r="F912" t="s">
        <v>17</v>
      </c>
      <c r="G912" t="s">
        <v>18</v>
      </c>
      <c r="H912" t="str">
        <f t="shared" si="14"/>
        <v>32.001.14.422.0018.2.011.3.3.90.30.00</v>
      </c>
      <c r="I912" t="s">
        <v>949</v>
      </c>
      <c r="J912" t="s">
        <v>950</v>
      </c>
      <c r="K912" t="s">
        <v>914</v>
      </c>
      <c r="L912" t="s">
        <v>771</v>
      </c>
      <c r="M912" t="s">
        <v>645</v>
      </c>
      <c r="N912" t="s">
        <v>24</v>
      </c>
      <c r="O912" t="s">
        <v>25</v>
      </c>
      <c r="P912" t="s">
        <v>28</v>
      </c>
      <c r="R912" s="9">
        <v>16000</v>
      </c>
      <c r="S912" t="s">
        <v>27</v>
      </c>
    </row>
    <row r="913" spans="1:19" x14ac:dyDescent="0.25">
      <c r="A913" t="s">
        <v>948</v>
      </c>
      <c r="B913" t="s">
        <v>13</v>
      </c>
      <c r="C913" s="2" t="s">
        <v>610</v>
      </c>
      <c r="D913" t="s">
        <v>769</v>
      </c>
      <c r="E913" t="s">
        <v>643</v>
      </c>
      <c r="F913" t="s">
        <v>17</v>
      </c>
      <c r="G913" t="s">
        <v>18</v>
      </c>
      <c r="H913" t="str">
        <f t="shared" si="14"/>
        <v>32.001.14.422.0018.2.011.3.3.90.30.00</v>
      </c>
      <c r="I913" t="s">
        <v>949</v>
      </c>
      <c r="J913" t="s">
        <v>950</v>
      </c>
      <c r="K913" t="s">
        <v>914</v>
      </c>
      <c r="L913" t="s">
        <v>771</v>
      </c>
      <c r="M913" t="s">
        <v>645</v>
      </c>
      <c r="N913" t="s">
        <v>24</v>
      </c>
      <c r="O913" t="s">
        <v>25</v>
      </c>
      <c r="P913" t="s">
        <v>30</v>
      </c>
      <c r="R913" s="9">
        <v>13000</v>
      </c>
      <c r="S913" t="s">
        <v>27</v>
      </c>
    </row>
    <row r="914" spans="1:19" x14ac:dyDescent="0.25">
      <c r="A914" t="s">
        <v>948</v>
      </c>
      <c r="B914" t="s">
        <v>13</v>
      </c>
      <c r="C914" s="2" t="s">
        <v>610</v>
      </c>
      <c r="D914" t="s">
        <v>769</v>
      </c>
      <c r="E914" t="s">
        <v>643</v>
      </c>
      <c r="F914" t="s">
        <v>17</v>
      </c>
      <c r="G914" t="s">
        <v>18</v>
      </c>
      <c r="H914" t="str">
        <f t="shared" si="14"/>
        <v>32.001.14.422.0018.2.011.3.3.90.30.00</v>
      </c>
      <c r="I914" t="s">
        <v>949</v>
      </c>
      <c r="J914" t="s">
        <v>950</v>
      </c>
      <c r="K914" t="s">
        <v>914</v>
      </c>
      <c r="L914" t="s">
        <v>771</v>
      </c>
      <c r="M914" t="s">
        <v>645</v>
      </c>
      <c r="N914" t="s">
        <v>24</v>
      </c>
      <c r="O914" t="s">
        <v>25</v>
      </c>
      <c r="P914" t="s">
        <v>29</v>
      </c>
      <c r="R914" s="9">
        <v>10559</v>
      </c>
      <c r="S914" t="s">
        <v>27</v>
      </c>
    </row>
    <row r="915" spans="1:19" x14ac:dyDescent="0.25">
      <c r="A915" t="s">
        <v>948</v>
      </c>
      <c r="B915" t="s">
        <v>13</v>
      </c>
      <c r="C915" s="2" t="s">
        <v>610</v>
      </c>
      <c r="D915" t="s">
        <v>137</v>
      </c>
      <c r="E915" t="s">
        <v>138</v>
      </c>
      <c r="F915" t="s">
        <v>151</v>
      </c>
      <c r="G915" t="s">
        <v>31</v>
      </c>
      <c r="H915" t="str">
        <f t="shared" si="14"/>
        <v>32.001.14.334.0017.2.004.3.3.90.39.00</v>
      </c>
      <c r="I915" t="s">
        <v>949</v>
      </c>
      <c r="J915" t="s">
        <v>950</v>
      </c>
      <c r="K915" t="s">
        <v>914</v>
      </c>
      <c r="L915" t="s">
        <v>141</v>
      </c>
      <c r="M915" t="s">
        <v>142</v>
      </c>
      <c r="N915" t="s">
        <v>153</v>
      </c>
      <c r="O915" t="s">
        <v>32</v>
      </c>
      <c r="P915" t="s">
        <v>65</v>
      </c>
      <c r="Q915" t="s">
        <v>954</v>
      </c>
      <c r="R915" s="9">
        <v>370515</v>
      </c>
      <c r="S915" t="s">
        <v>27</v>
      </c>
    </row>
    <row r="916" spans="1:19" x14ac:dyDescent="0.25">
      <c r="A916" t="s">
        <v>948</v>
      </c>
      <c r="B916" t="s">
        <v>13</v>
      </c>
      <c r="C916" s="2" t="s">
        <v>610</v>
      </c>
      <c r="D916" t="s">
        <v>769</v>
      </c>
      <c r="E916" t="s">
        <v>643</v>
      </c>
      <c r="F916" t="s">
        <v>17</v>
      </c>
      <c r="G916" t="s">
        <v>31</v>
      </c>
      <c r="H916" t="str">
        <f t="shared" si="14"/>
        <v>32.001.14.422.0018.2.011.3.3.90.39.00</v>
      </c>
      <c r="I916" t="s">
        <v>949</v>
      </c>
      <c r="J916" t="s">
        <v>950</v>
      </c>
      <c r="K916" t="s">
        <v>914</v>
      </c>
      <c r="L916" t="s">
        <v>771</v>
      </c>
      <c r="M916" t="s">
        <v>645</v>
      </c>
      <c r="N916" t="s">
        <v>24</v>
      </c>
      <c r="O916" t="s">
        <v>32</v>
      </c>
      <c r="P916" t="s">
        <v>44</v>
      </c>
      <c r="Q916" t="s">
        <v>955</v>
      </c>
      <c r="R916" s="9">
        <v>15000</v>
      </c>
      <c r="S916" t="s">
        <v>27</v>
      </c>
    </row>
    <row r="917" spans="1:19" x14ac:dyDescent="0.25">
      <c r="A917" t="s">
        <v>948</v>
      </c>
      <c r="B917" t="s">
        <v>13</v>
      </c>
      <c r="C917" s="2" t="s">
        <v>610</v>
      </c>
      <c r="D917" t="s">
        <v>769</v>
      </c>
      <c r="E917" t="s">
        <v>643</v>
      </c>
      <c r="F917" t="s">
        <v>17</v>
      </c>
      <c r="G917" t="s">
        <v>31</v>
      </c>
      <c r="H917" t="str">
        <f t="shared" si="14"/>
        <v>32.001.14.422.0018.2.011.3.3.90.39.00</v>
      </c>
      <c r="I917" t="s">
        <v>949</v>
      </c>
      <c r="J917" t="s">
        <v>950</v>
      </c>
      <c r="K917" t="s">
        <v>914</v>
      </c>
      <c r="L917" t="s">
        <v>771</v>
      </c>
      <c r="M917" t="s">
        <v>645</v>
      </c>
      <c r="N917" t="s">
        <v>24</v>
      </c>
      <c r="O917" t="s">
        <v>32</v>
      </c>
      <c r="P917" t="s">
        <v>65</v>
      </c>
      <c r="R917" s="9">
        <v>70000</v>
      </c>
      <c r="S917" t="s">
        <v>27</v>
      </c>
    </row>
    <row r="918" spans="1:19" x14ac:dyDescent="0.25">
      <c r="A918" t="s">
        <v>948</v>
      </c>
      <c r="B918" t="s">
        <v>13</v>
      </c>
      <c r="C918" s="2" t="s">
        <v>610</v>
      </c>
      <c r="D918" t="s">
        <v>769</v>
      </c>
      <c r="E918" t="s">
        <v>643</v>
      </c>
      <c r="F918" t="s">
        <v>17</v>
      </c>
      <c r="G918" t="s">
        <v>152</v>
      </c>
      <c r="H918" t="str">
        <f t="shared" si="14"/>
        <v>32.001.14.422.0018.2.011.3.3.50.39.00</v>
      </c>
      <c r="I918" t="s">
        <v>949</v>
      </c>
      <c r="J918" t="s">
        <v>950</v>
      </c>
      <c r="K918" t="s">
        <v>914</v>
      </c>
      <c r="L918" t="s">
        <v>771</v>
      </c>
      <c r="M918" t="s">
        <v>645</v>
      </c>
      <c r="N918" t="s">
        <v>24</v>
      </c>
      <c r="O918" t="s">
        <v>154</v>
      </c>
      <c r="P918" t="s">
        <v>155</v>
      </c>
      <c r="Q918" t="s">
        <v>956</v>
      </c>
      <c r="R918" s="9">
        <v>1241896</v>
      </c>
      <c r="S918" t="s">
        <v>27</v>
      </c>
    </row>
    <row r="919" spans="1:19" x14ac:dyDescent="0.25">
      <c r="A919" t="s">
        <v>957</v>
      </c>
      <c r="B919" t="s">
        <v>13</v>
      </c>
      <c r="C919" s="2" t="s">
        <v>14</v>
      </c>
      <c r="D919" t="s">
        <v>15</v>
      </c>
      <c r="E919" t="s">
        <v>16</v>
      </c>
      <c r="F919" t="s">
        <v>127</v>
      </c>
      <c r="G919" t="s">
        <v>69</v>
      </c>
      <c r="H919" t="str">
        <f t="shared" si="14"/>
        <v>33.001.04.122.0001.2.006.3.3.90.93.00</v>
      </c>
      <c r="I919" t="s">
        <v>958</v>
      </c>
      <c r="J919" t="s">
        <v>959</v>
      </c>
      <c r="K919" t="s">
        <v>21</v>
      </c>
      <c r="L919" t="s">
        <v>22</v>
      </c>
      <c r="M919" t="s">
        <v>23</v>
      </c>
      <c r="N919" t="s">
        <v>130</v>
      </c>
      <c r="O919" t="s">
        <v>70</v>
      </c>
      <c r="P919" t="s">
        <v>71</v>
      </c>
      <c r="R919" s="9">
        <v>1500</v>
      </c>
      <c r="S919" t="s">
        <v>27</v>
      </c>
    </row>
    <row r="920" spans="1:19" x14ac:dyDescent="0.25">
      <c r="A920" t="s">
        <v>957</v>
      </c>
      <c r="B920" t="s">
        <v>13</v>
      </c>
      <c r="C920" s="2" t="s">
        <v>14</v>
      </c>
      <c r="D920" t="s">
        <v>15</v>
      </c>
      <c r="E920" t="s">
        <v>16</v>
      </c>
      <c r="F920" t="s">
        <v>17</v>
      </c>
      <c r="G920" t="s">
        <v>18</v>
      </c>
      <c r="H920" t="str">
        <f t="shared" si="14"/>
        <v>33.001.04.122.0001.2.011.3.3.90.30.00</v>
      </c>
      <c r="I920" t="s">
        <v>958</v>
      </c>
      <c r="J920" t="s">
        <v>959</v>
      </c>
      <c r="K920" t="s">
        <v>21</v>
      </c>
      <c r="L920" t="s">
        <v>22</v>
      </c>
      <c r="M920" t="s">
        <v>23</v>
      </c>
      <c r="N920" t="s">
        <v>24</v>
      </c>
      <c r="O920" t="s">
        <v>25</v>
      </c>
      <c r="P920" t="s">
        <v>28</v>
      </c>
      <c r="Q920" t="s">
        <v>960</v>
      </c>
      <c r="R920" s="9">
        <v>1257.4000000000001</v>
      </c>
      <c r="S920" t="s">
        <v>27</v>
      </c>
    </row>
    <row r="921" spans="1:19" x14ac:dyDescent="0.25">
      <c r="A921" t="s">
        <v>957</v>
      </c>
      <c r="B921" t="s">
        <v>13</v>
      </c>
      <c r="C921" s="2" t="s">
        <v>14</v>
      </c>
      <c r="D921" t="s">
        <v>15</v>
      </c>
      <c r="E921" t="s">
        <v>16</v>
      </c>
      <c r="F921" t="s">
        <v>17</v>
      </c>
      <c r="G921" t="s">
        <v>18</v>
      </c>
      <c r="H921" t="str">
        <f t="shared" si="14"/>
        <v>33.001.04.122.0001.2.011.3.3.90.30.00</v>
      </c>
      <c r="I921" t="s">
        <v>958</v>
      </c>
      <c r="J921" t="s">
        <v>959</v>
      </c>
      <c r="K921" t="s">
        <v>21</v>
      </c>
      <c r="L921" t="s">
        <v>22</v>
      </c>
      <c r="M921" t="s">
        <v>23</v>
      </c>
      <c r="N921" t="s">
        <v>24</v>
      </c>
      <c r="O921" t="s">
        <v>25</v>
      </c>
      <c r="P921" t="s">
        <v>26</v>
      </c>
      <c r="Q921" t="s">
        <v>961</v>
      </c>
      <c r="R921" s="9">
        <v>756</v>
      </c>
      <c r="S921" t="s">
        <v>27</v>
      </c>
    </row>
    <row r="922" spans="1:19" x14ac:dyDescent="0.25">
      <c r="A922" t="s">
        <v>957</v>
      </c>
      <c r="B922" t="s">
        <v>13</v>
      </c>
      <c r="C922" s="2" t="s">
        <v>14</v>
      </c>
      <c r="D922" t="s">
        <v>15</v>
      </c>
      <c r="E922" t="s">
        <v>16</v>
      </c>
      <c r="F922" t="s">
        <v>17</v>
      </c>
      <c r="G922" t="s">
        <v>18</v>
      </c>
      <c r="H922" t="str">
        <f t="shared" si="14"/>
        <v>33.001.04.122.0001.2.011.3.3.90.30.00</v>
      </c>
      <c r="I922" t="s">
        <v>958</v>
      </c>
      <c r="J922" t="s">
        <v>959</v>
      </c>
      <c r="K922" t="s">
        <v>21</v>
      </c>
      <c r="L922" t="s">
        <v>22</v>
      </c>
      <c r="M922" t="s">
        <v>23</v>
      </c>
      <c r="N922" t="s">
        <v>24</v>
      </c>
      <c r="O922" t="s">
        <v>25</v>
      </c>
      <c r="P922" t="s">
        <v>49</v>
      </c>
      <c r="Q922" t="s">
        <v>962</v>
      </c>
      <c r="R922" s="9">
        <v>10110</v>
      </c>
      <c r="S922" t="s">
        <v>27</v>
      </c>
    </row>
    <row r="923" spans="1:19" x14ac:dyDescent="0.25">
      <c r="A923" t="s">
        <v>957</v>
      </c>
      <c r="B923" t="s">
        <v>13</v>
      </c>
      <c r="C923" s="2" t="s">
        <v>14</v>
      </c>
      <c r="D923" t="s">
        <v>15</v>
      </c>
      <c r="E923" t="s">
        <v>16</v>
      </c>
      <c r="F923" t="s">
        <v>17</v>
      </c>
      <c r="G923" t="s">
        <v>18</v>
      </c>
      <c r="H923" t="str">
        <f t="shared" si="14"/>
        <v>33.001.04.122.0001.2.011.3.3.90.30.00</v>
      </c>
      <c r="I923" t="s">
        <v>958</v>
      </c>
      <c r="J923" t="s">
        <v>959</v>
      </c>
      <c r="K923" t="s">
        <v>21</v>
      </c>
      <c r="L923" t="s">
        <v>22</v>
      </c>
      <c r="M923" t="s">
        <v>23</v>
      </c>
      <c r="N923" t="s">
        <v>24</v>
      </c>
      <c r="O923" t="s">
        <v>25</v>
      </c>
      <c r="P923" t="s">
        <v>29</v>
      </c>
      <c r="Q923" t="s">
        <v>963</v>
      </c>
      <c r="R923" s="9">
        <v>15000</v>
      </c>
      <c r="S923" t="s">
        <v>27</v>
      </c>
    </row>
    <row r="924" spans="1:19" x14ac:dyDescent="0.25">
      <c r="A924" t="s">
        <v>957</v>
      </c>
      <c r="B924" t="s">
        <v>13</v>
      </c>
      <c r="C924" s="2" t="s">
        <v>14</v>
      </c>
      <c r="D924" t="s">
        <v>15</v>
      </c>
      <c r="E924" t="s">
        <v>16</v>
      </c>
      <c r="F924" t="s">
        <v>17</v>
      </c>
      <c r="G924" t="s">
        <v>18</v>
      </c>
      <c r="H924" t="str">
        <f t="shared" si="14"/>
        <v>33.001.04.122.0001.2.011.3.3.90.30.00</v>
      </c>
      <c r="I924" t="s">
        <v>958</v>
      </c>
      <c r="J924" t="s">
        <v>959</v>
      </c>
      <c r="K924" t="s">
        <v>21</v>
      </c>
      <c r="L924" t="s">
        <v>22</v>
      </c>
      <c r="M924" t="s">
        <v>23</v>
      </c>
      <c r="N924" t="s">
        <v>24</v>
      </c>
      <c r="O924" t="s">
        <v>25</v>
      </c>
      <c r="P924" t="s">
        <v>30</v>
      </c>
      <c r="Q924" t="s">
        <v>964</v>
      </c>
      <c r="R924" s="9">
        <v>9000</v>
      </c>
      <c r="S924" t="s">
        <v>27</v>
      </c>
    </row>
    <row r="925" spans="1:19" x14ac:dyDescent="0.25">
      <c r="A925" t="s">
        <v>957</v>
      </c>
      <c r="B925" t="s">
        <v>13</v>
      </c>
      <c r="C925" s="2" t="s">
        <v>14</v>
      </c>
      <c r="D925" t="s">
        <v>15</v>
      </c>
      <c r="E925" t="s">
        <v>16</v>
      </c>
      <c r="F925" t="s">
        <v>17</v>
      </c>
      <c r="G925" t="s">
        <v>31</v>
      </c>
      <c r="H925" t="str">
        <f t="shared" si="14"/>
        <v>33.001.04.122.0001.2.011.3.3.90.39.00</v>
      </c>
      <c r="I925" t="s">
        <v>958</v>
      </c>
      <c r="J925" t="s">
        <v>959</v>
      </c>
      <c r="K925" t="s">
        <v>21</v>
      </c>
      <c r="L925" t="s">
        <v>22</v>
      </c>
      <c r="M925" t="s">
        <v>23</v>
      </c>
      <c r="N925" t="s">
        <v>24</v>
      </c>
      <c r="O925" t="s">
        <v>32</v>
      </c>
      <c r="P925" t="s">
        <v>44</v>
      </c>
      <c r="Q925" t="s">
        <v>965</v>
      </c>
      <c r="R925" s="9">
        <v>1000</v>
      </c>
      <c r="S925" t="s">
        <v>27</v>
      </c>
    </row>
    <row r="926" spans="1:19" x14ac:dyDescent="0.25">
      <c r="A926" t="s">
        <v>957</v>
      </c>
      <c r="B926" t="s">
        <v>13</v>
      </c>
      <c r="C926" s="2" t="s">
        <v>14</v>
      </c>
      <c r="D926" t="s">
        <v>15</v>
      </c>
      <c r="E926" t="s">
        <v>16</v>
      </c>
      <c r="F926" t="s">
        <v>17</v>
      </c>
      <c r="G926" t="s">
        <v>18</v>
      </c>
      <c r="H926" t="str">
        <f t="shared" si="14"/>
        <v>33.001.04.122.0001.2.011.3.3.90.30.00</v>
      </c>
      <c r="I926" t="s">
        <v>958</v>
      </c>
      <c r="J926" t="s">
        <v>959</v>
      </c>
      <c r="K926" t="s">
        <v>21</v>
      </c>
      <c r="L926" t="s">
        <v>22</v>
      </c>
      <c r="M926" t="s">
        <v>23</v>
      </c>
      <c r="N926" t="s">
        <v>24</v>
      </c>
      <c r="O926" t="s">
        <v>25</v>
      </c>
      <c r="P926" t="s">
        <v>89</v>
      </c>
      <c r="Q926" t="s">
        <v>965</v>
      </c>
      <c r="R926" s="9">
        <v>1500</v>
      </c>
      <c r="S926" t="s">
        <v>27</v>
      </c>
    </row>
    <row r="927" spans="1:19" x14ac:dyDescent="0.25">
      <c r="A927" t="s">
        <v>957</v>
      </c>
      <c r="B927" t="s">
        <v>13</v>
      </c>
      <c r="C927" s="2" t="s">
        <v>14</v>
      </c>
      <c r="D927" t="s">
        <v>15</v>
      </c>
      <c r="E927" t="s">
        <v>16</v>
      </c>
      <c r="F927" t="s">
        <v>17</v>
      </c>
      <c r="G927" t="s">
        <v>18</v>
      </c>
      <c r="H927" t="str">
        <f t="shared" si="14"/>
        <v>33.001.04.122.0001.2.011.3.3.90.30.00</v>
      </c>
      <c r="I927" t="s">
        <v>958</v>
      </c>
      <c r="J927" t="s">
        <v>959</v>
      </c>
      <c r="K927" t="s">
        <v>21</v>
      </c>
      <c r="L927" t="s">
        <v>22</v>
      </c>
      <c r="M927" t="s">
        <v>23</v>
      </c>
      <c r="N927" t="s">
        <v>24</v>
      </c>
      <c r="O927" t="s">
        <v>25</v>
      </c>
      <c r="P927" t="s">
        <v>39</v>
      </c>
      <c r="Q927" t="s">
        <v>965</v>
      </c>
      <c r="R927" s="9">
        <v>500</v>
      </c>
      <c r="S927" t="s">
        <v>27</v>
      </c>
    </row>
    <row r="928" spans="1:19" x14ac:dyDescent="0.25">
      <c r="A928" t="s">
        <v>957</v>
      </c>
      <c r="B928" t="s">
        <v>13</v>
      </c>
      <c r="C928" s="2" t="s">
        <v>14</v>
      </c>
      <c r="D928" t="s">
        <v>15</v>
      </c>
      <c r="E928" t="s">
        <v>16</v>
      </c>
      <c r="F928" t="s">
        <v>17</v>
      </c>
      <c r="G928" t="s">
        <v>18</v>
      </c>
      <c r="H928" t="str">
        <f t="shared" si="14"/>
        <v>33.001.04.122.0001.2.011.3.3.90.30.00</v>
      </c>
      <c r="I928" t="s">
        <v>958</v>
      </c>
      <c r="J928" t="s">
        <v>959</v>
      </c>
      <c r="K928" t="s">
        <v>21</v>
      </c>
      <c r="L928" t="s">
        <v>22</v>
      </c>
      <c r="M928" t="s">
        <v>23</v>
      </c>
      <c r="N928" t="s">
        <v>24</v>
      </c>
      <c r="O928" t="s">
        <v>25</v>
      </c>
      <c r="P928" t="s">
        <v>87</v>
      </c>
      <c r="Q928" t="s">
        <v>966</v>
      </c>
      <c r="R928" s="9">
        <v>500</v>
      </c>
      <c r="S928" t="s">
        <v>27</v>
      </c>
    </row>
    <row r="929" spans="1:19" x14ac:dyDescent="0.25">
      <c r="A929" t="s">
        <v>957</v>
      </c>
      <c r="B929" t="s">
        <v>13</v>
      </c>
      <c r="C929" s="2" t="s">
        <v>14</v>
      </c>
      <c r="D929" t="s">
        <v>15</v>
      </c>
      <c r="E929" t="s">
        <v>16</v>
      </c>
      <c r="F929" t="s">
        <v>17</v>
      </c>
      <c r="G929" t="s">
        <v>31</v>
      </c>
      <c r="H929" t="str">
        <f t="shared" si="14"/>
        <v>33.001.04.122.0001.2.011.3.3.90.39.00</v>
      </c>
      <c r="I929" t="s">
        <v>958</v>
      </c>
      <c r="J929" t="s">
        <v>959</v>
      </c>
      <c r="K929" t="s">
        <v>21</v>
      </c>
      <c r="L929" t="s">
        <v>22</v>
      </c>
      <c r="M929" t="s">
        <v>23</v>
      </c>
      <c r="N929" t="s">
        <v>24</v>
      </c>
      <c r="O929" t="s">
        <v>32</v>
      </c>
      <c r="P929" t="s">
        <v>105</v>
      </c>
      <c r="Q929" t="s">
        <v>967</v>
      </c>
      <c r="R929" s="9">
        <v>22000</v>
      </c>
      <c r="S929" t="s">
        <v>27</v>
      </c>
    </row>
    <row r="930" spans="1:19" x14ac:dyDescent="0.25">
      <c r="A930" t="s">
        <v>957</v>
      </c>
      <c r="B930" t="s">
        <v>13</v>
      </c>
      <c r="C930" s="2" t="s">
        <v>14</v>
      </c>
      <c r="D930" t="s">
        <v>15</v>
      </c>
      <c r="E930" t="s">
        <v>16</v>
      </c>
      <c r="F930" t="s">
        <v>17</v>
      </c>
      <c r="G930" t="s">
        <v>80</v>
      </c>
      <c r="H930" t="str">
        <f t="shared" si="14"/>
        <v>33.001.04.122.0001.2.011.4.4.90.52.00</v>
      </c>
      <c r="I930" t="s">
        <v>958</v>
      </c>
      <c r="J930" t="s">
        <v>959</v>
      </c>
      <c r="K930" t="s">
        <v>21</v>
      </c>
      <c r="L930" t="s">
        <v>22</v>
      </c>
      <c r="M930" t="s">
        <v>23</v>
      </c>
      <c r="N930" t="s">
        <v>24</v>
      </c>
      <c r="O930" t="s">
        <v>81</v>
      </c>
      <c r="P930" t="s">
        <v>82</v>
      </c>
      <c r="Q930" t="s">
        <v>968</v>
      </c>
      <c r="R930" s="9">
        <v>15000</v>
      </c>
      <c r="S930" t="s">
        <v>27</v>
      </c>
    </row>
    <row r="931" spans="1:19" x14ac:dyDescent="0.25">
      <c r="A931" t="s">
        <v>957</v>
      </c>
      <c r="B931" t="s">
        <v>13</v>
      </c>
      <c r="C931" s="2" t="s">
        <v>14</v>
      </c>
      <c r="D931" t="s">
        <v>15</v>
      </c>
      <c r="E931" t="s">
        <v>16</v>
      </c>
      <c r="F931" t="s">
        <v>17</v>
      </c>
      <c r="G931" t="s">
        <v>80</v>
      </c>
      <c r="H931" t="str">
        <f t="shared" si="14"/>
        <v>33.001.04.122.0001.2.011.4.4.90.52.00</v>
      </c>
      <c r="I931" t="s">
        <v>958</v>
      </c>
      <c r="J931" t="s">
        <v>959</v>
      </c>
      <c r="K931" t="s">
        <v>21</v>
      </c>
      <c r="L931" t="s">
        <v>22</v>
      </c>
      <c r="M931" t="s">
        <v>23</v>
      </c>
      <c r="N931" t="s">
        <v>24</v>
      </c>
      <c r="O931" t="s">
        <v>81</v>
      </c>
      <c r="P931" t="s">
        <v>224</v>
      </c>
      <c r="Q931" t="s">
        <v>965</v>
      </c>
      <c r="R931" s="9">
        <v>5000</v>
      </c>
      <c r="S931" t="s">
        <v>27</v>
      </c>
    </row>
    <row r="932" spans="1:19" x14ac:dyDescent="0.25">
      <c r="A932" t="s">
        <v>957</v>
      </c>
      <c r="B932" t="s">
        <v>13</v>
      </c>
      <c r="C932" s="2" t="s">
        <v>14</v>
      </c>
      <c r="D932" t="s">
        <v>15</v>
      </c>
      <c r="E932" t="s">
        <v>16</v>
      </c>
      <c r="F932" t="s">
        <v>17</v>
      </c>
      <c r="G932" t="s">
        <v>80</v>
      </c>
      <c r="H932" t="str">
        <f t="shared" si="14"/>
        <v>33.001.04.122.0001.2.011.4.4.90.52.00</v>
      </c>
      <c r="I932" t="s">
        <v>958</v>
      </c>
      <c r="J932" t="s">
        <v>959</v>
      </c>
      <c r="K932" t="s">
        <v>21</v>
      </c>
      <c r="L932" t="s">
        <v>22</v>
      </c>
      <c r="M932" t="s">
        <v>23</v>
      </c>
      <c r="N932" t="s">
        <v>24</v>
      </c>
      <c r="O932" t="s">
        <v>81</v>
      </c>
      <c r="P932" t="s">
        <v>42</v>
      </c>
      <c r="Q932" t="s">
        <v>969</v>
      </c>
      <c r="R932" s="9">
        <v>1500</v>
      </c>
      <c r="S932" t="s">
        <v>27</v>
      </c>
    </row>
    <row r="933" spans="1:19" x14ac:dyDescent="0.25">
      <c r="A933" t="s">
        <v>957</v>
      </c>
      <c r="B933" t="s">
        <v>13</v>
      </c>
      <c r="C933" s="2" t="s">
        <v>14</v>
      </c>
      <c r="D933" t="s">
        <v>51</v>
      </c>
      <c r="E933" t="s">
        <v>52</v>
      </c>
      <c r="F933" t="s">
        <v>53</v>
      </c>
      <c r="G933" t="s">
        <v>31</v>
      </c>
      <c r="H933" t="str">
        <f t="shared" si="14"/>
        <v>33.001.04.126.0002.2.007.3.3.90.39.00</v>
      </c>
      <c r="I933" t="s">
        <v>958</v>
      </c>
      <c r="J933" t="s">
        <v>959</v>
      </c>
      <c r="K933" t="s">
        <v>21</v>
      </c>
      <c r="L933" t="s">
        <v>57</v>
      </c>
      <c r="M933" t="s">
        <v>58</v>
      </c>
      <c r="N933" t="s">
        <v>59</v>
      </c>
      <c r="O933" t="s">
        <v>32</v>
      </c>
      <c r="P933" t="s">
        <v>43</v>
      </c>
      <c r="Q933" t="s">
        <v>970</v>
      </c>
      <c r="R933" s="9">
        <v>360000</v>
      </c>
      <c r="S933" t="s">
        <v>27</v>
      </c>
    </row>
    <row r="934" spans="1:19" x14ac:dyDescent="0.25">
      <c r="A934" t="s">
        <v>957</v>
      </c>
      <c r="B934" t="s">
        <v>13</v>
      </c>
      <c r="C934" s="2" t="s">
        <v>14</v>
      </c>
      <c r="D934" t="s">
        <v>51</v>
      </c>
      <c r="E934" t="s">
        <v>52</v>
      </c>
      <c r="F934" t="s">
        <v>53</v>
      </c>
      <c r="G934" t="s">
        <v>54</v>
      </c>
      <c r="H934" t="str">
        <f t="shared" si="14"/>
        <v>33.001.04.126.0002.2.007.3.3.90.40.00</v>
      </c>
      <c r="I934" t="s">
        <v>958</v>
      </c>
      <c r="J934" t="s">
        <v>959</v>
      </c>
      <c r="K934" t="s">
        <v>21</v>
      </c>
      <c r="L934" t="s">
        <v>57</v>
      </c>
      <c r="M934" t="s">
        <v>58</v>
      </c>
      <c r="N934" t="s">
        <v>59</v>
      </c>
      <c r="O934" t="s">
        <v>60</v>
      </c>
      <c r="P934" t="s">
        <v>61</v>
      </c>
      <c r="Q934" t="s">
        <v>971</v>
      </c>
      <c r="R934" s="9">
        <v>2200</v>
      </c>
      <c r="S934" t="s">
        <v>27</v>
      </c>
    </row>
    <row r="935" spans="1:19" x14ac:dyDescent="0.25">
      <c r="A935" t="s">
        <v>957</v>
      </c>
      <c r="B935" t="s">
        <v>13</v>
      </c>
      <c r="C935" s="2" t="s">
        <v>14</v>
      </c>
      <c r="D935" t="s">
        <v>121</v>
      </c>
      <c r="E935" t="s">
        <v>52</v>
      </c>
      <c r="F935" t="s">
        <v>122</v>
      </c>
      <c r="G935" t="s">
        <v>31</v>
      </c>
      <c r="H935" t="str">
        <f t="shared" si="14"/>
        <v>33.001.04.128.0002.2.003.3.3.90.39.00</v>
      </c>
      <c r="I935" t="s">
        <v>958</v>
      </c>
      <c r="J935" t="s">
        <v>959</v>
      </c>
      <c r="K935" t="s">
        <v>21</v>
      </c>
      <c r="L935" t="s">
        <v>124</v>
      </c>
      <c r="M935" t="s">
        <v>58</v>
      </c>
      <c r="N935" t="s">
        <v>125</v>
      </c>
      <c r="O935" t="s">
        <v>32</v>
      </c>
      <c r="P935" t="s">
        <v>50</v>
      </c>
      <c r="Q935" t="s">
        <v>972</v>
      </c>
      <c r="R935" s="9">
        <v>15001</v>
      </c>
      <c r="S935" t="s">
        <v>27</v>
      </c>
    </row>
    <row r="936" spans="1:19" x14ac:dyDescent="0.25">
      <c r="A936" t="s">
        <v>957</v>
      </c>
      <c r="B936" t="s">
        <v>13</v>
      </c>
      <c r="C936" s="2" t="s">
        <v>14</v>
      </c>
      <c r="D936" t="s">
        <v>121</v>
      </c>
      <c r="E936" t="s">
        <v>52</v>
      </c>
      <c r="F936" t="s">
        <v>122</v>
      </c>
      <c r="G936" t="s">
        <v>31</v>
      </c>
      <c r="H936" t="str">
        <f t="shared" si="14"/>
        <v>33.001.04.128.0002.2.003.3.3.90.39.00</v>
      </c>
      <c r="I936" t="s">
        <v>958</v>
      </c>
      <c r="J936" t="s">
        <v>959</v>
      </c>
      <c r="K936" t="s">
        <v>21</v>
      </c>
      <c r="L936" t="s">
        <v>124</v>
      </c>
      <c r="M936" t="s">
        <v>58</v>
      </c>
      <c r="N936" t="s">
        <v>125</v>
      </c>
      <c r="O936" t="s">
        <v>32</v>
      </c>
      <c r="P936" t="s">
        <v>581</v>
      </c>
      <c r="Q936" t="s">
        <v>965</v>
      </c>
      <c r="R936" s="9">
        <v>7814</v>
      </c>
      <c r="S936" t="s">
        <v>27</v>
      </c>
    </row>
    <row r="937" spans="1:19" x14ac:dyDescent="0.25">
      <c r="A937" t="s">
        <v>957</v>
      </c>
      <c r="B937" t="s">
        <v>13</v>
      </c>
      <c r="C937" s="2" t="s">
        <v>14</v>
      </c>
      <c r="D937" t="s">
        <v>312</v>
      </c>
      <c r="E937" t="s">
        <v>52</v>
      </c>
      <c r="F937" t="s">
        <v>133</v>
      </c>
      <c r="G937" t="s">
        <v>31</v>
      </c>
      <c r="H937" t="str">
        <f t="shared" si="14"/>
        <v>33.001.04.131.0002.2.005.3.3.90.39.00</v>
      </c>
      <c r="I937" t="s">
        <v>958</v>
      </c>
      <c r="J937" t="s">
        <v>959</v>
      </c>
      <c r="K937" t="s">
        <v>21</v>
      </c>
      <c r="L937" t="s">
        <v>313</v>
      </c>
      <c r="M937" t="s">
        <v>58</v>
      </c>
      <c r="N937" t="s">
        <v>134</v>
      </c>
      <c r="O937" t="s">
        <v>32</v>
      </c>
      <c r="P937" t="s">
        <v>973</v>
      </c>
      <c r="Q937" t="s">
        <v>974</v>
      </c>
      <c r="R937" s="9">
        <v>153200</v>
      </c>
      <c r="S937" t="s">
        <v>27</v>
      </c>
    </row>
    <row r="938" spans="1:19" x14ac:dyDescent="0.25">
      <c r="A938" t="s">
        <v>957</v>
      </c>
      <c r="B938" t="s">
        <v>13</v>
      </c>
      <c r="C938" s="2" t="s">
        <v>14</v>
      </c>
      <c r="D938" t="s">
        <v>312</v>
      </c>
      <c r="E938" t="s">
        <v>52</v>
      </c>
      <c r="F938" t="s">
        <v>133</v>
      </c>
      <c r="G938" t="s">
        <v>31</v>
      </c>
      <c r="H938" t="str">
        <f t="shared" si="14"/>
        <v>33.001.04.131.0002.2.005.3.3.90.39.00</v>
      </c>
      <c r="I938" t="s">
        <v>958</v>
      </c>
      <c r="J938" t="s">
        <v>959</v>
      </c>
      <c r="K938" t="s">
        <v>21</v>
      </c>
      <c r="L938" t="s">
        <v>313</v>
      </c>
      <c r="M938" t="s">
        <v>58</v>
      </c>
      <c r="N938" t="s">
        <v>134</v>
      </c>
      <c r="O938" t="s">
        <v>32</v>
      </c>
      <c r="P938" t="s">
        <v>973</v>
      </c>
      <c r="Q938" t="s">
        <v>965</v>
      </c>
      <c r="R938" s="9">
        <v>10000</v>
      </c>
      <c r="S938" t="s">
        <v>27</v>
      </c>
    </row>
    <row r="939" spans="1:19" x14ac:dyDescent="0.25">
      <c r="A939" t="s">
        <v>957</v>
      </c>
      <c r="B939" t="s">
        <v>13</v>
      </c>
      <c r="C939" s="2" t="s">
        <v>14</v>
      </c>
      <c r="D939" t="s">
        <v>312</v>
      </c>
      <c r="E939" t="s">
        <v>52</v>
      </c>
      <c r="F939" t="s">
        <v>133</v>
      </c>
      <c r="G939" t="s">
        <v>31</v>
      </c>
      <c r="H939" t="str">
        <f t="shared" si="14"/>
        <v>33.001.04.131.0002.2.005.3.3.90.39.00</v>
      </c>
      <c r="I939" t="s">
        <v>958</v>
      </c>
      <c r="J939" t="s">
        <v>959</v>
      </c>
      <c r="K939" t="s">
        <v>21</v>
      </c>
      <c r="L939" t="s">
        <v>313</v>
      </c>
      <c r="M939" t="s">
        <v>58</v>
      </c>
      <c r="N939" t="s">
        <v>134</v>
      </c>
      <c r="O939" t="s">
        <v>32</v>
      </c>
      <c r="P939" t="s">
        <v>973</v>
      </c>
      <c r="Q939" t="s">
        <v>975</v>
      </c>
      <c r="R939" s="9">
        <v>36968</v>
      </c>
      <c r="S939" t="s">
        <v>27</v>
      </c>
    </row>
    <row r="940" spans="1:19" x14ac:dyDescent="0.25">
      <c r="A940" t="s">
        <v>976</v>
      </c>
      <c r="B940" t="s">
        <v>13</v>
      </c>
      <c r="C940" s="2" t="s">
        <v>14</v>
      </c>
      <c r="D940" t="s">
        <v>312</v>
      </c>
      <c r="E940" t="s">
        <v>52</v>
      </c>
      <c r="F940" t="s">
        <v>133</v>
      </c>
      <c r="G940" t="s">
        <v>31</v>
      </c>
      <c r="H940" t="str">
        <f t="shared" si="14"/>
        <v>34.001.04.131.0002.2.005.3.3.90.39.00</v>
      </c>
      <c r="I940" t="s">
        <v>977</v>
      </c>
      <c r="J940" t="s">
        <v>978</v>
      </c>
      <c r="K940" t="s">
        <v>21</v>
      </c>
      <c r="L940" t="s">
        <v>313</v>
      </c>
      <c r="M940" t="s">
        <v>58</v>
      </c>
      <c r="N940" t="s">
        <v>134</v>
      </c>
      <c r="O940" t="s">
        <v>32</v>
      </c>
      <c r="P940" t="s">
        <v>135</v>
      </c>
      <c r="Q940" t="s">
        <v>979</v>
      </c>
      <c r="R940" s="9">
        <v>4800</v>
      </c>
      <c r="S940" t="s">
        <v>27</v>
      </c>
    </row>
    <row r="941" spans="1:19" x14ac:dyDescent="0.25">
      <c r="A941" t="s">
        <v>976</v>
      </c>
      <c r="B941" t="s">
        <v>13</v>
      </c>
      <c r="C941" s="2" t="s">
        <v>14</v>
      </c>
      <c r="D941" t="s">
        <v>312</v>
      </c>
      <c r="E941" t="s">
        <v>52</v>
      </c>
      <c r="F941" t="s">
        <v>133</v>
      </c>
      <c r="G941" t="s">
        <v>18</v>
      </c>
      <c r="H941" t="str">
        <f t="shared" si="14"/>
        <v>34.001.04.131.0002.2.005.3.3.90.30.00</v>
      </c>
      <c r="I941" t="s">
        <v>977</v>
      </c>
      <c r="J941" t="s">
        <v>978</v>
      </c>
      <c r="K941" t="s">
        <v>21</v>
      </c>
      <c r="L941" t="s">
        <v>313</v>
      </c>
      <c r="M941" t="s">
        <v>58</v>
      </c>
      <c r="N941" t="s">
        <v>134</v>
      </c>
      <c r="O941" t="s">
        <v>25</v>
      </c>
      <c r="P941" t="s">
        <v>49</v>
      </c>
      <c r="Q941" t="s">
        <v>980</v>
      </c>
      <c r="R941" s="9">
        <v>7668</v>
      </c>
      <c r="S941" t="s">
        <v>27</v>
      </c>
    </row>
    <row r="942" spans="1:19" x14ac:dyDescent="0.25">
      <c r="A942" t="s">
        <v>976</v>
      </c>
      <c r="B942" t="s">
        <v>13</v>
      </c>
      <c r="C942" s="2" t="s">
        <v>14</v>
      </c>
      <c r="D942" t="s">
        <v>312</v>
      </c>
      <c r="E942" t="s">
        <v>52</v>
      </c>
      <c r="F942" t="s">
        <v>133</v>
      </c>
      <c r="G942" t="s">
        <v>31</v>
      </c>
      <c r="H942" t="str">
        <f t="shared" si="14"/>
        <v>34.001.04.131.0002.2.005.3.3.90.39.00</v>
      </c>
      <c r="I942" t="s">
        <v>977</v>
      </c>
      <c r="J942" t="s">
        <v>978</v>
      </c>
      <c r="K942" t="s">
        <v>21</v>
      </c>
      <c r="L942" t="s">
        <v>313</v>
      </c>
      <c r="M942" t="s">
        <v>58</v>
      </c>
      <c r="N942" t="s">
        <v>134</v>
      </c>
      <c r="O942" t="s">
        <v>32</v>
      </c>
      <c r="P942" t="s">
        <v>93</v>
      </c>
      <c r="Q942" t="s">
        <v>981</v>
      </c>
      <c r="R942" s="9">
        <v>2568</v>
      </c>
      <c r="S942" t="s">
        <v>27</v>
      </c>
    </row>
    <row r="943" spans="1:19" x14ac:dyDescent="0.25">
      <c r="A943" t="s">
        <v>976</v>
      </c>
      <c r="B943" t="s">
        <v>13</v>
      </c>
      <c r="C943" s="2" t="s">
        <v>14</v>
      </c>
      <c r="D943" t="s">
        <v>15</v>
      </c>
      <c r="E943" t="s">
        <v>16</v>
      </c>
      <c r="F943" t="s">
        <v>127</v>
      </c>
      <c r="G943" t="s">
        <v>73</v>
      </c>
      <c r="H943" t="str">
        <f t="shared" si="14"/>
        <v>34.001.04.122.0001.2.006.3.3.90.33.00</v>
      </c>
      <c r="I943" t="s">
        <v>977</v>
      </c>
      <c r="J943" t="s">
        <v>978</v>
      </c>
      <c r="K943" t="s">
        <v>21</v>
      </c>
      <c r="L943" t="s">
        <v>22</v>
      </c>
      <c r="M943" t="s">
        <v>23</v>
      </c>
      <c r="N943" t="s">
        <v>130</v>
      </c>
      <c r="O943" t="s">
        <v>74</v>
      </c>
      <c r="Q943" t="s">
        <v>578</v>
      </c>
      <c r="S943" t="s">
        <v>27</v>
      </c>
    </row>
    <row r="944" spans="1:19" x14ac:dyDescent="0.25">
      <c r="A944" t="s">
        <v>976</v>
      </c>
      <c r="B944" t="s">
        <v>13</v>
      </c>
      <c r="C944" s="2" t="s">
        <v>14</v>
      </c>
      <c r="D944" t="s">
        <v>15</v>
      </c>
      <c r="E944" t="s">
        <v>16</v>
      </c>
      <c r="F944" t="s">
        <v>127</v>
      </c>
      <c r="G944" t="s">
        <v>31</v>
      </c>
      <c r="H944" t="str">
        <f t="shared" si="14"/>
        <v>34.001.04.122.0001.2.006.3.3.90.39.00</v>
      </c>
      <c r="I944" t="s">
        <v>977</v>
      </c>
      <c r="J944" t="s">
        <v>978</v>
      </c>
      <c r="K944" t="s">
        <v>21</v>
      </c>
      <c r="L944" t="s">
        <v>22</v>
      </c>
      <c r="M944" t="s">
        <v>23</v>
      </c>
      <c r="N944" t="s">
        <v>130</v>
      </c>
      <c r="O944" t="s">
        <v>32</v>
      </c>
      <c r="P944" t="s">
        <v>93</v>
      </c>
      <c r="Q944" t="s">
        <v>578</v>
      </c>
      <c r="S944" t="s">
        <v>27</v>
      </c>
    </row>
    <row r="945" spans="1:19" x14ac:dyDescent="0.25">
      <c r="A945" t="s">
        <v>976</v>
      </c>
      <c r="B945" t="s">
        <v>13</v>
      </c>
      <c r="C945" s="2" t="s">
        <v>14</v>
      </c>
      <c r="D945" t="s">
        <v>121</v>
      </c>
      <c r="E945" t="s">
        <v>52</v>
      </c>
      <c r="F945" t="s">
        <v>122</v>
      </c>
      <c r="G945" t="s">
        <v>131</v>
      </c>
      <c r="H945" t="str">
        <f t="shared" si="14"/>
        <v>34.001.04.128.0002.2.003.3.3.90.36.00</v>
      </c>
      <c r="I945" t="s">
        <v>977</v>
      </c>
      <c r="J945" t="s">
        <v>978</v>
      </c>
      <c r="K945" t="s">
        <v>21</v>
      </c>
      <c r="L945" t="s">
        <v>124</v>
      </c>
      <c r="M945" t="s">
        <v>58</v>
      </c>
      <c r="N945" t="s">
        <v>125</v>
      </c>
      <c r="O945" t="s">
        <v>132</v>
      </c>
      <c r="Q945" t="s">
        <v>578</v>
      </c>
      <c r="S945" t="s">
        <v>27</v>
      </c>
    </row>
    <row r="946" spans="1:19" x14ac:dyDescent="0.25">
      <c r="A946" t="s">
        <v>976</v>
      </c>
      <c r="B946" t="s">
        <v>13</v>
      </c>
      <c r="C946" s="2" t="s">
        <v>486</v>
      </c>
      <c r="D946" t="s">
        <v>982</v>
      </c>
      <c r="E946" t="s">
        <v>517</v>
      </c>
      <c r="F946" t="s">
        <v>139</v>
      </c>
      <c r="G946" t="s">
        <v>31</v>
      </c>
      <c r="H946" t="str">
        <f t="shared" si="14"/>
        <v>34.001.15.182.0005.1.002.3.3.90.39.00</v>
      </c>
      <c r="I946" t="s">
        <v>977</v>
      </c>
      <c r="J946" t="s">
        <v>978</v>
      </c>
      <c r="K946" t="s">
        <v>490</v>
      </c>
      <c r="L946" t="s">
        <v>983</v>
      </c>
      <c r="M946" t="s">
        <v>521</v>
      </c>
      <c r="N946" t="s">
        <v>143</v>
      </c>
      <c r="O946" t="s">
        <v>32</v>
      </c>
      <c r="P946" t="s">
        <v>93</v>
      </c>
      <c r="Q946" t="s">
        <v>578</v>
      </c>
      <c r="S946" t="s">
        <v>27</v>
      </c>
    </row>
    <row r="947" spans="1:19" x14ac:dyDescent="0.25">
      <c r="A947" t="s">
        <v>976</v>
      </c>
      <c r="B947" t="s">
        <v>13</v>
      </c>
      <c r="C947" s="2" t="s">
        <v>486</v>
      </c>
      <c r="D947" t="s">
        <v>982</v>
      </c>
      <c r="E947" t="s">
        <v>517</v>
      </c>
      <c r="F947" t="s">
        <v>17</v>
      </c>
      <c r="G947" t="s">
        <v>18</v>
      </c>
      <c r="H947" t="str">
        <f t="shared" si="14"/>
        <v>34.001.15.182.0005.2.011.3.3.90.30.00</v>
      </c>
      <c r="I947" t="s">
        <v>977</v>
      </c>
      <c r="J947" t="s">
        <v>978</v>
      </c>
      <c r="K947" t="s">
        <v>490</v>
      </c>
      <c r="L947" t="s">
        <v>983</v>
      </c>
      <c r="M947" t="s">
        <v>521</v>
      </c>
      <c r="N947" t="s">
        <v>24</v>
      </c>
      <c r="O947" t="s">
        <v>25</v>
      </c>
      <c r="P947" t="s">
        <v>29</v>
      </c>
      <c r="Q947" t="s">
        <v>984</v>
      </c>
      <c r="R947" s="9">
        <v>346.5</v>
      </c>
      <c r="S947" t="s">
        <v>27</v>
      </c>
    </row>
    <row r="948" spans="1:19" x14ac:dyDescent="0.25">
      <c r="A948" t="s">
        <v>976</v>
      </c>
      <c r="B948" t="s">
        <v>13</v>
      </c>
      <c r="C948" s="2" t="s">
        <v>486</v>
      </c>
      <c r="D948" t="s">
        <v>982</v>
      </c>
      <c r="E948" t="s">
        <v>517</v>
      </c>
      <c r="F948" t="s">
        <v>17</v>
      </c>
      <c r="G948" t="s">
        <v>18</v>
      </c>
      <c r="H948" t="str">
        <f t="shared" si="14"/>
        <v>34.001.15.182.0005.2.011.3.3.90.30.00</v>
      </c>
      <c r="I948" t="s">
        <v>977</v>
      </c>
      <c r="J948" t="s">
        <v>978</v>
      </c>
      <c r="K948" t="s">
        <v>490</v>
      </c>
      <c r="L948" t="s">
        <v>983</v>
      </c>
      <c r="M948" t="s">
        <v>521</v>
      </c>
      <c r="N948" t="s">
        <v>24</v>
      </c>
      <c r="O948" t="s">
        <v>25</v>
      </c>
      <c r="P948" t="s">
        <v>29</v>
      </c>
      <c r="Q948" t="s">
        <v>985</v>
      </c>
      <c r="R948" s="9">
        <v>2124</v>
      </c>
      <c r="S948" t="s">
        <v>27</v>
      </c>
    </row>
    <row r="949" spans="1:19" x14ac:dyDescent="0.25">
      <c r="A949" t="s">
        <v>976</v>
      </c>
      <c r="B949" t="s">
        <v>13</v>
      </c>
      <c r="C949" s="2" t="s">
        <v>486</v>
      </c>
      <c r="D949" t="s">
        <v>982</v>
      </c>
      <c r="E949" t="s">
        <v>517</v>
      </c>
      <c r="F949" t="s">
        <v>17</v>
      </c>
      <c r="G949" t="s">
        <v>18</v>
      </c>
      <c r="H949" t="str">
        <f t="shared" si="14"/>
        <v>34.001.15.182.0005.2.011.3.3.90.30.00</v>
      </c>
      <c r="I949" t="s">
        <v>977</v>
      </c>
      <c r="J949" t="s">
        <v>978</v>
      </c>
      <c r="K949" t="s">
        <v>490</v>
      </c>
      <c r="L949" t="s">
        <v>983</v>
      </c>
      <c r="M949" t="s">
        <v>521</v>
      </c>
      <c r="N949" t="s">
        <v>24</v>
      </c>
      <c r="O949" t="s">
        <v>25</v>
      </c>
      <c r="P949" t="s">
        <v>28</v>
      </c>
      <c r="Q949" t="s">
        <v>986</v>
      </c>
      <c r="R949" s="9">
        <v>1700.8</v>
      </c>
      <c r="S949" t="s">
        <v>27</v>
      </c>
    </row>
    <row r="950" spans="1:19" x14ac:dyDescent="0.25">
      <c r="A950" t="s">
        <v>976</v>
      </c>
      <c r="B950" t="s">
        <v>13</v>
      </c>
      <c r="C950" s="2" t="s">
        <v>486</v>
      </c>
      <c r="D950" t="s">
        <v>982</v>
      </c>
      <c r="E950" t="s">
        <v>517</v>
      </c>
      <c r="F950" t="s">
        <v>17</v>
      </c>
      <c r="G950" t="s">
        <v>18</v>
      </c>
      <c r="H950" t="str">
        <f t="shared" si="14"/>
        <v>34.001.15.182.0005.2.011.3.3.90.30.00</v>
      </c>
      <c r="I950" t="s">
        <v>977</v>
      </c>
      <c r="J950" t="s">
        <v>978</v>
      </c>
      <c r="K950" t="s">
        <v>490</v>
      </c>
      <c r="L950" t="s">
        <v>983</v>
      </c>
      <c r="M950" t="s">
        <v>521</v>
      </c>
      <c r="N950" t="s">
        <v>24</v>
      </c>
      <c r="O950" t="s">
        <v>25</v>
      </c>
      <c r="P950" t="s">
        <v>29</v>
      </c>
      <c r="Q950" t="s">
        <v>987</v>
      </c>
      <c r="R950" s="9">
        <v>118.78</v>
      </c>
      <c r="S950" t="s">
        <v>27</v>
      </c>
    </row>
    <row r="951" spans="1:19" x14ac:dyDescent="0.25">
      <c r="A951" t="s">
        <v>976</v>
      </c>
      <c r="B951" t="s">
        <v>13</v>
      </c>
      <c r="C951" s="2" t="s">
        <v>486</v>
      </c>
      <c r="D951" t="s">
        <v>982</v>
      </c>
      <c r="E951" t="s">
        <v>517</v>
      </c>
      <c r="F951" t="s">
        <v>17</v>
      </c>
      <c r="G951" t="s">
        <v>18</v>
      </c>
      <c r="H951" t="str">
        <f t="shared" si="14"/>
        <v>34.001.15.182.0005.2.011.3.3.90.30.00</v>
      </c>
      <c r="I951" t="s">
        <v>977</v>
      </c>
      <c r="J951" t="s">
        <v>978</v>
      </c>
      <c r="K951" t="s">
        <v>490</v>
      </c>
      <c r="L951" t="s">
        <v>983</v>
      </c>
      <c r="M951" t="s">
        <v>521</v>
      </c>
      <c r="N951" t="s">
        <v>24</v>
      </c>
      <c r="O951" t="s">
        <v>25</v>
      </c>
      <c r="P951" t="s">
        <v>29</v>
      </c>
      <c r="Q951" t="s">
        <v>988</v>
      </c>
      <c r="R951" s="9">
        <v>712.5</v>
      </c>
      <c r="S951" t="s">
        <v>27</v>
      </c>
    </row>
    <row r="952" spans="1:19" x14ac:dyDescent="0.25">
      <c r="A952" t="s">
        <v>976</v>
      </c>
      <c r="B952" t="s">
        <v>13</v>
      </c>
      <c r="C952" s="2" t="s">
        <v>486</v>
      </c>
      <c r="D952" t="s">
        <v>982</v>
      </c>
      <c r="E952" t="s">
        <v>517</v>
      </c>
      <c r="F952" t="s">
        <v>17</v>
      </c>
      <c r="G952" t="s">
        <v>18</v>
      </c>
      <c r="H952" t="str">
        <f t="shared" si="14"/>
        <v>34.001.15.182.0005.2.011.3.3.90.30.00</v>
      </c>
      <c r="I952" t="s">
        <v>977</v>
      </c>
      <c r="J952" t="s">
        <v>978</v>
      </c>
      <c r="K952" t="s">
        <v>490</v>
      </c>
      <c r="L952" t="s">
        <v>983</v>
      </c>
      <c r="M952" t="s">
        <v>521</v>
      </c>
      <c r="N952" t="s">
        <v>24</v>
      </c>
      <c r="O952" t="s">
        <v>25</v>
      </c>
      <c r="P952" t="s">
        <v>29</v>
      </c>
      <c r="Q952" t="s">
        <v>989</v>
      </c>
      <c r="R952" s="9">
        <v>5457.2</v>
      </c>
      <c r="S952" t="s">
        <v>27</v>
      </c>
    </row>
    <row r="953" spans="1:19" x14ac:dyDescent="0.25">
      <c r="A953" t="s">
        <v>976</v>
      </c>
      <c r="B953" t="s">
        <v>13</v>
      </c>
      <c r="C953" s="2" t="s">
        <v>486</v>
      </c>
      <c r="D953" t="s">
        <v>982</v>
      </c>
      <c r="E953" t="s">
        <v>517</v>
      </c>
      <c r="F953" t="s">
        <v>17</v>
      </c>
      <c r="G953" t="s">
        <v>18</v>
      </c>
      <c r="H953" t="str">
        <f t="shared" si="14"/>
        <v>34.001.15.182.0005.2.011.3.3.90.30.00</v>
      </c>
      <c r="I953" t="s">
        <v>977</v>
      </c>
      <c r="J953" t="s">
        <v>978</v>
      </c>
      <c r="K953" t="s">
        <v>490</v>
      </c>
      <c r="L953" t="s">
        <v>983</v>
      </c>
      <c r="M953" t="s">
        <v>521</v>
      </c>
      <c r="N953" t="s">
        <v>24</v>
      </c>
      <c r="O953" t="s">
        <v>25</v>
      </c>
      <c r="P953" t="s">
        <v>29</v>
      </c>
      <c r="Q953" t="s">
        <v>990</v>
      </c>
      <c r="R953" s="9">
        <v>2623.5</v>
      </c>
      <c r="S953" t="s">
        <v>27</v>
      </c>
    </row>
    <row r="954" spans="1:19" x14ac:dyDescent="0.25">
      <c r="A954" t="s">
        <v>976</v>
      </c>
      <c r="B954" t="s">
        <v>13</v>
      </c>
      <c r="C954" s="2" t="s">
        <v>486</v>
      </c>
      <c r="D954" t="s">
        <v>982</v>
      </c>
      <c r="E954" t="s">
        <v>517</v>
      </c>
      <c r="F954" t="s">
        <v>17</v>
      </c>
      <c r="G954" t="s">
        <v>18</v>
      </c>
      <c r="H954" t="str">
        <f t="shared" si="14"/>
        <v>34.001.15.182.0005.2.011.3.3.90.30.00</v>
      </c>
      <c r="I954" t="s">
        <v>977</v>
      </c>
      <c r="J954" t="s">
        <v>978</v>
      </c>
      <c r="K954" t="s">
        <v>490</v>
      </c>
      <c r="L954" t="s">
        <v>983</v>
      </c>
      <c r="M954" t="s">
        <v>521</v>
      </c>
      <c r="N954" t="s">
        <v>24</v>
      </c>
      <c r="O954" t="s">
        <v>25</v>
      </c>
      <c r="P954" t="s">
        <v>28</v>
      </c>
      <c r="Q954" t="s">
        <v>991</v>
      </c>
      <c r="R954" s="9">
        <v>1800</v>
      </c>
      <c r="S954" t="s">
        <v>27</v>
      </c>
    </row>
    <row r="955" spans="1:19" x14ac:dyDescent="0.25">
      <c r="A955" t="s">
        <v>976</v>
      </c>
      <c r="B955" t="s">
        <v>13</v>
      </c>
      <c r="C955" s="2" t="s">
        <v>486</v>
      </c>
      <c r="D955" t="s">
        <v>982</v>
      </c>
      <c r="E955" t="s">
        <v>517</v>
      </c>
      <c r="F955" t="s">
        <v>17</v>
      </c>
      <c r="G955" t="s">
        <v>18</v>
      </c>
      <c r="H955" t="str">
        <f t="shared" si="14"/>
        <v>34.001.15.182.0005.2.011.3.3.90.30.00</v>
      </c>
      <c r="I955" t="s">
        <v>977</v>
      </c>
      <c r="J955" t="s">
        <v>978</v>
      </c>
      <c r="K955" t="s">
        <v>490</v>
      </c>
      <c r="L955" t="s">
        <v>983</v>
      </c>
      <c r="M955" t="s">
        <v>521</v>
      </c>
      <c r="N955" t="s">
        <v>24</v>
      </c>
      <c r="O955" t="s">
        <v>25</v>
      </c>
      <c r="P955" t="s">
        <v>28</v>
      </c>
      <c r="Q955" t="s">
        <v>992</v>
      </c>
      <c r="R955" s="9">
        <v>8750</v>
      </c>
      <c r="S955" t="s">
        <v>27</v>
      </c>
    </row>
    <row r="956" spans="1:19" x14ac:dyDescent="0.25">
      <c r="A956" t="s">
        <v>976</v>
      </c>
      <c r="B956" t="s">
        <v>13</v>
      </c>
      <c r="C956" s="2" t="s">
        <v>486</v>
      </c>
      <c r="D956" t="s">
        <v>982</v>
      </c>
      <c r="E956" t="s">
        <v>517</v>
      </c>
      <c r="F956" t="s">
        <v>17</v>
      </c>
      <c r="G956" t="s">
        <v>18</v>
      </c>
      <c r="H956" t="str">
        <f t="shared" si="14"/>
        <v>34.001.15.182.0005.2.011.3.3.90.30.00</v>
      </c>
      <c r="I956" t="s">
        <v>977</v>
      </c>
      <c r="J956" t="s">
        <v>978</v>
      </c>
      <c r="K956" t="s">
        <v>490</v>
      </c>
      <c r="L956" t="s">
        <v>983</v>
      </c>
      <c r="M956" t="s">
        <v>521</v>
      </c>
      <c r="N956" t="s">
        <v>24</v>
      </c>
      <c r="O956" t="s">
        <v>25</v>
      </c>
      <c r="P956" t="s">
        <v>89</v>
      </c>
      <c r="Q956" t="s">
        <v>993</v>
      </c>
      <c r="R956" s="9">
        <v>9118.9</v>
      </c>
      <c r="S956" t="s">
        <v>27</v>
      </c>
    </row>
    <row r="957" spans="1:19" x14ac:dyDescent="0.25">
      <c r="A957" t="s">
        <v>976</v>
      </c>
      <c r="B957" t="s">
        <v>13</v>
      </c>
      <c r="C957" s="2" t="s">
        <v>486</v>
      </c>
      <c r="D957" t="s">
        <v>982</v>
      </c>
      <c r="E957" t="s">
        <v>517</v>
      </c>
      <c r="F957" t="s">
        <v>17</v>
      </c>
      <c r="G957" t="s">
        <v>18</v>
      </c>
      <c r="H957" t="str">
        <f t="shared" si="14"/>
        <v>34.001.15.182.0005.2.011.3.3.90.30.00</v>
      </c>
      <c r="I957" t="s">
        <v>977</v>
      </c>
      <c r="J957" t="s">
        <v>978</v>
      </c>
      <c r="K957" t="s">
        <v>490</v>
      </c>
      <c r="L957" t="s">
        <v>983</v>
      </c>
      <c r="M957" t="s">
        <v>521</v>
      </c>
      <c r="N957" t="s">
        <v>24</v>
      </c>
      <c r="O957" t="s">
        <v>25</v>
      </c>
      <c r="P957" t="s">
        <v>30</v>
      </c>
      <c r="Q957" t="s">
        <v>994</v>
      </c>
      <c r="R957" s="9">
        <v>5300.8</v>
      </c>
      <c r="S957" t="s">
        <v>27</v>
      </c>
    </row>
    <row r="958" spans="1:19" x14ac:dyDescent="0.25">
      <c r="A958" t="s">
        <v>976</v>
      </c>
      <c r="B958" t="s">
        <v>13</v>
      </c>
      <c r="C958" s="2" t="s">
        <v>486</v>
      </c>
      <c r="D958" t="s">
        <v>982</v>
      </c>
      <c r="E958" t="s">
        <v>517</v>
      </c>
      <c r="F958" t="s">
        <v>17</v>
      </c>
      <c r="G958" t="s">
        <v>18</v>
      </c>
      <c r="H958" t="str">
        <f t="shared" si="14"/>
        <v>34.001.15.182.0005.2.011.3.3.90.30.00</v>
      </c>
      <c r="I958" t="s">
        <v>977</v>
      </c>
      <c r="J958" t="s">
        <v>978</v>
      </c>
      <c r="K958" t="s">
        <v>490</v>
      </c>
      <c r="L958" t="s">
        <v>983</v>
      </c>
      <c r="M958" t="s">
        <v>521</v>
      </c>
      <c r="N958" t="s">
        <v>24</v>
      </c>
      <c r="O958" t="s">
        <v>25</v>
      </c>
      <c r="P958" t="s">
        <v>29</v>
      </c>
      <c r="Q958" t="s">
        <v>995</v>
      </c>
      <c r="R958" s="9">
        <v>1373.1</v>
      </c>
      <c r="S958" t="s">
        <v>27</v>
      </c>
    </row>
    <row r="959" spans="1:19" x14ac:dyDescent="0.25">
      <c r="A959" t="s">
        <v>976</v>
      </c>
      <c r="B959" t="s">
        <v>13</v>
      </c>
      <c r="C959" s="2" t="s">
        <v>486</v>
      </c>
      <c r="D959" t="s">
        <v>982</v>
      </c>
      <c r="E959" t="s">
        <v>517</v>
      </c>
      <c r="F959" t="s">
        <v>17</v>
      </c>
      <c r="G959" t="s">
        <v>18</v>
      </c>
      <c r="H959" t="str">
        <f t="shared" si="14"/>
        <v>34.001.15.182.0005.2.011.3.3.90.30.00</v>
      </c>
      <c r="I959" t="s">
        <v>977</v>
      </c>
      <c r="J959" t="s">
        <v>978</v>
      </c>
      <c r="K959" t="s">
        <v>490</v>
      </c>
      <c r="L959" t="s">
        <v>983</v>
      </c>
      <c r="M959" t="s">
        <v>521</v>
      </c>
      <c r="N959" t="s">
        <v>24</v>
      </c>
      <c r="O959" t="s">
        <v>25</v>
      </c>
      <c r="P959" t="s">
        <v>29</v>
      </c>
      <c r="Q959" t="s">
        <v>996</v>
      </c>
      <c r="R959" s="9">
        <v>1993.5</v>
      </c>
      <c r="S959" t="s">
        <v>27</v>
      </c>
    </row>
    <row r="960" spans="1:19" x14ac:dyDescent="0.25">
      <c r="A960" t="s">
        <v>976</v>
      </c>
      <c r="B960" t="s">
        <v>13</v>
      </c>
      <c r="C960" s="2" t="s">
        <v>486</v>
      </c>
      <c r="D960" t="s">
        <v>982</v>
      </c>
      <c r="E960" t="s">
        <v>517</v>
      </c>
      <c r="F960" t="s">
        <v>17</v>
      </c>
      <c r="G960" t="s">
        <v>18</v>
      </c>
      <c r="H960" t="str">
        <f t="shared" si="14"/>
        <v>34.001.15.182.0005.2.011.3.3.90.30.00</v>
      </c>
      <c r="I960" t="s">
        <v>977</v>
      </c>
      <c r="J960" t="s">
        <v>978</v>
      </c>
      <c r="K960" t="s">
        <v>490</v>
      </c>
      <c r="L960" t="s">
        <v>983</v>
      </c>
      <c r="M960" t="s">
        <v>521</v>
      </c>
      <c r="N960" t="s">
        <v>24</v>
      </c>
      <c r="O960" t="s">
        <v>25</v>
      </c>
      <c r="P960" t="s">
        <v>29</v>
      </c>
      <c r="Q960" t="s">
        <v>997</v>
      </c>
      <c r="R960" s="9">
        <v>1278.5</v>
      </c>
      <c r="S960" t="s">
        <v>27</v>
      </c>
    </row>
    <row r="961" spans="1:19" x14ac:dyDescent="0.25">
      <c r="A961" t="s">
        <v>976</v>
      </c>
      <c r="B961" t="s">
        <v>13</v>
      </c>
      <c r="C961" s="2" t="s">
        <v>486</v>
      </c>
      <c r="D961" t="s">
        <v>982</v>
      </c>
      <c r="E961" t="s">
        <v>517</v>
      </c>
      <c r="F961" t="s">
        <v>17</v>
      </c>
      <c r="G961" t="s">
        <v>18</v>
      </c>
      <c r="H961" t="str">
        <f t="shared" si="14"/>
        <v>34.001.15.182.0005.2.011.3.3.90.30.00</v>
      </c>
      <c r="I961" t="s">
        <v>977</v>
      </c>
      <c r="J961" t="s">
        <v>978</v>
      </c>
      <c r="K961" t="s">
        <v>490</v>
      </c>
      <c r="L961" t="s">
        <v>983</v>
      </c>
      <c r="M961" t="s">
        <v>521</v>
      </c>
      <c r="N961" t="s">
        <v>24</v>
      </c>
      <c r="O961" t="s">
        <v>25</v>
      </c>
      <c r="P961" t="s">
        <v>29</v>
      </c>
      <c r="Q961" t="s">
        <v>998</v>
      </c>
      <c r="R961" s="9">
        <v>1434.55</v>
      </c>
      <c r="S961" t="s">
        <v>27</v>
      </c>
    </row>
    <row r="962" spans="1:19" x14ac:dyDescent="0.25">
      <c r="A962" t="s">
        <v>976</v>
      </c>
      <c r="B962" t="s">
        <v>13</v>
      </c>
      <c r="C962" s="2" t="s">
        <v>486</v>
      </c>
      <c r="D962" t="s">
        <v>982</v>
      </c>
      <c r="E962" t="s">
        <v>517</v>
      </c>
      <c r="F962" t="s">
        <v>17</v>
      </c>
      <c r="G962" t="s">
        <v>31</v>
      </c>
      <c r="H962" t="str">
        <f t="shared" ref="H962:H994" si="15">_xlfn.CONCAT(A962,".",B962,".",C962,".",D962,".",E962,".",F962,".",G962)</f>
        <v>34.001.15.182.0005.2.011.3.3.90.39.00</v>
      </c>
      <c r="I962" t="s">
        <v>977</v>
      </c>
      <c r="J962" t="s">
        <v>978</v>
      </c>
      <c r="K962" t="s">
        <v>490</v>
      </c>
      <c r="L962" t="s">
        <v>983</v>
      </c>
      <c r="M962" t="s">
        <v>521</v>
      </c>
      <c r="N962" t="s">
        <v>24</v>
      </c>
      <c r="O962" t="s">
        <v>32</v>
      </c>
      <c r="P962" t="s">
        <v>44</v>
      </c>
      <c r="Q962" t="s">
        <v>993</v>
      </c>
      <c r="R962" s="9">
        <v>13606.68</v>
      </c>
      <c r="S962" t="s">
        <v>27</v>
      </c>
    </row>
    <row r="963" spans="1:19" x14ac:dyDescent="0.25">
      <c r="A963" t="s">
        <v>976</v>
      </c>
      <c r="B963" t="s">
        <v>13</v>
      </c>
      <c r="C963" s="2" t="s">
        <v>486</v>
      </c>
      <c r="D963" t="s">
        <v>982</v>
      </c>
      <c r="E963" t="s">
        <v>517</v>
      </c>
      <c r="F963" t="s">
        <v>17</v>
      </c>
      <c r="G963" t="s">
        <v>18</v>
      </c>
      <c r="H963" t="str">
        <f t="shared" si="15"/>
        <v>34.001.15.182.0005.2.011.3.3.90.30.00</v>
      </c>
      <c r="I963" t="s">
        <v>977</v>
      </c>
      <c r="J963" t="s">
        <v>978</v>
      </c>
      <c r="K963" t="s">
        <v>490</v>
      </c>
      <c r="L963" t="s">
        <v>983</v>
      </c>
      <c r="M963" t="s">
        <v>521</v>
      </c>
      <c r="N963" t="s">
        <v>24</v>
      </c>
      <c r="O963" t="s">
        <v>25</v>
      </c>
      <c r="P963" t="s">
        <v>164</v>
      </c>
      <c r="Q963" t="s">
        <v>999</v>
      </c>
      <c r="R963" s="9">
        <v>457840</v>
      </c>
      <c r="S963" t="s">
        <v>27</v>
      </c>
    </row>
    <row r="964" spans="1:19" x14ac:dyDescent="0.25">
      <c r="A964" t="s">
        <v>976</v>
      </c>
      <c r="B964" t="s">
        <v>13</v>
      </c>
      <c r="C964" s="2" t="s">
        <v>486</v>
      </c>
      <c r="D964" t="s">
        <v>982</v>
      </c>
      <c r="E964" t="s">
        <v>517</v>
      </c>
      <c r="F964" t="s">
        <v>17</v>
      </c>
      <c r="G964" t="s">
        <v>18</v>
      </c>
      <c r="H964" t="str">
        <f t="shared" si="15"/>
        <v>34.001.15.182.0005.2.011.3.3.90.30.00</v>
      </c>
      <c r="I964" t="s">
        <v>977</v>
      </c>
      <c r="J964" t="s">
        <v>978</v>
      </c>
      <c r="K964" t="s">
        <v>490</v>
      </c>
      <c r="L964" t="s">
        <v>983</v>
      </c>
      <c r="M964" t="s">
        <v>521</v>
      </c>
      <c r="N964" t="s">
        <v>24</v>
      </c>
      <c r="O964" t="s">
        <v>25</v>
      </c>
      <c r="P964" t="s">
        <v>26</v>
      </c>
      <c r="Q964" t="s">
        <v>1000</v>
      </c>
      <c r="R964" s="9">
        <v>1552</v>
      </c>
      <c r="S964" t="s">
        <v>27</v>
      </c>
    </row>
    <row r="965" spans="1:19" x14ac:dyDescent="0.25">
      <c r="A965" t="s">
        <v>976</v>
      </c>
      <c r="B965" t="s">
        <v>13</v>
      </c>
      <c r="C965" s="2" t="s">
        <v>486</v>
      </c>
      <c r="D965" t="s">
        <v>982</v>
      </c>
      <c r="E965" t="s">
        <v>517</v>
      </c>
      <c r="F965" t="s">
        <v>17</v>
      </c>
      <c r="G965" t="s">
        <v>80</v>
      </c>
      <c r="H965" t="str">
        <f t="shared" si="15"/>
        <v>34.001.15.182.0005.2.011.4.4.90.52.00</v>
      </c>
      <c r="I965" t="s">
        <v>977</v>
      </c>
      <c r="J965" t="s">
        <v>978</v>
      </c>
      <c r="K965" t="s">
        <v>490</v>
      </c>
      <c r="L965" t="s">
        <v>983</v>
      </c>
      <c r="M965" t="s">
        <v>521</v>
      </c>
      <c r="N965" t="s">
        <v>24</v>
      </c>
      <c r="O965" t="s">
        <v>81</v>
      </c>
      <c r="P965" t="s">
        <v>82</v>
      </c>
      <c r="Q965" t="s">
        <v>1001</v>
      </c>
      <c r="R965" s="9">
        <v>18534.16</v>
      </c>
      <c r="S965" t="s">
        <v>27</v>
      </c>
    </row>
    <row r="966" spans="1:19" x14ac:dyDescent="0.25">
      <c r="A966" t="s">
        <v>1002</v>
      </c>
      <c r="B966" t="s">
        <v>13</v>
      </c>
      <c r="C966" s="2" t="s">
        <v>14</v>
      </c>
      <c r="D966" t="s">
        <v>15</v>
      </c>
      <c r="E966" t="s">
        <v>16</v>
      </c>
      <c r="F966" t="s">
        <v>127</v>
      </c>
      <c r="G966" t="s">
        <v>73</v>
      </c>
      <c r="H966" t="str">
        <f t="shared" si="15"/>
        <v>36.001.04.122.0001.2.006.3.3.90.33.00</v>
      </c>
      <c r="I966" t="s">
        <v>1003</v>
      </c>
      <c r="J966" t="s">
        <v>1004</v>
      </c>
      <c r="K966" t="s">
        <v>21</v>
      </c>
      <c r="L966" t="s">
        <v>22</v>
      </c>
      <c r="M966" t="s">
        <v>23</v>
      </c>
      <c r="N966" t="s">
        <v>130</v>
      </c>
      <c r="O966" t="s">
        <v>74</v>
      </c>
      <c r="Q966" t="s">
        <v>1005</v>
      </c>
      <c r="R966" s="9">
        <v>19960</v>
      </c>
      <c r="S966" t="s">
        <v>27</v>
      </c>
    </row>
    <row r="967" spans="1:19" x14ac:dyDescent="0.25">
      <c r="A967" t="s">
        <v>1002</v>
      </c>
      <c r="B967" t="s">
        <v>13</v>
      </c>
      <c r="C967" s="2" t="s">
        <v>14</v>
      </c>
      <c r="D967" t="s">
        <v>15</v>
      </c>
      <c r="E967" t="s">
        <v>16</v>
      </c>
      <c r="F967" t="s">
        <v>127</v>
      </c>
      <c r="G967" t="s">
        <v>31</v>
      </c>
      <c r="H967" t="str">
        <f t="shared" si="15"/>
        <v>36.001.04.122.0001.2.006.3.3.90.39.00</v>
      </c>
      <c r="I967" t="s">
        <v>1003</v>
      </c>
      <c r="J967" t="s">
        <v>1004</v>
      </c>
      <c r="K967" t="s">
        <v>21</v>
      </c>
      <c r="L967" t="s">
        <v>22</v>
      </c>
      <c r="M967" t="s">
        <v>23</v>
      </c>
      <c r="N967" t="s">
        <v>130</v>
      </c>
      <c r="O967" t="s">
        <v>32</v>
      </c>
      <c r="Q967" t="s">
        <v>1005</v>
      </c>
      <c r="R967" s="9">
        <v>14790</v>
      </c>
      <c r="S967" t="s">
        <v>27</v>
      </c>
    </row>
    <row r="968" spans="1:19" x14ac:dyDescent="0.25">
      <c r="A968" t="s">
        <v>1002</v>
      </c>
      <c r="B968" t="s">
        <v>13</v>
      </c>
      <c r="C968" s="2" t="s">
        <v>14</v>
      </c>
      <c r="D968" t="s">
        <v>15</v>
      </c>
      <c r="E968" t="s">
        <v>16</v>
      </c>
      <c r="F968" t="s">
        <v>127</v>
      </c>
      <c r="G968" t="s">
        <v>31</v>
      </c>
      <c r="H968" t="str">
        <f t="shared" si="15"/>
        <v>36.001.04.122.0001.2.006.3.3.90.39.00</v>
      </c>
      <c r="I968" t="s">
        <v>1003</v>
      </c>
      <c r="J968" t="s">
        <v>1004</v>
      </c>
      <c r="K968" t="s">
        <v>21</v>
      </c>
      <c r="L968" t="s">
        <v>22</v>
      </c>
      <c r="M968" t="s">
        <v>23</v>
      </c>
      <c r="N968" t="s">
        <v>130</v>
      </c>
      <c r="O968" t="s">
        <v>32</v>
      </c>
      <c r="Q968" t="s">
        <v>1005</v>
      </c>
      <c r="R968" s="9">
        <v>8062</v>
      </c>
      <c r="S968" t="s">
        <v>27</v>
      </c>
    </row>
    <row r="969" spans="1:19" x14ac:dyDescent="0.25">
      <c r="A969" t="s">
        <v>1002</v>
      </c>
      <c r="B969" t="s">
        <v>13</v>
      </c>
      <c r="C969" s="2" t="s">
        <v>14</v>
      </c>
      <c r="D969" t="s">
        <v>121</v>
      </c>
      <c r="E969" t="s">
        <v>52</v>
      </c>
      <c r="F969" t="s">
        <v>122</v>
      </c>
      <c r="G969" t="s">
        <v>31</v>
      </c>
      <c r="H969" t="str">
        <f t="shared" si="15"/>
        <v>36.001.04.128.0002.2.003.3.3.90.39.00</v>
      </c>
      <c r="I969" t="s">
        <v>1003</v>
      </c>
      <c r="J969" t="s">
        <v>1004</v>
      </c>
      <c r="K969" t="s">
        <v>21</v>
      </c>
      <c r="L969" t="s">
        <v>124</v>
      </c>
      <c r="M969" t="s">
        <v>58</v>
      </c>
      <c r="N969" t="s">
        <v>125</v>
      </c>
      <c r="O969" t="s">
        <v>32</v>
      </c>
      <c r="Q969" t="s">
        <v>1006</v>
      </c>
      <c r="R969" s="9">
        <v>95300</v>
      </c>
      <c r="S969" t="s">
        <v>27</v>
      </c>
    </row>
    <row r="970" spans="1:19" x14ac:dyDescent="0.25">
      <c r="A970" t="s">
        <v>1002</v>
      </c>
      <c r="B970" t="s">
        <v>13</v>
      </c>
      <c r="C970" s="2" t="s">
        <v>14</v>
      </c>
      <c r="D970" t="s">
        <v>312</v>
      </c>
      <c r="E970" t="s">
        <v>52</v>
      </c>
      <c r="F970" t="s">
        <v>133</v>
      </c>
      <c r="G970" t="s">
        <v>18</v>
      </c>
      <c r="H970" t="str">
        <f t="shared" si="15"/>
        <v>36.001.04.131.0002.2.005.3.3.90.30.00</v>
      </c>
      <c r="I970" t="s">
        <v>1003</v>
      </c>
      <c r="J970" t="s">
        <v>1004</v>
      </c>
      <c r="K970" t="s">
        <v>21</v>
      </c>
      <c r="L970" t="s">
        <v>313</v>
      </c>
      <c r="M970" t="s">
        <v>58</v>
      </c>
      <c r="N970" t="s">
        <v>134</v>
      </c>
      <c r="O970" t="s">
        <v>25</v>
      </c>
      <c r="Q970" t="s">
        <v>1007</v>
      </c>
      <c r="R970" s="9">
        <v>97680</v>
      </c>
      <c r="S970" t="s">
        <v>27</v>
      </c>
    </row>
    <row r="971" spans="1:19" x14ac:dyDescent="0.25">
      <c r="A971" t="s">
        <v>1002</v>
      </c>
      <c r="B971" t="s">
        <v>13</v>
      </c>
      <c r="C971" s="2" t="s">
        <v>14</v>
      </c>
      <c r="D971" t="s">
        <v>312</v>
      </c>
      <c r="E971" t="s">
        <v>52</v>
      </c>
      <c r="F971" t="s">
        <v>133</v>
      </c>
      <c r="G971" t="s">
        <v>31</v>
      </c>
      <c r="H971" t="str">
        <f t="shared" si="15"/>
        <v>36.001.04.131.0002.2.005.3.3.90.39.00</v>
      </c>
      <c r="I971" t="s">
        <v>1003</v>
      </c>
      <c r="J971" t="s">
        <v>1004</v>
      </c>
      <c r="K971" t="s">
        <v>21</v>
      </c>
      <c r="L971" t="s">
        <v>313</v>
      </c>
      <c r="M971" t="s">
        <v>58</v>
      </c>
      <c r="N971" t="s">
        <v>134</v>
      </c>
      <c r="O971" t="s">
        <v>32</v>
      </c>
      <c r="Q971" t="s">
        <v>1008</v>
      </c>
      <c r="R971" s="9">
        <v>31412.2896</v>
      </c>
      <c r="S971" t="s">
        <v>27</v>
      </c>
    </row>
    <row r="972" spans="1:19" x14ac:dyDescent="0.25">
      <c r="A972" t="s">
        <v>1002</v>
      </c>
      <c r="B972" t="s">
        <v>13</v>
      </c>
      <c r="C972" s="2" t="s">
        <v>14</v>
      </c>
      <c r="D972" t="s">
        <v>312</v>
      </c>
      <c r="E972" t="s">
        <v>52</v>
      </c>
      <c r="F972" t="s">
        <v>133</v>
      </c>
      <c r="G972" t="s">
        <v>31</v>
      </c>
      <c r="H972" t="str">
        <f t="shared" si="15"/>
        <v>36.001.04.131.0002.2.005.3.3.90.39.00</v>
      </c>
      <c r="I972" t="s">
        <v>1003</v>
      </c>
      <c r="J972" t="s">
        <v>1004</v>
      </c>
      <c r="K972" t="s">
        <v>21</v>
      </c>
      <c r="L972" t="s">
        <v>313</v>
      </c>
      <c r="M972" t="s">
        <v>58</v>
      </c>
      <c r="N972" t="s">
        <v>134</v>
      </c>
      <c r="O972" t="s">
        <v>32</v>
      </c>
      <c r="Q972" t="s">
        <v>1009</v>
      </c>
      <c r="R972" s="9">
        <v>49004.39</v>
      </c>
      <c r="S972" t="s">
        <v>27</v>
      </c>
    </row>
    <row r="973" spans="1:19" x14ac:dyDescent="0.25">
      <c r="A973" t="s">
        <v>1002</v>
      </c>
      <c r="B973" t="s">
        <v>13</v>
      </c>
      <c r="C973" s="2" t="s">
        <v>14</v>
      </c>
      <c r="D973" t="s">
        <v>312</v>
      </c>
      <c r="E973" t="s">
        <v>52</v>
      </c>
      <c r="F973" t="s">
        <v>133</v>
      </c>
      <c r="G973" t="s">
        <v>31</v>
      </c>
      <c r="H973" t="str">
        <f t="shared" si="15"/>
        <v>36.001.04.131.0002.2.005.3.3.90.39.00</v>
      </c>
      <c r="I973" t="s">
        <v>1003</v>
      </c>
      <c r="J973" t="s">
        <v>1004</v>
      </c>
      <c r="K973" t="s">
        <v>21</v>
      </c>
      <c r="L973" t="s">
        <v>313</v>
      </c>
      <c r="M973" t="s">
        <v>58</v>
      </c>
      <c r="N973" t="s">
        <v>134</v>
      </c>
      <c r="O973" t="s">
        <v>32</v>
      </c>
      <c r="Q973" t="s">
        <v>1010</v>
      </c>
      <c r="R973" s="9">
        <v>202372.09299999999</v>
      </c>
      <c r="S973" t="s">
        <v>27</v>
      </c>
    </row>
    <row r="974" spans="1:19" x14ac:dyDescent="0.25">
      <c r="A974" t="s">
        <v>1002</v>
      </c>
      <c r="B974" t="s">
        <v>13</v>
      </c>
      <c r="C974" s="2" t="s">
        <v>14</v>
      </c>
      <c r="D974" t="s">
        <v>312</v>
      </c>
      <c r="E974" t="s">
        <v>52</v>
      </c>
      <c r="F974" t="s">
        <v>133</v>
      </c>
      <c r="G974" t="s">
        <v>31</v>
      </c>
      <c r="H974" t="str">
        <f t="shared" si="15"/>
        <v>36.001.04.131.0002.2.005.3.3.90.39.00</v>
      </c>
      <c r="I974" t="s">
        <v>1003</v>
      </c>
      <c r="J974" t="s">
        <v>1004</v>
      </c>
      <c r="K974" t="s">
        <v>21</v>
      </c>
      <c r="L974" t="s">
        <v>313</v>
      </c>
      <c r="M974" t="s">
        <v>58</v>
      </c>
      <c r="N974" t="s">
        <v>134</v>
      </c>
      <c r="O974" t="s">
        <v>32</v>
      </c>
      <c r="Q974" t="s">
        <v>1006</v>
      </c>
      <c r="R974" s="9">
        <v>133200</v>
      </c>
      <c r="S974" t="s">
        <v>27</v>
      </c>
    </row>
    <row r="975" spans="1:19" x14ac:dyDescent="0.25">
      <c r="A975" t="s">
        <v>1002</v>
      </c>
      <c r="B975" t="s">
        <v>13</v>
      </c>
      <c r="C975" s="2" t="s">
        <v>14</v>
      </c>
      <c r="D975" t="s">
        <v>121</v>
      </c>
      <c r="E975" t="s">
        <v>636</v>
      </c>
      <c r="F975" t="s">
        <v>182</v>
      </c>
      <c r="G975" t="s">
        <v>31</v>
      </c>
      <c r="H975" t="str">
        <f t="shared" si="15"/>
        <v>36.001.04.128.0019.2.001.3.3.90.39.00</v>
      </c>
      <c r="I975" t="s">
        <v>1003</v>
      </c>
      <c r="J975" t="s">
        <v>1004</v>
      </c>
      <c r="K975" t="s">
        <v>21</v>
      </c>
      <c r="L975" t="s">
        <v>124</v>
      </c>
      <c r="M975" t="s">
        <v>640</v>
      </c>
      <c r="N975" t="s">
        <v>183</v>
      </c>
      <c r="O975" t="s">
        <v>32</v>
      </c>
      <c r="Q975" t="s">
        <v>1011</v>
      </c>
      <c r="R975" s="9">
        <v>43200</v>
      </c>
      <c r="S975" t="s">
        <v>27</v>
      </c>
    </row>
    <row r="976" spans="1:19" x14ac:dyDescent="0.25">
      <c r="A976" t="s">
        <v>1002</v>
      </c>
      <c r="B976" t="s">
        <v>13</v>
      </c>
      <c r="C976" s="2" t="s">
        <v>165</v>
      </c>
      <c r="D976" t="s">
        <v>1012</v>
      </c>
      <c r="E976" t="s">
        <v>636</v>
      </c>
      <c r="F976" t="s">
        <v>17</v>
      </c>
      <c r="G976" t="s">
        <v>18</v>
      </c>
      <c r="H976" t="str">
        <f t="shared" si="15"/>
        <v>36.001.08.244.0019.2.011.3.3.90.30.00</v>
      </c>
      <c r="I976" t="s">
        <v>1003</v>
      </c>
      <c r="J976" t="s">
        <v>1004</v>
      </c>
      <c r="K976" t="s">
        <v>638</v>
      </c>
      <c r="L976" t="s">
        <v>1013</v>
      </c>
      <c r="M976" t="s">
        <v>640</v>
      </c>
      <c r="N976" t="s">
        <v>24</v>
      </c>
      <c r="O976" t="s">
        <v>25</v>
      </c>
      <c r="Q976" t="s">
        <v>1014</v>
      </c>
      <c r="R976" s="9">
        <v>46857.52</v>
      </c>
      <c r="S976" t="s">
        <v>27</v>
      </c>
    </row>
    <row r="977" spans="1:19" x14ac:dyDescent="0.25">
      <c r="A977" t="s">
        <v>1002</v>
      </c>
      <c r="B977" t="s">
        <v>13</v>
      </c>
      <c r="C977" s="2" t="s">
        <v>165</v>
      </c>
      <c r="D977" t="s">
        <v>1012</v>
      </c>
      <c r="E977" t="s">
        <v>636</v>
      </c>
      <c r="F977" t="s">
        <v>17</v>
      </c>
      <c r="G977" t="s">
        <v>18</v>
      </c>
      <c r="H977" t="str">
        <f t="shared" si="15"/>
        <v>36.001.08.244.0019.2.011.3.3.90.30.00</v>
      </c>
      <c r="I977" t="s">
        <v>1003</v>
      </c>
      <c r="J977" t="s">
        <v>1004</v>
      </c>
      <c r="K977" t="s">
        <v>638</v>
      </c>
      <c r="L977" t="s">
        <v>1013</v>
      </c>
      <c r="M977" t="s">
        <v>640</v>
      </c>
      <c r="N977" t="s">
        <v>24</v>
      </c>
      <c r="O977" t="s">
        <v>25</v>
      </c>
      <c r="Q977" t="s">
        <v>1015</v>
      </c>
      <c r="R977" s="9">
        <v>78825.539999999994</v>
      </c>
      <c r="S977" t="s">
        <v>27</v>
      </c>
    </row>
    <row r="978" spans="1:19" x14ac:dyDescent="0.25">
      <c r="A978" t="s">
        <v>1002</v>
      </c>
      <c r="B978" t="s">
        <v>13</v>
      </c>
      <c r="C978" s="2" t="s">
        <v>165</v>
      </c>
      <c r="D978" t="s">
        <v>1012</v>
      </c>
      <c r="E978" t="s">
        <v>636</v>
      </c>
      <c r="F978" t="s">
        <v>17</v>
      </c>
      <c r="G978" t="s">
        <v>18</v>
      </c>
      <c r="H978" t="str">
        <f t="shared" si="15"/>
        <v>36.001.08.244.0019.2.011.3.3.90.30.00</v>
      </c>
      <c r="I978" t="s">
        <v>1003</v>
      </c>
      <c r="J978" t="s">
        <v>1004</v>
      </c>
      <c r="K978" t="s">
        <v>638</v>
      </c>
      <c r="L978" t="s">
        <v>1013</v>
      </c>
      <c r="M978" t="s">
        <v>640</v>
      </c>
      <c r="N978" t="s">
        <v>24</v>
      </c>
      <c r="O978" t="s">
        <v>25</v>
      </c>
      <c r="Q978" t="s">
        <v>1016</v>
      </c>
      <c r="R978" s="9">
        <v>210466.32</v>
      </c>
      <c r="S978" t="s">
        <v>27</v>
      </c>
    </row>
    <row r="979" spans="1:19" x14ac:dyDescent="0.25">
      <c r="A979" t="s">
        <v>1002</v>
      </c>
      <c r="B979" t="s">
        <v>13</v>
      </c>
      <c r="C979" s="2" t="s">
        <v>165</v>
      </c>
      <c r="D979" t="s">
        <v>1012</v>
      </c>
      <c r="E979" t="s">
        <v>636</v>
      </c>
      <c r="F979" t="s">
        <v>17</v>
      </c>
      <c r="G979" t="s">
        <v>18</v>
      </c>
      <c r="H979" t="str">
        <f t="shared" si="15"/>
        <v>36.001.08.244.0019.2.011.3.3.90.30.00</v>
      </c>
      <c r="I979" t="s">
        <v>1003</v>
      </c>
      <c r="J979" t="s">
        <v>1004</v>
      </c>
      <c r="K979" t="s">
        <v>638</v>
      </c>
      <c r="L979" t="s">
        <v>1013</v>
      </c>
      <c r="M979" t="s">
        <v>640</v>
      </c>
      <c r="N979" t="s">
        <v>24</v>
      </c>
      <c r="O979" t="s">
        <v>25</v>
      </c>
      <c r="Q979" t="s">
        <v>1017</v>
      </c>
      <c r="R979" s="9">
        <v>51388.25</v>
      </c>
      <c r="S979" t="s">
        <v>27</v>
      </c>
    </row>
    <row r="980" spans="1:19" x14ac:dyDescent="0.25">
      <c r="A980" t="s">
        <v>1002</v>
      </c>
      <c r="B980" t="s">
        <v>13</v>
      </c>
      <c r="C980" s="2" t="s">
        <v>165</v>
      </c>
      <c r="D980" t="s">
        <v>1012</v>
      </c>
      <c r="E980" t="s">
        <v>636</v>
      </c>
      <c r="F980" t="s">
        <v>17</v>
      </c>
      <c r="G980" t="s">
        <v>18</v>
      </c>
      <c r="H980" t="str">
        <f t="shared" si="15"/>
        <v>36.001.08.244.0019.2.011.3.3.90.30.00</v>
      </c>
      <c r="I980" t="s">
        <v>1003</v>
      </c>
      <c r="J980" t="s">
        <v>1004</v>
      </c>
      <c r="K980" t="s">
        <v>638</v>
      </c>
      <c r="L980" t="s">
        <v>1013</v>
      </c>
      <c r="M980" t="s">
        <v>640</v>
      </c>
      <c r="N980" t="s">
        <v>24</v>
      </c>
      <c r="O980" t="s">
        <v>25</v>
      </c>
      <c r="Q980" t="s">
        <v>1018</v>
      </c>
      <c r="R980" s="9">
        <v>5894.1</v>
      </c>
      <c r="S980" t="s">
        <v>27</v>
      </c>
    </row>
    <row r="981" spans="1:19" x14ac:dyDescent="0.25">
      <c r="A981" t="s">
        <v>1002</v>
      </c>
      <c r="B981" t="s">
        <v>13</v>
      </c>
      <c r="C981" s="2" t="s">
        <v>165</v>
      </c>
      <c r="D981" t="s">
        <v>1012</v>
      </c>
      <c r="E981" t="s">
        <v>636</v>
      </c>
      <c r="F981" t="s">
        <v>17</v>
      </c>
      <c r="G981" t="s">
        <v>18</v>
      </c>
      <c r="H981" t="str">
        <f t="shared" si="15"/>
        <v>36.001.08.244.0019.2.011.3.3.90.30.00</v>
      </c>
      <c r="I981" t="s">
        <v>1003</v>
      </c>
      <c r="J981" t="s">
        <v>1004</v>
      </c>
      <c r="K981" t="s">
        <v>638</v>
      </c>
      <c r="L981" t="s">
        <v>1013</v>
      </c>
      <c r="M981" t="s">
        <v>640</v>
      </c>
      <c r="N981" t="s">
        <v>24</v>
      </c>
      <c r="O981" t="s">
        <v>25</v>
      </c>
      <c r="Q981" t="s">
        <v>1019</v>
      </c>
      <c r="R981" s="9">
        <v>33559.89</v>
      </c>
      <c r="S981" t="s">
        <v>27</v>
      </c>
    </row>
    <row r="982" spans="1:19" x14ac:dyDescent="0.25">
      <c r="A982" t="s">
        <v>1002</v>
      </c>
      <c r="B982" t="s">
        <v>13</v>
      </c>
      <c r="C982" s="2" t="s">
        <v>165</v>
      </c>
      <c r="D982" t="s">
        <v>1012</v>
      </c>
      <c r="E982" t="s">
        <v>636</v>
      </c>
      <c r="F982" t="s">
        <v>17</v>
      </c>
      <c r="G982" t="s">
        <v>18</v>
      </c>
      <c r="H982" t="str">
        <f t="shared" si="15"/>
        <v>36.001.08.244.0019.2.011.3.3.90.30.00</v>
      </c>
      <c r="I982" t="s">
        <v>1003</v>
      </c>
      <c r="J982" t="s">
        <v>1004</v>
      </c>
      <c r="K982" t="s">
        <v>638</v>
      </c>
      <c r="L982" t="s">
        <v>1013</v>
      </c>
      <c r="M982" t="s">
        <v>640</v>
      </c>
      <c r="N982" t="s">
        <v>24</v>
      </c>
      <c r="O982" t="s">
        <v>25</v>
      </c>
      <c r="Q982" t="s">
        <v>1020</v>
      </c>
      <c r="R982" s="9">
        <v>15196.86</v>
      </c>
      <c r="S982" t="s">
        <v>27</v>
      </c>
    </row>
    <row r="983" spans="1:19" x14ac:dyDescent="0.25">
      <c r="A983" t="s">
        <v>1002</v>
      </c>
      <c r="B983" t="s">
        <v>13</v>
      </c>
      <c r="C983" s="2" t="s">
        <v>165</v>
      </c>
      <c r="D983" t="s">
        <v>1012</v>
      </c>
      <c r="E983" t="s">
        <v>636</v>
      </c>
      <c r="F983" t="s">
        <v>17</v>
      </c>
      <c r="G983" t="s">
        <v>31</v>
      </c>
      <c r="H983" t="str">
        <f t="shared" si="15"/>
        <v>36.001.08.244.0019.2.011.3.3.90.39.00</v>
      </c>
      <c r="I983" t="s">
        <v>1003</v>
      </c>
      <c r="J983" t="s">
        <v>1004</v>
      </c>
      <c r="K983" t="s">
        <v>638</v>
      </c>
      <c r="L983" t="s">
        <v>1013</v>
      </c>
      <c r="M983" t="s">
        <v>640</v>
      </c>
      <c r="N983" t="s">
        <v>24</v>
      </c>
      <c r="O983" t="s">
        <v>32</v>
      </c>
      <c r="Q983" t="s">
        <v>1021</v>
      </c>
      <c r="R983" s="9">
        <v>15000</v>
      </c>
      <c r="S983" t="s">
        <v>27</v>
      </c>
    </row>
    <row r="984" spans="1:19" x14ac:dyDescent="0.25">
      <c r="A984" t="s">
        <v>1002</v>
      </c>
      <c r="B984" t="s">
        <v>13</v>
      </c>
      <c r="C984" s="2" t="s">
        <v>165</v>
      </c>
      <c r="D984" t="s">
        <v>1012</v>
      </c>
      <c r="E984" t="s">
        <v>636</v>
      </c>
      <c r="F984" t="s">
        <v>17</v>
      </c>
      <c r="G984" t="s">
        <v>31</v>
      </c>
      <c r="H984" t="str">
        <f t="shared" si="15"/>
        <v>36.001.08.244.0019.2.011.3.3.90.39.00</v>
      </c>
      <c r="I984" t="s">
        <v>1003</v>
      </c>
      <c r="J984" t="s">
        <v>1004</v>
      </c>
      <c r="K984" t="s">
        <v>638</v>
      </c>
      <c r="L984" t="s">
        <v>1013</v>
      </c>
      <c r="M984" t="s">
        <v>640</v>
      </c>
      <c r="N984" t="s">
        <v>24</v>
      </c>
      <c r="O984" t="s">
        <v>32</v>
      </c>
      <c r="Q984" t="s">
        <v>1022</v>
      </c>
      <c r="R984" s="9">
        <v>68280.47</v>
      </c>
      <c r="S984" t="s">
        <v>27</v>
      </c>
    </row>
    <row r="985" spans="1:19" x14ac:dyDescent="0.25">
      <c r="A985" t="s">
        <v>1002</v>
      </c>
      <c r="B985" t="s">
        <v>13</v>
      </c>
      <c r="C985" s="2" t="s">
        <v>165</v>
      </c>
      <c r="D985" t="s">
        <v>1012</v>
      </c>
      <c r="E985" t="s">
        <v>636</v>
      </c>
      <c r="F985" t="s">
        <v>17</v>
      </c>
      <c r="G985" t="s">
        <v>31</v>
      </c>
      <c r="H985" t="str">
        <f t="shared" si="15"/>
        <v>36.001.08.244.0019.2.011.3.3.90.39.00</v>
      </c>
      <c r="I985" t="s">
        <v>1003</v>
      </c>
      <c r="J985" t="s">
        <v>1004</v>
      </c>
      <c r="K985" t="s">
        <v>638</v>
      </c>
      <c r="L985" t="s">
        <v>1013</v>
      </c>
      <c r="M985" t="s">
        <v>640</v>
      </c>
      <c r="N985" t="s">
        <v>24</v>
      </c>
      <c r="O985" t="s">
        <v>32</v>
      </c>
      <c r="Q985" t="s">
        <v>1023</v>
      </c>
      <c r="R985" s="9">
        <v>19758</v>
      </c>
      <c r="S985" t="s">
        <v>27</v>
      </c>
    </row>
    <row r="986" spans="1:19" x14ac:dyDescent="0.25">
      <c r="A986" t="s">
        <v>1002</v>
      </c>
      <c r="B986" t="s">
        <v>13</v>
      </c>
      <c r="C986" s="2" t="s">
        <v>165</v>
      </c>
      <c r="D986" t="s">
        <v>1012</v>
      </c>
      <c r="E986" t="s">
        <v>636</v>
      </c>
      <c r="F986" t="s">
        <v>17</v>
      </c>
      <c r="G986" t="s">
        <v>69</v>
      </c>
      <c r="H986" t="str">
        <f t="shared" si="15"/>
        <v>36.001.08.244.0019.2.011.3.3.90.93.00</v>
      </c>
      <c r="I986" t="s">
        <v>1003</v>
      </c>
      <c r="J986" t="s">
        <v>1004</v>
      </c>
      <c r="K986" t="s">
        <v>638</v>
      </c>
      <c r="L986" t="s">
        <v>1013</v>
      </c>
      <c r="M986" t="s">
        <v>640</v>
      </c>
      <c r="N986" t="s">
        <v>24</v>
      </c>
      <c r="O986" t="s">
        <v>70</v>
      </c>
      <c r="Q986" t="s">
        <v>1024</v>
      </c>
      <c r="R986" s="9">
        <v>5550</v>
      </c>
      <c r="S986" t="s">
        <v>27</v>
      </c>
    </row>
    <row r="987" spans="1:19" x14ac:dyDescent="0.25">
      <c r="A987" t="s">
        <v>1002</v>
      </c>
      <c r="B987" t="s">
        <v>13</v>
      </c>
      <c r="C987" s="2" t="s">
        <v>165</v>
      </c>
      <c r="D987" t="s">
        <v>1012</v>
      </c>
      <c r="E987" t="s">
        <v>636</v>
      </c>
      <c r="F987" t="s">
        <v>17</v>
      </c>
      <c r="G987" t="s">
        <v>80</v>
      </c>
      <c r="H987" t="str">
        <f t="shared" si="15"/>
        <v>36.001.08.244.0019.2.011.4.4.90.52.00</v>
      </c>
      <c r="I987" t="s">
        <v>1003</v>
      </c>
      <c r="J987" t="s">
        <v>1004</v>
      </c>
      <c r="K987" t="s">
        <v>638</v>
      </c>
      <c r="L987" t="s">
        <v>1013</v>
      </c>
      <c r="M987" t="s">
        <v>640</v>
      </c>
      <c r="N987" t="s">
        <v>24</v>
      </c>
      <c r="O987" t="s">
        <v>81</v>
      </c>
      <c r="Q987" t="s">
        <v>1025</v>
      </c>
      <c r="R987" s="9">
        <v>65994.323999999993</v>
      </c>
      <c r="S987" t="s">
        <v>27</v>
      </c>
    </row>
    <row r="988" spans="1:19" x14ac:dyDescent="0.25">
      <c r="A988" t="s">
        <v>1002</v>
      </c>
      <c r="B988" t="s">
        <v>13</v>
      </c>
      <c r="C988" s="2" t="s">
        <v>165</v>
      </c>
      <c r="D988" t="s">
        <v>1012</v>
      </c>
      <c r="E988" t="s">
        <v>636</v>
      </c>
      <c r="F988" t="s">
        <v>17</v>
      </c>
      <c r="G988" t="s">
        <v>80</v>
      </c>
      <c r="H988" t="str">
        <f t="shared" si="15"/>
        <v>36.001.08.244.0019.2.011.4.4.90.52.00</v>
      </c>
      <c r="I988" t="s">
        <v>1003</v>
      </c>
      <c r="J988" t="s">
        <v>1004</v>
      </c>
      <c r="K988" t="s">
        <v>638</v>
      </c>
      <c r="L988" t="s">
        <v>1013</v>
      </c>
      <c r="M988" t="s">
        <v>640</v>
      </c>
      <c r="N988" t="s">
        <v>24</v>
      </c>
      <c r="O988" t="s">
        <v>81</v>
      </c>
      <c r="Q988" t="s">
        <v>1026</v>
      </c>
      <c r="R988" s="9">
        <v>31740.0504</v>
      </c>
      <c r="S988" t="s">
        <v>27</v>
      </c>
    </row>
    <row r="989" spans="1:19" x14ac:dyDescent="0.25">
      <c r="A989" t="s">
        <v>1002</v>
      </c>
      <c r="B989" t="s">
        <v>13</v>
      </c>
      <c r="C989" s="2" t="s">
        <v>165</v>
      </c>
      <c r="D989" t="s">
        <v>1012</v>
      </c>
      <c r="E989" t="s">
        <v>636</v>
      </c>
      <c r="F989" t="s">
        <v>637</v>
      </c>
      <c r="G989" t="s">
        <v>18</v>
      </c>
      <c r="H989" t="str">
        <f t="shared" si="15"/>
        <v>36.001.08.244.0019.2.024.3.3.90.30.00</v>
      </c>
      <c r="I989" t="s">
        <v>1003</v>
      </c>
      <c r="J989" t="s">
        <v>1004</v>
      </c>
      <c r="K989" t="s">
        <v>638</v>
      </c>
      <c r="L989" t="s">
        <v>1013</v>
      </c>
      <c r="M989" t="s">
        <v>640</v>
      </c>
      <c r="N989" t="s">
        <v>641</v>
      </c>
      <c r="O989" t="s">
        <v>25</v>
      </c>
      <c r="Q989" t="s">
        <v>1027</v>
      </c>
      <c r="R989" s="9">
        <v>66600</v>
      </c>
      <c r="S989" t="s">
        <v>27</v>
      </c>
    </row>
    <row r="990" spans="1:19" x14ac:dyDescent="0.25">
      <c r="A990" t="s">
        <v>1002</v>
      </c>
      <c r="B990" t="s">
        <v>13</v>
      </c>
      <c r="C990" s="2" t="s">
        <v>165</v>
      </c>
      <c r="D990" t="s">
        <v>1012</v>
      </c>
      <c r="E990" t="s">
        <v>636</v>
      </c>
      <c r="F990" t="s">
        <v>637</v>
      </c>
      <c r="G990" t="s">
        <v>263</v>
      </c>
      <c r="H990" t="str">
        <f t="shared" si="15"/>
        <v>36.001.08.244.0019.2.024.3.3.90.32.00</v>
      </c>
      <c r="I990" t="s">
        <v>1003</v>
      </c>
      <c r="J990" t="s">
        <v>1004</v>
      </c>
      <c r="K990" t="s">
        <v>638</v>
      </c>
      <c r="L990" t="s">
        <v>1013</v>
      </c>
      <c r="M990" t="s">
        <v>640</v>
      </c>
      <c r="N990" t="s">
        <v>641</v>
      </c>
      <c r="O990" t="s">
        <v>264</v>
      </c>
      <c r="Q990" t="s">
        <v>1028</v>
      </c>
      <c r="R990" s="9">
        <v>27736.68</v>
      </c>
      <c r="S990" t="s">
        <v>27</v>
      </c>
    </row>
    <row r="991" spans="1:19" x14ac:dyDescent="0.25">
      <c r="A991" t="s">
        <v>1002</v>
      </c>
      <c r="B991" t="s">
        <v>13</v>
      </c>
      <c r="C991" s="2" t="s">
        <v>165</v>
      </c>
      <c r="D991" t="s">
        <v>1012</v>
      </c>
      <c r="E991" t="s">
        <v>636</v>
      </c>
      <c r="F991" t="s">
        <v>637</v>
      </c>
      <c r="G991" t="s">
        <v>263</v>
      </c>
      <c r="H991" t="str">
        <f t="shared" si="15"/>
        <v>36.001.08.244.0019.2.024.3.3.90.32.00</v>
      </c>
      <c r="I991" t="s">
        <v>1003</v>
      </c>
      <c r="J991" t="s">
        <v>1004</v>
      </c>
      <c r="K991" t="s">
        <v>638</v>
      </c>
      <c r="L991" t="s">
        <v>1013</v>
      </c>
      <c r="M991" t="s">
        <v>640</v>
      </c>
      <c r="N991" t="s">
        <v>641</v>
      </c>
      <c r="O991" t="s">
        <v>264</v>
      </c>
      <c r="Q991" t="s">
        <v>1029</v>
      </c>
      <c r="R991" s="9">
        <v>61677.327599999997</v>
      </c>
      <c r="S991" t="s">
        <v>27</v>
      </c>
    </row>
    <row r="992" spans="1:19" x14ac:dyDescent="0.25">
      <c r="A992" t="s">
        <v>1002</v>
      </c>
      <c r="B992" t="s">
        <v>13</v>
      </c>
      <c r="C992" s="2" t="s">
        <v>165</v>
      </c>
      <c r="D992" t="s">
        <v>1012</v>
      </c>
      <c r="E992" t="s">
        <v>636</v>
      </c>
      <c r="F992" t="s">
        <v>17</v>
      </c>
      <c r="G992" t="s">
        <v>18</v>
      </c>
      <c r="H992" t="str">
        <f t="shared" si="15"/>
        <v>36.001.08.244.0019.2.011.3.3.90.30.00</v>
      </c>
      <c r="I992" t="s">
        <v>1003</v>
      </c>
      <c r="J992" t="s">
        <v>1004</v>
      </c>
      <c r="K992" t="s">
        <v>638</v>
      </c>
      <c r="L992" t="s">
        <v>1013</v>
      </c>
      <c r="M992" t="s">
        <v>640</v>
      </c>
      <c r="N992" t="s">
        <v>24</v>
      </c>
      <c r="O992" t="s">
        <v>25</v>
      </c>
      <c r="Q992" t="s">
        <v>1030</v>
      </c>
      <c r="R992" s="9">
        <v>17331.919999999998</v>
      </c>
      <c r="S992" t="s">
        <v>27</v>
      </c>
    </row>
    <row r="993" spans="1:19" x14ac:dyDescent="0.25">
      <c r="A993" t="s">
        <v>1002</v>
      </c>
      <c r="B993" t="s">
        <v>13</v>
      </c>
      <c r="C993" s="2" t="s">
        <v>165</v>
      </c>
      <c r="D993" t="s">
        <v>1012</v>
      </c>
      <c r="E993" t="s">
        <v>636</v>
      </c>
      <c r="F993" t="s">
        <v>139</v>
      </c>
      <c r="G993" t="s">
        <v>31</v>
      </c>
      <c r="H993" t="str">
        <f t="shared" si="15"/>
        <v>36.001.08.244.0019.1.002.3.3.90.39.00</v>
      </c>
      <c r="I993" t="s">
        <v>1003</v>
      </c>
      <c r="J993" t="s">
        <v>1004</v>
      </c>
      <c r="K993" t="s">
        <v>638</v>
      </c>
      <c r="L993" t="s">
        <v>1013</v>
      </c>
      <c r="M993" t="s">
        <v>640</v>
      </c>
      <c r="N993" t="s">
        <v>143</v>
      </c>
      <c r="O993" t="s">
        <v>32</v>
      </c>
      <c r="Q993" t="s">
        <v>1031</v>
      </c>
      <c r="R993" s="9">
        <v>50000</v>
      </c>
      <c r="S993" t="s">
        <v>27</v>
      </c>
    </row>
    <row r="994" spans="1:19" x14ac:dyDescent="0.25">
      <c r="A994" t="s">
        <v>1002</v>
      </c>
      <c r="B994" t="s">
        <v>13</v>
      </c>
      <c r="C994" s="2" t="s">
        <v>165</v>
      </c>
      <c r="D994" t="s">
        <v>1012</v>
      </c>
      <c r="E994" t="s">
        <v>636</v>
      </c>
      <c r="F994" t="s">
        <v>139</v>
      </c>
      <c r="G994" t="s">
        <v>31</v>
      </c>
      <c r="H994" t="str">
        <f t="shared" si="15"/>
        <v>36.001.08.244.0019.1.002.3.3.90.39.00</v>
      </c>
      <c r="I994" t="s">
        <v>1003</v>
      </c>
      <c r="J994" t="s">
        <v>1004</v>
      </c>
      <c r="K994" t="s">
        <v>638</v>
      </c>
      <c r="L994" t="s">
        <v>1013</v>
      </c>
      <c r="M994" t="s">
        <v>640</v>
      </c>
      <c r="N994" t="s">
        <v>143</v>
      </c>
      <c r="O994" t="s">
        <v>32</v>
      </c>
      <c r="Q994" t="s">
        <v>1032</v>
      </c>
      <c r="R994" s="9">
        <v>12000</v>
      </c>
      <c r="S994" t="s">
        <v>27</v>
      </c>
    </row>
    <row r="995" spans="1:19" x14ac:dyDescent="0.25">
      <c r="A995" t="str">
        <f t="shared" ref="A995:A1058" si="16">LEFT(H995,2)</f>
        <v>01</v>
      </c>
      <c r="B995" t="str">
        <f t="shared" ref="B995:B1058" si="17">MID(H995,4,3)</f>
        <v>001</v>
      </c>
      <c r="C995" t="str">
        <f t="shared" ref="C995:C1058" si="18">MID(H995,8,2)</f>
        <v>01</v>
      </c>
      <c r="D995" t="str">
        <f t="shared" ref="D995:D1058" si="19">MID(H995,11,3)</f>
        <v>031</v>
      </c>
      <c r="E995" t="str">
        <f t="shared" ref="E995:E1058" si="20">MID(H995,15,4)</f>
        <v>0003</v>
      </c>
      <c r="F995" t="str">
        <f t="shared" ref="F995:F1058" si="21">MID(H995,20,5)</f>
        <v>2.042</v>
      </c>
      <c r="G995" t="str">
        <f t="shared" ref="G995:G1058" si="22">MID(H995,26,12)</f>
        <v>3.3.90.14.00</v>
      </c>
      <c r="H995" t="s">
        <v>1033</v>
      </c>
      <c r="I995" t="s">
        <v>1034</v>
      </c>
      <c r="J995" t="s">
        <v>20</v>
      </c>
      <c r="K995" t="s">
        <v>2188</v>
      </c>
      <c r="L995" t="s">
        <v>2189</v>
      </c>
      <c r="M995" t="s">
        <v>2190</v>
      </c>
      <c r="N995" t="s">
        <v>2191</v>
      </c>
      <c r="O995" t="str">
        <f>G995</f>
        <v>3.3.90.14.00</v>
      </c>
      <c r="R995" s="25">
        <v>1</v>
      </c>
      <c r="S995" t="s">
        <v>1035</v>
      </c>
    </row>
    <row r="996" spans="1:19" x14ac:dyDescent="0.25">
      <c r="A996" t="str">
        <f t="shared" si="16"/>
        <v>01</v>
      </c>
      <c r="B996" t="str">
        <f t="shared" si="17"/>
        <v>001</v>
      </c>
      <c r="C996" t="str">
        <f t="shared" si="18"/>
        <v>01</v>
      </c>
      <c r="D996" t="str">
        <f t="shared" si="19"/>
        <v>031</v>
      </c>
      <c r="E996" t="str">
        <f t="shared" si="20"/>
        <v>0003</v>
      </c>
      <c r="F996" t="str">
        <f t="shared" si="21"/>
        <v>2.042</v>
      </c>
      <c r="G996" t="str">
        <f t="shared" si="22"/>
        <v>3.3.90.30.00</v>
      </c>
      <c r="H996" t="s">
        <v>1036</v>
      </c>
      <c r="I996" t="s">
        <v>1034</v>
      </c>
      <c r="J996" t="s">
        <v>20</v>
      </c>
      <c r="K996" t="str">
        <f t="shared" ref="K996:K1008" si="23">C996</f>
        <v>01</v>
      </c>
      <c r="L996" t="str">
        <f t="shared" ref="L996:L1008" si="24">D996</f>
        <v>031</v>
      </c>
      <c r="M996" t="str">
        <f t="shared" ref="M996:M1008" si="25">E996</f>
        <v>0003</v>
      </c>
      <c r="N996" t="str">
        <f t="shared" ref="N996:N1008" si="26">F996</f>
        <v>2.042</v>
      </c>
      <c r="O996" t="str">
        <f t="shared" ref="O996:O1058" si="27">VLOOKUP(G996,$G$1:$O$994,9,0)</f>
        <v>3.3.90.30.00-MATERIAL DE CONSUMO</v>
      </c>
      <c r="R996" s="25">
        <v>1575000</v>
      </c>
      <c r="S996" t="s">
        <v>1035</v>
      </c>
    </row>
    <row r="997" spans="1:19" x14ac:dyDescent="0.25">
      <c r="A997" t="str">
        <f t="shared" si="16"/>
        <v>01</v>
      </c>
      <c r="B997" t="str">
        <f t="shared" si="17"/>
        <v>001</v>
      </c>
      <c r="C997" t="str">
        <f t="shared" si="18"/>
        <v>01</v>
      </c>
      <c r="D997" t="str">
        <f t="shared" si="19"/>
        <v>031</v>
      </c>
      <c r="E997" t="str">
        <f t="shared" si="20"/>
        <v>0003</v>
      </c>
      <c r="F997" t="str">
        <f t="shared" si="21"/>
        <v>2.042</v>
      </c>
      <c r="G997" t="str">
        <f t="shared" si="22"/>
        <v>3.3.90.32.00</v>
      </c>
      <c r="H997" t="s">
        <v>1037</v>
      </c>
      <c r="I997" t="s">
        <v>1034</v>
      </c>
      <c r="J997" t="s">
        <v>20</v>
      </c>
      <c r="K997" t="str">
        <f t="shared" si="23"/>
        <v>01</v>
      </c>
      <c r="L997" t="str">
        <f t="shared" si="24"/>
        <v>031</v>
      </c>
      <c r="M997" t="str">
        <f t="shared" si="25"/>
        <v>0003</v>
      </c>
      <c r="N997" t="str">
        <f t="shared" si="26"/>
        <v>2.042</v>
      </c>
      <c r="O997" t="str">
        <f t="shared" si="27"/>
        <v>3.3.90.32.00-MATERIAL, BEM OU SERVIÇO PARA DISTRIBUIÇÃO GRATUITA</v>
      </c>
      <c r="R997" s="25">
        <v>1</v>
      </c>
      <c r="S997" t="s">
        <v>1035</v>
      </c>
    </row>
    <row r="998" spans="1:19" x14ac:dyDescent="0.25">
      <c r="A998" t="str">
        <f t="shared" si="16"/>
        <v>01</v>
      </c>
      <c r="B998" t="str">
        <f t="shared" si="17"/>
        <v>001</v>
      </c>
      <c r="C998" t="str">
        <f t="shared" si="18"/>
        <v>01</v>
      </c>
      <c r="D998" t="str">
        <f t="shared" si="19"/>
        <v>031</v>
      </c>
      <c r="E998" t="str">
        <f t="shared" si="20"/>
        <v>0003</v>
      </c>
      <c r="F998" t="str">
        <f t="shared" si="21"/>
        <v>2.042</v>
      </c>
      <c r="G998" t="str">
        <f t="shared" si="22"/>
        <v>3.3.90.33.00</v>
      </c>
      <c r="H998" t="s">
        <v>1038</v>
      </c>
      <c r="I998" t="s">
        <v>1034</v>
      </c>
      <c r="J998" t="s">
        <v>20</v>
      </c>
      <c r="K998" t="str">
        <f t="shared" si="23"/>
        <v>01</v>
      </c>
      <c r="L998" t="str">
        <f t="shared" si="24"/>
        <v>031</v>
      </c>
      <c r="M998" t="str">
        <f t="shared" si="25"/>
        <v>0003</v>
      </c>
      <c r="N998" t="str">
        <f t="shared" si="26"/>
        <v>2.042</v>
      </c>
      <c r="O998" t="str">
        <f t="shared" si="27"/>
        <v>3.3.90.33.00-PASSAGENS E DESPESAS COM LOCOMOÇÃO</v>
      </c>
      <c r="R998" s="25">
        <v>1</v>
      </c>
      <c r="S998" t="s">
        <v>1035</v>
      </c>
    </row>
    <row r="999" spans="1:19" x14ac:dyDescent="0.25">
      <c r="A999" t="str">
        <f t="shared" si="16"/>
        <v>01</v>
      </c>
      <c r="B999" t="str">
        <f t="shared" si="17"/>
        <v>001</v>
      </c>
      <c r="C999" t="str">
        <f t="shared" si="18"/>
        <v>01</v>
      </c>
      <c r="D999" t="str">
        <f t="shared" si="19"/>
        <v>031</v>
      </c>
      <c r="E999" t="str">
        <f t="shared" si="20"/>
        <v>0003</v>
      </c>
      <c r="F999" t="str">
        <f t="shared" si="21"/>
        <v>2.042</v>
      </c>
      <c r="G999" t="str">
        <f t="shared" si="22"/>
        <v>3.3.90.35.00</v>
      </c>
      <c r="H999" t="s">
        <v>1039</v>
      </c>
      <c r="I999" t="s">
        <v>1034</v>
      </c>
      <c r="J999" t="s">
        <v>20</v>
      </c>
      <c r="K999" t="str">
        <f t="shared" si="23"/>
        <v>01</v>
      </c>
      <c r="L999" t="str">
        <f t="shared" si="24"/>
        <v>031</v>
      </c>
      <c r="M999" t="str">
        <f t="shared" si="25"/>
        <v>0003</v>
      </c>
      <c r="N999" t="str">
        <f t="shared" si="26"/>
        <v>2.042</v>
      </c>
      <c r="O999" t="str">
        <f t="shared" si="27"/>
        <v>3.3.90.35.00-SERVIÇOS DE CONSULTORIA</v>
      </c>
      <c r="R999" s="25">
        <v>1</v>
      </c>
      <c r="S999" t="s">
        <v>1035</v>
      </c>
    </row>
    <row r="1000" spans="1:19" x14ac:dyDescent="0.25">
      <c r="A1000" t="str">
        <f t="shared" si="16"/>
        <v>01</v>
      </c>
      <c r="B1000" t="str">
        <f t="shared" si="17"/>
        <v>001</v>
      </c>
      <c r="C1000" t="str">
        <f t="shared" si="18"/>
        <v>01</v>
      </c>
      <c r="D1000" t="str">
        <f t="shared" si="19"/>
        <v>031</v>
      </c>
      <c r="E1000" t="str">
        <f t="shared" si="20"/>
        <v>0003</v>
      </c>
      <c r="F1000" t="str">
        <f t="shared" si="21"/>
        <v>2.042</v>
      </c>
      <c r="G1000" t="str">
        <f t="shared" si="22"/>
        <v>3.3.90.37.00</v>
      </c>
      <c r="H1000" t="s">
        <v>1040</v>
      </c>
      <c r="I1000" t="s">
        <v>1034</v>
      </c>
      <c r="J1000" t="s">
        <v>20</v>
      </c>
      <c r="K1000" t="str">
        <f t="shared" si="23"/>
        <v>01</v>
      </c>
      <c r="L1000" t="str">
        <f t="shared" si="24"/>
        <v>031</v>
      </c>
      <c r="M1000" t="str">
        <f t="shared" si="25"/>
        <v>0003</v>
      </c>
      <c r="N1000" t="str">
        <f t="shared" si="26"/>
        <v>2.042</v>
      </c>
      <c r="O1000" t="str">
        <f>G1000</f>
        <v>3.3.90.37.00</v>
      </c>
      <c r="R1000" s="25">
        <v>1</v>
      </c>
      <c r="S1000" t="s">
        <v>1035</v>
      </c>
    </row>
    <row r="1001" spans="1:19" x14ac:dyDescent="0.25">
      <c r="A1001" t="str">
        <f t="shared" si="16"/>
        <v>01</v>
      </c>
      <c r="B1001" t="str">
        <f t="shared" si="17"/>
        <v>001</v>
      </c>
      <c r="C1001" t="str">
        <f t="shared" si="18"/>
        <v>01</v>
      </c>
      <c r="D1001" t="str">
        <f t="shared" si="19"/>
        <v>031</v>
      </c>
      <c r="E1001" t="str">
        <f t="shared" si="20"/>
        <v>0003</v>
      </c>
      <c r="F1001" t="str">
        <f t="shared" si="21"/>
        <v>2.042</v>
      </c>
      <c r="G1001" t="str">
        <f t="shared" si="22"/>
        <v>3.3.90.39.00</v>
      </c>
      <c r="H1001" t="s">
        <v>1041</v>
      </c>
      <c r="I1001" t="s">
        <v>1034</v>
      </c>
      <c r="J1001" t="s">
        <v>20</v>
      </c>
      <c r="K1001" t="str">
        <f t="shared" si="23"/>
        <v>01</v>
      </c>
      <c r="L1001" t="str">
        <f t="shared" si="24"/>
        <v>031</v>
      </c>
      <c r="M1001" t="str">
        <f t="shared" si="25"/>
        <v>0003</v>
      </c>
      <c r="N1001" t="str">
        <f t="shared" si="26"/>
        <v>2.042</v>
      </c>
      <c r="O1001" t="str">
        <f t="shared" si="27"/>
        <v>3.3.90.39.00-OUTROS SERVIÇOS DE TERCEIROS - PESSOA JURÍDICA</v>
      </c>
      <c r="R1001" s="25">
        <v>35000000</v>
      </c>
      <c r="S1001" t="s">
        <v>1035</v>
      </c>
    </row>
    <row r="1002" spans="1:19" x14ac:dyDescent="0.25">
      <c r="A1002" t="str">
        <f t="shared" si="16"/>
        <v>01</v>
      </c>
      <c r="B1002" t="str">
        <f t="shared" si="17"/>
        <v>001</v>
      </c>
      <c r="C1002" t="str">
        <f t="shared" si="18"/>
        <v>01</v>
      </c>
      <c r="D1002" t="str">
        <f t="shared" si="19"/>
        <v>031</v>
      </c>
      <c r="E1002" t="str">
        <f t="shared" si="20"/>
        <v>0003</v>
      </c>
      <c r="F1002" t="str">
        <f t="shared" si="21"/>
        <v>2.042</v>
      </c>
      <c r="G1002" t="str">
        <f t="shared" si="22"/>
        <v>3.3.90.40.00</v>
      </c>
      <c r="H1002" t="s">
        <v>1042</v>
      </c>
      <c r="I1002" t="s">
        <v>1034</v>
      </c>
      <c r="J1002" t="s">
        <v>20</v>
      </c>
      <c r="K1002" t="str">
        <f t="shared" si="23"/>
        <v>01</v>
      </c>
      <c r="L1002" t="str">
        <f t="shared" si="24"/>
        <v>031</v>
      </c>
      <c r="M1002" t="str">
        <f t="shared" si="25"/>
        <v>0003</v>
      </c>
      <c r="N1002" t="str">
        <f t="shared" si="26"/>
        <v>2.042</v>
      </c>
      <c r="O1002" t="str">
        <f t="shared" si="27"/>
        <v>3.3.90.40.00-SERVIÇOS DE TECNOLOGIA DA INFORMAÇÃO E COMUNICAÇÃO - PESSOA JURÍDICA</v>
      </c>
      <c r="R1002" s="25">
        <v>5000000</v>
      </c>
      <c r="S1002" t="s">
        <v>1035</v>
      </c>
    </row>
    <row r="1003" spans="1:19" x14ac:dyDescent="0.25">
      <c r="A1003" t="str">
        <f t="shared" si="16"/>
        <v>01</v>
      </c>
      <c r="B1003" t="str">
        <f t="shared" si="17"/>
        <v>001</v>
      </c>
      <c r="C1003" t="str">
        <f t="shared" si="18"/>
        <v>01</v>
      </c>
      <c r="D1003" t="str">
        <f t="shared" si="19"/>
        <v>031</v>
      </c>
      <c r="E1003" t="str">
        <f t="shared" si="20"/>
        <v>0003</v>
      </c>
      <c r="F1003" t="str">
        <f t="shared" si="21"/>
        <v>2.042</v>
      </c>
      <c r="G1003" t="str">
        <f t="shared" si="22"/>
        <v>3.3.90.47.00</v>
      </c>
      <c r="H1003" t="s">
        <v>1043</v>
      </c>
      <c r="I1003" t="s">
        <v>1034</v>
      </c>
      <c r="J1003" t="s">
        <v>20</v>
      </c>
      <c r="K1003" t="str">
        <f t="shared" si="23"/>
        <v>01</v>
      </c>
      <c r="L1003" t="str">
        <f t="shared" si="24"/>
        <v>031</v>
      </c>
      <c r="M1003" t="str">
        <f t="shared" si="25"/>
        <v>0003</v>
      </c>
      <c r="N1003" t="str">
        <f t="shared" si="26"/>
        <v>2.042</v>
      </c>
      <c r="O1003" t="str">
        <f>G1003</f>
        <v>3.3.90.47.00</v>
      </c>
      <c r="R1003" s="25">
        <v>1</v>
      </c>
      <c r="S1003" t="s">
        <v>1035</v>
      </c>
    </row>
    <row r="1004" spans="1:19" x14ac:dyDescent="0.25">
      <c r="A1004" t="str">
        <f t="shared" si="16"/>
        <v>01</v>
      </c>
      <c r="B1004" t="str">
        <f t="shared" si="17"/>
        <v>001</v>
      </c>
      <c r="C1004" t="str">
        <f t="shared" si="18"/>
        <v>01</v>
      </c>
      <c r="D1004" t="str">
        <f t="shared" si="19"/>
        <v>031</v>
      </c>
      <c r="E1004" t="str">
        <f t="shared" si="20"/>
        <v>0003</v>
      </c>
      <c r="F1004" t="str">
        <f t="shared" si="21"/>
        <v>2.042</v>
      </c>
      <c r="G1004" t="str">
        <f t="shared" si="22"/>
        <v>3.3.90.48.00</v>
      </c>
      <c r="H1004" t="s">
        <v>1044</v>
      </c>
      <c r="I1004" t="s">
        <v>1034</v>
      </c>
      <c r="J1004" t="s">
        <v>20</v>
      </c>
      <c r="K1004" t="str">
        <f t="shared" si="23"/>
        <v>01</v>
      </c>
      <c r="L1004" t="str">
        <f t="shared" si="24"/>
        <v>031</v>
      </c>
      <c r="M1004" t="str">
        <f t="shared" si="25"/>
        <v>0003</v>
      </c>
      <c r="N1004" t="str">
        <f t="shared" si="26"/>
        <v>2.042</v>
      </c>
      <c r="O1004" t="str">
        <f t="shared" si="27"/>
        <v>3.3.90.48.00 - OUTROS AUXILIOS FINANCEIROS A PESSOAS FISICAS</v>
      </c>
      <c r="R1004" s="25">
        <v>189300</v>
      </c>
      <c r="S1004" t="s">
        <v>1035</v>
      </c>
    </row>
    <row r="1005" spans="1:19" x14ac:dyDescent="0.25">
      <c r="A1005" t="str">
        <f t="shared" si="16"/>
        <v>01</v>
      </c>
      <c r="B1005" t="str">
        <f t="shared" si="17"/>
        <v>001</v>
      </c>
      <c r="C1005" t="str">
        <f t="shared" si="18"/>
        <v>01</v>
      </c>
      <c r="D1005" t="str">
        <f t="shared" si="19"/>
        <v>031</v>
      </c>
      <c r="E1005" t="str">
        <f t="shared" si="20"/>
        <v>0003</v>
      </c>
      <c r="F1005" t="str">
        <f t="shared" si="21"/>
        <v>2.042</v>
      </c>
      <c r="G1005" t="str">
        <f t="shared" si="22"/>
        <v>3.3.90.92.00</v>
      </c>
      <c r="H1005" t="s">
        <v>1045</v>
      </c>
      <c r="I1005" t="s">
        <v>1034</v>
      </c>
      <c r="J1005" t="s">
        <v>20</v>
      </c>
      <c r="K1005" t="str">
        <f t="shared" si="23"/>
        <v>01</v>
      </c>
      <c r="L1005" t="str">
        <f t="shared" si="24"/>
        <v>031</v>
      </c>
      <c r="M1005" t="str">
        <f t="shared" si="25"/>
        <v>0003</v>
      </c>
      <c r="N1005" t="str">
        <f t="shared" si="26"/>
        <v>2.042</v>
      </c>
      <c r="O1005" t="str">
        <f t="shared" si="27"/>
        <v>3.3.90.92.00-DESPESAS DE EXERCÍCIOS ANTERIORES</v>
      </c>
      <c r="R1005" s="25">
        <v>1</v>
      </c>
      <c r="S1005" t="s">
        <v>1035</v>
      </c>
    </row>
    <row r="1006" spans="1:19" x14ac:dyDescent="0.25">
      <c r="A1006" t="str">
        <f t="shared" si="16"/>
        <v>01</v>
      </c>
      <c r="B1006" t="str">
        <f t="shared" si="17"/>
        <v>001</v>
      </c>
      <c r="C1006" t="str">
        <f t="shared" si="18"/>
        <v>01</v>
      </c>
      <c r="D1006" t="str">
        <f t="shared" si="19"/>
        <v>031</v>
      </c>
      <c r="E1006" t="str">
        <f t="shared" si="20"/>
        <v>0003</v>
      </c>
      <c r="F1006" t="str">
        <f t="shared" si="21"/>
        <v>2.042</v>
      </c>
      <c r="G1006" t="str">
        <f t="shared" si="22"/>
        <v>3.3.90.93.00</v>
      </c>
      <c r="H1006" t="s">
        <v>1046</v>
      </c>
      <c r="I1006" t="s">
        <v>1034</v>
      </c>
      <c r="J1006" t="s">
        <v>20</v>
      </c>
      <c r="K1006" t="str">
        <f t="shared" si="23"/>
        <v>01</v>
      </c>
      <c r="L1006" t="str">
        <f t="shared" si="24"/>
        <v>031</v>
      </c>
      <c r="M1006" t="str">
        <f t="shared" si="25"/>
        <v>0003</v>
      </c>
      <c r="N1006" t="str">
        <f t="shared" si="26"/>
        <v>2.042</v>
      </c>
      <c r="O1006" t="str">
        <f t="shared" si="27"/>
        <v>3.3.90.93.00-INDENIZAÇÕES E RESTITUIÇÕES</v>
      </c>
      <c r="R1006" s="25">
        <v>1</v>
      </c>
      <c r="S1006" t="s">
        <v>1035</v>
      </c>
    </row>
    <row r="1007" spans="1:19" x14ac:dyDescent="0.25">
      <c r="A1007" t="str">
        <f t="shared" si="16"/>
        <v>01</v>
      </c>
      <c r="B1007" t="str">
        <f t="shared" si="17"/>
        <v>001</v>
      </c>
      <c r="C1007" t="str">
        <f t="shared" si="18"/>
        <v>01</v>
      </c>
      <c r="D1007" t="str">
        <f t="shared" si="19"/>
        <v>031</v>
      </c>
      <c r="E1007" t="str">
        <f t="shared" si="20"/>
        <v>0003</v>
      </c>
      <c r="F1007" t="str">
        <f t="shared" si="21"/>
        <v>2.042</v>
      </c>
      <c r="G1007" t="str">
        <f t="shared" si="22"/>
        <v>4.4.50.52.00</v>
      </c>
      <c r="H1007" t="s">
        <v>1047</v>
      </c>
      <c r="I1007" t="s">
        <v>1034</v>
      </c>
      <c r="J1007" t="s">
        <v>20</v>
      </c>
      <c r="K1007" t="str">
        <f t="shared" si="23"/>
        <v>01</v>
      </c>
      <c r="L1007" t="str">
        <f t="shared" si="24"/>
        <v>031</v>
      </c>
      <c r="M1007" t="str">
        <f t="shared" si="25"/>
        <v>0003</v>
      </c>
      <c r="N1007" t="str">
        <f t="shared" si="26"/>
        <v>2.042</v>
      </c>
      <c r="O1007" t="str">
        <f t="shared" si="27"/>
        <v>4.4.50.52.00-EQUIPAMENTOS E MATERIAL PERMANENTE</v>
      </c>
      <c r="R1007" s="25">
        <v>2100000</v>
      </c>
      <c r="S1007" t="s">
        <v>1035</v>
      </c>
    </row>
    <row r="1008" spans="1:19" x14ac:dyDescent="0.25">
      <c r="A1008" t="str">
        <f t="shared" si="16"/>
        <v>01</v>
      </c>
      <c r="B1008" t="str">
        <f t="shared" si="17"/>
        <v>001</v>
      </c>
      <c r="C1008" t="str">
        <f t="shared" si="18"/>
        <v>01</v>
      </c>
      <c r="D1008" t="str">
        <f t="shared" si="19"/>
        <v>031</v>
      </c>
      <c r="E1008" t="str">
        <f t="shared" si="20"/>
        <v>0003</v>
      </c>
      <c r="F1008" t="str">
        <f t="shared" si="21"/>
        <v>2.042</v>
      </c>
      <c r="G1008" t="str">
        <f t="shared" si="22"/>
        <v>4.4.90.92.00</v>
      </c>
      <c r="H1008" t="s">
        <v>1048</v>
      </c>
      <c r="I1008" t="s">
        <v>1034</v>
      </c>
      <c r="J1008" t="s">
        <v>20</v>
      </c>
      <c r="K1008" t="str">
        <f t="shared" si="23"/>
        <v>01</v>
      </c>
      <c r="L1008" t="str">
        <f t="shared" si="24"/>
        <v>031</v>
      </c>
      <c r="M1008" t="str">
        <f t="shared" si="25"/>
        <v>0003</v>
      </c>
      <c r="N1008" t="str">
        <f t="shared" si="26"/>
        <v>2.042</v>
      </c>
      <c r="O1008" t="str">
        <f>G1008</f>
        <v>4.4.90.92.00</v>
      </c>
      <c r="R1008" s="25">
        <v>1</v>
      </c>
      <c r="S1008" t="s">
        <v>1035</v>
      </c>
    </row>
    <row r="1009" spans="1:19" x14ac:dyDescent="0.25">
      <c r="A1009" t="str">
        <f t="shared" si="16"/>
        <v>02</v>
      </c>
      <c r="B1009" t="str">
        <f t="shared" si="17"/>
        <v>001</v>
      </c>
      <c r="C1009" t="str">
        <f t="shared" si="18"/>
        <v>04</v>
      </c>
      <c r="D1009" t="str">
        <f t="shared" si="19"/>
        <v>122</v>
      </c>
      <c r="E1009" t="str">
        <f t="shared" si="20"/>
        <v>0001</v>
      </c>
      <c r="F1009" t="str">
        <f t="shared" si="21"/>
        <v>2.006</v>
      </c>
      <c r="G1009" t="str">
        <f t="shared" si="22"/>
        <v>3.3.90.33.00</v>
      </c>
      <c r="H1009" t="s">
        <v>1049</v>
      </c>
      <c r="I1009" t="str">
        <f t="shared" ref="I1009:I1072" si="28">VLOOKUP(A1009,$A$1:$O$994,9,0)</f>
        <v>02 - GABINETE DO PREFEITO</v>
      </c>
      <c r="J1009" t="s">
        <v>20</v>
      </c>
      <c r="K1009" t="str">
        <f t="shared" ref="K1009:K1058" si="29">VLOOKUP(C1009,$C$1:$O$994,9,0)</f>
        <v>4-ADMINISTRAÇÃO</v>
      </c>
      <c r="L1009" t="str">
        <f t="shared" ref="L1009:L1058" si="30">VLOOKUP(D1009,$D$1:$O$994,9,0)</f>
        <v>122-ADMINISTRAÇÃO GERAL</v>
      </c>
      <c r="M1009" t="str">
        <f t="shared" ref="M1009:M1058" si="31">VLOOKUP(E1009,$E$1:$O$994,9,0)</f>
        <v>0001-Administração e Coordenação Geral​</v>
      </c>
      <c r="N1009" t="str">
        <f t="shared" ref="N1009:N1058" si="32">VLOOKUP(F1009,$F$1:$O$994,9,0)</f>
        <v xml:space="preserve">2.006-Representações Oficiais </v>
      </c>
      <c r="O1009" t="str">
        <f t="shared" si="27"/>
        <v>3.3.90.33.00-PASSAGENS E DESPESAS COM LOCOMOÇÃO</v>
      </c>
      <c r="R1009" s="25">
        <v>1</v>
      </c>
      <c r="S1009" t="s">
        <v>1035</v>
      </c>
    </row>
    <row r="1010" spans="1:19" x14ac:dyDescent="0.25">
      <c r="A1010" t="str">
        <f t="shared" si="16"/>
        <v>02</v>
      </c>
      <c r="B1010" t="str">
        <f t="shared" si="17"/>
        <v>001</v>
      </c>
      <c r="C1010" t="str">
        <f t="shared" si="18"/>
        <v>04</v>
      </c>
      <c r="D1010" t="str">
        <f t="shared" si="19"/>
        <v>122</v>
      </c>
      <c r="E1010" t="str">
        <f t="shared" si="20"/>
        <v>0001</v>
      </c>
      <c r="F1010" t="str">
        <f t="shared" si="21"/>
        <v>2.006</v>
      </c>
      <c r="G1010" t="str">
        <f t="shared" si="22"/>
        <v>3.3.90.39.00</v>
      </c>
      <c r="H1010" t="s">
        <v>1050</v>
      </c>
      <c r="I1010" t="str">
        <f t="shared" si="28"/>
        <v>02 - GABINETE DO PREFEITO</v>
      </c>
      <c r="J1010" t="s">
        <v>20</v>
      </c>
      <c r="K1010" t="str">
        <f t="shared" si="29"/>
        <v>4-ADMINISTRAÇÃO</v>
      </c>
      <c r="L1010" t="str">
        <f t="shared" si="30"/>
        <v>122-ADMINISTRAÇÃO GERAL</v>
      </c>
      <c r="M1010" t="str">
        <f t="shared" si="31"/>
        <v>0001-Administração e Coordenação Geral​</v>
      </c>
      <c r="N1010" t="str">
        <f t="shared" si="32"/>
        <v xml:space="preserve">2.006-Representações Oficiais </v>
      </c>
      <c r="O1010" t="str">
        <f t="shared" si="27"/>
        <v>3.3.90.39.00-OUTROS SERVIÇOS DE TERCEIROS - PESSOA JURÍDICA</v>
      </c>
      <c r="R1010" s="25">
        <v>1</v>
      </c>
      <c r="S1010" t="s">
        <v>1035</v>
      </c>
    </row>
    <row r="1011" spans="1:19" x14ac:dyDescent="0.25">
      <c r="A1011" t="str">
        <f t="shared" si="16"/>
        <v>02</v>
      </c>
      <c r="B1011" t="str">
        <f t="shared" si="17"/>
        <v>001</v>
      </c>
      <c r="C1011" t="str">
        <f t="shared" si="18"/>
        <v>04</v>
      </c>
      <c r="D1011" t="str">
        <f t="shared" si="19"/>
        <v>122</v>
      </c>
      <c r="E1011" t="str">
        <f t="shared" si="20"/>
        <v>0001</v>
      </c>
      <c r="F1011" t="str">
        <f t="shared" si="21"/>
        <v>2.011</v>
      </c>
      <c r="G1011" t="str">
        <f t="shared" si="22"/>
        <v>3.1.71.70.00</v>
      </c>
      <c r="H1011" t="s">
        <v>1051</v>
      </c>
      <c r="I1011" t="str">
        <f t="shared" si="28"/>
        <v>02 - GABINETE DO PREFEITO</v>
      </c>
      <c r="J1011" t="s">
        <v>20</v>
      </c>
      <c r="K1011" t="str">
        <f t="shared" si="29"/>
        <v>4-ADMINISTRAÇÃO</v>
      </c>
      <c r="L1011" t="str">
        <f t="shared" si="30"/>
        <v>122-ADMINISTRAÇÃO GERAL</v>
      </c>
      <c r="M1011" t="str">
        <f t="shared" si="31"/>
        <v>0001-Administração e Coordenação Geral​</v>
      </c>
      <c r="N1011" t="str">
        <f t="shared" si="32"/>
        <v xml:space="preserve">2.011-Manutenção de Equipamentos Públicos </v>
      </c>
      <c r="O1011" t="str">
        <f t="shared" si="27"/>
        <v>3.1.71.70.00-RATEIO PELA PARTICIPAÇÃO EM CONSÓRCIO PÚBLICO</v>
      </c>
      <c r="R1011" s="25">
        <v>580914.21675599995</v>
      </c>
      <c r="S1011" t="s">
        <v>1035</v>
      </c>
    </row>
    <row r="1012" spans="1:19" x14ac:dyDescent="0.25">
      <c r="A1012" t="str">
        <f t="shared" si="16"/>
        <v>02</v>
      </c>
      <c r="B1012" t="str">
        <f t="shared" si="17"/>
        <v>001</v>
      </c>
      <c r="C1012" t="str">
        <f t="shared" si="18"/>
        <v>04</v>
      </c>
      <c r="D1012" t="str">
        <f t="shared" si="19"/>
        <v>122</v>
      </c>
      <c r="E1012" t="str">
        <f t="shared" si="20"/>
        <v>0001</v>
      </c>
      <c r="F1012" t="str">
        <f t="shared" si="21"/>
        <v>2.011</v>
      </c>
      <c r="G1012" t="str">
        <f t="shared" si="22"/>
        <v>3.3.71.70.00</v>
      </c>
      <c r="H1012" t="s">
        <v>1052</v>
      </c>
      <c r="I1012" t="str">
        <f t="shared" si="28"/>
        <v>02 - GABINETE DO PREFEITO</v>
      </c>
      <c r="J1012" t="s">
        <v>20</v>
      </c>
      <c r="K1012" t="str">
        <f t="shared" si="29"/>
        <v>4-ADMINISTRAÇÃO</v>
      </c>
      <c r="L1012" t="str">
        <f t="shared" si="30"/>
        <v>122-ADMINISTRAÇÃO GERAL</v>
      </c>
      <c r="M1012" t="str">
        <f t="shared" si="31"/>
        <v>0001-Administração e Coordenação Geral​</v>
      </c>
      <c r="N1012" t="str">
        <f t="shared" si="32"/>
        <v xml:space="preserve">2.011-Manutenção de Equipamentos Públicos </v>
      </c>
      <c r="O1012" t="str">
        <f t="shared" si="27"/>
        <v>3.3.71.70.00-RATEIO PELA PARTICIPAÇÃO EM CONSÓRCIO PÚBLICO</v>
      </c>
      <c r="R1012" s="25">
        <v>2323656.6176400003</v>
      </c>
      <c r="S1012" t="s">
        <v>1035</v>
      </c>
    </row>
    <row r="1013" spans="1:19" x14ac:dyDescent="0.25">
      <c r="A1013" t="str">
        <f t="shared" si="16"/>
        <v>02</v>
      </c>
      <c r="B1013" t="str">
        <f t="shared" si="17"/>
        <v>001</v>
      </c>
      <c r="C1013" t="str">
        <f t="shared" si="18"/>
        <v>04</v>
      </c>
      <c r="D1013" t="str">
        <f t="shared" si="19"/>
        <v>122</v>
      </c>
      <c r="E1013" t="str">
        <f t="shared" si="20"/>
        <v>0001</v>
      </c>
      <c r="F1013" t="str">
        <f t="shared" si="21"/>
        <v>2.011</v>
      </c>
      <c r="G1013" t="str">
        <f t="shared" si="22"/>
        <v>3.3.90.30.00</v>
      </c>
      <c r="H1013" t="s">
        <v>1053</v>
      </c>
      <c r="I1013" t="str">
        <f t="shared" si="28"/>
        <v>02 - GABINETE DO PREFEITO</v>
      </c>
      <c r="J1013" t="s">
        <v>20</v>
      </c>
      <c r="K1013" t="str">
        <f t="shared" si="29"/>
        <v>4-ADMINISTRAÇÃO</v>
      </c>
      <c r="L1013" t="str">
        <f t="shared" si="30"/>
        <v>122-ADMINISTRAÇÃO GERAL</v>
      </c>
      <c r="M1013" t="str">
        <f t="shared" si="31"/>
        <v>0001-Administração e Coordenação Geral​</v>
      </c>
      <c r="N1013" t="str">
        <f t="shared" si="32"/>
        <v xml:space="preserve">2.011-Manutenção de Equipamentos Públicos </v>
      </c>
      <c r="O1013" t="str">
        <f t="shared" si="27"/>
        <v>3.3.90.30.00-MATERIAL DE CONSUMO</v>
      </c>
      <c r="R1013" s="25">
        <v>84686.65</v>
      </c>
      <c r="S1013" t="s">
        <v>1035</v>
      </c>
    </row>
    <row r="1014" spans="1:19" x14ac:dyDescent="0.25">
      <c r="A1014" t="str">
        <f t="shared" si="16"/>
        <v>02</v>
      </c>
      <c r="B1014" t="str">
        <f t="shared" si="17"/>
        <v>001</v>
      </c>
      <c r="C1014" t="str">
        <f t="shared" si="18"/>
        <v>04</v>
      </c>
      <c r="D1014" t="str">
        <f t="shared" si="19"/>
        <v>122</v>
      </c>
      <c r="E1014" t="str">
        <f t="shared" si="20"/>
        <v>0001</v>
      </c>
      <c r="F1014" t="str">
        <f t="shared" si="21"/>
        <v>2.011</v>
      </c>
      <c r="G1014" t="str">
        <f t="shared" si="22"/>
        <v>3.3.90.39.00</v>
      </c>
      <c r="H1014" t="s">
        <v>1054</v>
      </c>
      <c r="I1014" t="str">
        <f t="shared" si="28"/>
        <v>02 - GABINETE DO PREFEITO</v>
      </c>
      <c r="J1014" t="s">
        <v>20</v>
      </c>
      <c r="K1014" t="str">
        <f t="shared" si="29"/>
        <v>4-ADMINISTRAÇÃO</v>
      </c>
      <c r="L1014" t="str">
        <f t="shared" si="30"/>
        <v>122-ADMINISTRAÇÃO GERAL</v>
      </c>
      <c r="M1014" t="str">
        <f t="shared" si="31"/>
        <v>0001-Administração e Coordenação Geral​</v>
      </c>
      <c r="N1014" t="str">
        <f t="shared" si="32"/>
        <v xml:space="preserve">2.011-Manutenção de Equipamentos Públicos </v>
      </c>
      <c r="O1014" t="str">
        <f t="shared" si="27"/>
        <v>3.3.90.39.00-OUTROS SERVIÇOS DE TERCEIROS - PESSOA JURÍDICA</v>
      </c>
      <c r="R1014" s="25">
        <v>323037.1434</v>
      </c>
      <c r="S1014" t="s">
        <v>1035</v>
      </c>
    </row>
    <row r="1015" spans="1:19" x14ac:dyDescent="0.25">
      <c r="A1015" t="str">
        <f t="shared" si="16"/>
        <v>02</v>
      </c>
      <c r="B1015" t="str">
        <f t="shared" si="17"/>
        <v>001</v>
      </c>
      <c r="C1015" t="str">
        <f t="shared" si="18"/>
        <v>04</v>
      </c>
      <c r="D1015" t="str">
        <f t="shared" si="19"/>
        <v>131</v>
      </c>
      <c r="E1015" t="str">
        <f t="shared" si="20"/>
        <v>0002</v>
      </c>
      <c r="F1015" t="str">
        <f t="shared" si="21"/>
        <v>2.005</v>
      </c>
      <c r="G1015" t="str">
        <f t="shared" si="22"/>
        <v>3.3.90.30.00</v>
      </c>
      <c r="H1015" t="s">
        <v>1055</v>
      </c>
      <c r="I1015" t="str">
        <f t="shared" si="28"/>
        <v>02 - GABINETE DO PREFEITO</v>
      </c>
      <c r="J1015" t="s">
        <v>20</v>
      </c>
      <c r="K1015" t="str">
        <f t="shared" si="29"/>
        <v>4-ADMINISTRAÇÃO</v>
      </c>
      <c r="L1015" t="str">
        <f t="shared" si="30"/>
        <v>131-COMUNICAÇÃO SOCIAL</v>
      </c>
      <c r="M1015" t="str">
        <f t="shared" si="31"/>
        <v>0002-Governo Inteligente, Aberto e Inovador​</v>
      </c>
      <c r="N1015" t="str">
        <f t="shared" si="32"/>
        <v xml:space="preserve">2.005-Promoção de Eventos, Comunicação e Participação Social </v>
      </c>
      <c r="O1015" t="str">
        <f t="shared" si="27"/>
        <v>3.3.90.30.00-MATERIAL DE CONSUMO</v>
      </c>
      <c r="R1015" s="25">
        <v>5195.5</v>
      </c>
      <c r="S1015" t="s">
        <v>1035</v>
      </c>
    </row>
    <row r="1016" spans="1:19" x14ac:dyDescent="0.25">
      <c r="A1016" t="str">
        <f t="shared" si="16"/>
        <v>02</v>
      </c>
      <c r="B1016" t="str">
        <f t="shared" si="17"/>
        <v>001</v>
      </c>
      <c r="C1016" t="str">
        <f t="shared" si="18"/>
        <v>04</v>
      </c>
      <c r="D1016" t="str">
        <f t="shared" si="19"/>
        <v>131</v>
      </c>
      <c r="E1016" t="str">
        <f t="shared" si="20"/>
        <v>0002</v>
      </c>
      <c r="F1016" t="str">
        <f t="shared" si="21"/>
        <v>2.005</v>
      </c>
      <c r="G1016" t="str">
        <f t="shared" si="22"/>
        <v>3.3.90.39.00</v>
      </c>
      <c r="H1016" t="s">
        <v>1056</v>
      </c>
      <c r="I1016" t="str">
        <f t="shared" si="28"/>
        <v>02 - GABINETE DO PREFEITO</v>
      </c>
      <c r="J1016" t="s">
        <v>20</v>
      </c>
      <c r="K1016" t="str">
        <f t="shared" si="29"/>
        <v>4-ADMINISTRAÇÃO</v>
      </c>
      <c r="L1016" t="str">
        <f t="shared" si="30"/>
        <v>131-COMUNICAÇÃO SOCIAL</v>
      </c>
      <c r="M1016" t="str">
        <f t="shared" si="31"/>
        <v>0002-Governo Inteligente, Aberto e Inovador​</v>
      </c>
      <c r="N1016" t="str">
        <f t="shared" si="32"/>
        <v xml:space="preserve">2.005-Promoção de Eventos, Comunicação e Participação Social </v>
      </c>
      <c r="O1016" t="str">
        <f t="shared" si="27"/>
        <v>3.3.90.39.00-OUTROS SERVIÇOS DE TERCEIROS - PESSOA JURÍDICA</v>
      </c>
      <c r="R1016" s="25">
        <v>55072.260900000001</v>
      </c>
      <c r="S1016" t="s">
        <v>1035</v>
      </c>
    </row>
    <row r="1017" spans="1:19" x14ac:dyDescent="0.25">
      <c r="A1017" t="str">
        <f t="shared" si="16"/>
        <v>02</v>
      </c>
      <c r="B1017" t="str">
        <f t="shared" si="17"/>
        <v>006</v>
      </c>
      <c r="C1017" t="str">
        <f t="shared" si="18"/>
        <v>04</v>
      </c>
      <c r="D1017" t="str">
        <f t="shared" si="19"/>
        <v>122</v>
      </c>
      <c r="E1017" t="str">
        <f t="shared" si="20"/>
        <v>0018</v>
      </c>
      <c r="F1017" t="str">
        <f t="shared" si="21"/>
        <v>2.011</v>
      </c>
      <c r="G1017" t="str">
        <f t="shared" si="22"/>
        <v>3.3.90.30.00</v>
      </c>
      <c r="H1017" t="s">
        <v>1057</v>
      </c>
      <c r="I1017" t="str">
        <f t="shared" si="28"/>
        <v>02 - GABINETE DO PREFEITO</v>
      </c>
      <c r="J1017" t="s">
        <v>348</v>
      </c>
      <c r="K1017" t="str">
        <f t="shared" si="29"/>
        <v>4-ADMINISTRAÇÃO</v>
      </c>
      <c r="L1017" t="str">
        <f t="shared" si="30"/>
        <v>122-ADMINISTRAÇÃO GERAL</v>
      </c>
      <c r="M1017" t="str">
        <f t="shared" si="31"/>
        <v>0018-Proteção Social e Garantia de Direitos​</v>
      </c>
      <c r="N1017" t="str">
        <f t="shared" si="32"/>
        <v xml:space="preserve">2.011-Manutenção de Equipamentos Públicos </v>
      </c>
      <c r="O1017" t="str">
        <f t="shared" si="27"/>
        <v>3.3.90.30.00-MATERIAL DE CONSUMO</v>
      </c>
      <c r="R1017" s="25">
        <v>25977.5</v>
      </c>
      <c r="S1017" t="s">
        <v>1035</v>
      </c>
    </row>
    <row r="1018" spans="1:19" x14ac:dyDescent="0.25">
      <c r="A1018" t="str">
        <f t="shared" si="16"/>
        <v>02</v>
      </c>
      <c r="B1018" t="str">
        <f t="shared" si="17"/>
        <v>006</v>
      </c>
      <c r="C1018" t="str">
        <f t="shared" si="18"/>
        <v>04</v>
      </c>
      <c r="D1018" t="str">
        <f t="shared" si="19"/>
        <v>122</v>
      </c>
      <c r="E1018" t="str">
        <f t="shared" si="20"/>
        <v>0018</v>
      </c>
      <c r="F1018" t="str">
        <f t="shared" si="21"/>
        <v>2.011</v>
      </c>
      <c r="G1018" t="str">
        <f t="shared" si="22"/>
        <v>3.3.90.39.00</v>
      </c>
      <c r="H1018" t="s">
        <v>1058</v>
      </c>
      <c r="I1018" t="str">
        <f t="shared" si="28"/>
        <v>02 - GABINETE DO PREFEITO</v>
      </c>
      <c r="J1018" t="s">
        <v>348</v>
      </c>
      <c r="K1018" t="str">
        <f t="shared" si="29"/>
        <v>4-ADMINISTRAÇÃO</v>
      </c>
      <c r="L1018" t="str">
        <f t="shared" si="30"/>
        <v>122-ADMINISTRAÇÃO GERAL</v>
      </c>
      <c r="M1018" t="str">
        <f t="shared" si="31"/>
        <v>0018-Proteção Social e Garantia de Direitos​</v>
      </c>
      <c r="N1018" t="str">
        <f t="shared" si="32"/>
        <v xml:space="preserve">2.011-Manutenção de Equipamentos Públicos </v>
      </c>
      <c r="O1018" t="str">
        <f t="shared" si="27"/>
        <v>3.3.90.39.00-OUTROS SERVIÇOS DE TERCEIROS - PESSOA JURÍDICA</v>
      </c>
      <c r="R1018" s="25">
        <v>5097.75</v>
      </c>
      <c r="S1018" t="s">
        <v>1035</v>
      </c>
    </row>
    <row r="1019" spans="1:19" x14ac:dyDescent="0.25">
      <c r="A1019" t="str">
        <f t="shared" si="16"/>
        <v>02</v>
      </c>
      <c r="B1019" t="str">
        <f t="shared" si="17"/>
        <v>006</v>
      </c>
      <c r="C1019" t="str">
        <f t="shared" si="18"/>
        <v>04</v>
      </c>
      <c r="D1019" t="str">
        <f t="shared" si="19"/>
        <v>131</v>
      </c>
      <c r="E1019" t="str">
        <f t="shared" si="20"/>
        <v>0002</v>
      </c>
      <c r="F1019" t="str">
        <f t="shared" si="21"/>
        <v>2.005</v>
      </c>
      <c r="G1019" t="str">
        <f t="shared" si="22"/>
        <v>3.3.90.30.00</v>
      </c>
      <c r="H1019" t="s">
        <v>1059</v>
      </c>
      <c r="I1019" t="str">
        <f t="shared" si="28"/>
        <v>02 - GABINETE DO PREFEITO</v>
      </c>
      <c r="J1019" t="s">
        <v>348</v>
      </c>
      <c r="K1019" t="str">
        <f t="shared" si="29"/>
        <v>4-ADMINISTRAÇÃO</v>
      </c>
      <c r="L1019" t="str">
        <f t="shared" si="30"/>
        <v>131-COMUNICAÇÃO SOCIAL</v>
      </c>
      <c r="M1019" t="str">
        <f t="shared" si="31"/>
        <v>0002-Governo Inteligente, Aberto e Inovador​</v>
      </c>
      <c r="N1019" t="str">
        <f t="shared" si="32"/>
        <v xml:space="preserve">2.005-Promoção de Eventos, Comunicação e Participação Social </v>
      </c>
      <c r="O1019" t="str">
        <f t="shared" si="27"/>
        <v>3.3.90.30.00-MATERIAL DE CONSUMO</v>
      </c>
      <c r="R1019" s="25">
        <v>10391</v>
      </c>
      <c r="S1019" t="s">
        <v>1035</v>
      </c>
    </row>
    <row r="1020" spans="1:19" x14ac:dyDescent="0.25">
      <c r="A1020" t="str">
        <f t="shared" si="16"/>
        <v>02</v>
      </c>
      <c r="B1020" t="str">
        <f t="shared" si="17"/>
        <v>006</v>
      </c>
      <c r="C1020" t="str">
        <f t="shared" si="18"/>
        <v>04</v>
      </c>
      <c r="D1020" t="str">
        <f t="shared" si="19"/>
        <v>131</v>
      </c>
      <c r="E1020" t="str">
        <f t="shared" si="20"/>
        <v>0002</v>
      </c>
      <c r="F1020" t="str">
        <f t="shared" si="21"/>
        <v>2.005</v>
      </c>
      <c r="G1020" t="str">
        <f t="shared" si="22"/>
        <v>3.3.90.39.00</v>
      </c>
      <c r="H1020" t="s">
        <v>1060</v>
      </c>
      <c r="I1020" t="str">
        <f t="shared" si="28"/>
        <v>02 - GABINETE DO PREFEITO</v>
      </c>
      <c r="J1020" t="s">
        <v>348</v>
      </c>
      <c r="K1020" t="str">
        <f t="shared" si="29"/>
        <v>4-ADMINISTRAÇÃO</v>
      </c>
      <c r="L1020" t="str">
        <f t="shared" si="30"/>
        <v>131-COMUNICAÇÃO SOCIAL</v>
      </c>
      <c r="M1020" t="str">
        <f t="shared" si="31"/>
        <v>0002-Governo Inteligente, Aberto e Inovador​</v>
      </c>
      <c r="N1020" t="str">
        <f t="shared" si="32"/>
        <v xml:space="preserve">2.005-Promoção de Eventos, Comunicação e Participação Social </v>
      </c>
      <c r="O1020" t="str">
        <f t="shared" si="27"/>
        <v>3.3.90.39.00-OUTROS SERVIÇOS DE TERCEIROS - PESSOA JURÍDICA</v>
      </c>
      <c r="R1020" s="25">
        <v>72741.95</v>
      </c>
      <c r="S1020" t="s">
        <v>1035</v>
      </c>
    </row>
    <row r="1021" spans="1:19" x14ac:dyDescent="0.25">
      <c r="A1021" t="str">
        <f t="shared" si="16"/>
        <v>02</v>
      </c>
      <c r="B1021" t="str">
        <f t="shared" si="17"/>
        <v>006</v>
      </c>
      <c r="C1021" t="str">
        <f t="shared" si="18"/>
        <v>04</v>
      </c>
      <c r="D1021" t="str">
        <f t="shared" si="19"/>
        <v>244</v>
      </c>
      <c r="E1021" t="str">
        <f t="shared" si="20"/>
        <v>0019</v>
      </c>
      <c r="F1021" t="str">
        <f t="shared" si="21"/>
        <v>2.024</v>
      </c>
      <c r="G1021" t="str">
        <f t="shared" si="22"/>
        <v>3.3.90.32.00</v>
      </c>
      <c r="H1021" t="s">
        <v>1061</v>
      </c>
      <c r="I1021" t="str">
        <f t="shared" si="28"/>
        <v>02 - GABINETE DO PREFEITO</v>
      </c>
      <c r="J1021" t="s">
        <v>348</v>
      </c>
      <c r="K1021" t="str">
        <f t="shared" si="29"/>
        <v>4-ADMINISTRAÇÃO</v>
      </c>
      <c r="L1021" t="str">
        <f t="shared" si="30"/>
        <v>244-ASSISTÊNCIA COMUNITÁRIA</v>
      </c>
      <c r="M1021" t="str">
        <f t="shared" si="31"/>
        <v>0019-Segurança Alimentar e Combate à Pobreza​</v>
      </c>
      <c r="N1021" t="str">
        <f t="shared" si="32"/>
        <v>2.024-Distribuição de Alimentos e Benefícios para as Famílias em Situação de Vulnerabilidade</v>
      </c>
      <c r="O1021" t="str">
        <f t="shared" si="27"/>
        <v>3.3.90.32.00-MATERIAL, BEM OU SERVIÇO PARA DISTRIBUIÇÃO GRATUITA</v>
      </c>
      <c r="R1021" s="25">
        <v>10390.9609</v>
      </c>
      <c r="S1021" t="s">
        <v>1035</v>
      </c>
    </row>
    <row r="1022" spans="1:19" x14ac:dyDescent="0.25">
      <c r="A1022" t="str">
        <f t="shared" si="16"/>
        <v>02</v>
      </c>
      <c r="B1022" t="str">
        <f t="shared" si="17"/>
        <v>006</v>
      </c>
      <c r="C1022" t="str">
        <f t="shared" si="18"/>
        <v>08</v>
      </c>
      <c r="D1022" t="str">
        <f t="shared" si="19"/>
        <v>244</v>
      </c>
      <c r="E1022" t="str">
        <f t="shared" si="20"/>
        <v>0019</v>
      </c>
      <c r="F1022" t="str">
        <f t="shared" si="21"/>
        <v>2.024</v>
      </c>
      <c r="G1022" t="str">
        <f t="shared" si="22"/>
        <v>3.3.90.32.00</v>
      </c>
      <c r="H1022" t="s">
        <v>1062</v>
      </c>
      <c r="I1022" t="str">
        <f t="shared" si="28"/>
        <v>02 - GABINETE DO PREFEITO</v>
      </c>
      <c r="J1022" t="s">
        <v>348</v>
      </c>
      <c r="K1022" t="str">
        <f t="shared" si="29"/>
        <v>8-ASSISTÊNCIA SOCIAL</v>
      </c>
      <c r="L1022" t="str">
        <f t="shared" si="30"/>
        <v>244-ASSISTÊNCIA COMUNITÁRIA</v>
      </c>
      <c r="M1022" t="str">
        <f t="shared" si="31"/>
        <v>0019-Segurança Alimentar e Combate à Pobreza​</v>
      </c>
      <c r="N1022" t="str">
        <f t="shared" si="32"/>
        <v>2.024-Distribuição de Alimentos e Benefícios para as Famílias em Situação de Vulnerabilidade</v>
      </c>
      <c r="O1022" t="str">
        <f t="shared" si="27"/>
        <v>3.3.90.32.00-MATERIAL, BEM OU SERVIÇO PARA DISTRIBUIÇÃO GRATUITA</v>
      </c>
      <c r="R1022" s="25">
        <v>5980020.3436000012</v>
      </c>
      <c r="S1022" t="s">
        <v>1035</v>
      </c>
    </row>
    <row r="1023" spans="1:19" x14ac:dyDescent="0.25">
      <c r="A1023" t="str">
        <f t="shared" si="16"/>
        <v>02</v>
      </c>
      <c r="B1023" t="str">
        <f t="shared" si="17"/>
        <v>006</v>
      </c>
      <c r="C1023" t="str">
        <f t="shared" si="18"/>
        <v>08</v>
      </c>
      <c r="D1023" t="str">
        <f t="shared" si="19"/>
        <v>334</v>
      </c>
      <c r="E1023" t="str">
        <f t="shared" si="20"/>
        <v>0017</v>
      </c>
      <c r="F1023" t="str">
        <f t="shared" si="21"/>
        <v>2.004</v>
      </c>
      <c r="G1023" t="str">
        <f t="shared" si="22"/>
        <v>3.3.90.30.00</v>
      </c>
      <c r="H1023" t="s">
        <v>1063</v>
      </c>
      <c r="I1023" t="str">
        <f t="shared" si="28"/>
        <v>02 - GABINETE DO PREFEITO</v>
      </c>
      <c r="J1023" t="s">
        <v>348</v>
      </c>
      <c r="K1023" t="str">
        <f t="shared" si="29"/>
        <v>8-ASSISTÊNCIA SOCIAL</v>
      </c>
      <c r="L1023" t="str">
        <f t="shared" si="30"/>
        <v>334-FOMENTO AO TRABALHO</v>
      </c>
      <c r="M1023" t="str">
        <f t="shared" si="31"/>
        <v>0017-Trabalho, Emprego e Renda​</v>
      </c>
      <c r="N1023" t="str">
        <f t="shared" si="32"/>
        <v xml:space="preserve">2.004-Qualificação Socioprofissional </v>
      </c>
      <c r="O1023" t="str">
        <f t="shared" si="27"/>
        <v>3.3.90.30.00-MATERIAL DE CONSUMO</v>
      </c>
      <c r="R1023" s="25">
        <v>124692</v>
      </c>
      <c r="S1023" t="s">
        <v>1035</v>
      </c>
    </row>
    <row r="1024" spans="1:19" x14ac:dyDescent="0.25">
      <c r="A1024" t="str">
        <f t="shared" si="16"/>
        <v>02</v>
      </c>
      <c r="B1024" t="str">
        <f t="shared" si="17"/>
        <v>006</v>
      </c>
      <c r="C1024" t="str">
        <f t="shared" si="18"/>
        <v>08</v>
      </c>
      <c r="D1024" t="str">
        <f t="shared" si="19"/>
        <v>334</v>
      </c>
      <c r="E1024" t="str">
        <f t="shared" si="20"/>
        <v>0017</v>
      </c>
      <c r="F1024" t="str">
        <f t="shared" si="21"/>
        <v>2.004</v>
      </c>
      <c r="G1024" t="str">
        <f t="shared" si="22"/>
        <v>4.4.50.52.00</v>
      </c>
      <c r="H1024" t="s">
        <v>1064</v>
      </c>
      <c r="I1024" t="str">
        <f t="shared" si="28"/>
        <v>02 - GABINETE DO PREFEITO</v>
      </c>
      <c r="J1024" t="s">
        <v>348</v>
      </c>
      <c r="K1024" t="str">
        <f t="shared" si="29"/>
        <v>8-ASSISTÊNCIA SOCIAL</v>
      </c>
      <c r="L1024" t="str">
        <f t="shared" si="30"/>
        <v>334-FOMENTO AO TRABALHO</v>
      </c>
      <c r="M1024" t="str">
        <f t="shared" si="31"/>
        <v>0017-Trabalho, Emprego e Renda​</v>
      </c>
      <c r="N1024" t="str">
        <f t="shared" si="32"/>
        <v xml:space="preserve">2.004-Qualificação Socioprofissional </v>
      </c>
      <c r="O1024" t="str">
        <f t="shared" si="27"/>
        <v>4.4.50.52.00-EQUIPAMENTOS E MATERIAL PERMANENTE</v>
      </c>
      <c r="R1024" s="25">
        <v>0</v>
      </c>
      <c r="S1024" t="s">
        <v>1035</v>
      </c>
    </row>
    <row r="1025" spans="1:19" x14ac:dyDescent="0.25">
      <c r="A1025" t="str">
        <f t="shared" si="16"/>
        <v>02</v>
      </c>
      <c r="B1025" t="str">
        <f t="shared" si="17"/>
        <v>012</v>
      </c>
      <c r="C1025" t="str">
        <f t="shared" si="18"/>
        <v>04</v>
      </c>
      <c r="D1025" t="str">
        <f t="shared" si="19"/>
        <v>122</v>
      </c>
      <c r="E1025" t="str">
        <f t="shared" si="20"/>
        <v>0001</v>
      </c>
      <c r="F1025" t="str">
        <f t="shared" si="21"/>
        <v>2.011</v>
      </c>
      <c r="G1025" t="str">
        <f t="shared" si="22"/>
        <v>3.3.90.30.00</v>
      </c>
      <c r="H1025" t="s">
        <v>1065</v>
      </c>
      <c r="I1025" t="str">
        <f t="shared" si="28"/>
        <v>02 - GABINETE DO PREFEITO</v>
      </c>
      <c r="J1025" t="s">
        <v>48</v>
      </c>
      <c r="K1025" t="str">
        <f t="shared" si="29"/>
        <v>4-ADMINISTRAÇÃO</v>
      </c>
      <c r="L1025" t="str">
        <f t="shared" si="30"/>
        <v>122-ADMINISTRAÇÃO GERAL</v>
      </c>
      <c r="M1025" t="str">
        <f t="shared" si="31"/>
        <v>0001-Administração e Coordenação Geral​</v>
      </c>
      <c r="N1025" t="str">
        <f t="shared" si="32"/>
        <v xml:space="preserve">2.011-Manutenção de Equipamentos Públicos </v>
      </c>
      <c r="O1025" t="str">
        <f t="shared" si="27"/>
        <v>3.3.90.30.00-MATERIAL DE CONSUMO</v>
      </c>
      <c r="R1025" s="25">
        <v>595112.22739999997</v>
      </c>
      <c r="S1025" t="s">
        <v>1035</v>
      </c>
    </row>
    <row r="1026" spans="1:19" x14ac:dyDescent="0.25">
      <c r="A1026" t="str">
        <f t="shared" si="16"/>
        <v>02</v>
      </c>
      <c r="B1026" t="str">
        <f t="shared" si="17"/>
        <v>012</v>
      </c>
      <c r="C1026" t="str">
        <f t="shared" si="18"/>
        <v>04</v>
      </c>
      <c r="D1026" t="str">
        <f t="shared" si="19"/>
        <v>122</v>
      </c>
      <c r="E1026" t="str">
        <f t="shared" si="20"/>
        <v>0001</v>
      </c>
      <c r="F1026" t="str">
        <f t="shared" si="21"/>
        <v>2.011</v>
      </c>
      <c r="G1026" t="str">
        <f t="shared" si="22"/>
        <v>4.4.90.52.00</v>
      </c>
      <c r="H1026" t="s">
        <v>1066</v>
      </c>
      <c r="I1026" t="str">
        <f t="shared" si="28"/>
        <v>02 - GABINETE DO PREFEITO</v>
      </c>
      <c r="J1026" t="s">
        <v>48</v>
      </c>
      <c r="K1026" t="str">
        <f t="shared" si="29"/>
        <v>4-ADMINISTRAÇÃO</v>
      </c>
      <c r="L1026" t="str">
        <f t="shared" si="30"/>
        <v>122-ADMINISTRAÇÃO GERAL</v>
      </c>
      <c r="M1026" t="str">
        <f t="shared" si="31"/>
        <v>0001-Administração e Coordenação Geral​</v>
      </c>
      <c r="N1026" t="str">
        <f t="shared" si="32"/>
        <v xml:space="preserve">2.011-Manutenção de Equipamentos Públicos </v>
      </c>
      <c r="O1026" t="str">
        <f t="shared" si="27"/>
        <v>4.4.90.52.00-EQUIPAMENTOS E MATERIAL PERMANENTE</v>
      </c>
      <c r="R1026" s="25">
        <v>0</v>
      </c>
      <c r="S1026" t="s">
        <v>1035</v>
      </c>
    </row>
    <row r="1027" spans="1:19" x14ac:dyDescent="0.25">
      <c r="A1027" t="str">
        <f t="shared" si="16"/>
        <v>04</v>
      </c>
      <c r="B1027" t="str">
        <f t="shared" si="17"/>
        <v>001</v>
      </c>
      <c r="C1027" t="str">
        <f t="shared" si="18"/>
        <v>04</v>
      </c>
      <c r="D1027" t="str">
        <f t="shared" si="19"/>
        <v>122</v>
      </c>
      <c r="E1027" t="str">
        <f t="shared" si="20"/>
        <v>0001</v>
      </c>
      <c r="F1027" t="str">
        <f t="shared" si="21"/>
        <v>2.006</v>
      </c>
      <c r="G1027" t="str">
        <f t="shared" si="22"/>
        <v>3.3.90.33.00</v>
      </c>
      <c r="H1027" t="s">
        <v>1067</v>
      </c>
      <c r="I1027" t="str">
        <f t="shared" si="28"/>
        <v>04 - SECRETARIA DE FINANÇAS</v>
      </c>
      <c r="J1027" t="s">
        <v>20</v>
      </c>
      <c r="K1027" t="str">
        <f t="shared" si="29"/>
        <v>4-ADMINISTRAÇÃO</v>
      </c>
      <c r="L1027" t="str">
        <f t="shared" si="30"/>
        <v>122-ADMINISTRAÇÃO GERAL</v>
      </c>
      <c r="M1027" t="str">
        <f t="shared" si="31"/>
        <v>0001-Administração e Coordenação Geral​</v>
      </c>
      <c r="N1027" t="str">
        <f t="shared" si="32"/>
        <v xml:space="preserve">2.006-Representações Oficiais </v>
      </c>
      <c r="O1027" t="str">
        <f t="shared" si="27"/>
        <v>3.3.90.33.00-PASSAGENS E DESPESAS COM LOCOMOÇÃO</v>
      </c>
      <c r="R1027" s="25">
        <v>1</v>
      </c>
      <c r="S1027" t="s">
        <v>1035</v>
      </c>
    </row>
    <row r="1028" spans="1:19" x14ac:dyDescent="0.25">
      <c r="A1028" t="str">
        <f t="shared" si="16"/>
        <v>04</v>
      </c>
      <c r="B1028" t="str">
        <f t="shared" si="17"/>
        <v>001</v>
      </c>
      <c r="C1028" t="str">
        <f t="shared" si="18"/>
        <v>04</v>
      </c>
      <c r="D1028" t="str">
        <f t="shared" si="19"/>
        <v>122</v>
      </c>
      <c r="E1028" t="str">
        <f t="shared" si="20"/>
        <v>0001</v>
      </c>
      <c r="F1028" t="str">
        <f t="shared" si="21"/>
        <v>2.006</v>
      </c>
      <c r="G1028" t="str">
        <f t="shared" si="22"/>
        <v>3.3.90.39.00</v>
      </c>
      <c r="H1028" t="s">
        <v>1068</v>
      </c>
      <c r="I1028" t="str">
        <f t="shared" si="28"/>
        <v>04 - SECRETARIA DE FINANÇAS</v>
      </c>
      <c r="J1028" t="s">
        <v>20</v>
      </c>
      <c r="K1028" t="str">
        <f t="shared" si="29"/>
        <v>4-ADMINISTRAÇÃO</v>
      </c>
      <c r="L1028" t="str">
        <f t="shared" si="30"/>
        <v>122-ADMINISTRAÇÃO GERAL</v>
      </c>
      <c r="M1028" t="str">
        <f t="shared" si="31"/>
        <v>0001-Administração e Coordenação Geral​</v>
      </c>
      <c r="N1028" t="str">
        <f t="shared" si="32"/>
        <v xml:space="preserve">2.006-Representações Oficiais </v>
      </c>
      <c r="O1028" t="str">
        <f t="shared" si="27"/>
        <v>3.3.90.39.00-OUTROS SERVIÇOS DE TERCEIROS - PESSOA JURÍDICA</v>
      </c>
      <c r="R1028" s="25">
        <v>1</v>
      </c>
      <c r="S1028" t="s">
        <v>1035</v>
      </c>
    </row>
    <row r="1029" spans="1:19" x14ac:dyDescent="0.25">
      <c r="A1029" t="str">
        <f t="shared" si="16"/>
        <v>04</v>
      </c>
      <c r="B1029" t="str">
        <f t="shared" si="17"/>
        <v>001</v>
      </c>
      <c r="C1029" t="str">
        <f t="shared" si="18"/>
        <v>04</v>
      </c>
      <c r="D1029" t="str">
        <f t="shared" si="19"/>
        <v>122</v>
      </c>
      <c r="E1029" t="str">
        <f t="shared" si="20"/>
        <v>0001</v>
      </c>
      <c r="F1029" t="str">
        <f t="shared" si="21"/>
        <v>2.006</v>
      </c>
      <c r="G1029" t="str">
        <f t="shared" si="22"/>
        <v>3.3.90.93.00</v>
      </c>
      <c r="H1029" t="s">
        <v>1069</v>
      </c>
      <c r="I1029" t="str">
        <f t="shared" si="28"/>
        <v>04 - SECRETARIA DE FINANÇAS</v>
      </c>
      <c r="J1029" t="s">
        <v>20</v>
      </c>
      <c r="K1029" t="str">
        <f t="shared" si="29"/>
        <v>4-ADMINISTRAÇÃO</v>
      </c>
      <c r="L1029" t="str">
        <f t="shared" si="30"/>
        <v>122-ADMINISTRAÇÃO GERAL</v>
      </c>
      <c r="M1029" t="str">
        <f t="shared" si="31"/>
        <v>0001-Administração e Coordenação Geral​</v>
      </c>
      <c r="N1029" t="str">
        <f t="shared" si="32"/>
        <v xml:space="preserve">2.006-Representações Oficiais </v>
      </c>
      <c r="O1029" t="str">
        <f t="shared" si="27"/>
        <v>3.3.90.93.00-INDENIZAÇÕES E RESTITUIÇÕES</v>
      </c>
      <c r="R1029" s="25">
        <v>1</v>
      </c>
      <c r="S1029" t="s">
        <v>1035</v>
      </c>
    </row>
    <row r="1030" spans="1:19" x14ac:dyDescent="0.25">
      <c r="A1030" t="str">
        <f t="shared" si="16"/>
        <v>04</v>
      </c>
      <c r="B1030" t="str">
        <f t="shared" si="17"/>
        <v>001</v>
      </c>
      <c r="C1030" t="str">
        <f t="shared" si="18"/>
        <v>04</v>
      </c>
      <c r="D1030" t="str">
        <f t="shared" si="19"/>
        <v>122</v>
      </c>
      <c r="E1030" t="str">
        <f t="shared" si="20"/>
        <v>0001</v>
      </c>
      <c r="F1030" t="str">
        <f t="shared" si="21"/>
        <v>2.011</v>
      </c>
      <c r="G1030" t="str">
        <f t="shared" si="22"/>
        <v>3.3.90.30.00</v>
      </c>
      <c r="H1030" t="s">
        <v>1070</v>
      </c>
      <c r="I1030" t="str">
        <f t="shared" si="28"/>
        <v>04 - SECRETARIA DE FINANÇAS</v>
      </c>
      <c r="J1030" t="s">
        <v>20</v>
      </c>
      <c r="K1030" t="str">
        <f t="shared" si="29"/>
        <v>4-ADMINISTRAÇÃO</v>
      </c>
      <c r="L1030" t="str">
        <f t="shared" si="30"/>
        <v>122-ADMINISTRAÇÃO GERAL</v>
      </c>
      <c r="M1030" t="str">
        <f t="shared" si="31"/>
        <v>0001-Administração e Coordenação Geral​</v>
      </c>
      <c r="N1030" t="str">
        <f t="shared" si="32"/>
        <v xml:space="preserve">2.011-Manutenção de Equipamentos Públicos </v>
      </c>
      <c r="O1030" t="str">
        <f t="shared" si="27"/>
        <v>3.3.90.30.00-MATERIAL DE CONSUMO</v>
      </c>
      <c r="R1030" s="25">
        <v>92999.45</v>
      </c>
      <c r="S1030" t="s">
        <v>1035</v>
      </c>
    </row>
    <row r="1031" spans="1:19" x14ac:dyDescent="0.25">
      <c r="A1031" t="str">
        <f t="shared" si="16"/>
        <v>04</v>
      </c>
      <c r="B1031" t="str">
        <f t="shared" si="17"/>
        <v>001</v>
      </c>
      <c r="C1031" t="str">
        <f t="shared" si="18"/>
        <v>04</v>
      </c>
      <c r="D1031" t="str">
        <f t="shared" si="19"/>
        <v>122</v>
      </c>
      <c r="E1031" t="str">
        <f t="shared" si="20"/>
        <v>0001</v>
      </c>
      <c r="F1031" t="str">
        <f t="shared" si="21"/>
        <v>2.011</v>
      </c>
      <c r="G1031" t="str">
        <f t="shared" si="22"/>
        <v>3.3.90.39.00</v>
      </c>
      <c r="H1031" t="s">
        <v>1071</v>
      </c>
      <c r="I1031" t="str">
        <f t="shared" si="28"/>
        <v>04 - SECRETARIA DE FINANÇAS</v>
      </c>
      <c r="J1031" t="s">
        <v>20</v>
      </c>
      <c r="K1031" t="str">
        <f t="shared" si="29"/>
        <v>4-ADMINISTRAÇÃO</v>
      </c>
      <c r="L1031" t="str">
        <f t="shared" si="30"/>
        <v>122-ADMINISTRAÇÃO GERAL</v>
      </c>
      <c r="M1031" t="str">
        <f t="shared" si="31"/>
        <v>0001-Administração e Coordenação Geral​</v>
      </c>
      <c r="N1031" t="str">
        <f t="shared" si="32"/>
        <v xml:space="preserve">2.011-Manutenção de Equipamentos Públicos </v>
      </c>
      <c r="O1031" t="str">
        <f t="shared" si="27"/>
        <v>3.3.90.39.00-OUTROS SERVIÇOS DE TERCEIROS - PESSOA JURÍDICA</v>
      </c>
      <c r="R1031" s="25">
        <v>37407.600000000006</v>
      </c>
      <c r="S1031" t="s">
        <v>1035</v>
      </c>
    </row>
    <row r="1032" spans="1:19" x14ac:dyDescent="0.25">
      <c r="A1032" t="str">
        <f t="shared" si="16"/>
        <v>04</v>
      </c>
      <c r="B1032" t="str">
        <f t="shared" si="17"/>
        <v>001</v>
      </c>
      <c r="C1032" t="str">
        <f t="shared" si="18"/>
        <v>04</v>
      </c>
      <c r="D1032" t="str">
        <f t="shared" si="19"/>
        <v>126</v>
      </c>
      <c r="E1032" t="str">
        <f t="shared" si="20"/>
        <v>0002</v>
      </c>
      <c r="F1032" t="str">
        <f t="shared" si="21"/>
        <v>2.007</v>
      </c>
      <c r="G1032" t="str">
        <f t="shared" si="22"/>
        <v>3.3.90.39.00</v>
      </c>
      <c r="H1032" t="s">
        <v>1072</v>
      </c>
      <c r="I1032" t="str">
        <f t="shared" si="28"/>
        <v>04 - SECRETARIA DE FINANÇAS</v>
      </c>
      <c r="J1032" t="s">
        <v>20</v>
      </c>
      <c r="K1032" t="str">
        <f t="shared" si="29"/>
        <v>4-ADMINISTRAÇÃO</v>
      </c>
      <c r="L1032" t="str">
        <f t="shared" si="30"/>
        <v>126-TECNOLOGIA DA INFORMATIZAÇÃO</v>
      </c>
      <c r="M1032" t="str">
        <f t="shared" si="31"/>
        <v>0002-Governo Inteligente, Aberto e Inovador​</v>
      </c>
      <c r="N1032" t="str">
        <f t="shared" si="32"/>
        <v>2.007-Ampliação e Manutenção de Sistemas de Inteligência, Fiscalização e Tecnologia</v>
      </c>
      <c r="O1032" t="str">
        <f t="shared" si="27"/>
        <v>3.3.90.39.00-OUTROS SERVIÇOS DE TERCEIROS - PESSOA JURÍDICA</v>
      </c>
      <c r="R1032" s="25">
        <v>60000</v>
      </c>
      <c r="S1032" t="s">
        <v>1035</v>
      </c>
    </row>
    <row r="1033" spans="1:19" x14ac:dyDescent="0.25">
      <c r="A1033" t="str">
        <f t="shared" si="16"/>
        <v>04</v>
      </c>
      <c r="B1033" t="str">
        <f t="shared" si="17"/>
        <v>001</v>
      </c>
      <c r="C1033" t="str">
        <f t="shared" si="18"/>
        <v>04</v>
      </c>
      <c r="D1033" t="str">
        <f t="shared" si="19"/>
        <v>126</v>
      </c>
      <c r="E1033" t="str">
        <f t="shared" si="20"/>
        <v>0002</v>
      </c>
      <c r="F1033" t="str">
        <f t="shared" si="21"/>
        <v>2.007</v>
      </c>
      <c r="G1033" t="str">
        <f t="shared" si="22"/>
        <v>3.3.90.40.00</v>
      </c>
      <c r="H1033" t="s">
        <v>1073</v>
      </c>
      <c r="I1033" t="str">
        <f t="shared" si="28"/>
        <v>04 - SECRETARIA DE FINANÇAS</v>
      </c>
      <c r="J1033" t="s">
        <v>20</v>
      </c>
      <c r="K1033" t="str">
        <f t="shared" si="29"/>
        <v>4-ADMINISTRAÇÃO</v>
      </c>
      <c r="L1033" t="str">
        <f t="shared" si="30"/>
        <v>126-TECNOLOGIA DA INFORMATIZAÇÃO</v>
      </c>
      <c r="M1033" t="str">
        <f t="shared" si="31"/>
        <v>0002-Governo Inteligente, Aberto e Inovador​</v>
      </c>
      <c r="N1033" t="str">
        <f t="shared" si="32"/>
        <v>2.007-Ampliação e Manutenção de Sistemas de Inteligência, Fiscalização e Tecnologia</v>
      </c>
      <c r="O1033" t="str">
        <f t="shared" si="27"/>
        <v>3.3.90.40.00-SERVIÇOS DE TECNOLOGIA DA INFORMAÇÃO E COMUNICAÇÃO - PESSOA JURÍDICA</v>
      </c>
      <c r="R1033" s="25">
        <v>34027690</v>
      </c>
      <c r="S1033" t="s">
        <v>1035</v>
      </c>
    </row>
    <row r="1034" spans="1:19" x14ac:dyDescent="0.25">
      <c r="A1034" t="str">
        <f t="shared" si="16"/>
        <v>04</v>
      </c>
      <c r="B1034" t="str">
        <f t="shared" si="17"/>
        <v>001</v>
      </c>
      <c r="C1034" t="str">
        <f t="shared" si="18"/>
        <v>04</v>
      </c>
      <c r="D1034" t="str">
        <f t="shared" si="19"/>
        <v>128</v>
      </c>
      <c r="E1034" t="str">
        <f t="shared" si="20"/>
        <v>0002</v>
      </c>
      <c r="F1034" t="str">
        <f t="shared" si="21"/>
        <v>2.003</v>
      </c>
      <c r="G1034" t="str">
        <f t="shared" si="22"/>
        <v>3.3.90.39.00</v>
      </c>
      <c r="H1034" t="s">
        <v>1074</v>
      </c>
      <c r="I1034" t="str">
        <f t="shared" si="28"/>
        <v>04 - SECRETARIA DE FINANÇAS</v>
      </c>
      <c r="J1034" t="s">
        <v>20</v>
      </c>
      <c r="K1034" t="str">
        <f t="shared" si="29"/>
        <v>4-ADMINISTRAÇÃO</v>
      </c>
      <c r="L1034" t="str">
        <f t="shared" si="30"/>
        <v>128-FORMAÇÃO DE RECURSOS HUMANOS</v>
      </c>
      <c r="M1034" t="str">
        <f t="shared" si="31"/>
        <v>0002-Governo Inteligente, Aberto e Inovador​</v>
      </c>
      <c r="N1034" t="str">
        <f t="shared" si="32"/>
        <v>2.003-Qualificação de Servidores e Processos Institucionais</v>
      </c>
      <c r="O1034" t="str">
        <f t="shared" si="27"/>
        <v>3.3.90.39.00-OUTROS SERVIÇOS DE TERCEIROS - PESSOA JURÍDICA</v>
      </c>
      <c r="R1034" s="25">
        <v>1</v>
      </c>
      <c r="S1034" t="s">
        <v>1035</v>
      </c>
    </row>
    <row r="1035" spans="1:19" x14ac:dyDescent="0.25">
      <c r="A1035" t="str">
        <f t="shared" si="16"/>
        <v>04</v>
      </c>
      <c r="B1035" t="str">
        <f t="shared" si="17"/>
        <v>001</v>
      </c>
      <c r="C1035" t="str">
        <f t="shared" si="18"/>
        <v>04</v>
      </c>
      <c r="D1035" t="str">
        <f t="shared" si="19"/>
        <v>131</v>
      </c>
      <c r="E1035" t="str">
        <f t="shared" si="20"/>
        <v>0002</v>
      </c>
      <c r="F1035" t="str">
        <f t="shared" si="21"/>
        <v>2.005</v>
      </c>
      <c r="G1035" t="str">
        <f t="shared" si="22"/>
        <v>3.3.90.39.00</v>
      </c>
      <c r="H1035" t="s">
        <v>1075</v>
      </c>
      <c r="I1035" t="str">
        <f t="shared" si="28"/>
        <v>04 - SECRETARIA DE FINANÇAS</v>
      </c>
      <c r="J1035" t="s">
        <v>20</v>
      </c>
      <c r="K1035" t="str">
        <f t="shared" si="29"/>
        <v>4-ADMINISTRAÇÃO</v>
      </c>
      <c r="L1035" t="str">
        <f t="shared" si="30"/>
        <v>131-COMUNICAÇÃO SOCIAL</v>
      </c>
      <c r="M1035" t="str">
        <f t="shared" si="31"/>
        <v>0002-Governo Inteligente, Aberto e Inovador​</v>
      </c>
      <c r="N1035" t="str">
        <f t="shared" si="32"/>
        <v xml:space="preserve">2.005-Promoção de Eventos, Comunicação e Participação Social </v>
      </c>
      <c r="O1035" t="str">
        <f t="shared" si="27"/>
        <v>3.3.90.39.00-OUTROS SERVIÇOS DE TERCEIROS - PESSOA JURÍDICA</v>
      </c>
      <c r="R1035" s="25">
        <v>10391</v>
      </c>
      <c r="S1035" t="s">
        <v>1035</v>
      </c>
    </row>
    <row r="1036" spans="1:19" x14ac:dyDescent="0.25">
      <c r="A1036" t="str">
        <f t="shared" si="16"/>
        <v>05</v>
      </c>
      <c r="B1036" t="str">
        <f t="shared" si="17"/>
        <v>001</v>
      </c>
      <c r="C1036" t="str">
        <f t="shared" si="18"/>
        <v>04</v>
      </c>
      <c r="D1036" t="str">
        <f t="shared" si="19"/>
        <v>122</v>
      </c>
      <c r="E1036" t="str">
        <f t="shared" si="20"/>
        <v>0001</v>
      </c>
      <c r="F1036" t="str">
        <f t="shared" si="21"/>
        <v>2.005</v>
      </c>
      <c r="G1036" t="str">
        <f t="shared" si="22"/>
        <v>3.3.90.30.00</v>
      </c>
      <c r="H1036" t="s">
        <v>1076</v>
      </c>
      <c r="I1036" t="str">
        <f t="shared" si="28"/>
        <v>05 - PROCURADORIA GERAL DO MUNICÍPIO</v>
      </c>
      <c r="J1036" t="s">
        <v>20</v>
      </c>
      <c r="K1036" t="str">
        <f t="shared" si="29"/>
        <v>4-ADMINISTRAÇÃO</v>
      </c>
      <c r="L1036" t="str">
        <f t="shared" si="30"/>
        <v>122-ADMINISTRAÇÃO GERAL</v>
      </c>
      <c r="M1036" t="str">
        <f t="shared" si="31"/>
        <v>0001-Administração e Coordenação Geral​</v>
      </c>
      <c r="N1036" t="str">
        <f t="shared" si="32"/>
        <v xml:space="preserve">2.005-Promoção de Eventos, Comunicação e Participação Social </v>
      </c>
      <c r="O1036" t="str">
        <f t="shared" si="27"/>
        <v>3.3.90.30.00-MATERIAL DE CONSUMO</v>
      </c>
      <c r="R1036" s="25">
        <v>1</v>
      </c>
      <c r="S1036" t="s">
        <v>1035</v>
      </c>
    </row>
    <row r="1037" spans="1:19" x14ac:dyDescent="0.25">
      <c r="A1037" t="str">
        <f t="shared" si="16"/>
        <v>05</v>
      </c>
      <c r="B1037" t="str">
        <f t="shared" si="17"/>
        <v>001</v>
      </c>
      <c r="C1037" t="str">
        <f t="shared" si="18"/>
        <v>04</v>
      </c>
      <c r="D1037" t="str">
        <f t="shared" si="19"/>
        <v>122</v>
      </c>
      <c r="E1037" t="str">
        <f t="shared" si="20"/>
        <v>0001</v>
      </c>
      <c r="F1037" t="str">
        <f t="shared" si="21"/>
        <v>2.005</v>
      </c>
      <c r="G1037" t="str">
        <f t="shared" si="22"/>
        <v>3.3.90.39.00</v>
      </c>
      <c r="H1037" t="s">
        <v>1077</v>
      </c>
      <c r="I1037" t="str">
        <f t="shared" si="28"/>
        <v>05 - PROCURADORIA GERAL DO MUNICÍPIO</v>
      </c>
      <c r="J1037" t="s">
        <v>20</v>
      </c>
      <c r="K1037" t="str">
        <f t="shared" si="29"/>
        <v>4-ADMINISTRAÇÃO</v>
      </c>
      <c r="L1037" t="str">
        <f t="shared" si="30"/>
        <v>122-ADMINISTRAÇÃO GERAL</v>
      </c>
      <c r="M1037" t="str">
        <f t="shared" si="31"/>
        <v>0001-Administração e Coordenação Geral​</v>
      </c>
      <c r="N1037" t="str">
        <f t="shared" si="32"/>
        <v xml:space="preserve">2.005-Promoção de Eventos, Comunicação e Participação Social </v>
      </c>
      <c r="O1037" t="str">
        <f t="shared" si="27"/>
        <v>3.3.90.39.00-OUTROS SERVIÇOS DE TERCEIROS - PESSOA JURÍDICA</v>
      </c>
      <c r="R1037" s="25">
        <v>1</v>
      </c>
      <c r="S1037" t="s">
        <v>1035</v>
      </c>
    </row>
    <row r="1038" spans="1:19" x14ac:dyDescent="0.25">
      <c r="A1038" t="str">
        <f t="shared" si="16"/>
        <v>05</v>
      </c>
      <c r="B1038" t="str">
        <f t="shared" si="17"/>
        <v>001</v>
      </c>
      <c r="C1038" t="str">
        <f t="shared" si="18"/>
        <v>04</v>
      </c>
      <c r="D1038" t="str">
        <f t="shared" si="19"/>
        <v>122</v>
      </c>
      <c r="E1038" t="str">
        <f t="shared" si="20"/>
        <v>0001</v>
      </c>
      <c r="F1038" t="str">
        <f t="shared" si="21"/>
        <v>2.006</v>
      </c>
      <c r="G1038" t="str">
        <f t="shared" si="22"/>
        <v>3.3.90.33.00</v>
      </c>
      <c r="H1038" t="s">
        <v>1078</v>
      </c>
      <c r="I1038" t="str">
        <f t="shared" si="28"/>
        <v>05 - PROCURADORIA GERAL DO MUNICÍPIO</v>
      </c>
      <c r="J1038" t="s">
        <v>20</v>
      </c>
      <c r="K1038" t="str">
        <f t="shared" si="29"/>
        <v>4-ADMINISTRAÇÃO</v>
      </c>
      <c r="L1038" t="str">
        <f t="shared" si="30"/>
        <v>122-ADMINISTRAÇÃO GERAL</v>
      </c>
      <c r="M1038" t="str">
        <f t="shared" si="31"/>
        <v>0001-Administração e Coordenação Geral​</v>
      </c>
      <c r="N1038" t="str">
        <f t="shared" si="32"/>
        <v xml:space="preserve">2.006-Representações Oficiais </v>
      </c>
      <c r="O1038" t="str">
        <f t="shared" si="27"/>
        <v>3.3.90.33.00-PASSAGENS E DESPESAS COM LOCOMOÇÃO</v>
      </c>
      <c r="R1038" s="25">
        <v>1</v>
      </c>
      <c r="S1038" t="s">
        <v>1035</v>
      </c>
    </row>
    <row r="1039" spans="1:19" x14ac:dyDescent="0.25">
      <c r="A1039" t="str">
        <f t="shared" si="16"/>
        <v>05</v>
      </c>
      <c r="B1039" t="str">
        <f t="shared" si="17"/>
        <v>001</v>
      </c>
      <c r="C1039" t="str">
        <f t="shared" si="18"/>
        <v>04</v>
      </c>
      <c r="D1039" t="str">
        <f t="shared" si="19"/>
        <v>122</v>
      </c>
      <c r="E1039" t="str">
        <f t="shared" si="20"/>
        <v>0001</v>
      </c>
      <c r="F1039" t="str">
        <f t="shared" si="21"/>
        <v>2.006</v>
      </c>
      <c r="G1039" t="str">
        <f t="shared" si="22"/>
        <v>3.3.90.39.00</v>
      </c>
      <c r="H1039" t="s">
        <v>1079</v>
      </c>
      <c r="I1039" t="str">
        <f t="shared" si="28"/>
        <v>05 - PROCURADORIA GERAL DO MUNICÍPIO</v>
      </c>
      <c r="J1039" t="s">
        <v>20</v>
      </c>
      <c r="K1039" t="str">
        <f t="shared" si="29"/>
        <v>4-ADMINISTRAÇÃO</v>
      </c>
      <c r="L1039" t="str">
        <f t="shared" si="30"/>
        <v>122-ADMINISTRAÇÃO GERAL</v>
      </c>
      <c r="M1039" t="str">
        <f t="shared" si="31"/>
        <v>0001-Administração e Coordenação Geral​</v>
      </c>
      <c r="N1039" t="str">
        <f t="shared" si="32"/>
        <v xml:space="preserve">2.006-Representações Oficiais </v>
      </c>
      <c r="O1039" t="str">
        <f t="shared" si="27"/>
        <v>3.3.90.39.00-OUTROS SERVIÇOS DE TERCEIROS - PESSOA JURÍDICA</v>
      </c>
      <c r="R1039" s="25">
        <v>1</v>
      </c>
      <c r="S1039" t="s">
        <v>1035</v>
      </c>
    </row>
    <row r="1040" spans="1:19" x14ac:dyDescent="0.25">
      <c r="A1040" t="str">
        <f t="shared" si="16"/>
        <v>05</v>
      </c>
      <c r="B1040" t="str">
        <f t="shared" si="17"/>
        <v>001</v>
      </c>
      <c r="C1040" t="str">
        <f t="shared" si="18"/>
        <v>04</v>
      </c>
      <c r="D1040" t="str">
        <f t="shared" si="19"/>
        <v>122</v>
      </c>
      <c r="E1040" t="str">
        <f t="shared" si="20"/>
        <v>0001</v>
      </c>
      <c r="F1040" t="str">
        <f t="shared" si="21"/>
        <v>2.011</v>
      </c>
      <c r="G1040" t="str">
        <f t="shared" si="22"/>
        <v>3.3.90.30.00</v>
      </c>
      <c r="H1040" t="s">
        <v>1080</v>
      </c>
      <c r="I1040" t="str">
        <f t="shared" si="28"/>
        <v>05 - PROCURADORIA GERAL DO MUNICÍPIO</v>
      </c>
      <c r="J1040" t="s">
        <v>20</v>
      </c>
      <c r="K1040" t="str">
        <f t="shared" si="29"/>
        <v>4-ADMINISTRAÇÃO</v>
      </c>
      <c r="L1040" t="str">
        <f t="shared" si="30"/>
        <v>122-ADMINISTRAÇÃO GERAL</v>
      </c>
      <c r="M1040" t="str">
        <f t="shared" si="31"/>
        <v>0001-Administração e Coordenação Geral​</v>
      </c>
      <c r="N1040" t="str">
        <f t="shared" si="32"/>
        <v xml:space="preserve">2.011-Manutenção de Equipamentos Públicos </v>
      </c>
      <c r="O1040" t="str">
        <f t="shared" si="27"/>
        <v>3.3.90.30.00-MATERIAL DE CONSUMO</v>
      </c>
      <c r="R1040" s="25">
        <v>104949.1</v>
      </c>
      <c r="S1040" t="s">
        <v>1035</v>
      </c>
    </row>
    <row r="1041" spans="1:19" x14ac:dyDescent="0.25">
      <c r="A1041" t="str">
        <f t="shared" si="16"/>
        <v>05</v>
      </c>
      <c r="B1041" t="str">
        <f t="shared" si="17"/>
        <v>001</v>
      </c>
      <c r="C1041" t="str">
        <f t="shared" si="18"/>
        <v>04</v>
      </c>
      <c r="D1041" t="str">
        <f t="shared" si="19"/>
        <v>122</v>
      </c>
      <c r="E1041" t="str">
        <f t="shared" si="20"/>
        <v>0001</v>
      </c>
      <c r="F1041" t="str">
        <f t="shared" si="21"/>
        <v>2.011</v>
      </c>
      <c r="G1041" t="str">
        <f t="shared" si="22"/>
        <v>3.3.90.36.00</v>
      </c>
      <c r="H1041" t="s">
        <v>1081</v>
      </c>
      <c r="I1041" t="str">
        <f t="shared" si="28"/>
        <v>05 - PROCURADORIA GERAL DO MUNICÍPIO</v>
      </c>
      <c r="J1041" t="s">
        <v>20</v>
      </c>
      <c r="K1041" t="str">
        <f t="shared" si="29"/>
        <v>4-ADMINISTRAÇÃO</v>
      </c>
      <c r="L1041" t="str">
        <f t="shared" si="30"/>
        <v>122-ADMINISTRAÇÃO GERAL</v>
      </c>
      <c r="M1041" t="str">
        <f t="shared" si="31"/>
        <v>0001-Administração e Coordenação Geral​</v>
      </c>
      <c r="N1041" t="str">
        <f t="shared" si="32"/>
        <v xml:space="preserve">2.011-Manutenção de Equipamentos Públicos </v>
      </c>
      <c r="O1041" t="str">
        <f t="shared" si="27"/>
        <v>3.3.90.36.00-OUTROS SERVIÇOS DE TERCEIROS - PESSOA FÍSICA</v>
      </c>
      <c r="R1041" s="25">
        <v>103910</v>
      </c>
      <c r="S1041" t="s">
        <v>1035</v>
      </c>
    </row>
    <row r="1042" spans="1:19" x14ac:dyDescent="0.25">
      <c r="A1042" t="str">
        <f t="shared" si="16"/>
        <v>05</v>
      </c>
      <c r="B1042" t="str">
        <f t="shared" si="17"/>
        <v>001</v>
      </c>
      <c r="C1042" t="str">
        <f t="shared" si="18"/>
        <v>04</v>
      </c>
      <c r="D1042" t="str">
        <f t="shared" si="19"/>
        <v>122</v>
      </c>
      <c r="E1042" t="str">
        <f t="shared" si="20"/>
        <v>0001</v>
      </c>
      <c r="F1042" t="str">
        <f t="shared" si="21"/>
        <v>2.011</v>
      </c>
      <c r="G1042" t="str">
        <f t="shared" si="22"/>
        <v>3.3.90.39.00</v>
      </c>
      <c r="H1042" t="s">
        <v>1082</v>
      </c>
      <c r="I1042" t="str">
        <f t="shared" si="28"/>
        <v>05 - PROCURADORIA GERAL DO MUNICÍPIO</v>
      </c>
      <c r="J1042" t="s">
        <v>20</v>
      </c>
      <c r="K1042" t="str">
        <f t="shared" si="29"/>
        <v>4-ADMINISTRAÇÃO</v>
      </c>
      <c r="L1042" t="str">
        <f t="shared" si="30"/>
        <v>122-ADMINISTRAÇÃO GERAL</v>
      </c>
      <c r="M1042" t="str">
        <f t="shared" si="31"/>
        <v>0001-Administração e Coordenação Geral​</v>
      </c>
      <c r="N1042" t="str">
        <f t="shared" si="32"/>
        <v xml:space="preserve">2.011-Manutenção de Equipamentos Públicos </v>
      </c>
      <c r="O1042" t="str">
        <f t="shared" si="27"/>
        <v>3.3.90.39.00-OUTROS SERVIÇOS DE TERCEIROS - PESSOA JURÍDICA</v>
      </c>
      <c r="R1042" s="25">
        <v>2530553.0163699999</v>
      </c>
      <c r="S1042" t="s">
        <v>1035</v>
      </c>
    </row>
    <row r="1043" spans="1:19" x14ac:dyDescent="0.25">
      <c r="A1043" t="str">
        <f t="shared" si="16"/>
        <v>05</v>
      </c>
      <c r="B1043" t="str">
        <f t="shared" si="17"/>
        <v>001</v>
      </c>
      <c r="C1043" t="str">
        <f t="shared" si="18"/>
        <v>04</v>
      </c>
      <c r="D1043" t="str">
        <f t="shared" si="19"/>
        <v>126</v>
      </c>
      <c r="E1043" t="str">
        <f t="shared" si="20"/>
        <v>0002</v>
      </c>
      <c r="F1043" t="str">
        <f t="shared" si="21"/>
        <v>2.007</v>
      </c>
      <c r="G1043" t="str">
        <f t="shared" si="22"/>
        <v>3.3.90.40.00</v>
      </c>
      <c r="H1043" t="s">
        <v>1083</v>
      </c>
      <c r="I1043" t="str">
        <f t="shared" si="28"/>
        <v>05 - PROCURADORIA GERAL DO MUNICÍPIO</v>
      </c>
      <c r="J1043" t="s">
        <v>20</v>
      </c>
      <c r="K1043" t="str">
        <f t="shared" si="29"/>
        <v>4-ADMINISTRAÇÃO</v>
      </c>
      <c r="L1043" t="str">
        <f t="shared" si="30"/>
        <v>126-TECNOLOGIA DA INFORMATIZAÇÃO</v>
      </c>
      <c r="M1043" t="str">
        <f t="shared" si="31"/>
        <v>0002-Governo Inteligente, Aberto e Inovador​</v>
      </c>
      <c r="N1043" t="str">
        <f t="shared" si="32"/>
        <v>2.007-Ampliação e Manutenção de Sistemas de Inteligência, Fiscalização e Tecnologia</v>
      </c>
      <c r="O1043" t="str">
        <f t="shared" si="27"/>
        <v>3.3.90.40.00-SERVIÇOS DE TECNOLOGIA DA INFORMAÇÃO E COMUNICAÇÃO - PESSOA JURÍDICA</v>
      </c>
      <c r="R1043" s="25">
        <v>1356977.6</v>
      </c>
      <c r="S1043" t="s">
        <v>1035</v>
      </c>
    </row>
    <row r="1044" spans="1:19" x14ac:dyDescent="0.25">
      <c r="A1044" t="str">
        <f t="shared" si="16"/>
        <v>05</v>
      </c>
      <c r="B1044" t="str">
        <f t="shared" si="17"/>
        <v>001</v>
      </c>
      <c r="C1044" t="str">
        <f t="shared" si="18"/>
        <v>04</v>
      </c>
      <c r="D1044" t="str">
        <f t="shared" si="19"/>
        <v>128</v>
      </c>
      <c r="E1044" t="str">
        <f t="shared" si="20"/>
        <v>0002</v>
      </c>
      <c r="F1044" t="str">
        <f t="shared" si="21"/>
        <v>2.003</v>
      </c>
      <c r="G1044" t="str">
        <f t="shared" si="22"/>
        <v>3.3.90.39.00</v>
      </c>
      <c r="H1044" t="s">
        <v>1084</v>
      </c>
      <c r="I1044" t="str">
        <f t="shared" si="28"/>
        <v>05 - PROCURADORIA GERAL DO MUNICÍPIO</v>
      </c>
      <c r="J1044" t="s">
        <v>20</v>
      </c>
      <c r="K1044" t="str">
        <f t="shared" si="29"/>
        <v>4-ADMINISTRAÇÃO</v>
      </c>
      <c r="L1044" t="str">
        <f t="shared" si="30"/>
        <v>128-FORMAÇÃO DE RECURSOS HUMANOS</v>
      </c>
      <c r="M1044" t="str">
        <f t="shared" si="31"/>
        <v>0002-Governo Inteligente, Aberto e Inovador​</v>
      </c>
      <c r="N1044" t="str">
        <f t="shared" si="32"/>
        <v>2.003-Qualificação de Servidores e Processos Institucionais</v>
      </c>
      <c r="O1044" t="str">
        <f t="shared" si="27"/>
        <v>3.3.90.39.00-OUTROS SERVIÇOS DE TERCEIROS - PESSOA JURÍDICA</v>
      </c>
      <c r="R1044" s="25">
        <v>1</v>
      </c>
      <c r="S1044" t="s">
        <v>1035</v>
      </c>
    </row>
    <row r="1045" spans="1:19" x14ac:dyDescent="0.25">
      <c r="A1045" t="str">
        <f t="shared" si="16"/>
        <v>05</v>
      </c>
      <c r="B1045" t="str">
        <f t="shared" si="17"/>
        <v>001</v>
      </c>
      <c r="C1045" t="str">
        <f t="shared" si="18"/>
        <v>04</v>
      </c>
      <c r="D1045" t="str">
        <f t="shared" si="19"/>
        <v>131</v>
      </c>
      <c r="E1045" t="str">
        <f t="shared" si="20"/>
        <v>0002</v>
      </c>
      <c r="F1045" t="str">
        <f t="shared" si="21"/>
        <v>2.005</v>
      </c>
      <c r="G1045" t="str">
        <f t="shared" si="22"/>
        <v>3.3.90.39.00</v>
      </c>
      <c r="H1045" t="s">
        <v>1085</v>
      </c>
      <c r="I1045" t="str">
        <f t="shared" si="28"/>
        <v>05 - PROCURADORIA GERAL DO MUNICÍPIO</v>
      </c>
      <c r="J1045" t="s">
        <v>20</v>
      </c>
      <c r="K1045" t="str">
        <f t="shared" si="29"/>
        <v>4-ADMINISTRAÇÃO</v>
      </c>
      <c r="L1045" t="str">
        <f t="shared" si="30"/>
        <v>131-COMUNICAÇÃO SOCIAL</v>
      </c>
      <c r="M1045" t="str">
        <f t="shared" si="31"/>
        <v>0002-Governo Inteligente, Aberto e Inovador​</v>
      </c>
      <c r="N1045" t="str">
        <f t="shared" si="32"/>
        <v xml:space="preserve">2.005-Promoção de Eventos, Comunicação e Participação Social </v>
      </c>
      <c r="O1045" t="str">
        <f t="shared" si="27"/>
        <v>3.3.90.39.00-OUTROS SERVIÇOS DE TERCEIROS - PESSOA JURÍDICA</v>
      </c>
      <c r="R1045" s="25">
        <v>2</v>
      </c>
      <c r="S1045" t="s">
        <v>1035</v>
      </c>
    </row>
    <row r="1046" spans="1:19" x14ac:dyDescent="0.25">
      <c r="A1046" t="str">
        <f t="shared" si="16"/>
        <v>06</v>
      </c>
      <c r="B1046" t="str">
        <f t="shared" si="17"/>
        <v>001</v>
      </c>
      <c r="C1046" t="str">
        <f t="shared" si="18"/>
        <v>04</v>
      </c>
      <c r="D1046" t="str">
        <f t="shared" si="19"/>
        <v>122</v>
      </c>
      <c r="E1046" t="str">
        <f t="shared" si="20"/>
        <v>0001</v>
      </c>
      <c r="F1046" t="str">
        <f t="shared" si="21"/>
        <v>2.006</v>
      </c>
      <c r="G1046" t="str">
        <f t="shared" si="22"/>
        <v>3.3.90.33.00</v>
      </c>
      <c r="H1046" t="s">
        <v>1086</v>
      </c>
      <c r="I1046" t="str">
        <f t="shared" si="28"/>
        <v>06 - SECRETARIA DE ADMINISTRAÇÃO</v>
      </c>
      <c r="J1046" t="s">
        <v>20</v>
      </c>
      <c r="K1046" t="str">
        <f t="shared" si="29"/>
        <v>4-ADMINISTRAÇÃO</v>
      </c>
      <c r="L1046" t="str">
        <f t="shared" si="30"/>
        <v>122-ADMINISTRAÇÃO GERAL</v>
      </c>
      <c r="M1046" t="str">
        <f t="shared" si="31"/>
        <v>0001-Administração e Coordenação Geral​</v>
      </c>
      <c r="N1046" t="str">
        <f t="shared" si="32"/>
        <v xml:space="preserve">2.006-Representações Oficiais </v>
      </c>
      <c r="O1046" t="str">
        <f t="shared" si="27"/>
        <v>3.3.90.33.00-PASSAGENS E DESPESAS COM LOCOMOÇÃO</v>
      </c>
      <c r="R1046" s="25">
        <v>1</v>
      </c>
      <c r="S1046" t="s">
        <v>1035</v>
      </c>
    </row>
    <row r="1047" spans="1:19" x14ac:dyDescent="0.25">
      <c r="A1047" t="str">
        <f t="shared" si="16"/>
        <v>06</v>
      </c>
      <c r="B1047" t="str">
        <f t="shared" si="17"/>
        <v>001</v>
      </c>
      <c r="C1047" t="str">
        <f t="shared" si="18"/>
        <v>04</v>
      </c>
      <c r="D1047" t="str">
        <f t="shared" si="19"/>
        <v>122</v>
      </c>
      <c r="E1047" t="str">
        <f t="shared" si="20"/>
        <v>0001</v>
      </c>
      <c r="F1047" t="str">
        <f t="shared" si="21"/>
        <v>2.006</v>
      </c>
      <c r="G1047" t="str">
        <f t="shared" si="22"/>
        <v>3.3.90.39.00</v>
      </c>
      <c r="H1047" t="s">
        <v>1087</v>
      </c>
      <c r="I1047" t="str">
        <f t="shared" si="28"/>
        <v>06 - SECRETARIA DE ADMINISTRAÇÃO</v>
      </c>
      <c r="J1047" t="s">
        <v>20</v>
      </c>
      <c r="K1047" t="str">
        <f t="shared" si="29"/>
        <v>4-ADMINISTRAÇÃO</v>
      </c>
      <c r="L1047" t="str">
        <f t="shared" si="30"/>
        <v>122-ADMINISTRAÇÃO GERAL</v>
      </c>
      <c r="M1047" t="str">
        <f t="shared" si="31"/>
        <v>0001-Administração e Coordenação Geral​</v>
      </c>
      <c r="N1047" t="str">
        <f t="shared" si="32"/>
        <v xml:space="preserve">2.006-Representações Oficiais </v>
      </c>
      <c r="O1047" t="str">
        <f t="shared" si="27"/>
        <v>3.3.90.39.00-OUTROS SERVIÇOS DE TERCEIROS - PESSOA JURÍDICA</v>
      </c>
      <c r="R1047" s="25">
        <v>0</v>
      </c>
      <c r="S1047" t="s">
        <v>1035</v>
      </c>
    </row>
    <row r="1048" spans="1:19" x14ac:dyDescent="0.25">
      <c r="A1048" t="str">
        <f t="shared" si="16"/>
        <v>06</v>
      </c>
      <c r="B1048" t="str">
        <f t="shared" si="17"/>
        <v>001</v>
      </c>
      <c r="C1048" t="str">
        <f t="shared" si="18"/>
        <v>04</v>
      </c>
      <c r="D1048" t="str">
        <f t="shared" si="19"/>
        <v>122</v>
      </c>
      <c r="E1048" t="str">
        <f t="shared" si="20"/>
        <v>0001</v>
      </c>
      <c r="F1048" t="str">
        <f t="shared" si="21"/>
        <v>2.011</v>
      </c>
      <c r="G1048" t="str">
        <f t="shared" si="22"/>
        <v>3.3.50.39.00</v>
      </c>
      <c r="H1048" t="s">
        <v>1088</v>
      </c>
      <c r="I1048" t="str">
        <f t="shared" si="28"/>
        <v>06 - SECRETARIA DE ADMINISTRAÇÃO</v>
      </c>
      <c r="J1048" t="s">
        <v>20</v>
      </c>
      <c r="K1048" t="str">
        <f t="shared" si="29"/>
        <v>4-ADMINISTRAÇÃO</v>
      </c>
      <c r="L1048" t="str">
        <f t="shared" si="30"/>
        <v>122-ADMINISTRAÇÃO GERAL</v>
      </c>
      <c r="M1048" t="str">
        <f t="shared" si="31"/>
        <v>0001-Administração e Coordenação Geral​</v>
      </c>
      <c r="N1048" t="str">
        <f t="shared" si="32"/>
        <v xml:space="preserve">2.011-Manutenção de Equipamentos Públicos </v>
      </c>
      <c r="O1048" t="str">
        <f t="shared" si="27"/>
        <v>3.3.50.39.00-OUTROS SERVIÇOS DE TERCEIROS - PESSOA JURÍDICA</v>
      </c>
      <c r="R1048" s="25">
        <v>0</v>
      </c>
      <c r="S1048" t="s">
        <v>1035</v>
      </c>
    </row>
    <row r="1049" spans="1:19" x14ac:dyDescent="0.25">
      <c r="A1049" t="str">
        <f t="shared" si="16"/>
        <v>06</v>
      </c>
      <c r="B1049" t="str">
        <f t="shared" si="17"/>
        <v>001</v>
      </c>
      <c r="C1049" t="str">
        <f t="shared" si="18"/>
        <v>04</v>
      </c>
      <c r="D1049" t="str">
        <f t="shared" si="19"/>
        <v>122</v>
      </c>
      <c r="E1049" t="str">
        <f t="shared" si="20"/>
        <v>0001</v>
      </c>
      <c r="F1049" t="str">
        <f t="shared" si="21"/>
        <v>2.011</v>
      </c>
      <c r="G1049" t="str">
        <f t="shared" si="22"/>
        <v>3.3.90.30.00</v>
      </c>
      <c r="H1049" t="s">
        <v>1089</v>
      </c>
      <c r="I1049" t="str">
        <f t="shared" si="28"/>
        <v>06 - SECRETARIA DE ADMINISTRAÇÃO</v>
      </c>
      <c r="J1049" t="s">
        <v>20</v>
      </c>
      <c r="K1049" t="str">
        <f t="shared" si="29"/>
        <v>4-ADMINISTRAÇÃO</v>
      </c>
      <c r="L1049" t="str">
        <f t="shared" si="30"/>
        <v>122-ADMINISTRAÇÃO GERAL</v>
      </c>
      <c r="M1049" t="str">
        <f t="shared" si="31"/>
        <v>0001-Administração e Coordenação Geral​</v>
      </c>
      <c r="N1049" t="str">
        <f t="shared" si="32"/>
        <v xml:space="preserve">2.011-Manutenção de Equipamentos Públicos </v>
      </c>
      <c r="O1049" t="str">
        <f t="shared" si="27"/>
        <v>3.3.90.30.00-MATERIAL DE CONSUMO</v>
      </c>
      <c r="R1049" s="25">
        <v>197429</v>
      </c>
      <c r="S1049" t="s">
        <v>1035</v>
      </c>
    </row>
    <row r="1050" spans="1:19" x14ac:dyDescent="0.25">
      <c r="A1050" t="str">
        <f t="shared" si="16"/>
        <v>06</v>
      </c>
      <c r="B1050" t="str">
        <f t="shared" si="17"/>
        <v>001</v>
      </c>
      <c r="C1050" t="str">
        <f t="shared" si="18"/>
        <v>04</v>
      </c>
      <c r="D1050" t="str">
        <f t="shared" si="19"/>
        <v>122</v>
      </c>
      <c r="E1050" t="str">
        <f t="shared" si="20"/>
        <v>0001</v>
      </c>
      <c r="F1050" t="str">
        <f t="shared" si="21"/>
        <v>2.011</v>
      </c>
      <c r="G1050" t="str">
        <f t="shared" si="22"/>
        <v>3.3.90.39.00</v>
      </c>
      <c r="H1050" t="s">
        <v>1090</v>
      </c>
      <c r="I1050" t="str">
        <f t="shared" si="28"/>
        <v>06 - SECRETARIA DE ADMINISTRAÇÃO</v>
      </c>
      <c r="J1050" t="s">
        <v>20</v>
      </c>
      <c r="K1050" t="str">
        <f t="shared" si="29"/>
        <v>4-ADMINISTRAÇÃO</v>
      </c>
      <c r="L1050" t="str">
        <f t="shared" si="30"/>
        <v>122-ADMINISTRAÇÃO GERAL</v>
      </c>
      <c r="M1050" t="str">
        <f t="shared" si="31"/>
        <v>0001-Administração e Coordenação Geral​</v>
      </c>
      <c r="N1050" t="str">
        <f t="shared" si="32"/>
        <v xml:space="preserve">2.011-Manutenção de Equipamentos Públicos </v>
      </c>
      <c r="O1050" t="str">
        <f t="shared" si="27"/>
        <v>3.3.90.39.00-OUTROS SERVIÇOS DE TERCEIROS - PESSOA JURÍDICA</v>
      </c>
      <c r="R1050" s="25">
        <v>12924068.060899999</v>
      </c>
      <c r="S1050" t="s">
        <v>1035</v>
      </c>
    </row>
    <row r="1051" spans="1:19" x14ac:dyDescent="0.25">
      <c r="A1051" t="str">
        <f t="shared" si="16"/>
        <v>06</v>
      </c>
      <c r="B1051" t="str">
        <f t="shared" si="17"/>
        <v>001</v>
      </c>
      <c r="C1051" t="str">
        <f t="shared" si="18"/>
        <v>04</v>
      </c>
      <c r="D1051" t="str">
        <f t="shared" si="19"/>
        <v>126</v>
      </c>
      <c r="E1051" t="str">
        <f t="shared" si="20"/>
        <v>0002</v>
      </c>
      <c r="F1051" t="str">
        <f t="shared" si="21"/>
        <v>2.007</v>
      </c>
      <c r="G1051" t="str">
        <f t="shared" si="22"/>
        <v>3.3.90.39.00</v>
      </c>
      <c r="H1051" t="s">
        <v>1091</v>
      </c>
      <c r="I1051" t="str">
        <f t="shared" si="28"/>
        <v>06 - SECRETARIA DE ADMINISTRAÇÃO</v>
      </c>
      <c r="J1051" t="s">
        <v>20</v>
      </c>
      <c r="K1051" t="str">
        <f t="shared" si="29"/>
        <v>4-ADMINISTRAÇÃO</v>
      </c>
      <c r="L1051" t="str">
        <f t="shared" si="30"/>
        <v>126-TECNOLOGIA DA INFORMATIZAÇÃO</v>
      </c>
      <c r="M1051" t="str">
        <f t="shared" si="31"/>
        <v>0002-Governo Inteligente, Aberto e Inovador​</v>
      </c>
      <c r="N1051" t="str">
        <f t="shared" si="32"/>
        <v>2.007-Ampliação e Manutenção de Sistemas de Inteligência, Fiscalização e Tecnologia</v>
      </c>
      <c r="O1051" t="str">
        <f t="shared" si="27"/>
        <v>3.3.90.39.00-OUTROS SERVIÇOS DE TERCEIROS - PESSOA JURÍDICA</v>
      </c>
      <c r="R1051" s="25">
        <v>1528594</v>
      </c>
      <c r="S1051" t="s">
        <v>1035</v>
      </c>
    </row>
    <row r="1052" spans="1:19" x14ac:dyDescent="0.25">
      <c r="A1052" t="str">
        <f t="shared" si="16"/>
        <v>06</v>
      </c>
      <c r="B1052" t="str">
        <f t="shared" si="17"/>
        <v>001</v>
      </c>
      <c r="C1052" t="str">
        <f t="shared" si="18"/>
        <v>04</v>
      </c>
      <c r="D1052" t="str">
        <f t="shared" si="19"/>
        <v>128</v>
      </c>
      <c r="E1052" t="str">
        <f t="shared" si="20"/>
        <v>0002</v>
      </c>
      <c r="F1052" t="str">
        <f t="shared" si="21"/>
        <v>2.003</v>
      </c>
      <c r="G1052" t="str">
        <f t="shared" si="22"/>
        <v>3.3.90.36.00</v>
      </c>
      <c r="H1052" t="s">
        <v>1092</v>
      </c>
      <c r="I1052" t="str">
        <f t="shared" si="28"/>
        <v>06 - SECRETARIA DE ADMINISTRAÇÃO</v>
      </c>
      <c r="J1052" t="s">
        <v>20</v>
      </c>
      <c r="K1052" t="str">
        <f t="shared" si="29"/>
        <v>4-ADMINISTRAÇÃO</v>
      </c>
      <c r="L1052" t="str">
        <f t="shared" si="30"/>
        <v>128-FORMAÇÃO DE RECURSOS HUMANOS</v>
      </c>
      <c r="M1052" t="str">
        <f t="shared" si="31"/>
        <v>0002-Governo Inteligente, Aberto e Inovador​</v>
      </c>
      <c r="N1052" t="str">
        <f t="shared" si="32"/>
        <v>2.003-Qualificação de Servidores e Processos Institucionais</v>
      </c>
      <c r="O1052" t="str">
        <f t="shared" si="27"/>
        <v>3.3.90.36.00-OUTROS SERVIÇOS DE TERCEIROS - PESSOA FÍSICA</v>
      </c>
      <c r="R1052" s="25">
        <v>0</v>
      </c>
      <c r="S1052" t="s">
        <v>1035</v>
      </c>
    </row>
    <row r="1053" spans="1:19" x14ac:dyDescent="0.25">
      <c r="A1053" t="str">
        <f t="shared" si="16"/>
        <v>06</v>
      </c>
      <c r="B1053" t="str">
        <f t="shared" si="17"/>
        <v>001</v>
      </c>
      <c r="C1053" t="str">
        <f t="shared" si="18"/>
        <v>04</v>
      </c>
      <c r="D1053" t="str">
        <f t="shared" si="19"/>
        <v>128</v>
      </c>
      <c r="E1053" t="str">
        <f t="shared" si="20"/>
        <v>0002</v>
      </c>
      <c r="F1053" t="str">
        <f t="shared" si="21"/>
        <v>2.003</v>
      </c>
      <c r="G1053" t="str">
        <f t="shared" si="22"/>
        <v>3.3.90.39.00</v>
      </c>
      <c r="H1053" t="s">
        <v>1093</v>
      </c>
      <c r="I1053" t="str">
        <f t="shared" si="28"/>
        <v>06 - SECRETARIA DE ADMINISTRAÇÃO</v>
      </c>
      <c r="J1053" t="s">
        <v>20</v>
      </c>
      <c r="K1053" t="str">
        <f t="shared" si="29"/>
        <v>4-ADMINISTRAÇÃO</v>
      </c>
      <c r="L1053" t="str">
        <f t="shared" si="30"/>
        <v>128-FORMAÇÃO DE RECURSOS HUMANOS</v>
      </c>
      <c r="M1053" t="str">
        <f t="shared" si="31"/>
        <v>0002-Governo Inteligente, Aberto e Inovador​</v>
      </c>
      <c r="N1053" t="str">
        <f t="shared" si="32"/>
        <v>2.003-Qualificação de Servidores e Processos Institucionais</v>
      </c>
      <c r="O1053" t="str">
        <f t="shared" si="27"/>
        <v>3.3.90.39.00-OUTROS SERVIÇOS DE TERCEIROS - PESSOA JURÍDICA</v>
      </c>
      <c r="R1053" s="25">
        <v>0</v>
      </c>
      <c r="S1053" t="s">
        <v>1035</v>
      </c>
    </row>
    <row r="1054" spans="1:19" x14ac:dyDescent="0.25">
      <c r="A1054" t="str">
        <f t="shared" si="16"/>
        <v>06</v>
      </c>
      <c r="B1054" t="str">
        <f t="shared" si="17"/>
        <v>001</v>
      </c>
      <c r="C1054" t="str">
        <f t="shared" si="18"/>
        <v>04</v>
      </c>
      <c r="D1054" t="str">
        <f t="shared" si="19"/>
        <v>131</v>
      </c>
      <c r="E1054" t="str">
        <f t="shared" si="20"/>
        <v>0002</v>
      </c>
      <c r="F1054" t="str">
        <f t="shared" si="21"/>
        <v>2.005</v>
      </c>
      <c r="G1054" t="str">
        <f t="shared" si="22"/>
        <v>3.3.90.30.00</v>
      </c>
      <c r="H1054" t="s">
        <v>1094</v>
      </c>
      <c r="I1054" t="str">
        <f t="shared" si="28"/>
        <v>06 - SECRETARIA DE ADMINISTRAÇÃO</v>
      </c>
      <c r="J1054" t="s">
        <v>20</v>
      </c>
      <c r="K1054" t="str">
        <f t="shared" si="29"/>
        <v>4-ADMINISTRAÇÃO</v>
      </c>
      <c r="L1054" t="str">
        <f t="shared" si="30"/>
        <v>131-COMUNICAÇÃO SOCIAL</v>
      </c>
      <c r="M1054" t="str">
        <f t="shared" si="31"/>
        <v>0002-Governo Inteligente, Aberto e Inovador​</v>
      </c>
      <c r="N1054" t="str">
        <f t="shared" si="32"/>
        <v xml:space="preserve">2.005-Promoção de Eventos, Comunicação e Participação Social </v>
      </c>
      <c r="O1054" t="str">
        <f t="shared" si="27"/>
        <v>3.3.90.30.00-MATERIAL DE CONSUMO</v>
      </c>
      <c r="R1054" s="25">
        <v>1039.0999999999999</v>
      </c>
      <c r="S1054" t="s">
        <v>1035</v>
      </c>
    </row>
    <row r="1055" spans="1:19" x14ac:dyDescent="0.25">
      <c r="A1055" t="str">
        <f t="shared" si="16"/>
        <v>06</v>
      </c>
      <c r="B1055" t="str">
        <f t="shared" si="17"/>
        <v>001</v>
      </c>
      <c r="C1055" t="str">
        <f t="shared" si="18"/>
        <v>04</v>
      </c>
      <c r="D1055" t="str">
        <f t="shared" si="19"/>
        <v>131</v>
      </c>
      <c r="E1055" t="str">
        <f t="shared" si="20"/>
        <v>0002</v>
      </c>
      <c r="F1055" t="str">
        <f t="shared" si="21"/>
        <v>2.005</v>
      </c>
      <c r="G1055" t="str">
        <f t="shared" si="22"/>
        <v>3.3.90.39.00</v>
      </c>
      <c r="H1055" t="s">
        <v>1095</v>
      </c>
      <c r="I1055" t="str">
        <f t="shared" si="28"/>
        <v>06 - SECRETARIA DE ADMINISTRAÇÃO</v>
      </c>
      <c r="J1055" t="s">
        <v>20</v>
      </c>
      <c r="K1055" t="str">
        <f t="shared" si="29"/>
        <v>4-ADMINISTRAÇÃO</v>
      </c>
      <c r="L1055" t="str">
        <f t="shared" si="30"/>
        <v>131-COMUNICAÇÃO SOCIAL</v>
      </c>
      <c r="M1055" t="str">
        <f t="shared" si="31"/>
        <v>0002-Governo Inteligente, Aberto e Inovador​</v>
      </c>
      <c r="N1055" t="str">
        <f t="shared" si="32"/>
        <v xml:space="preserve">2.005-Promoção de Eventos, Comunicação e Participação Social </v>
      </c>
      <c r="O1055" t="str">
        <f t="shared" si="27"/>
        <v>3.3.90.39.00-OUTROS SERVIÇOS DE TERCEIROS - PESSOA JURÍDICA</v>
      </c>
      <c r="R1055" s="25">
        <v>67236.5</v>
      </c>
      <c r="S1055" t="s">
        <v>1035</v>
      </c>
    </row>
    <row r="1056" spans="1:19" x14ac:dyDescent="0.25">
      <c r="A1056" t="str">
        <f t="shared" si="16"/>
        <v>06</v>
      </c>
      <c r="B1056" t="str">
        <f t="shared" si="17"/>
        <v>011</v>
      </c>
      <c r="C1056" t="str">
        <f t="shared" si="18"/>
        <v>04</v>
      </c>
      <c r="D1056" t="str">
        <f t="shared" si="19"/>
        <v>128</v>
      </c>
      <c r="E1056" t="str">
        <f t="shared" si="20"/>
        <v>0002</v>
      </c>
      <c r="F1056" t="str">
        <f t="shared" si="21"/>
        <v>2.003</v>
      </c>
      <c r="G1056" t="str">
        <f t="shared" si="22"/>
        <v>3.3.90.39.00</v>
      </c>
      <c r="H1056" t="s">
        <v>1096</v>
      </c>
      <c r="I1056" t="str">
        <f t="shared" si="28"/>
        <v>06 - SECRETARIA DE ADMINISTRAÇÃO</v>
      </c>
      <c r="J1056" t="s">
        <v>123</v>
      </c>
      <c r="K1056" t="str">
        <f t="shared" si="29"/>
        <v>4-ADMINISTRAÇÃO</v>
      </c>
      <c r="L1056" t="str">
        <f t="shared" si="30"/>
        <v>128-FORMAÇÃO DE RECURSOS HUMANOS</v>
      </c>
      <c r="M1056" t="str">
        <f t="shared" si="31"/>
        <v>0002-Governo Inteligente, Aberto e Inovador​</v>
      </c>
      <c r="N1056" t="str">
        <f t="shared" si="32"/>
        <v>2.003-Qualificação de Servidores e Processos Institucionais</v>
      </c>
      <c r="O1056" t="str">
        <f t="shared" si="27"/>
        <v>3.3.90.39.00-OUTROS SERVIÇOS DE TERCEIROS - PESSOA JURÍDICA</v>
      </c>
      <c r="R1056" s="25">
        <v>0</v>
      </c>
      <c r="S1056" t="s">
        <v>1035</v>
      </c>
    </row>
    <row r="1057" spans="1:19" x14ac:dyDescent="0.25">
      <c r="A1057" t="str">
        <f t="shared" si="16"/>
        <v>07</v>
      </c>
      <c r="B1057" t="str">
        <f t="shared" si="17"/>
        <v>001</v>
      </c>
      <c r="C1057" t="str">
        <f t="shared" si="18"/>
        <v>04</v>
      </c>
      <c r="D1057" t="str">
        <f t="shared" si="19"/>
        <v>122</v>
      </c>
      <c r="E1057" t="str">
        <f t="shared" si="20"/>
        <v>0001</v>
      </c>
      <c r="F1057" t="str">
        <f t="shared" si="21"/>
        <v>2.006</v>
      </c>
      <c r="G1057" t="str">
        <f t="shared" si="22"/>
        <v>3.3.90.33.00</v>
      </c>
      <c r="H1057" t="s">
        <v>1097</v>
      </c>
      <c r="I1057" t="str">
        <f t="shared" si="28"/>
        <v>07 - SECRETARIA DE EMPREGO, TRABALHO E RENDA</v>
      </c>
      <c r="J1057" t="s">
        <v>20</v>
      </c>
      <c r="K1057" t="str">
        <f t="shared" si="29"/>
        <v>4-ADMINISTRAÇÃO</v>
      </c>
      <c r="L1057" t="str">
        <f t="shared" si="30"/>
        <v>122-ADMINISTRAÇÃO GERAL</v>
      </c>
      <c r="M1057" t="str">
        <f t="shared" si="31"/>
        <v>0001-Administração e Coordenação Geral​</v>
      </c>
      <c r="N1057" t="str">
        <f t="shared" si="32"/>
        <v xml:space="preserve">2.006-Representações Oficiais </v>
      </c>
      <c r="O1057" t="str">
        <f t="shared" si="27"/>
        <v>3.3.90.33.00-PASSAGENS E DESPESAS COM LOCOMOÇÃO</v>
      </c>
      <c r="R1057" s="25">
        <v>1</v>
      </c>
      <c r="S1057" t="s">
        <v>1035</v>
      </c>
    </row>
    <row r="1058" spans="1:19" x14ac:dyDescent="0.25">
      <c r="A1058" t="str">
        <f t="shared" si="16"/>
        <v>07</v>
      </c>
      <c r="B1058" t="str">
        <f t="shared" si="17"/>
        <v>001</v>
      </c>
      <c r="C1058" t="str">
        <f t="shared" si="18"/>
        <v>04</v>
      </c>
      <c r="D1058" t="str">
        <f t="shared" si="19"/>
        <v>122</v>
      </c>
      <c r="E1058" t="str">
        <f t="shared" si="20"/>
        <v>0001</v>
      </c>
      <c r="F1058" t="str">
        <f t="shared" si="21"/>
        <v>2.006</v>
      </c>
      <c r="G1058" t="str">
        <f t="shared" si="22"/>
        <v>3.3.90.39.00</v>
      </c>
      <c r="H1058" t="s">
        <v>1098</v>
      </c>
      <c r="I1058" t="str">
        <f t="shared" si="28"/>
        <v>07 - SECRETARIA DE EMPREGO, TRABALHO E RENDA</v>
      </c>
      <c r="J1058" t="s">
        <v>20</v>
      </c>
      <c r="K1058" t="str">
        <f t="shared" si="29"/>
        <v>4-ADMINISTRAÇÃO</v>
      </c>
      <c r="L1058" t="str">
        <f t="shared" si="30"/>
        <v>122-ADMINISTRAÇÃO GERAL</v>
      </c>
      <c r="M1058" t="str">
        <f t="shared" si="31"/>
        <v>0001-Administração e Coordenação Geral​</v>
      </c>
      <c r="N1058" t="str">
        <f t="shared" si="32"/>
        <v xml:space="preserve">2.006-Representações Oficiais </v>
      </c>
      <c r="O1058" t="str">
        <f t="shared" si="27"/>
        <v>3.3.90.39.00-OUTROS SERVIÇOS DE TERCEIROS - PESSOA JURÍDICA</v>
      </c>
      <c r="R1058" s="25">
        <v>1</v>
      </c>
      <c r="S1058" t="s">
        <v>1035</v>
      </c>
    </row>
    <row r="1059" spans="1:19" x14ac:dyDescent="0.25">
      <c r="A1059" t="str">
        <f t="shared" ref="A1059:A1122" si="33">LEFT(H1059,2)</f>
        <v>07</v>
      </c>
      <c r="B1059" t="str">
        <f t="shared" ref="B1059:B1122" si="34">MID(H1059,4,3)</f>
        <v>001</v>
      </c>
      <c r="C1059" t="str">
        <f t="shared" ref="C1059:C1122" si="35">MID(H1059,8,2)</f>
        <v>04</v>
      </c>
      <c r="D1059" t="str">
        <f t="shared" ref="D1059:D1122" si="36">MID(H1059,11,3)</f>
        <v>128</v>
      </c>
      <c r="E1059" t="str">
        <f t="shared" ref="E1059:E1122" si="37">MID(H1059,15,4)</f>
        <v>0002</v>
      </c>
      <c r="F1059" t="str">
        <f t="shared" ref="F1059:F1122" si="38">MID(H1059,20,5)</f>
        <v>2.003</v>
      </c>
      <c r="G1059" t="str">
        <f t="shared" ref="G1059:G1122" si="39">MID(H1059,26,12)</f>
        <v>3.3.90.36.00</v>
      </c>
      <c r="H1059" t="s">
        <v>1099</v>
      </c>
      <c r="I1059" t="str">
        <f t="shared" si="28"/>
        <v>07 - SECRETARIA DE EMPREGO, TRABALHO E RENDA</v>
      </c>
      <c r="J1059" t="s">
        <v>20</v>
      </c>
      <c r="K1059" t="str">
        <f t="shared" ref="K1059:K1122" si="40">VLOOKUP(C1059,$C$1:$O$994,9,0)</f>
        <v>4-ADMINISTRAÇÃO</v>
      </c>
      <c r="L1059" t="str">
        <f t="shared" ref="L1059:L1122" si="41">VLOOKUP(D1059,$D$1:$O$994,9,0)</f>
        <v>128-FORMAÇÃO DE RECURSOS HUMANOS</v>
      </c>
      <c r="M1059" t="str">
        <f t="shared" ref="M1059:M1122" si="42">VLOOKUP(E1059,$E$1:$O$994,9,0)</f>
        <v>0002-Governo Inteligente, Aberto e Inovador​</v>
      </c>
      <c r="N1059" t="str">
        <f t="shared" ref="N1059:N1122" si="43">VLOOKUP(F1059,$F$1:$O$994,9,0)</f>
        <v>2.003-Qualificação de Servidores e Processos Institucionais</v>
      </c>
      <c r="O1059" t="str">
        <f t="shared" ref="O1059:O1122" si="44">VLOOKUP(G1059,$G$1:$O$994,9,0)</f>
        <v>3.3.90.36.00-OUTROS SERVIÇOS DE TERCEIROS - PESSOA FÍSICA</v>
      </c>
      <c r="R1059" s="25">
        <v>1</v>
      </c>
      <c r="S1059" t="s">
        <v>1035</v>
      </c>
    </row>
    <row r="1060" spans="1:19" x14ac:dyDescent="0.25">
      <c r="A1060" t="str">
        <f t="shared" si="33"/>
        <v>07</v>
      </c>
      <c r="B1060" t="str">
        <f t="shared" si="34"/>
        <v>001</v>
      </c>
      <c r="C1060" t="str">
        <f t="shared" si="35"/>
        <v>04</v>
      </c>
      <c r="D1060" t="str">
        <f t="shared" si="36"/>
        <v>128</v>
      </c>
      <c r="E1060" t="str">
        <f t="shared" si="37"/>
        <v>0002</v>
      </c>
      <c r="F1060" t="str">
        <f t="shared" si="38"/>
        <v>2.003</v>
      </c>
      <c r="G1060" t="str">
        <f t="shared" si="39"/>
        <v>3.3.90.39.00</v>
      </c>
      <c r="H1060" t="s">
        <v>1100</v>
      </c>
      <c r="I1060" t="str">
        <f t="shared" si="28"/>
        <v>07 - SECRETARIA DE EMPREGO, TRABALHO E RENDA</v>
      </c>
      <c r="J1060" t="s">
        <v>20</v>
      </c>
      <c r="K1060" t="str">
        <f t="shared" si="40"/>
        <v>4-ADMINISTRAÇÃO</v>
      </c>
      <c r="L1060" t="str">
        <f t="shared" si="41"/>
        <v>128-FORMAÇÃO DE RECURSOS HUMANOS</v>
      </c>
      <c r="M1060" t="str">
        <f t="shared" si="42"/>
        <v>0002-Governo Inteligente, Aberto e Inovador​</v>
      </c>
      <c r="N1060" t="str">
        <f t="shared" si="43"/>
        <v>2.003-Qualificação de Servidores e Processos Institucionais</v>
      </c>
      <c r="O1060" t="str">
        <f t="shared" si="44"/>
        <v>3.3.90.39.00-OUTROS SERVIÇOS DE TERCEIROS - PESSOA JURÍDICA</v>
      </c>
      <c r="R1060" s="25">
        <v>1</v>
      </c>
      <c r="S1060" t="s">
        <v>1035</v>
      </c>
    </row>
    <row r="1061" spans="1:19" x14ac:dyDescent="0.25">
      <c r="A1061" t="str">
        <f t="shared" si="33"/>
        <v>07</v>
      </c>
      <c r="B1061" t="str">
        <f t="shared" si="34"/>
        <v>001</v>
      </c>
      <c r="C1061" t="str">
        <f t="shared" si="35"/>
        <v>04</v>
      </c>
      <c r="D1061" t="str">
        <f t="shared" si="36"/>
        <v>131</v>
      </c>
      <c r="E1061" t="str">
        <f t="shared" si="37"/>
        <v>0002</v>
      </c>
      <c r="F1061" t="str">
        <f t="shared" si="38"/>
        <v>2.005</v>
      </c>
      <c r="G1061" t="str">
        <f t="shared" si="39"/>
        <v>3.3.90.30.00</v>
      </c>
      <c r="H1061" t="s">
        <v>1101</v>
      </c>
      <c r="I1061" t="str">
        <f t="shared" si="28"/>
        <v>07 - SECRETARIA DE EMPREGO, TRABALHO E RENDA</v>
      </c>
      <c r="J1061" t="s">
        <v>20</v>
      </c>
      <c r="K1061" t="str">
        <f t="shared" si="40"/>
        <v>4-ADMINISTRAÇÃO</v>
      </c>
      <c r="L1061" t="str">
        <f t="shared" si="41"/>
        <v>131-COMUNICAÇÃO SOCIAL</v>
      </c>
      <c r="M1061" t="str">
        <f t="shared" si="42"/>
        <v>0002-Governo Inteligente, Aberto e Inovador​</v>
      </c>
      <c r="N1061" t="str">
        <f t="shared" si="43"/>
        <v xml:space="preserve">2.005-Promoção de Eventos, Comunicação e Participação Social </v>
      </c>
      <c r="O1061" t="str">
        <f t="shared" si="44"/>
        <v>3.3.90.30.00-MATERIAL DE CONSUMO</v>
      </c>
      <c r="R1061" s="25">
        <v>2597.75</v>
      </c>
      <c r="S1061" t="s">
        <v>1035</v>
      </c>
    </row>
    <row r="1062" spans="1:19" x14ac:dyDescent="0.25">
      <c r="A1062" t="str">
        <f t="shared" si="33"/>
        <v>07</v>
      </c>
      <c r="B1062" t="str">
        <f t="shared" si="34"/>
        <v>001</v>
      </c>
      <c r="C1062" t="str">
        <f t="shared" si="35"/>
        <v>04</v>
      </c>
      <c r="D1062" t="str">
        <f t="shared" si="36"/>
        <v>131</v>
      </c>
      <c r="E1062" t="str">
        <f t="shared" si="37"/>
        <v>0002</v>
      </c>
      <c r="F1062" t="str">
        <f t="shared" si="38"/>
        <v>2.005</v>
      </c>
      <c r="G1062" t="str">
        <f t="shared" si="39"/>
        <v>3.3.90.39.00</v>
      </c>
      <c r="H1062" t="s">
        <v>1102</v>
      </c>
      <c r="I1062" t="str">
        <f t="shared" si="28"/>
        <v>07 - SECRETARIA DE EMPREGO, TRABALHO E RENDA</v>
      </c>
      <c r="J1062" t="s">
        <v>20</v>
      </c>
      <c r="K1062" t="str">
        <f t="shared" si="40"/>
        <v>4-ADMINISTRAÇÃO</v>
      </c>
      <c r="L1062" t="str">
        <f t="shared" si="41"/>
        <v>131-COMUNICAÇÃO SOCIAL</v>
      </c>
      <c r="M1062" t="str">
        <f t="shared" si="42"/>
        <v>0002-Governo Inteligente, Aberto e Inovador​</v>
      </c>
      <c r="N1062" t="str">
        <f t="shared" si="43"/>
        <v xml:space="preserve">2.005-Promoção de Eventos, Comunicação e Participação Social </v>
      </c>
      <c r="O1062" t="str">
        <f t="shared" si="44"/>
        <v>3.3.90.39.00-OUTROS SERVIÇOS DE TERCEIROS - PESSOA JURÍDICA</v>
      </c>
      <c r="R1062" s="25">
        <v>8313.7999999999993</v>
      </c>
      <c r="S1062" t="s">
        <v>1035</v>
      </c>
    </row>
    <row r="1063" spans="1:19" x14ac:dyDescent="0.25">
      <c r="A1063" t="str">
        <f t="shared" si="33"/>
        <v>07</v>
      </c>
      <c r="B1063" t="str">
        <f t="shared" si="34"/>
        <v>001</v>
      </c>
      <c r="C1063" t="str">
        <f t="shared" si="35"/>
        <v>11</v>
      </c>
      <c r="D1063" t="str">
        <f t="shared" si="36"/>
        <v>122</v>
      </c>
      <c r="E1063" t="str">
        <f t="shared" si="37"/>
        <v>0017</v>
      </c>
      <c r="F1063" t="str">
        <f t="shared" si="38"/>
        <v>2.011</v>
      </c>
      <c r="G1063" t="str">
        <f t="shared" si="39"/>
        <v>3.3.90.30.00</v>
      </c>
      <c r="H1063" t="s">
        <v>1103</v>
      </c>
      <c r="I1063" t="str">
        <f t="shared" si="28"/>
        <v>07 - SECRETARIA DE EMPREGO, TRABALHO E RENDA</v>
      </c>
      <c r="J1063" t="s">
        <v>20</v>
      </c>
      <c r="K1063" t="str">
        <f t="shared" si="40"/>
        <v>11-TRABALHO</v>
      </c>
      <c r="L1063" t="str">
        <f t="shared" si="41"/>
        <v>122-ADMINISTRAÇÃO GERAL</v>
      </c>
      <c r="M1063" t="str">
        <f t="shared" si="42"/>
        <v>0017-Trabalho, Emprego e Renda​</v>
      </c>
      <c r="N1063" t="str">
        <f t="shared" si="43"/>
        <v xml:space="preserve">2.011-Manutenção de Equipamentos Públicos </v>
      </c>
      <c r="O1063" t="str">
        <f t="shared" si="44"/>
        <v>3.3.90.30.00-MATERIAL DE CONSUMO</v>
      </c>
      <c r="R1063" s="25">
        <v>49392.579400000002</v>
      </c>
      <c r="S1063" t="s">
        <v>1035</v>
      </c>
    </row>
    <row r="1064" spans="1:19" x14ac:dyDescent="0.25">
      <c r="A1064" t="str">
        <f t="shared" si="33"/>
        <v>07</v>
      </c>
      <c r="B1064" t="str">
        <f t="shared" si="34"/>
        <v>001</v>
      </c>
      <c r="C1064" t="str">
        <f t="shared" si="35"/>
        <v>11</v>
      </c>
      <c r="D1064" t="str">
        <f t="shared" si="36"/>
        <v>122</v>
      </c>
      <c r="E1064" t="str">
        <f t="shared" si="37"/>
        <v>0017</v>
      </c>
      <c r="F1064" t="str">
        <f t="shared" si="38"/>
        <v>2.011</v>
      </c>
      <c r="G1064" t="str">
        <f t="shared" si="39"/>
        <v>3.3.90.39.00</v>
      </c>
      <c r="H1064" t="s">
        <v>1104</v>
      </c>
      <c r="I1064" t="str">
        <f t="shared" si="28"/>
        <v>07 - SECRETARIA DE EMPREGO, TRABALHO E RENDA</v>
      </c>
      <c r="J1064" t="s">
        <v>20</v>
      </c>
      <c r="K1064" t="str">
        <f t="shared" si="40"/>
        <v>11-TRABALHO</v>
      </c>
      <c r="L1064" t="str">
        <f t="shared" si="41"/>
        <v>122-ADMINISTRAÇÃO GERAL</v>
      </c>
      <c r="M1064" t="str">
        <f t="shared" si="42"/>
        <v>0017-Trabalho, Emprego e Renda​</v>
      </c>
      <c r="N1064" t="str">
        <f t="shared" si="43"/>
        <v xml:space="preserve">2.011-Manutenção de Equipamentos Públicos </v>
      </c>
      <c r="O1064" t="str">
        <f t="shared" si="44"/>
        <v>3.3.90.39.00-OUTROS SERVIÇOS DE TERCEIROS - PESSOA JURÍDICA</v>
      </c>
      <c r="R1064" s="25">
        <v>4156.3999999999996</v>
      </c>
      <c r="S1064" t="s">
        <v>1035</v>
      </c>
    </row>
    <row r="1065" spans="1:19" x14ac:dyDescent="0.25">
      <c r="A1065" t="str">
        <f t="shared" si="33"/>
        <v>07</v>
      </c>
      <c r="B1065" t="str">
        <f t="shared" si="34"/>
        <v>001</v>
      </c>
      <c r="C1065" t="str">
        <f t="shared" si="35"/>
        <v>11</v>
      </c>
      <c r="D1065" t="str">
        <f t="shared" si="36"/>
        <v>333</v>
      </c>
      <c r="E1065" t="str">
        <f t="shared" si="37"/>
        <v>0017</v>
      </c>
      <c r="F1065" t="str">
        <f t="shared" si="38"/>
        <v>2.027</v>
      </c>
      <c r="G1065" t="str">
        <f t="shared" si="39"/>
        <v>3.3.90.39.00</v>
      </c>
      <c r="H1065" t="s">
        <v>1105</v>
      </c>
      <c r="I1065" t="str">
        <f t="shared" si="28"/>
        <v>07 - SECRETARIA DE EMPREGO, TRABALHO E RENDA</v>
      </c>
      <c r="J1065" t="s">
        <v>20</v>
      </c>
      <c r="K1065" t="str">
        <f t="shared" si="40"/>
        <v>11-TRABALHO</v>
      </c>
      <c r="L1065" t="str">
        <f t="shared" si="41"/>
        <v>333-EMPREGABILIDADE</v>
      </c>
      <c r="M1065" t="str">
        <f t="shared" si="42"/>
        <v>0017-Trabalho, Emprego e Renda​</v>
      </c>
      <c r="N1065" t="str">
        <f t="shared" si="43"/>
        <v xml:space="preserve">2.027-Intermediação Profissional </v>
      </c>
      <c r="O1065" t="str">
        <f t="shared" si="44"/>
        <v>3.3.90.39.00-OUTROS SERVIÇOS DE TERCEIROS - PESSOA JURÍDICA</v>
      </c>
      <c r="R1065" s="25">
        <v>15189078.619999999</v>
      </c>
      <c r="S1065" t="s">
        <v>1035</v>
      </c>
    </row>
    <row r="1066" spans="1:19" x14ac:dyDescent="0.25">
      <c r="A1066" t="str">
        <f t="shared" si="33"/>
        <v>07</v>
      </c>
      <c r="B1066" t="str">
        <f t="shared" si="34"/>
        <v>001</v>
      </c>
      <c r="C1066" t="str">
        <f t="shared" si="35"/>
        <v>11</v>
      </c>
      <c r="D1066" t="str">
        <f t="shared" si="36"/>
        <v>334</v>
      </c>
      <c r="E1066" t="str">
        <f t="shared" si="37"/>
        <v>0017</v>
      </c>
      <c r="F1066" t="str">
        <f t="shared" si="38"/>
        <v>2.004</v>
      </c>
      <c r="G1066" t="str">
        <f t="shared" si="39"/>
        <v>3.3.50.39.00</v>
      </c>
      <c r="H1066" t="s">
        <v>1106</v>
      </c>
      <c r="I1066" t="str">
        <f t="shared" si="28"/>
        <v>07 - SECRETARIA DE EMPREGO, TRABALHO E RENDA</v>
      </c>
      <c r="J1066" t="s">
        <v>20</v>
      </c>
      <c r="K1066" t="str">
        <f t="shared" si="40"/>
        <v>11-TRABALHO</v>
      </c>
      <c r="L1066" t="str">
        <f t="shared" si="41"/>
        <v>334-FOMENTO AO TRABALHO</v>
      </c>
      <c r="M1066" t="str">
        <f t="shared" si="42"/>
        <v>0017-Trabalho, Emprego e Renda​</v>
      </c>
      <c r="N1066" t="str">
        <f t="shared" si="43"/>
        <v xml:space="preserve">2.004-Qualificação Socioprofissional </v>
      </c>
      <c r="O1066" t="str">
        <f t="shared" si="44"/>
        <v>3.3.50.39.00-OUTROS SERVIÇOS DE TERCEIROS - PESSOA JURÍDICA</v>
      </c>
      <c r="R1066" s="25">
        <v>2834440</v>
      </c>
      <c r="S1066" t="s">
        <v>1035</v>
      </c>
    </row>
    <row r="1067" spans="1:19" x14ac:dyDescent="0.25">
      <c r="A1067" t="str">
        <f t="shared" si="33"/>
        <v>07</v>
      </c>
      <c r="B1067" t="str">
        <f t="shared" si="34"/>
        <v>001</v>
      </c>
      <c r="C1067" t="str">
        <f t="shared" si="35"/>
        <v>11</v>
      </c>
      <c r="D1067" t="str">
        <f t="shared" si="36"/>
        <v>334</v>
      </c>
      <c r="E1067" t="str">
        <f t="shared" si="37"/>
        <v>0017</v>
      </c>
      <c r="F1067" t="str">
        <f t="shared" si="38"/>
        <v>2.004</v>
      </c>
      <c r="G1067" t="str">
        <f t="shared" si="39"/>
        <v>3.3.90.30.00</v>
      </c>
      <c r="H1067" t="s">
        <v>1107</v>
      </c>
      <c r="I1067" t="str">
        <f t="shared" si="28"/>
        <v>07 - SECRETARIA DE EMPREGO, TRABALHO E RENDA</v>
      </c>
      <c r="J1067" t="s">
        <v>20</v>
      </c>
      <c r="K1067" t="str">
        <f t="shared" si="40"/>
        <v>11-TRABALHO</v>
      </c>
      <c r="L1067" t="str">
        <f t="shared" si="41"/>
        <v>334-FOMENTO AO TRABALHO</v>
      </c>
      <c r="M1067" t="str">
        <f t="shared" si="42"/>
        <v>0017-Trabalho, Emprego e Renda​</v>
      </c>
      <c r="N1067" t="str">
        <f t="shared" si="43"/>
        <v xml:space="preserve">2.004-Qualificação Socioprofissional </v>
      </c>
      <c r="O1067" t="str">
        <f t="shared" si="44"/>
        <v>3.3.90.30.00-MATERIAL DE CONSUMO</v>
      </c>
      <c r="R1067" s="25">
        <v>5195.5</v>
      </c>
      <c r="S1067" t="s">
        <v>1035</v>
      </c>
    </row>
    <row r="1068" spans="1:19" x14ac:dyDescent="0.25">
      <c r="A1068" t="str">
        <f t="shared" si="33"/>
        <v>07</v>
      </c>
      <c r="B1068" t="str">
        <f t="shared" si="34"/>
        <v>001</v>
      </c>
      <c r="C1068" t="str">
        <f t="shared" si="35"/>
        <v>11</v>
      </c>
      <c r="D1068" t="str">
        <f t="shared" si="36"/>
        <v>334</v>
      </c>
      <c r="E1068" t="str">
        <f t="shared" si="37"/>
        <v>0017</v>
      </c>
      <c r="F1068" t="str">
        <f t="shared" si="38"/>
        <v>2.004</v>
      </c>
      <c r="G1068" t="str">
        <f t="shared" si="39"/>
        <v>3.3.90.39.00</v>
      </c>
      <c r="H1068" t="s">
        <v>1108</v>
      </c>
      <c r="I1068" t="str">
        <f t="shared" si="28"/>
        <v>07 - SECRETARIA DE EMPREGO, TRABALHO E RENDA</v>
      </c>
      <c r="J1068" t="s">
        <v>20</v>
      </c>
      <c r="K1068" t="str">
        <f t="shared" si="40"/>
        <v>11-TRABALHO</v>
      </c>
      <c r="L1068" t="str">
        <f t="shared" si="41"/>
        <v>334-FOMENTO AO TRABALHO</v>
      </c>
      <c r="M1068" t="str">
        <f t="shared" si="42"/>
        <v>0017-Trabalho, Emprego e Renda​</v>
      </c>
      <c r="N1068" t="str">
        <f t="shared" si="43"/>
        <v xml:space="preserve">2.004-Qualificação Socioprofissional </v>
      </c>
      <c r="O1068" t="str">
        <f t="shared" si="44"/>
        <v>3.3.90.39.00-OUTROS SERVIÇOS DE TERCEIROS - PESSOA JURÍDICA</v>
      </c>
      <c r="R1068" s="25">
        <v>1</v>
      </c>
      <c r="S1068" t="s">
        <v>1035</v>
      </c>
    </row>
    <row r="1069" spans="1:19" x14ac:dyDescent="0.25">
      <c r="A1069" t="str">
        <f t="shared" si="33"/>
        <v>07</v>
      </c>
      <c r="B1069" t="str">
        <f t="shared" si="34"/>
        <v>001</v>
      </c>
      <c r="C1069" t="str">
        <f t="shared" si="35"/>
        <v>11</v>
      </c>
      <c r="D1069" t="str">
        <f t="shared" si="36"/>
        <v>334</v>
      </c>
      <c r="E1069" t="str">
        <f t="shared" si="37"/>
        <v>0017</v>
      </c>
      <c r="F1069" t="str">
        <f t="shared" si="38"/>
        <v>2.025</v>
      </c>
      <c r="G1069" t="str">
        <f t="shared" si="39"/>
        <v>3.3.90.48.00</v>
      </c>
      <c r="H1069" t="s">
        <v>1109</v>
      </c>
      <c r="I1069" t="str">
        <f t="shared" si="28"/>
        <v>07 - SECRETARIA DE EMPREGO, TRABALHO E RENDA</v>
      </c>
      <c r="J1069" t="s">
        <v>20</v>
      </c>
      <c r="K1069" t="str">
        <f t="shared" si="40"/>
        <v>11-TRABALHO</v>
      </c>
      <c r="L1069" t="str">
        <f t="shared" si="41"/>
        <v>334-FOMENTO AO TRABALHO</v>
      </c>
      <c r="M1069" t="str">
        <f t="shared" si="42"/>
        <v>0017-Trabalho, Emprego e Renda​</v>
      </c>
      <c r="N1069" t="str">
        <f t="shared" si="43"/>
        <v xml:space="preserve">2.025-Auxílio para Inclusão no Mercado de Trabalho </v>
      </c>
      <c r="O1069" t="str">
        <f t="shared" si="44"/>
        <v>3.3.90.48.00 - OUTROS AUXILIOS FINANCEIROS A PESSOAS FISICAS</v>
      </c>
      <c r="R1069" s="25">
        <v>32967846.781900004</v>
      </c>
      <c r="S1069" t="s">
        <v>1035</v>
      </c>
    </row>
    <row r="1070" spans="1:19" x14ac:dyDescent="0.25">
      <c r="A1070" t="str">
        <f t="shared" si="33"/>
        <v>07</v>
      </c>
      <c r="B1070" t="str">
        <f t="shared" si="34"/>
        <v>001</v>
      </c>
      <c r="C1070" t="str">
        <f t="shared" si="35"/>
        <v>11</v>
      </c>
      <c r="D1070" t="str">
        <f t="shared" si="36"/>
        <v>334</v>
      </c>
      <c r="E1070" t="str">
        <f t="shared" si="37"/>
        <v>0017</v>
      </c>
      <c r="F1070" t="str">
        <f t="shared" si="38"/>
        <v>2.033</v>
      </c>
      <c r="G1070" t="str">
        <f t="shared" si="39"/>
        <v>3.3.90.30.00</v>
      </c>
      <c r="H1070" t="s">
        <v>1110</v>
      </c>
      <c r="I1070" t="str">
        <f t="shared" si="28"/>
        <v>07 - SECRETARIA DE EMPREGO, TRABALHO E RENDA</v>
      </c>
      <c r="J1070" t="s">
        <v>20</v>
      </c>
      <c r="K1070" t="str">
        <f t="shared" si="40"/>
        <v>11-TRABALHO</v>
      </c>
      <c r="L1070" t="str">
        <f t="shared" si="41"/>
        <v>334-FOMENTO AO TRABALHO</v>
      </c>
      <c r="M1070" t="str">
        <f t="shared" si="42"/>
        <v>0017-Trabalho, Emprego e Renda​</v>
      </c>
      <c r="N1070" t="str">
        <f t="shared" si="43"/>
        <v xml:space="preserve">2.033-Fortalecimento da Economia Criativa e Solidária </v>
      </c>
      <c r="O1070" t="str">
        <f t="shared" si="44"/>
        <v>3.3.90.30.00-MATERIAL DE CONSUMO</v>
      </c>
      <c r="R1070" s="25">
        <v>5195.5</v>
      </c>
      <c r="S1070" t="s">
        <v>1035</v>
      </c>
    </row>
    <row r="1071" spans="1:19" x14ac:dyDescent="0.25">
      <c r="A1071" t="str">
        <f t="shared" si="33"/>
        <v>07</v>
      </c>
      <c r="B1071" t="str">
        <f t="shared" si="34"/>
        <v>001</v>
      </c>
      <c r="C1071" t="str">
        <f t="shared" si="35"/>
        <v>11</v>
      </c>
      <c r="D1071" t="str">
        <f t="shared" si="36"/>
        <v>334</v>
      </c>
      <c r="E1071" t="str">
        <f t="shared" si="37"/>
        <v>0017</v>
      </c>
      <c r="F1071" t="str">
        <f t="shared" si="38"/>
        <v>2.033</v>
      </c>
      <c r="G1071" t="str">
        <f t="shared" si="39"/>
        <v>3.3.90.39.00</v>
      </c>
      <c r="H1071" t="s">
        <v>1111</v>
      </c>
      <c r="I1071" t="str">
        <f t="shared" si="28"/>
        <v>07 - SECRETARIA DE EMPREGO, TRABALHO E RENDA</v>
      </c>
      <c r="J1071" t="s">
        <v>20</v>
      </c>
      <c r="K1071" t="str">
        <f t="shared" si="40"/>
        <v>11-TRABALHO</v>
      </c>
      <c r="L1071" t="str">
        <f t="shared" si="41"/>
        <v>334-FOMENTO AO TRABALHO</v>
      </c>
      <c r="M1071" t="str">
        <f t="shared" si="42"/>
        <v>0017-Trabalho, Emprego e Renda​</v>
      </c>
      <c r="N1071" t="str">
        <f t="shared" si="43"/>
        <v xml:space="preserve">2.033-Fortalecimento da Economia Criativa e Solidária </v>
      </c>
      <c r="O1071" t="str">
        <f t="shared" si="44"/>
        <v>3.3.90.39.00-OUTROS SERVIÇOS DE TERCEIROS - PESSOA JURÍDICA</v>
      </c>
      <c r="R1071" s="25">
        <v>6235.6391000000003</v>
      </c>
      <c r="S1071" t="s">
        <v>1035</v>
      </c>
    </row>
    <row r="1072" spans="1:19" x14ac:dyDescent="0.25">
      <c r="A1072" t="str">
        <f t="shared" si="33"/>
        <v>07</v>
      </c>
      <c r="B1072" t="str">
        <f t="shared" si="34"/>
        <v>001</v>
      </c>
      <c r="C1072" t="str">
        <f t="shared" si="35"/>
        <v>11</v>
      </c>
      <c r="D1072" t="str">
        <f t="shared" si="36"/>
        <v>334</v>
      </c>
      <c r="E1072" t="str">
        <f t="shared" si="37"/>
        <v>0017</v>
      </c>
      <c r="F1072" t="str">
        <f t="shared" si="38"/>
        <v>2.033</v>
      </c>
      <c r="G1072" t="str">
        <f t="shared" si="39"/>
        <v>4.4.90.52.00</v>
      </c>
      <c r="H1072" t="s">
        <v>1112</v>
      </c>
      <c r="I1072" t="str">
        <f t="shared" si="28"/>
        <v>07 - SECRETARIA DE EMPREGO, TRABALHO E RENDA</v>
      </c>
      <c r="J1072" t="s">
        <v>20</v>
      </c>
      <c r="K1072" t="str">
        <f t="shared" si="40"/>
        <v>11-TRABALHO</v>
      </c>
      <c r="L1072" t="str">
        <f t="shared" si="41"/>
        <v>334-FOMENTO AO TRABALHO</v>
      </c>
      <c r="M1072" t="str">
        <f t="shared" si="42"/>
        <v>0017-Trabalho, Emprego e Renda​</v>
      </c>
      <c r="N1072" t="str">
        <f t="shared" si="43"/>
        <v xml:space="preserve">2.033-Fortalecimento da Economia Criativa e Solidária </v>
      </c>
      <c r="O1072" t="str">
        <f t="shared" si="44"/>
        <v>4.4.90.52.00-EQUIPAMENTOS E MATERIAL PERMANENTE</v>
      </c>
      <c r="R1072" s="25">
        <v>2078.1999999999998</v>
      </c>
      <c r="S1072" t="s">
        <v>1035</v>
      </c>
    </row>
    <row r="1073" spans="1:19" x14ac:dyDescent="0.25">
      <c r="A1073" t="str">
        <f t="shared" si="33"/>
        <v>07</v>
      </c>
      <c r="B1073" t="str">
        <f t="shared" si="34"/>
        <v>005</v>
      </c>
      <c r="C1073" t="str">
        <f t="shared" si="35"/>
        <v>11</v>
      </c>
      <c r="D1073" t="str">
        <f t="shared" si="36"/>
        <v>333</v>
      </c>
      <c r="E1073" t="str">
        <f t="shared" si="37"/>
        <v>0017</v>
      </c>
      <c r="F1073" t="str">
        <f t="shared" si="38"/>
        <v>2.027</v>
      </c>
      <c r="G1073" t="str">
        <f t="shared" si="39"/>
        <v>3.3.90.39.00</v>
      </c>
      <c r="H1073" t="s">
        <v>1113</v>
      </c>
      <c r="I1073" t="str">
        <f t="shared" ref="I1073:I1136" si="45">VLOOKUP(A1073,$A$1:$O$994,9,0)</f>
        <v>07 - SECRETARIA DE EMPREGO, TRABALHO E RENDA</v>
      </c>
      <c r="J1073" t="s">
        <v>619</v>
      </c>
      <c r="K1073" t="str">
        <f t="shared" si="40"/>
        <v>11-TRABALHO</v>
      </c>
      <c r="L1073" t="str">
        <f t="shared" si="41"/>
        <v>333-EMPREGABILIDADE</v>
      </c>
      <c r="M1073" t="str">
        <f t="shared" si="42"/>
        <v>0017-Trabalho, Emprego e Renda​</v>
      </c>
      <c r="N1073" t="str">
        <f t="shared" si="43"/>
        <v xml:space="preserve">2.027-Intermediação Profissional </v>
      </c>
      <c r="O1073" t="str">
        <f t="shared" si="44"/>
        <v>3.3.90.39.00-OUTROS SERVIÇOS DE TERCEIROS - PESSOA JURÍDICA</v>
      </c>
      <c r="R1073" s="25">
        <v>1</v>
      </c>
      <c r="S1073" t="s">
        <v>1035</v>
      </c>
    </row>
    <row r="1074" spans="1:19" x14ac:dyDescent="0.25">
      <c r="A1074" t="str">
        <f t="shared" si="33"/>
        <v>08</v>
      </c>
      <c r="B1074" t="str">
        <f t="shared" si="34"/>
        <v>001</v>
      </c>
      <c r="C1074" t="str">
        <f t="shared" si="35"/>
        <v>04</v>
      </c>
      <c r="D1074" t="str">
        <f t="shared" si="36"/>
        <v>131</v>
      </c>
      <c r="E1074" t="str">
        <f t="shared" si="37"/>
        <v>0002</v>
      </c>
      <c r="F1074" t="str">
        <f t="shared" si="38"/>
        <v>2.005</v>
      </c>
      <c r="G1074" t="str">
        <f t="shared" si="39"/>
        <v>3.3.90.30.00</v>
      </c>
      <c r="H1074" t="s">
        <v>1114</v>
      </c>
      <c r="I1074" t="str">
        <f t="shared" si="45"/>
        <v>08 - SECRETARIA DE EDUCAÇÃO</v>
      </c>
      <c r="J1074" t="s">
        <v>20</v>
      </c>
      <c r="K1074" t="str">
        <f t="shared" si="40"/>
        <v>4-ADMINISTRAÇÃO</v>
      </c>
      <c r="L1074" t="str">
        <f t="shared" si="41"/>
        <v>131-COMUNICAÇÃO SOCIAL</v>
      </c>
      <c r="M1074" t="str">
        <f t="shared" si="42"/>
        <v>0002-Governo Inteligente, Aberto e Inovador​</v>
      </c>
      <c r="N1074" t="str">
        <f t="shared" si="43"/>
        <v xml:space="preserve">2.005-Promoção de Eventos, Comunicação e Participação Social </v>
      </c>
      <c r="O1074" t="str">
        <f t="shared" si="44"/>
        <v>3.3.90.30.00-MATERIAL DE CONSUMO</v>
      </c>
      <c r="R1074" s="25">
        <v>1354100</v>
      </c>
      <c r="S1074" t="s">
        <v>1035</v>
      </c>
    </row>
    <row r="1075" spans="1:19" x14ac:dyDescent="0.25">
      <c r="A1075" t="str">
        <f t="shared" si="33"/>
        <v>08</v>
      </c>
      <c r="B1075" t="str">
        <f t="shared" si="34"/>
        <v>001</v>
      </c>
      <c r="C1075" t="str">
        <f t="shared" si="35"/>
        <v>04</v>
      </c>
      <c r="D1075" t="str">
        <f t="shared" si="36"/>
        <v>131</v>
      </c>
      <c r="E1075" t="str">
        <f t="shared" si="37"/>
        <v>0002</v>
      </c>
      <c r="F1075" t="str">
        <f t="shared" si="38"/>
        <v>2.005</v>
      </c>
      <c r="G1075" t="str">
        <f t="shared" si="39"/>
        <v>3.3.90.39.00</v>
      </c>
      <c r="H1075" t="s">
        <v>1115</v>
      </c>
      <c r="I1075" t="str">
        <f t="shared" si="45"/>
        <v>08 - SECRETARIA DE EDUCAÇÃO</v>
      </c>
      <c r="J1075" t="s">
        <v>20</v>
      </c>
      <c r="K1075" t="str">
        <f t="shared" si="40"/>
        <v>4-ADMINISTRAÇÃO</v>
      </c>
      <c r="L1075" t="str">
        <f t="shared" si="41"/>
        <v>131-COMUNICAÇÃO SOCIAL</v>
      </c>
      <c r="M1075" t="str">
        <f t="shared" si="42"/>
        <v>0002-Governo Inteligente, Aberto e Inovador​</v>
      </c>
      <c r="N1075" t="str">
        <f t="shared" si="43"/>
        <v xml:space="preserve">2.005-Promoção de Eventos, Comunicação e Participação Social </v>
      </c>
      <c r="O1075" t="str">
        <f t="shared" si="44"/>
        <v>3.3.90.39.00-OUTROS SERVIÇOS DE TERCEIROS - PESSOA JURÍDICA</v>
      </c>
      <c r="R1075" s="25">
        <v>0</v>
      </c>
      <c r="S1075" t="s">
        <v>1035</v>
      </c>
    </row>
    <row r="1076" spans="1:19" x14ac:dyDescent="0.25">
      <c r="A1076" t="str">
        <f t="shared" si="33"/>
        <v>08</v>
      </c>
      <c r="B1076" t="str">
        <f t="shared" si="34"/>
        <v>001</v>
      </c>
      <c r="C1076" t="str">
        <f t="shared" si="35"/>
        <v>12</v>
      </c>
      <c r="D1076" t="str">
        <f t="shared" si="36"/>
        <v>122</v>
      </c>
      <c r="E1076" t="str">
        <f t="shared" si="37"/>
        <v>0001</v>
      </c>
      <c r="F1076" t="str">
        <f t="shared" si="38"/>
        <v>2.006</v>
      </c>
      <c r="G1076" t="str">
        <f t="shared" si="39"/>
        <v>3.3.90.33.00</v>
      </c>
      <c r="H1076" t="s">
        <v>1116</v>
      </c>
      <c r="I1076" t="str">
        <f t="shared" si="45"/>
        <v>08 - SECRETARIA DE EDUCAÇÃO</v>
      </c>
      <c r="J1076" t="s">
        <v>20</v>
      </c>
      <c r="K1076" t="str">
        <f t="shared" si="40"/>
        <v>12-EDUCAÇÃO</v>
      </c>
      <c r="L1076" t="str">
        <f t="shared" si="41"/>
        <v>122-ADMINISTRAÇÃO GERAL</v>
      </c>
      <c r="M1076" t="str">
        <f t="shared" si="42"/>
        <v>0001-Administração e Coordenação Geral​</v>
      </c>
      <c r="N1076" t="str">
        <f t="shared" si="43"/>
        <v xml:space="preserve">2.006-Representações Oficiais </v>
      </c>
      <c r="O1076" t="str">
        <f t="shared" si="44"/>
        <v>3.3.90.33.00-PASSAGENS E DESPESAS COM LOCOMOÇÃO</v>
      </c>
      <c r="R1076" s="25">
        <v>1</v>
      </c>
      <c r="S1076" t="s">
        <v>1035</v>
      </c>
    </row>
    <row r="1077" spans="1:19" x14ac:dyDescent="0.25">
      <c r="A1077" t="str">
        <f t="shared" si="33"/>
        <v>08</v>
      </c>
      <c r="B1077" t="str">
        <f t="shared" si="34"/>
        <v>001</v>
      </c>
      <c r="C1077" t="str">
        <f t="shared" si="35"/>
        <v>12</v>
      </c>
      <c r="D1077" t="str">
        <f t="shared" si="36"/>
        <v>122</v>
      </c>
      <c r="E1077" t="str">
        <f t="shared" si="37"/>
        <v>0001</v>
      </c>
      <c r="F1077" t="str">
        <f t="shared" si="38"/>
        <v>2.006</v>
      </c>
      <c r="G1077" t="str">
        <f t="shared" si="39"/>
        <v>3.3.90.39.00</v>
      </c>
      <c r="H1077" t="s">
        <v>1117</v>
      </c>
      <c r="I1077" t="str">
        <f t="shared" si="45"/>
        <v>08 - SECRETARIA DE EDUCAÇÃO</v>
      </c>
      <c r="J1077" t="s">
        <v>20</v>
      </c>
      <c r="K1077" t="str">
        <f t="shared" si="40"/>
        <v>12-EDUCAÇÃO</v>
      </c>
      <c r="L1077" t="str">
        <f t="shared" si="41"/>
        <v>122-ADMINISTRAÇÃO GERAL</v>
      </c>
      <c r="M1077" t="str">
        <f t="shared" si="42"/>
        <v>0001-Administração e Coordenação Geral​</v>
      </c>
      <c r="N1077" t="str">
        <f t="shared" si="43"/>
        <v xml:space="preserve">2.006-Representações Oficiais </v>
      </c>
      <c r="O1077" t="str">
        <f t="shared" si="44"/>
        <v>3.3.90.39.00-OUTROS SERVIÇOS DE TERCEIROS - PESSOA JURÍDICA</v>
      </c>
      <c r="R1077" s="25">
        <v>1</v>
      </c>
      <c r="S1077" t="s">
        <v>1035</v>
      </c>
    </row>
    <row r="1078" spans="1:19" x14ac:dyDescent="0.25">
      <c r="A1078" t="str">
        <f t="shared" si="33"/>
        <v>08</v>
      </c>
      <c r="B1078" t="str">
        <f t="shared" si="34"/>
        <v>001</v>
      </c>
      <c r="C1078" t="str">
        <f t="shared" si="35"/>
        <v>12</v>
      </c>
      <c r="D1078" t="str">
        <f t="shared" si="36"/>
        <v>122</v>
      </c>
      <c r="E1078" t="str">
        <f t="shared" si="37"/>
        <v>0001</v>
      </c>
      <c r="F1078" t="str">
        <f t="shared" si="38"/>
        <v>2.008</v>
      </c>
      <c r="G1078" t="str">
        <f t="shared" si="39"/>
        <v>3.3.90.39.00</v>
      </c>
      <c r="H1078" t="s">
        <v>1118</v>
      </c>
      <c r="I1078" t="str">
        <f t="shared" si="45"/>
        <v>08 - SECRETARIA DE EDUCAÇÃO</v>
      </c>
      <c r="J1078" t="s">
        <v>20</v>
      </c>
      <c r="K1078" t="str">
        <f t="shared" si="40"/>
        <v>12-EDUCAÇÃO</v>
      </c>
      <c r="L1078" t="str">
        <f t="shared" si="41"/>
        <v>122-ADMINISTRAÇÃO GERAL</v>
      </c>
      <c r="M1078" t="str">
        <f t="shared" si="42"/>
        <v>0001-Administração e Coordenação Geral​</v>
      </c>
      <c r="N1078" t="str">
        <f t="shared" si="43"/>
        <v>2.008-Estágio e Aprendizagem</v>
      </c>
      <c r="O1078" t="str">
        <f t="shared" si="44"/>
        <v>3.3.90.39.00-OUTROS SERVIÇOS DE TERCEIROS - PESSOA JURÍDICA</v>
      </c>
      <c r="R1078" s="25">
        <v>493440</v>
      </c>
      <c r="S1078" t="s">
        <v>1035</v>
      </c>
    </row>
    <row r="1079" spans="1:19" x14ac:dyDescent="0.25">
      <c r="A1079" t="str">
        <f t="shared" si="33"/>
        <v>08</v>
      </c>
      <c r="B1079" t="str">
        <f t="shared" si="34"/>
        <v>001</v>
      </c>
      <c r="C1079" t="str">
        <f t="shared" si="35"/>
        <v>12</v>
      </c>
      <c r="D1079" t="str">
        <f t="shared" si="36"/>
        <v>122</v>
      </c>
      <c r="E1079" t="str">
        <f t="shared" si="37"/>
        <v>0001</v>
      </c>
      <c r="F1079" t="str">
        <f t="shared" si="38"/>
        <v>2.008</v>
      </c>
      <c r="G1079" t="str">
        <f t="shared" si="39"/>
        <v>3.3.90.48.00</v>
      </c>
      <c r="H1079" t="s">
        <v>1119</v>
      </c>
      <c r="I1079" t="str">
        <f t="shared" si="45"/>
        <v>08 - SECRETARIA DE EDUCAÇÃO</v>
      </c>
      <c r="J1079" t="s">
        <v>20</v>
      </c>
      <c r="K1079" t="str">
        <f t="shared" si="40"/>
        <v>12-EDUCAÇÃO</v>
      </c>
      <c r="L1079" t="str">
        <f t="shared" si="41"/>
        <v>122-ADMINISTRAÇÃO GERAL</v>
      </c>
      <c r="M1079" t="str">
        <f t="shared" si="42"/>
        <v>0001-Administração e Coordenação Geral​</v>
      </c>
      <c r="N1079" t="str">
        <f t="shared" si="43"/>
        <v>2.008-Estágio e Aprendizagem</v>
      </c>
      <c r="O1079" t="str">
        <f t="shared" si="44"/>
        <v>3.3.90.48.00 - OUTROS AUXILIOS FINANCEIROS A PESSOAS FISICAS</v>
      </c>
      <c r="R1079" s="25">
        <v>16964195.190000001</v>
      </c>
      <c r="S1079" t="s">
        <v>1035</v>
      </c>
    </row>
    <row r="1080" spans="1:19" x14ac:dyDescent="0.25">
      <c r="A1080" t="str">
        <f t="shared" si="33"/>
        <v>08</v>
      </c>
      <c r="B1080" t="str">
        <f t="shared" si="34"/>
        <v>001</v>
      </c>
      <c r="C1080" t="str">
        <f t="shared" si="35"/>
        <v>12</v>
      </c>
      <c r="D1080" t="str">
        <f t="shared" si="36"/>
        <v>122</v>
      </c>
      <c r="E1080" t="str">
        <f t="shared" si="37"/>
        <v>0001</v>
      </c>
      <c r="F1080" t="str">
        <f t="shared" si="38"/>
        <v>2.011</v>
      </c>
      <c r="G1080" t="str">
        <f t="shared" si="39"/>
        <v>3.3.50.39.00</v>
      </c>
      <c r="H1080" t="s">
        <v>1120</v>
      </c>
      <c r="I1080" t="str">
        <f t="shared" si="45"/>
        <v>08 - SECRETARIA DE EDUCAÇÃO</v>
      </c>
      <c r="J1080" t="s">
        <v>20</v>
      </c>
      <c r="K1080" t="str">
        <f t="shared" si="40"/>
        <v>12-EDUCAÇÃO</v>
      </c>
      <c r="L1080" t="str">
        <f t="shared" si="41"/>
        <v>122-ADMINISTRAÇÃO GERAL</v>
      </c>
      <c r="M1080" t="str">
        <f t="shared" si="42"/>
        <v>0001-Administração e Coordenação Geral​</v>
      </c>
      <c r="N1080" t="str">
        <f t="shared" si="43"/>
        <v xml:space="preserve">2.011-Manutenção de Equipamentos Públicos </v>
      </c>
      <c r="O1080" t="str">
        <f t="shared" si="44"/>
        <v>3.3.50.39.00-OUTROS SERVIÇOS DE TERCEIROS - PESSOA JURÍDICA</v>
      </c>
      <c r="R1080" s="25">
        <v>0</v>
      </c>
      <c r="S1080" t="s">
        <v>1035</v>
      </c>
    </row>
    <row r="1081" spans="1:19" x14ac:dyDescent="0.25">
      <c r="A1081" t="str">
        <f t="shared" si="33"/>
        <v>08</v>
      </c>
      <c r="B1081" t="str">
        <f t="shared" si="34"/>
        <v>001</v>
      </c>
      <c r="C1081" t="str">
        <f t="shared" si="35"/>
        <v>12</v>
      </c>
      <c r="D1081" t="str">
        <f t="shared" si="36"/>
        <v>122</v>
      </c>
      <c r="E1081" t="str">
        <f t="shared" si="37"/>
        <v>0001</v>
      </c>
      <c r="F1081" t="str">
        <f t="shared" si="38"/>
        <v>2.011</v>
      </c>
      <c r="G1081" t="str">
        <f t="shared" si="39"/>
        <v>3.3.90.30.00</v>
      </c>
      <c r="H1081" t="s">
        <v>1121</v>
      </c>
      <c r="I1081" t="str">
        <f t="shared" si="45"/>
        <v>08 - SECRETARIA DE EDUCAÇÃO</v>
      </c>
      <c r="J1081" t="s">
        <v>20</v>
      </c>
      <c r="K1081" t="str">
        <f t="shared" si="40"/>
        <v>12-EDUCAÇÃO</v>
      </c>
      <c r="L1081" t="str">
        <f t="shared" si="41"/>
        <v>122-ADMINISTRAÇÃO GERAL</v>
      </c>
      <c r="M1081" t="str">
        <f t="shared" si="42"/>
        <v>0001-Administração e Coordenação Geral​</v>
      </c>
      <c r="N1081" t="str">
        <f t="shared" si="43"/>
        <v xml:space="preserve">2.011-Manutenção de Equipamentos Públicos </v>
      </c>
      <c r="O1081" t="str">
        <f t="shared" si="44"/>
        <v>3.3.90.30.00-MATERIAL DE CONSUMO</v>
      </c>
      <c r="R1081" s="25">
        <v>768464.32679999992</v>
      </c>
      <c r="S1081" t="s">
        <v>1035</v>
      </c>
    </row>
    <row r="1082" spans="1:19" x14ac:dyDescent="0.25">
      <c r="A1082" t="str">
        <f t="shared" si="33"/>
        <v>08</v>
      </c>
      <c r="B1082" t="str">
        <f t="shared" si="34"/>
        <v>001</v>
      </c>
      <c r="C1082" t="str">
        <f t="shared" si="35"/>
        <v>12</v>
      </c>
      <c r="D1082" t="str">
        <f t="shared" si="36"/>
        <v>122</v>
      </c>
      <c r="E1082" t="str">
        <f t="shared" si="37"/>
        <v>0001</v>
      </c>
      <c r="F1082" t="str">
        <f t="shared" si="38"/>
        <v>2.011</v>
      </c>
      <c r="G1082" t="str">
        <f t="shared" si="39"/>
        <v>3.3.90.39.00</v>
      </c>
      <c r="H1082" t="s">
        <v>1122</v>
      </c>
      <c r="I1082" t="str">
        <f t="shared" si="45"/>
        <v>08 - SECRETARIA DE EDUCAÇÃO</v>
      </c>
      <c r="J1082" t="s">
        <v>20</v>
      </c>
      <c r="K1082" t="str">
        <f t="shared" si="40"/>
        <v>12-EDUCAÇÃO</v>
      </c>
      <c r="L1082" t="str">
        <f t="shared" si="41"/>
        <v>122-ADMINISTRAÇÃO GERAL</v>
      </c>
      <c r="M1082" t="str">
        <f t="shared" si="42"/>
        <v>0001-Administração e Coordenação Geral​</v>
      </c>
      <c r="N1082" t="str">
        <f t="shared" si="43"/>
        <v xml:space="preserve">2.011-Manutenção de Equipamentos Públicos </v>
      </c>
      <c r="O1082" t="str">
        <f t="shared" si="44"/>
        <v>3.3.90.39.00-OUTROS SERVIÇOS DE TERCEIROS - PESSOA JURÍDICA</v>
      </c>
      <c r="R1082" s="25">
        <v>819006.82</v>
      </c>
      <c r="S1082" t="s">
        <v>1035</v>
      </c>
    </row>
    <row r="1083" spans="1:19" x14ac:dyDescent="0.25">
      <c r="A1083" t="str">
        <f t="shared" si="33"/>
        <v>08</v>
      </c>
      <c r="B1083" t="str">
        <f t="shared" si="34"/>
        <v>001</v>
      </c>
      <c r="C1083" t="str">
        <f t="shared" si="35"/>
        <v>12</v>
      </c>
      <c r="D1083" t="str">
        <f t="shared" si="36"/>
        <v>122</v>
      </c>
      <c r="E1083" t="str">
        <f t="shared" si="37"/>
        <v>0001</v>
      </c>
      <c r="F1083" t="str">
        <f t="shared" si="38"/>
        <v>2.011</v>
      </c>
      <c r="G1083" t="str">
        <f t="shared" si="39"/>
        <v>4.4.90.52.00</v>
      </c>
      <c r="H1083" t="s">
        <v>1123</v>
      </c>
      <c r="I1083" t="str">
        <f t="shared" si="45"/>
        <v>08 - SECRETARIA DE EDUCAÇÃO</v>
      </c>
      <c r="J1083" t="s">
        <v>20</v>
      </c>
      <c r="K1083" t="str">
        <f t="shared" si="40"/>
        <v>12-EDUCAÇÃO</v>
      </c>
      <c r="L1083" t="str">
        <f t="shared" si="41"/>
        <v>122-ADMINISTRAÇÃO GERAL</v>
      </c>
      <c r="M1083" t="str">
        <f t="shared" si="42"/>
        <v>0001-Administração e Coordenação Geral​</v>
      </c>
      <c r="N1083" t="str">
        <f t="shared" si="43"/>
        <v xml:space="preserve">2.011-Manutenção de Equipamentos Públicos </v>
      </c>
      <c r="O1083" t="str">
        <f t="shared" si="44"/>
        <v>4.4.90.52.00-EQUIPAMENTOS E MATERIAL PERMANENTE</v>
      </c>
      <c r="R1083" s="25">
        <v>350801.16</v>
      </c>
      <c r="S1083" t="s">
        <v>1035</v>
      </c>
    </row>
    <row r="1084" spans="1:19" x14ac:dyDescent="0.25">
      <c r="A1084" t="str">
        <f t="shared" si="33"/>
        <v>08</v>
      </c>
      <c r="B1084" t="str">
        <f t="shared" si="34"/>
        <v>001</v>
      </c>
      <c r="C1084" t="str">
        <f t="shared" si="35"/>
        <v>12</v>
      </c>
      <c r="D1084" t="str">
        <f t="shared" si="36"/>
        <v>122</v>
      </c>
      <c r="E1084" t="str">
        <f t="shared" si="37"/>
        <v>0002</v>
      </c>
      <c r="F1084" t="str">
        <f t="shared" si="38"/>
        <v>2.003</v>
      </c>
      <c r="G1084" t="str">
        <f t="shared" si="39"/>
        <v>3.3.90.36.00</v>
      </c>
      <c r="H1084" t="s">
        <v>1124</v>
      </c>
      <c r="I1084" t="str">
        <f t="shared" si="45"/>
        <v>08 - SECRETARIA DE EDUCAÇÃO</v>
      </c>
      <c r="J1084" t="s">
        <v>20</v>
      </c>
      <c r="K1084" t="str">
        <f t="shared" si="40"/>
        <v>12-EDUCAÇÃO</v>
      </c>
      <c r="L1084" t="str">
        <f t="shared" si="41"/>
        <v>122-ADMINISTRAÇÃO GERAL</v>
      </c>
      <c r="M1084" t="str">
        <f t="shared" si="42"/>
        <v>0002-Governo Inteligente, Aberto e Inovador​</v>
      </c>
      <c r="N1084" t="str">
        <f t="shared" si="43"/>
        <v>2.003-Qualificação de Servidores e Processos Institucionais</v>
      </c>
      <c r="O1084" t="str">
        <f t="shared" si="44"/>
        <v>3.3.90.36.00-OUTROS SERVIÇOS DE TERCEIROS - PESSOA FÍSICA</v>
      </c>
      <c r="R1084" s="25">
        <v>1</v>
      </c>
      <c r="S1084" t="s">
        <v>1035</v>
      </c>
    </row>
    <row r="1085" spans="1:19" x14ac:dyDescent="0.25">
      <c r="A1085" t="str">
        <f t="shared" si="33"/>
        <v>08</v>
      </c>
      <c r="B1085" t="str">
        <f t="shared" si="34"/>
        <v>001</v>
      </c>
      <c r="C1085" t="str">
        <f t="shared" si="35"/>
        <v>12</v>
      </c>
      <c r="D1085" t="str">
        <f t="shared" si="36"/>
        <v>122</v>
      </c>
      <c r="E1085" t="str">
        <f t="shared" si="37"/>
        <v>0002</v>
      </c>
      <c r="F1085" t="str">
        <f t="shared" si="38"/>
        <v>2.003</v>
      </c>
      <c r="G1085" t="str">
        <f t="shared" si="39"/>
        <v>3.3.90.39.00</v>
      </c>
      <c r="H1085" t="s">
        <v>1125</v>
      </c>
      <c r="I1085" t="str">
        <f t="shared" si="45"/>
        <v>08 - SECRETARIA DE EDUCAÇÃO</v>
      </c>
      <c r="J1085" t="s">
        <v>20</v>
      </c>
      <c r="K1085" t="str">
        <f t="shared" si="40"/>
        <v>12-EDUCAÇÃO</v>
      </c>
      <c r="L1085" t="str">
        <f t="shared" si="41"/>
        <v>122-ADMINISTRAÇÃO GERAL</v>
      </c>
      <c r="M1085" t="str">
        <f t="shared" si="42"/>
        <v>0002-Governo Inteligente, Aberto e Inovador​</v>
      </c>
      <c r="N1085" t="str">
        <f t="shared" si="43"/>
        <v>2.003-Qualificação de Servidores e Processos Institucionais</v>
      </c>
      <c r="O1085" t="str">
        <f t="shared" si="44"/>
        <v>3.3.90.39.00-OUTROS SERVIÇOS DE TERCEIROS - PESSOA JURÍDICA</v>
      </c>
      <c r="R1085" s="25">
        <v>1</v>
      </c>
      <c r="S1085" t="s">
        <v>1035</v>
      </c>
    </row>
    <row r="1086" spans="1:19" x14ac:dyDescent="0.25">
      <c r="A1086" t="str">
        <f t="shared" si="33"/>
        <v>08</v>
      </c>
      <c r="B1086" t="str">
        <f t="shared" si="34"/>
        <v>001</v>
      </c>
      <c r="C1086" t="str">
        <f t="shared" si="35"/>
        <v>12</v>
      </c>
      <c r="D1086" t="str">
        <f t="shared" si="36"/>
        <v>122</v>
      </c>
      <c r="E1086" t="str">
        <f t="shared" si="37"/>
        <v>0002</v>
      </c>
      <c r="F1086" t="str">
        <f t="shared" si="38"/>
        <v>2.005</v>
      </c>
      <c r="G1086" t="str">
        <f t="shared" si="39"/>
        <v>3.3.90.31.00</v>
      </c>
      <c r="H1086" t="s">
        <v>1126</v>
      </c>
      <c r="I1086" t="str">
        <f t="shared" si="45"/>
        <v>08 - SECRETARIA DE EDUCAÇÃO</v>
      </c>
      <c r="J1086" t="s">
        <v>20</v>
      </c>
      <c r="K1086" t="str">
        <f t="shared" si="40"/>
        <v>12-EDUCAÇÃO</v>
      </c>
      <c r="L1086" t="str">
        <f t="shared" si="41"/>
        <v>122-ADMINISTRAÇÃO GERAL</v>
      </c>
      <c r="M1086" t="str">
        <f t="shared" si="42"/>
        <v>0002-Governo Inteligente, Aberto e Inovador​</v>
      </c>
      <c r="N1086" t="str">
        <f t="shared" si="43"/>
        <v xml:space="preserve">2.005-Promoção de Eventos, Comunicação e Participação Social </v>
      </c>
      <c r="O1086" t="str">
        <f t="shared" si="44"/>
        <v>3.3.90.31.00-PREMIAÇÕES CULTURAIS, ARTÍSTICAS, CIENTÍFICAS, DESPORTIVAS E OUTRAS</v>
      </c>
      <c r="R1086" s="25">
        <v>305495.40000000002</v>
      </c>
      <c r="S1086" t="s">
        <v>1035</v>
      </c>
    </row>
    <row r="1087" spans="1:19" x14ac:dyDescent="0.25">
      <c r="A1087" t="str">
        <f t="shared" si="33"/>
        <v>08</v>
      </c>
      <c r="B1087" t="str">
        <f t="shared" si="34"/>
        <v>001</v>
      </c>
      <c r="C1087" t="str">
        <f t="shared" si="35"/>
        <v>12</v>
      </c>
      <c r="D1087" t="str">
        <f t="shared" si="36"/>
        <v>122</v>
      </c>
      <c r="E1087" t="str">
        <f t="shared" si="37"/>
        <v>0016</v>
      </c>
      <c r="F1087" t="str">
        <f t="shared" si="38"/>
        <v>2.019</v>
      </c>
      <c r="G1087" t="str">
        <f t="shared" si="39"/>
        <v>3.3.50.39.00</v>
      </c>
      <c r="H1087" t="s">
        <v>1127</v>
      </c>
      <c r="I1087" t="str">
        <f t="shared" si="45"/>
        <v>08 - SECRETARIA DE EDUCAÇÃO</v>
      </c>
      <c r="J1087" t="s">
        <v>20</v>
      </c>
      <c r="K1087" t="str">
        <f t="shared" si="40"/>
        <v>12-EDUCAÇÃO</v>
      </c>
      <c r="L1087" t="str">
        <f t="shared" si="41"/>
        <v>122-ADMINISTRAÇÃO GERAL</v>
      </c>
      <c r="M1087" t="str">
        <f t="shared" si="42"/>
        <v>0016-Escola para Todos​</v>
      </c>
      <c r="N1087" t="str">
        <f t="shared" si="43"/>
        <v>2.019-Ações Pedagógicas Complementares</v>
      </c>
      <c r="O1087" t="str">
        <f t="shared" si="44"/>
        <v>3.3.50.39.00-OUTROS SERVIÇOS DE TERCEIROS - PESSOA JURÍDICA</v>
      </c>
      <c r="R1087" s="25">
        <v>0</v>
      </c>
      <c r="S1087" t="s">
        <v>1035</v>
      </c>
    </row>
    <row r="1088" spans="1:19" x14ac:dyDescent="0.25">
      <c r="A1088" t="str">
        <f t="shared" si="33"/>
        <v>08</v>
      </c>
      <c r="B1088" t="str">
        <f t="shared" si="34"/>
        <v>001</v>
      </c>
      <c r="C1088" t="str">
        <f t="shared" si="35"/>
        <v>12</v>
      </c>
      <c r="D1088" t="str">
        <f t="shared" si="36"/>
        <v>122</v>
      </c>
      <c r="E1088" t="str">
        <f t="shared" si="37"/>
        <v>0016</v>
      </c>
      <c r="F1088" t="str">
        <f t="shared" si="38"/>
        <v>2.019</v>
      </c>
      <c r="G1088" t="str">
        <f t="shared" si="39"/>
        <v>3.3.90.39.00</v>
      </c>
      <c r="H1088" t="s">
        <v>1128</v>
      </c>
      <c r="I1088" t="str">
        <f t="shared" si="45"/>
        <v>08 - SECRETARIA DE EDUCAÇÃO</v>
      </c>
      <c r="J1088" t="s">
        <v>20</v>
      </c>
      <c r="K1088" t="str">
        <f t="shared" si="40"/>
        <v>12-EDUCAÇÃO</v>
      </c>
      <c r="L1088" t="str">
        <f t="shared" si="41"/>
        <v>122-ADMINISTRAÇÃO GERAL</v>
      </c>
      <c r="M1088" t="str">
        <f t="shared" si="42"/>
        <v>0016-Escola para Todos​</v>
      </c>
      <c r="N1088" t="str">
        <f t="shared" si="43"/>
        <v>2.019-Ações Pedagógicas Complementares</v>
      </c>
      <c r="O1088" t="str">
        <f t="shared" si="44"/>
        <v>3.3.90.39.00-OUTROS SERVIÇOS DE TERCEIROS - PESSOA JURÍDICA</v>
      </c>
      <c r="R1088" s="25">
        <v>9197655.4399999995</v>
      </c>
      <c r="S1088" t="s">
        <v>1035</v>
      </c>
    </row>
    <row r="1089" spans="1:19" x14ac:dyDescent="0.25">
      <c r="A1089" t="str">
        <f t="shared" si="33"/>
        <v>08</v>
      </c>
      <c r="B1089" t="str">
        <f t="shared" si="34"/>
        <v>001</v>
      </c>
      <c r="C1089" t="str">
        <f t="shared" si="35"/>
        <v>12</v>
      </c>
      <c r="D1089" t="str">
        <f t="shared" si="36"/>
        <v>122</v>
      </c>
      <c r="E1089" t="str">
        <f t="shared" si="37"/>
        <v>0016</v>
      </c>
      <c r="F1089" t="str">
        <f t="shared" si="38"/>
        <v>2.023</v>
      </c>
      <c r="G1089" t="str">
        <f t="shared" si="39"/>
        <v>3.3.50.39.00</v>
      </c>
      <c r="H1089" t="s">
        <v>1129</v>
      </c>
      <c r="I1089" t="str">
        <f t="shared" si="45"/>
        <v>08 - SECRETARIA DE EDUCAÇÃO</v>
      </c>
      <c r="J1089" t="s">
        <v>20</v>
      </c>
      <c r="K1089" t="str">
        <f t="shared" si="40"/>
        <v>12-EDUCAÇÃO</v>
      </c>
      <c r="L1089" t="str">
        <f t="shared" si="41"/>
        <v>122-ADMINISTRAÇÃO GERAL</v>
      </c>
      <c r="M1089" t="str">
        <f t="shared" si="42"/>
        <v>0016-Escola para Todos​</v>
      </c>
      <c r="N1089" t="str">
        <f t="shared" si="43"/>
        <v xml:space="preserve">2.023-Gestão Compartilhada de Equipamentos Públicos </v>
      </c>
      <c r="O1089" t="str">
        <f t="shared" si="44"/>
        <v>3.3.50.39.00-OUTROS SERVIÇOS DE TERCEIROS - PESSOA JURÍDICA</v>
      </c>
      <c r="R1089" s="25">
        <v>6842871.5199999996</v>
      </c>
      <c r="S1089" t="s">
        <v>1035</v>
      </c>
    </row>
    <row r="1090" spans="1:19" x14ac:dyDescent="0.25">
      <c r="A1090" t="str">
        <f t="shared" si="33"/>
        <v>08</v>
      </c>
      <c r="B1090" t="str">
        <f t="shared" si="34"/>
        <v>001</v>
      </c>
      <c r="C1090" t="str">
        <f t="shared" si="35"/>
        <v>12</v>
      </c>
      <c r="D1090" t="str">
        <f t="shared" si="36"/>
        <v>122</v>
      </c>
      <c r="E1090" t="str">
        <f t="shared" si="37"/>
        <v>0016</v>
      </c>
      <c r="F1090" t="str">
        <f t="shared" si="38"/>
        <v>2.023</v>
      </c>
      <c r="G1090" t="str">
        <f t="shared" si="39"/>
        <v>4.4.50.39.00</v>
      </c>
      <c r="H1090" t="s">
        <v>1130</v>
      </c>
      <c r="I1090" t="str">
        <f t="shared" si="45"/>
        <v>08 - SECRETARIA DE EDUCAÇÃO</v>
      </c>
      <c r="J1090" t="s">
        <v>20</v>
      </c>
      <c r="K1090" t="str">
        <f t="shared" si="40"/>
        <v>12-EDUCAÇÃO</v>
      </c>
      <c r="L1090" t="str">
        <f t="shared" si="41"/>
        <v>122-ADMINISTRAÇÃO GERAL</v>
      </c>
      <c r="M1090" t="str">
        <f t="shared" si="42"/>
        <v>0016-Escola para Todos​</v>
      </c>
      <c r="N1090" t="str">
        <f t="shared" si="43"/>
        <v xml:space="preserve">2.023-Gestão Compartilhada de Equipamentos Públicos </v>
      </c>
      <c r="O1090" t="str">
        <f t="shared" si="44"/>
        <v>4.4.50.39.00-OUTROS SERVIÇOS DE TERCEIROS - PESSOA JURÍDICA</v>
      </c>
      <c r="R1090" s="25">
        <v>1710717.9100000001</v>
      </c>
      <c r="S1090" t="s">
        <v>1035</v>
      </c>
    </row>
    <row r="1091" spans="1:19" x14ac:dyDescent="0.25">
      <c r="A1091" t="str">
        <f t="shared" si="33"/>
        <v>08</v>
      </c>
      <c r="B1091" t="str">
        <f t="shared" si="34"/>
        <v>001</v>
      </c>
      <c r="C1091" t="str">
        <f t="shared" si="35"/>
        <v>12</v>
      </c>
      <c r="D1091" t="str">
        <f t="shared" si="36"/>
        <v>306</v>
      </c>
      <c r="E1091" t="str">
        <f t="shared" si="37"/>
        <v>0016</v>
      </c>
      <c r="F1091" t="str">
        <f t="shared" si="38"/>
        <v>2.011</v>
      </c>
      <c r="G1091" t="str">
        <f t="shared" si="39"/>
        <v>3.3.90.30.00</v>
      </c>
      <c r="H1091" t="s">
        <v>1131</v>
      </c>
      <c r="I1091" t="str">
        <f t="shared" si="45"/>
        <v>08 - SECRETARIA DE EDUCAÇÃO</v>
      </c>
      <c r="J1091" t="s">
        <v>20</v>
      </c>
      <c r="K1091" t="str">
        <f t="shared" si="40"/>
        <v>12-EDUCAÇÃO</v>
      </c>
      <c r="L1091" t="str">
        <f t="shared" si="41"/>
        <v>306-ALIMENTAÇÃO E NUTRIÇÃO</v>
      </c>
      <c r="M1091" t="str">
        <f t="shared" si="42"/>
        <v>0016-Escola para Todos​</v>
      </c>
      <c r="N1091" t="str">
        <f t="shared" si="43"/>
        <v xml:space="preserve">2.011-Manutenção de Equipamentos Públicos </v>
      </c>
      <c r="O1091" t="str">
        <f t="shared" si="44"/>
        <v>3.3.90.30.00-MATERIAL DE CONSUMO</v>
      </c>
      <c r="R1091" s="25">
        <v>1246920</v>
      </c>
      <c r="S1091" t="s">
        <v>1035</v>
      </c>
    </row>
    <row r="1092" spans="1:19" x14ac:dyDescent="0.25">
      <c r="A1092" t="str">
        <f t="shared" si="33"/>
        <v>08</v>
      </c>
      <c r="B1092" t="str">
        <f t="shared" si="34"/>
        <v>001</v>
      </c>
      <c r="C1092" t="str">
        <f t="shared" si="35"/>
        <v>12</v>
      </c>
      <c r="D1092" t="str">
        <f t="shared" si="36"/>
        <v>306</v>
      </c>
      <c r="E1092" t="str">
        <f t="shared" si="37"/>
        <v>0016</v>
      </c>
      <c r="F1092" t="str">
        <f t="shared" si="38"/>
        <v>2.011</v>
      </c>
      <c r="G1092" t="str">
        <f t="shared" si="39"/>
        <v>3.3.90.39.00</v>
      </c>
      <c r="H1092" t="s">
        <v>1132</v>
      </c>
      <c r="I1092" t="str">
        <f t="shared" si="45"/>
        <v>08 - SECRETARIA DE EDUCAÇÃO</v>
      </c>
      <c r="J1092" t="s">
        <v>20</v>
      </c>
      <c r="K1092" t="str">
        <f t="shared" si="40"/>
        <v>12-EDUCAÇÃO</v>
      </c>
      <c r="L1092" t="str">
        <f t="shared" si="41"/>
        <v>306-ALIMENTAÇÃO E NUTRIÇÃO</v>
      </c>
      <c r="M1092" t="str">
        <f t="shared" si="42"/>
        <v>0016-Escola para Todos​</v>
      </c>
      <c r="N1092" t="str">
        <f t="shared" si="43"/>
        <v xml:space="preserve">2.011-Manutenção de Equipamentos Públicos </v>
      </c>
      <c r="O1092" t="str">
        <f t="shared" si="44"/>
        <v>3.3.90.39.00-OUTROS SERVIÇOS DE TERCEIROS - PESSOA JURÍDICA</v>
      </c>
      <c r="R1092" s="25">
        <v>779325</v>
      </c>
      <c r="S1092" t="s">
        <v>1035</v>
      </c>
    </row>
    <row r="1093" spans="1:19" x14ac:dyDescent="0.25">
      <c r="A1093" t="str">
        <f t="shared" si="33"/>
        <v>08</v>
      </c>
      <c r="B1093" t="str">
        <f t="shared" si="34"/>
        <v>001</v>
      </c>
      <c r="C1093" t="str">
        <f t="shared" si="35"/>
        <v>12</v>
      </c>
      <c r="D1093" t="str">
        <f t="shared" si="36"/>
        <v>306</v>
      </c>
      <c r="E1093" t="str">
        <f t="shared" si="37"/>
        <v>0016</v>
      </c>
      <c r="F1093" t="str">
        <f t="shared" si="38"/>
        <v>2.011</v>
      </c>
      <c r="G1093" t="str">
        <f t="shared" si="39"/>
        <v>4.4.90.52.00</v>
      </c>
      <c r="H1093" t="s">
        <v>1133</v>
      </c>
      <c r="I1093" t="str">
        <f t="shared" si="45"/>
        <v>08 - SECRETARIA DE EDUCAÇÃO</v>
      </c>
      <c r="J1093" t="s">
        <v>20</v>
      </c>
      <c r="K1093" t="str">
        <f t="shared" si="40"/>
        <v>12-EDUCAÇÃO</v>
      </c>
      <c r="L1093" t="str">
        <f t="shared" si="41"/>
        <v>306-ALIMENTAÇÃO E NUTRIÇÃO</v>
      </c>
      <c r="M1093" t="str">
        <f t="shared" si="42"/>
        <v>0016-Escola para Todos​</v>
      </c>
      <c r="N1093" t="str">
        <f t="shared" si="43"/>
        <v xml:space="preserve">2.011-Manutenção de Equipamentos Públicos </v>
      </c>
      <c r="O1093" t="str">
        <f t="shared" si="44"/>
        <v>4.4.90.52.00-EQUIPAMENTOS E MATERIAL PERMANENTE</v>
      </c>
      <c r="R1093" s="25">
        <v>519550</v>
      </c>
      <c r="S1093" t="s">
        <v>1035</v>
      </c>
    </row>
    <row r="1094" spans="1:19" x14ac:dyDescent="0.25">
      <c r="A1094" t="str">
        <f t="shared" si="33"/>
        <v>08</v>
      </c>
      <c r="B1094" t="str">
        <f t="shared" si="34"/>
        <v>001</v>
      </c>
      <c r="C1094" t="str">
        <f t="shared" si="35"/>
        <v>12</v>
      </c>
      <c r="D1094" t="str">
        <f t="shared" si="36"/>
        <v>306</v>
      </c>
      <c r="E1094" t="str">
        <f t="shared" si="37"/>
        <v>0016</v>
      </c>
      <c r="F1094" t="str">
        <f t="shared" si="38"/>
        <v>2.017</v>
      </c>
      <c r="G1094" t="str">
        <f t="shared" si="39"/>
        <v>3.3.90.30.00</v>
      </c>
      <c r="H1094" t="s">
        <v>1134</v>
      </c>
      <c r="I1094" t="str">
        <f t="shared" si="45"/>
        <v>08 - SECRETARIA DE EDUCAÇÃO</v>
      </c>
      <c r="J1094" t="s">
        <v>20</v>
      </c>
      <c r="K1094" t="str">
        <f t="shared" si="40"/>
        <v>12-EDUCAÇÃO</v>
      </c>
      <c r="L1094" t="str">
        <f t="shared" si="41"/>
        <v>306-ALIMENTAÇÃO E NUTRIÇÃO</v>
      </c>
      <c r="M1094" t="str">
        <f t="shared" si="42"/>
        <v>0016-Escola para Todos​</v>
      </c>
      <c r="N1094" t="str">
        <f t="shared" si="43"/>
        <v xml:space="preserve">2.017-Suporte ao Aluno </v>
      </c>
      <c r="O1094" t="str">
        <f t="shared" si="44"/>
        <v>3.3.90.30.00-MATERIAL DE CONSUMO</v>
      </c>
      <c r="R1094" s="25">
        <v>171797844.02000001</v>
      </c>
      <c r="S1094" t="s">
        <v>1035</v>
      </c>
    </row>
    <row r="1095" spans="1:19" x14ac:dyDescent="0.25">
      <c r="A1095" t="str">
        <f t="shared" si="33"/>
        <v>08</v>
      </c>
      <c r="B1095" t="str">
        <f t="shared" si="34"/>
        <v>001</v>
      </c>
      <c r="C1095" t="str">
        <f t="shared" si="35"/>
        <v>12</v>
      </c>
      <c r="D1095" t="str">
        <f t="shared" si="36"/>
        <v>361</v>
      </c>
      <c r="E1095" t="str">
        <f t="shared" si="37"/>
        <v>0002</v>
      </c>
      <c r="F1095" t="str">
        <f t="shared" si="38"/>
        <v>2.005</v>
      </c>
      <c r="G1095" t="str">
        <f t="shared" si="39"/>
        <v>3.3.90.39.00</v>
      </c>
      <c r="H1095" t="s">
        <v>1135</v>
      </c>
      <c r="I1095" t="str">
        <f t="shared" si="45"/>
        <v>08 - SECRETARIA DE EDUCAÇÃO</v>
      </c>
      <c r="J1095" t="s">
        <v>20</v>
      </c>
      <c r="K1095" t="str">
        <f t="shared" si="40"/>
        <v>12-EDUCAÇÃO</v>
      </c>
      <c r="L1095" t="str">
        <f t="shared" si="41"/>
        <v>361-ENSINO FUNDAMENTAL</v>
      </c>
      <c r="M1095" t="str">
        <f t="shared" si="42"/>
        <v>0002-Governo Inteligente, Aberto e Inovador​</v>
      </c>
      <c r="N1095" t="str">
        <f t="shared" si="43"/>
        <v xml:space="preserve">2.005-Promoção de Eventos, Comunicação e Participação Social </v>
      </c>
      <c r="O1095" t="str">
        <f t="shared" si="44"/>
        <v>3.3.90.39.00-OUTROS SERVIÇOS DE TERCEIROS - PESSOA JURÍDICA</v>
      </c>
      <c r="R1095" s="25">
        <v>4788641.7273000004</v>
      </c>
      <c r="S1095" t="s">
        <v>1035</v>
      </c>
    </row>
    <row r="1096" spans="1:19" x14ac:dyDescent="0.25">
      <c r="A1096" t="str">
        <f t="shared" si="33"/>
        <v>08</v>
      </c>
      <c r="B1096" t="str">
        <f t="shared" si="34"/>
        <v>001</v>
      </c>
      <c r="C1096" t="str">
        <f t="shared" si="35"/>
        <v>12</v>
      </c>
      <c r="D1096" t="str">
        <f t="shared" si="36"/>
        <v>361</v>
      </c>
      <c r="E1096" t="str">
        <f t="shared" si="37"/>
        <v>0002</v>
      </c>
      <c r="F1096" t="str">
        <f t="shared" si="38"/>
        <v>2.007</v>
      </c>
      <c r="G1096" t="str">
        <f t="shared" si="39"/>
        <v>3.3.90.40.00</v>
      </c>
      <c r="H1096" t="s">
        <v>1136</v>
      </c>
      <c r="I1096" t="str">
        <f t="shared" si="45"/>
        <v>08 - SECRETARIA DE EDUCAÇÃO</v>
      </c>
      <c r="J1096" t="s">
        <v>20</v>
      </c>
      <c r="K1096" t="str">
        <f t="shared" si="40"/>
        <v>12-EDUCAÇÃO</v>
      </c>
      <c r="L1096" t="str">
        <f t="shared" si="41"/>
        <v>361-ENSINO FUNDAMENTAL</v>
      </c>
      <c r="M1096" t="str">
        <f t="shared" si="42"/>
        <v>0002-Governo Inteligente, Aberto e Inovador​</v>
      </c>
      <c r="N1096" t="str">
        <f t="shared" si="43"/>
        <v>2.007-Ampliação e Manutenção de Sistemas de Inteligência, Fiscalização e Tecnologia</v>
      </c>
      <c r="O1096" t="str">
        <f t="shared" si="44"/>
        <v>3.3.90.40.00-SERVIÇOS DE TECNOLOGIA DA INFORMAÇÃO E COMUNICAÇÃO - PESSOA JURÍDICA</v>
      </c>
      <c r="R1096" s="25">
        <v>24520015</v>
      </c>
      <c r="S1096" t="s">
        <v>1035</v>
      </c>
    </row>
    <row r="1097" spans="1:19" x14ac:dyDescent="0.25">
      <c r="A1097" t="str">
        <f t="shared" si="33"/>
        <v>08</v>
      </c>
      <c r="B1097" t="str">
        <f t="shared" si="34"/>
        <v>001</v>
      </c>
      <c r="C1097" t="str">
        <f t="shared" si="35"/>
        <v>12</v>
      </c>
      <c r="D1097" t="str">
        <f t="shared" si="36"/>
        <v>361</v>
      </c>
      <c r="E1097" t="str">
        <f t="shared" si="37"/>
        <v>0016</v>
      </c>
      <c r="F1097" t="str">
        <f t="shared" si="38"/>
        <v>2.011</v>
      </c>
      <c r="G1097" t="str">
        <f t="shared" si="39"/>
        <v>3.3.50.43.00</v>
      </c>
      <c r="H1097" t="s">
        <v>1137</v>
      </c>
      <c r="I1097" t="str">
        <f t="shared" si="45"/>
        <v>08 - SECRETARIA DE EDUCAÇÃO</v>
      </c>
      <c r="J1097" t="s">
        <v>20</v>
      </c>
      <c r="K1097" t="str">
        <f t="shared" si="40"/>
        <v>12-EDUCAÇÃO</v>
      </c>
      <c r="L1097" t="str">
        <f t="shared" si="41"/>
        <v>361-ENSINO FUNDAMENTAL</v>
      </c>
      <c r="M1097" t="str">
        <f t="shared" si="42"/>
        <v>0016-Escola para Todos​</v>
      </c>
      <c r="N1097" t="str">
        <f t="shared" si="43"/>
        <v xml:space="preserve">2.011-Manutenção de Equipamentos Públicos </v>
      </c>
      <c r="O1097" t="str">
        <f>G1097</f>
        <v>3.3.50.43.00</v>
      </c>
      <c r="R1097" s="25">
        <v>1</v>
      </c>
      <c r="S1097" t="s">
        <v>1035</v>
      </c>
    </row>
    <row r="1098" spans="1:19" x14ac:dyDescent="0.25">
      <c r="A1098" t="str">
        <f t="shared" si="33"/>
        <v>08</v>
      </c>
      <c r="B1098" t="str">
        <f t="shared" si="34"/>
        <v>001</v>
      </c>
      <c r="C1098" t="str">
        <f t="shared" si="35"/>
        <v>12</v>
      </c>
      <c r="D1098" t="str">
        <f t="shared" si="36"/>
        <v>361</v>
      </c>
      <c r="E1098" t="str">
        <f t="shared" si="37"/>
        <v>0016</v>
      </c>
      <c r="F1098" t="str">
        <f t="shared" si="38"/>
        <v>2.011</v>
      </c>
      <c r="G1098" t="str">
        <f t="shared" si="39"/>
        <v>3.3.90.30.00</v>
      </c>
      <c r="H1098" t="s">
        <v>1138</v>
      </c>
      <c r="I1098" t="str">
        <f t="shared" si="45"/>
        <v>08 - SECRETARIA DE EDUCAÇÃO</v>
      </c>
      <c r="J1098" t="s">
        <v>20</v>
      </c>
      <c r="K1098" t="str">
        <f t="shared" si="40"/>
        <v>12-EDUCAÇÃO</v>
      </c>
      <c r="L1098" t="str">
        <f t="shared" si="41"/>
        <v>361-ENSINO FUNDAMENTAL</v>
      </c>
      <c r="M1098" t="str">
        <f t="shared" si="42"/>
        <v>0016-Escola para Todos​</v>
      </c>
      <c r="N1098" t="str">
        <f t="shared" si="43"/>
        <v xml:space="preserve">2.011-Manutenção de Equipamentos Públicos </v>
      </c>
      <c r="O1098" t="str">
        <f t="shared" si="44"/>
        <v>3.3.90.30.00-MATERIAL DE CONSUMO</v>
      </c>
      <c r="R1098" s="25">
        <v>11833752.8642</v>
      </c>
      <c r="S1098" t="s">
        <v>1035</v>
      </c>
    </row>
    <row r="1099" spans="1:19" x14ac:dyDescent="0.25">
      <c r="A1099" t="str">
        <f t="shared" si="33"/>
        <v>08</v>
      </c>
      <c r="B1099" t="str">
        <f t="shared" si="34"/>
        <v>001</v>
      </c>
      <c r="C1099" t="str">
        <f t="shared" si="35"/>
        <v>12</v>
      </c>
      <c r="D1099" t="str">
        <f t="shared" si="36"/>
        <v>361</v>
      </c>
      <c r="E1099" t="str">
        <f t="shared" si="37"/>
        <v>0016</v>
      </c>
      <c r="F1099" t="str">
        <f t="shared" si="38"/>
        <v>2.011</v>
      </c>
      <c r="G1099" t="str">
        <f t="shared" si="39"/>
        <v>3.3.90.39.00</v>
      </c>
      <c r="H1099" t="s">
        <v>1139</v>
      </c>
      <c r="I1099" t="str">
        <f t="shared" si="45"/>
        <v>08 - SECRETARIA DE EDUCAÇÃO</v>
      </c>
      <c r="J1099" t="s">
        <v>20</v>
      </c>
      <c r="K1099" t="str">
        <f t="shared" si="40"/>
        <v>12-EDUCAÇÃO</v>
      </c>
      <c r="L1099" t="str">
        <f t="shared" si="41"/>
        <v>361-ENSINO FUNDAMENTAL</v>
      </c>
      <c r="M1099" t="str">
        <f t="shared" si="42"/>
        <v>0016-Escola para Todos​</v>
      </c>
      <c r="N1099" t="str">
        <f t="shared" si="43"/>
        <v xml:space="preserve">2.011-Manutenção de Equipamentos Públicos </v>
      </c>
      <c r="O1099" t="str">
        <f t="shared" si="44"/>
        <v>3.3.90.39.00-OUTROS SERVIÇOS DE TERCEIROS - PESSOA JURÍDICA</v>
      </c>
      <c r="R1099" s="25">
        <v>3712258.5905070002</v>
      </c>
      <c r="S1099" t="s">
        <v>1035</v>
      </c>
    </row>
    <row r="1100" spans="1:19" x14ac:dyDescent="0.25">
      <c r="A1100" t="str">
        <f t="shared" si="33"/>
        <v>08</v>
      </c>
      <c r="B1100" t="str">
        <f t="shared" si="34"/>
        <v>001</v>
      </c>
      <c r="C1100" t="str">
        <f t="shared" si="35"/>
        <v>12</v>
      </c>
      <c r="D1100" t="str">
        <f t="shared" si="36"/>
        <v>361</v>
      </c>
      <c r="E1100" t="str">
        <f t="shared" si="37"/>
        <v>0016</v>
      </c>
      <c r="F1100" t="str">
        <f t="shared" si="38"/>
        <v>2.011</v>
      </c>
      <c r="G1100" t="str">
        <f t="shared" si="39"/>
        <v>4.4.90.52.00</v>
      </c>
      <c r="H1100" t="s">
        <v>1140</v>
      </c>
      <c r="I1100" t="str">
        <f t="shared" si="45"/>
        <v>08 - SECRETARIA DE EDUCAÇÃO</v>
      </c>
      <c r="J1100" t="s">
        <v>20</v>
      </c>
      <c r="K1100" t="str">
        <f t="shared" si="40"/>
        <v>12-EDUCAÇÃO</v>
      </c>
      <c r="L1100" t="str">
        <f t="shared" si="41"/>
        <v>361-ENSINO FUNDAMENTAL</v>
      </c>
      <c r="M1100" t="str">
        <f t="shared" si="42"/>
        <v>0016-Escola para Todos​</v>
      </c>
      <c r="N1100" t="str">
        <f t="shared" si="43"/>
        <v xml:space="preserve">2.011-Manutenção de Equipamentos Públicos </v>
      </c>
      <c r="O1100" t="str">
        <f t="shared" si="44"/>
        <v>4.4.90.52.00-EQUIPAMENTOS E MATERIAL PERMANENTE</v>
      </c>
      <c r="R1100" s="25">
        <v>207822.03909999999</v>
      </c>
      <c r="S1100" t="s">
        <v>1035</v>
      </c>
    </row>
    <row r="1101" spans="1:19" x14ac:dyDescent="0.25">
      <c r="A1101" t="str">
        <f t="shared" si="33"/>
        <v>08</v>
      </c>
      <c r="B1101" t="str">
        <f t="shared" si="34"/>
        <v>001</v>
      </c>
      <c r="C1101" t="str">
        <f t="shared" si="35"/>
        <v>12</v>
      </c>
      <c r="D1101" t="str">
        <f t="shared" si="36"/>
        <v>361</v>
      </c>
      <c r="E1101" t="str">
        <f t="shared" si="37"/>
        <v>0016</v>
      </c>
      <c r="F1101" t="str">
        <f t="shared" si="38"/>
        <v>2.017</v>
      </c>
      <c r="G1101" t="str">
        <f t="shared" si="39"/>
        <v>3.3.90.32.00</v>
      </c>
      <c r="H1101" t="s">
        <v>1141</v>
      </c>
      <c r="I1101" t="str">
        <f t="shared" si="45"/>
        <v>08 - SECRETARIA DE EDUCAÇÃO</v>
      </c>
      <c r="J1101" t="s">
        <v>20</v>
      </c>
      <c r="K1101" t="str">
        <f t="shared" si="40"/>
        <v>12-EDUCAÇÃO</v>
      </c>
      <c r="L1101" t="str">
        <f t="shared" si="41"/>
        <v>361-ENSINO FUNDAMENTAL</v>
      </c>
      <c r="M1101" t="str">
        <f t="shared" si="42"/>
        <v>0016-Escola para Todos​</v>
      </c>
      <c r="N1101" t="str">
        <f t="shared" si="43"/>
        <v xml:space="preserve">2.017-Suporte ao Aluno </v>
      </c>
      <c r="O1101" t="str">
        <f t="shared" si="44"/>
        <v>3.3.90.32.00-MATERIAL, BEM OU SERVIÇO PARA DISTRIBUIÇÃO GRATUITA</v>
      </c>
      <c r="R1101" s="25">
        <v>42172278.25</v>
      </c>
      <c r="S1101" t="s">
        <v>1035</v>
      </c>
    </row>
    <row r="1102" spans="1:19" x14ac:dyDescent="0.25">
      <c r="A1102" t="str">
        <f t="shared" si="33"/>
        <v>08</v>
      </c>
      <c r="B1102" t="str">
        <f t="shared" si="34"/>
        <v>001</v>
      </c>
      <c r="C1102" t="str">
        <f t="shared" si="35"/>
        <v>12</v>
      </c>
      <c r="D1102" t="str">
        <f t="shared" si="36"/>
        <v>361</v>
      </c>
      <c r="E1102" t="str">
        <f t="shared" si="37"/>
        <v>0016</v>
      </c>
      <c r="F1102" t="str">
        <f t="shared" si="38"/>
        <v>2.018</v>
      </c>
      <c r="G1102" t="str">
        <f t="shared" si="39"/>
        <v>3.3.90.40.00</v>
      </c>
      <c r="H1102" t="s">
        <v>1142</v>
      </c>
      <c r="I1102" t="str">
        <f t="shared" si="45"/>
        <v>08 - SECRETARIA DE EDUCAÇÃO</v>
      </c>
      <c r="J1102" t="s">
        <v>20</v>
      </c>
      <c r="K1102" t="str">
        <f t="shared" si="40"/>
        <v>12-EDUCAÇÃO</v>
      </c>
      <c r="L1102" t="str">
        <f t="shared" si="41"/>
        <v>361-ENSINO FUNDAMENTAL</v>
      </c>
      <c r="M1102" t="str">
        <f t="shared" si="42"/>
        <v>0016-Escola para Todos​</v>
      </c>
      <c r="N1102" t="str">
        <f t="shared" si="43"/>
        <v>2.018-Conectividade e Tecnologia na Educação</v>
      </c>
      <c r="O1102" t="str">
        <f t="shared" si="44"/>
        <v>3.3.90.40.00-SERVIÇOS DE TECNOLOGIA DA INFORMAÇÃO E COMUNICAÇÃO - PESSOA JURÍDICA</v>
      </c>
      <c r="R1102" s="25">
        <v>74429901.819999993</v>
      </c>
      <c r="S1102" t="s">
        <v>1035</v>
      </c>
    </row>
    <row r="1103" spans="1:19" x14ac:dyDescent="0.25">
      <c r="A1103" t="str">
        <f t="shared" si="33"/>
        <v>08</v>
      </c>
      <c r="B1103" t="str">
        <f t="shared" si="34"/>
        <v>001</v>
      </c>
      <c r="C1103" t="str">
        <f t="shared" si="35"/>
        <v>12</v>
      </c>
      <c r="D1103" t="str">
        <f t="shared" si="36"/>
        <v>361</v>
      </c>
      <c r="E1103" t="str">
        <f t="shared" si="37"/>
        <v>0016</v>
      </c>
      <c r="F1103" t="str">
        <f t="shared" si="38"/>
        <v>2.018</v>
      </c>
      <c r="G1103" t="str">
        <f t="shared" si="39"/>
        <v>4.4.90.52.00</v>
      </c>
      <c r="H1103" t="s">
        <v>1143</v>
      </c>
      <c r="I1103" t="str">
        <f t="shared" si="45"/>
        <v>08 - SECRETARIA DE EDUCAÇÃO</v>
      </c>
      <c r="J1103" t="s">
        <v>20</v>
      </c>
      <c r="K1103" t="str">
        <f t="shared" si="40"/>
        <v>12-EDUCAÇÃO</v>
      </c>
      <c r="L1103" t="str">
        <f t="shared" si="41"/>
        <v>361-ENSINO FUNDAMENTAL</v>
      </c>
      <c r="M1103" t="str">
        <f t="shared" si="42"/>
        <v>0016-Escola para Todos​</v>
      </c>
      <c r="N1103" t="str">
        <f t="shared" si="43"/>
        <v>2.018-Conectividade e Tecnologia na Educação</v>
      </c>
      <c r="O1103" t="str">
        <f t="shared" si="44"/>
        <v>4.4.90.52.00-EQUIPAMENTOS E MATERIAL PERMANENTE</v>
      </c>
      <c r="R1103" s="25">
        <v>3606580</v>
      </c>
      <c r="S1103" t="s">
        <v>1035</v>
      </c>
    </row>
    <row r="1104" spans="1:19" x14ac:dyDescent="0.25">
      <c r="A1104" t="str">
        <f t="shared" si="33"/>
        <v>08</v>
      </c>
      <c r="B1104" t="str">
        <f t="shared" si="34"/>
        <v>001</v>
      </c>
      <c r="C1104" t="str">
        <f t="shared" si="35"/>
        <v>12</v>
      </c>
      <c r="D1104" t="str">
        <f t="shared" si="36"/>
        <v>361</v>
      </c>
      <c r="E1104" t="str">
        <f t="shared" si="37"/>
        <v>0016</v>
      </c>
      <c r="F1104" t="str">
        <f t="shared" si="38"/>
        <v>2.019</v>
      </c>
      <c r="G1104" t="str">
        <f t="shared" si="39"/>
        <v>3.3.90.32.00</v>
      </c>
      <c r="H1104" t="s">
        <v>1144</v>
      </c>
      <c r="I1104" t="str">
        <f t="shared" si="45"/>
        <v>08 - SECRETARIA DE EDUCAÇÃO</v>
      </c>
      <c r="J1104" t="s">
        <v>20</v>
      </c>
      <c r="K1104" t="str">
        <f t="shared" si="40"/>
        <v>12-EDUCAÇÃO</v>
      </c>
      <c r="L1104" t="str">
        <f t="shared" si="41"/>
        <v>361-ENSINO FUNDAMENTAL</v>
      </c>
      <c r="M1104" t="str">
        <f t="shared" si="42"/>
        <v>0016-Escola para Todos​</v>
      </c>
      <c r="N1104" t="str">
        <f t="shared" si="43"/>
        <v>2.019-Ações Pedagógicas Complementares</v>
      </c>
      <c r="O1104" t="str">
        <f t="shared" si="44"/>
        <v>3.3.90.32.00-MATERIAL, BEM OU SERVIÇO PARA DISTRIBUIÇÃO GRATUITA</v>
      </c>
      <c r="R1104" s="25">
        <v>1</v>
      </c>
      <c r="S1104" t="s">
        <v>1035</v>
      </c>
    </row>
    <row r="1105" spans="1:19" x14ac:dyDescent="0.25">
      <c r="A1105" t="str">
        <f t="shared" si="33"/>
        <v>08</v>
      </c>
      <c r="B1105" t="str">
        <f t="shared" si="34"/>
        <v>001</v>
      </c>
      <c r="C1105" t="str">
        <f t="shared" si="35"/>
        <v>12</v>
      </c>
      <c r="D1105" t="str">
        <f t="shared" si="36"/>
        <v>361</v>
      </c>
      <c r="E1105" t="str">
        <f t="shared" si="37"/>
        <v>0016</v>
      </c>
      <c r="F1105" t="str">
        <f t="shared" si="38"/>
        <v>2.019</v>
      </c>
      <c r="G1105" t="str">
        <f t="shared" si="39"/>
        <v>3.3.90.39.00</v>
      </c>
      <c r="H1105" t="s">
        <v>1145</v>
      </c>
      <c r="I1105" t="str">
        <f t="shared" si="45"/>
        <v>08 - SECRETARIA DE EDUCAÇÃO</v>
      </c>
      <c r="J1105" t="s">
        <v>20</v>
      </c>
      <c r="K1105" t="str">
        <f t="shared" si="40"/>
        <v>12-EDUCAÇÃO</v>
      </c>
      <c r="L1105" t="str">
        <f t="shared" si="41"/>
        <v>361-ENSINO FUNDAMENTAL</v>
      </c>
      <c r="M1105" t="str">
        <f t="shared" si="42"/>
        <v>0016-Escola para Todos​</v>
      </c>
      <c r="N1105" t="str">
        <f t="shared" si="43"/>
        <v>2.019-Ações Pedagógicas Complementares</v>
      </c>
      <c r="O1105" t="str">
        <f t="shared" si="44"/>
        <v>3.3.90.39.00-OUTROS SERVIÇOS DE TERCEIROS - PESSOA JURÍDICA</v>
      </c>
      <c r="R1105" s="25">
        <v>27136650.68</v>
      </c>
      <c r="S1105" t="s">
        <v>1035</v>
      </c>
    </row>
    <row r="1106" spans="1:19" x14ac:dyDescent="0.25">
      <c r="A1106" t="str">
        <f t="shared" si="33"/>
        <v>08</v>
      </c>
      <c r="B1106" t="str">
        <f t="shared" si="34"/>
        <v>001</v>
      </c>
      <c r="C1106" t="str">
        <f t="shared" si="35"/>
        <v>12</v>
      </c>
      <c r="D1106" t="str">
        <f t="shared" si="36"/>
        <v>361</v>
      </c>
      <c r="E1106" t="str">
        <f t="shared" si="37"/>
        <v>0016</v>
      </c>
      <c r="F1106" t="str">
        <f t="shared" si="38"/>
        <v>2.020</v>
      </c>
      <c r="G1106" t="str">
        <f t="shared" si="39"/>
        <v>3.3.90.39.00</v>
      </c>
      <c r="H1106" t="s">
        <v>1146</v>
      </c>
      <c r="I1106" t="str">
        <f t="shared" si="45"/>
        <v>08 - SECRETARIA DE EDUCAÇÃO</v>
      </c>
      <c r="J1106" t="s">
        <v>20</v>
      </c>
      <c r="K1106" t="str">
        <f t="shared" si="40"/>
        <v>12-EDUCAÇÃO</v>
      </c>
      <c r="L1106" t="str">
        <f t="shared" si="41"/>
        <v>361-ENSINO FUNDAMENTAL</v>
      </c>
      <c r="M1106" t="str">
        <f t="shared" si="42"/>
        <v>0016-Escola para Todos​</v>
      </c>
      <c r="N1106" t="str">
        <f t="shared" si="43"/>
        <v xml:space="preserve">2.020-Transporte de Alunos </v>
      </c>
      <c r="O1106" t="str">
        <f t="shared" si="44"/>
        <v>3.3.90.39.00-OUTROS SERVIÇOS DE TERCEIROS - PESSOA JURÍDICA</v>
      </c>
      <c r="R1106" s="25">
        <v>15146103</v>
      </c>
      <c r="S1106" t="s">
        <v>1035</v>
      </c>
    </row>
    <row r="1107" spans="1:19" x14ac:dyDescent="0.25">
      <c r="A1107" t="str">
        <f t="shared" si="33"/>
        <v>08</v>
      </c>
      <c r="B1107" t="str">
        <f t="shared" si="34"/>
        <v>001</v>
      </c>
      <c r="C1107" t="str">
        <f t="shared" si="35"/>
        <v>12</v>
      </c>
      <c r="D1107" t="str">
        <f t="shared" si="36"/>
        <v>361</v>
      </c>
      <c r="E1107" t="str">
        <f t="shared" si="37"/>
        <v>0016</v>
      </c>
      <c r="F1107" t="str">
        <f t="shared" si="38"/>
        <v>2.023</v>
      </c>
      <c r="G1107" t="str">
        <f t="shared" si="39"/>
        <v>3.3.50.39.00</v>
      </c>
      <c r="H1107" t="s">
        <v>1147</v>
      </c>
      <c r="I1107" t="str">
        <f t="shared" si="45"/>
        <v>08 - SECRETARIA DE EDUCAÇÃO</v>
      </c>
      <c r="J1107" t="s">
        <v>20</v>
      </c>
      <c r="K1107" t="str">
        <f t="shared" si="40"/>
        <v>12-EDUCAÇÃO</v>
      </c>
      <c r="L1107" t="str">
        <f t="shared" si="41"/>
        <v>361-ENSINO FUNDAMENTAL</v>
      </c>
      <c r="M1107" t="str">
        <f t="shared" si="42"/>
        <v>0016-Escola para Todos​</v>
      </c>
      <c r="N1107" t="str">
        <f t="shared" si="43"/>
        <v xml:space="preserve">2.023-Gestão Compartilhada de Equipamentos Públicos </v>
      </c>
      <c r="O1107" t="str">
        <f t="shared" si="44"/>
        <v>3.3.50.39.00-OUTROS SERVIÇOS DE TERCEIROS - PESSOA JURÍDICA</v>
      </c>
      <c r="R1107" s="25">
        <v>7384243.2800000003</v>
      </c>
      <c r="S1107" t="s">
        <v>1035</v>
      </c>
    </row>
    <row r="1108" spans="1:19" x14ac:dyDescent="0.25">
      <c r="A1108" t="str">
        <f t="shared" si="33"/>
        <v>08</v>
      </c>
      <c r="B1108" t="str">
        <f t="shared" si="34"/>
        <v>001</v>
      </c>
      <c r="C1108" t="str">
        <f t="shared" si="35"/>
        <v>12</v>
      </c>
      <c r="D1108" t="str">
        <f t="shared" si="36"/>
        <v>361</v>
      </c>
      <c r="E1108" t="str">
        <f t="shared" si="37"/>
        <v>0016</v>
      </c>
      <c r="F1108" t="str">
        <f t="shared" si="38"/>
        <v>2.023</v>
      </c>
      <c r="G1108" t="str">
        <f t="shared" si="39"/>
        <v>4.4.50.39.00</v>
      </c>
      <c r="H1108" t="s">
        <v>1148</v>
      </c>
      <c r="I1108" t="str">
        <f t="shared" si="45"/>
        <v>08 - SECRETARIA DE EDUCAÇÃO</v>
      </c>
      <c r="J1108" t="s">
        <v>20</v>
      </c>
      <c r="K1108" t="str">
        <f t="shared" si="40"/>
        <v>12-EDUCAÇÃO</v>
      </c>
      <c r="L1108" t="str">
        <f t="shared" si="41"/>
        <v>361-ENSINO FUNDAMENTAL</v>
      </c>
      <c r="M1108" t="str">
        <f t="shared" si="42"/>
        <v>0016-Escola para Todos​</v>
      </c>
      <c r="N1108" t="str">
        <f t="shared" si="43"/>
        <v xml:space="preserve">2.023-Gestão Compartilhada de Equipamentos Públicos </v>
      </c>
      <c r="O1108" t="str">
        <f t="shared" si="44"/>
        <v>4.4.50.39.00-OUTROS SERVIÇOS DE TERCEIROS - PESSOA JURÍDICA</v>
      </c>
      <c r="R1108" s="25">
        <v>1846062.3399999999</v>
      </c>
      <c r="S1108" t="s">
        <v>1035</v>
      </c>
    </row>
    <row r="1109" spans="1:19" x14ac:dyDescent="0.25">
      <c r="A1109" t="str">
        <f t="shared" si="33"/>
        <v>08</v>
      </c>
      <c r="B1109" t="str">
        <f t="shared" si="34"/>
        <v>001</v>
      </c>
      <c r="C1109" t="str">
        <f t="shared" si="35"/>
        <v>12</v>
      </c>
      <c r="D1109" t="str">
        <f t="shared" si="36"/>
        <v>364</v>
      </c>
      <c r="E1109" t="str">
        <f t="shared" si="37"/>
        <v>0001</v>
      </c>
      <c r="F1109" t="str">
        <f t="shared" si="38"/>
        <v>2.011</v>
      </c>
      <c r="G1109" t="str">
        <f t="shared" si="39"/>
        <v>3.3.90.30.00</v>
      </c>
      <c r="H1109" t="s">
        <v>1149</v>
      </c>
      <c r="I1109" t="str">
        <f t="shared" si="45"/>
        <v>08 - SECRETARIA DE EDUCAÇÃO</v>
      </c>
      <c r="J1109" t="s">
        <v>20</v>
      </c>
      <c r="K1109" t="str">
        <f t="shared" si="40"/>
        <v>12-EDUCAÇÃO</v>
      </c>
      <c r="L1109" t="str">
        <f t="shared" si="41"/>
        <v>364-ENSINO SUPERIOR</v>
      </c>
      <c r="M1109" t="str">
        <f t="shared" si="42"/>
        <v>0001-Administração e Coordenação Geral​</v>
      </c>
      <c r="N1109" t="str">
        <f t="shared" si="43"/>
        <v xml:space="preserve">2.011-Manutenção de Equipamentos Públicos </v>
      </c>
      <c r="O1109" t="str">
        <f t="shared" si="44"/>
        <v>3.3.90.30.00-MATERIAL DE CONSUMO</v>
      </c>
      <c r="R1109" s="25">
        <v>48837.7</v>
      </c>
      <c r="S1109" t="s">
        <v>1035</v>
      </c>
    </row>
    <row r="1110" spans="1:19" x14ac:dyDescent="0.25">
      <c r="A1110" t="str">
        <f t="shared" si="33"/>
        <v>08</v>
      </c>
      <c r="B1110" t="str">
        <f t="shared" si="34"/>
        <v>001</v>
      </c>
      <c r="C1110" t="str">
        <f t="shared" si="35"/>
        <v>12</v>
      </c>
      <c r="D1110" t="str">
        <f t="shared" si="36"/>
        <v>365</v>
      </c>
      <c r="E1110" t="str">
        <f t="shared" si="37"/>
        <v>0002</v>
      </c>
      <c r="F1110" t="str">
        <f t="shared" si="38"/>
        <v>2.005</v>
      </c>
      <c r="G1110" t="str">
        <f t="shared" si="39"/>
        <v>3.3.90.39.00</v>
      </c>
      <c r="H1110" t="s">
        <v>1150</v>
      </c>
      <c r="I1110" t="str">
        <f t="shared" si="45"/>
        <v>08 - SECRETARIA DE EDUCAÇÃO</v>
      </c>
      <c r="J1110" t="s">
        <v>20</v>
      </c>
      <c r="K1110" t="str">
        <f t="shared" si="40"/>
        <v>12-EDUCAÇÃO</v>
      </c>
      <c r="L1110" t="str">
        <f t="shared" si="41"/>
        <v>365-EDUCAÇÃO INFANTIL</v>
      </c>
      <c r="M1110" t="str">
        <f t="shared" si="42"/>
        <v>0002-Governo Inteligente, Aberto e Inovador​</v>
      </c>
      <c r="N1110" t="str">
        <f t="shared" si="43"/>
        <v xml:space="preserve">2.005-Promoção de Eventos, Comunicação e Participação Social </v>
      </c>
      <c r="O1110" t="str">
        <f t="shared" si="44"/>
        <v>3.3.90.39.00-OUTROS SERVIÇOS DE TERCEIROS - PESSOA JURÍDICA</v>
      </c>
      <c r="R1110" s="25">
        <v>4525557.9397</v>
      </c>
      <c r="S1110" t="s">
        <v>1035</v>
      </c>
    </row>
    <row r="1111" spans="1:19" x14ac:dyDescent="0.25">
      <c r="A1111" t="str">
        <f t="shared" si="33"/>
        <v>08</v>
      </c>
      <c r="B1111" t="str">
        <f t="shared" si="34"/>
        <v>001</v>
      </c>
      <c r="C1111" t="str">
        <f t="shared" si="35"/>
        <v>12</v>
      </c>
      <c r="D1111" t="str">
        <f t="shared" si="36"/>
        <v>365</v>
      </c>
      <c r="E1111" t="str">
        <f t="shared" si="37"/>
        <v>0002</v>
      </c>
      <c r="F1111" t="str">
        <f t="shared" si="38"/>
        <v>2.007</v>
      </c>
      <c r="G1111" t="str">
        <f t="shared" si="39"/>
        <v>3.3.90.40.00</v>
      </c>
      <c r="H1111" t="s">
        <v>1151</v>
      </c>
      <c r="I1111" t="str">
        <f t="shared" si="45"/>
        <v>08 - SECRETARIA DE EDUCAÇÃO</v>
      </c>
      <c r="J1111" t="s">
        <v>20</v>
      </c>
      <c r="K1111" t="str">
        <f t="shared" si="40"/>
        <v>12-EDUCAÇÃO</v>
      </c>
      <c r="L1111" t="str">
        <f t="shared" si="41"/>
        <v>365-EDUCAÇÃO INFANTIL</v>
      </c>
      <c r="M1111" t="str">
        <f t="shared" si="42"/>
        <v>0002-Governo Inteligente, Aberto e Inovador​</v>
      </c>
      <c r="N1111" t="str">
        <f t="shared" si="43"/>
        <v>2.007-Ampliação e Manutenção de Sistemas de Inteligência, Fiscalização e Tecnologia</v>
      </c>
      <c r="O1111" t="str">
        <f t="shared" si="44"/>
        <v>3.3.90.40.00-SERVIÇOS DE TECNOLOGIA DA INFORMAÇÃO E COMUNICAÇÃO - PESSOA JURÍDICA</v>
      </c>
      <c r="R1111" s="25">
        <v>20379986</v>
      </c>
      <c r="S1111" t="s">
        <v>1035</v>
      </c>
    </row>
    <row r="1112" spans="1:19" x14ac:dyDescent="0.25">
      <c r="A1112" t="str">
        <f t="shared" si="33"/>
        <v>08</v>
      </c>
      <c r="B1112" t="str">
        <f t="shared" si="34"/>
        <v>001</v>
      </c>
      <c r="C1112" t="str">
        <f t="shared" si="35"/>
        <v>12</v>
      </c>
      <c r="D1112" t="str">
        <f t="shared" si="36"/>
        <v>365</v>
      </c>
      <c r="E1112" t="str">
        <f t="shared" si="37"/>
        <v>0016</v>
      </c>
      <c r="F1112" t="str">
        <f t="shared" si="38"/>
        <v>2.011</v>
      </c>
      <c r="G1112" t="str">
        <f t="shared" si="39"/>
        <v>3.3.50.43.00</v>
      </c>
      <c r="H1112" t="s">
        <v>1152</v>
      </c>
      <c r="I1112" t="str">
        <f t="shared" si="45"/>
        <v>08 - SECRETARIA DE EDUCAÇÃO</v>
      </c>
      <c r="J1112" t="s">
        <v>20</v>
      </c>
      <c r="K1112" t="str">
        <f t="shared" si="40"/>
        <v>12-EDUCAÇÃO</v>
      </c>
      <c r="L1112" t="str">
        <f t="shared" si="41"/>
        <v>365-EDUCAÇÃO INFANTIL</v>
      </c>
      <c r="M1112" t="str">
        <f t="shared" si="42"/>
        <v>0016-Escola para Todos​</v>
      </c>
      <c r="N1112" t="str">
        <f t="shared" si="43"/>
        <v xml:space="preserve">2.011-Manutenção de Equipamentos Públicos </v>
      </c>
      <c r="O1112" t="str">
        <f>G1112</f>
        <v>3.3.50.43.00</v>
      </c>
      <c r="R1112" s="25">
        <v>1</v>
      </c>
      <c r="S1112" t="s">
        <v>1035</v>
      </c>
    </row>
    <row r="1113" spans="1:19" x14ac:dyDescent="0.25">
      <c r="A1113" t="str">
        <f t="shared" si="33"/>
        <v>08</v>
      </c>
      <c r="B1113" t="str">
        <f t="shared" si="34"/>
        <v>001</v>
      </c>
      <c r="C1113" t="str">
        <f t="shared" si="35"/>
        <v>12</v>
      </c>
      <c r="D1113" t="str">
        <f t="shared" si="36"/>
        <v>365</v>
      </c>
      <c r="E1113" t="str">
        <f t="shared" si="37"/>
        <v>0016</v>
      </c>
      <c r="F1113" t="str">
        <f t="shared" si="38"/>
        <v>2.011</v>
      </c>
      <c r="G1113" t="str">
        <f t="shared" si="39"/>
        <v>3.3.90.30.00</v>
      </c>
      <c r="H1113" t="s">
        <v>1153</v>
      </c>
      <c r="I1113" t="str">
        <f t="shared" si="45"/>
        <v>08 - SECRETARIA DE EDUCAÇÃO</v>
      </c>
      <c r="J1113" t="s">
        <v>20</v>
      </c>
      <c r="K1113" t="str">
        <f t="shared" si="40"/>
        <v>12-EDUCAÇÃO</v>
      </c>
      <c r="L1113" t="str">
        <f t="shared" si="41"/>
        <v>365-EDUCAÇÃO INFANTIL</v>
      </c>
      <c r="M1113" t="str">
        <f t="shared" si="42"/>
        <v>0016-Escola para Todos​</v>
      </c>
      <c r="N1113" t="str">
        <f t="shared" si="43"/>
        <v xml:space="preserve">2.011-Manutenção de Equipamentos Públicos </v>
      </c>
      <c r="O1113" t="str">
        <f t="shared" si="44"/>
        <v>3.3.90.30.00-MATERIAL DE CONSUMO</v>
      </c>
      <c r="R1113" s="25">
        <v>8989103.3131999988</v>
      </c>
      <c r="S1113" t="s">
        <v>1035</v>
      </c>
    </row>
    <row r="1114" spans="1:19" x14ac:dyDescent="0.25">
      <c r="A1114" t="str">
        <f t="shared" si="33"/>
        <v>08</v>
      </c>
      <c r="B1114" t="str">
        <f t="shared" si="34"/>
        <v>001</v>
      </c>
      <c r="C1114" t="str">
        <f t="shared" si="35"/>
        <v>12</v>
      </c>
      <c r="D1114" t="str">
        <f t="shared" si="36"/>
        <v>365</v>
      </c>
      <c r="E1114" t="str">
        <f t="shared" si="37"/>
        <v>0016</v>
      </c>
      <c r="F1114" t="str">
        <f t="shared" si="38"/>
        <v>2.011</v>
      </c>
      <c r="G1114" t="str">
        <f t="shared" si="39"/>
        <v>3.3.90.39.00</v>
      </c>
      <c r="H1114" t="s">
        <v>1154</v>
      </c>
      <c r="I1114" t="str">
        <f t="shared" si="45"/>
        <v>08 - SECRETARIA DE EDUCAÇÃO</v>
      </c>
      <c r="J1114" t="s">
        <v>20</v>
      </c>
      <c r="K1114" t="str">
        <f t="shared" si="40"/>
        <v>12-EDUCAÇÃO</v>
      </c>
      <c r="L1114" t="str">
        <f t="shared" si="41"/>
        <v>365-EDUCAÇÃO INFANTIL</v>
      </c>
      <c r="M1114" t="str">
        <f t="shared" si="42"/>
        <v>0016-Escola para Todos​</v>
      </c>
      <c r="N1114" t="str">
        <f t="shared" si="43"/>
        <v xml:space="preserve">2.011-Manutenção de Equipamentos Públicos </v>
      </c>
      <c r="O1114" t="str">
        <f t="shared" si="44"/>
        <v>3.3.90.39.00-OUTROS SERVIÇOS DE TERCEIROS - PESSOA JURÍDICA</v>
      </c>
      <c r="R1114" s="25">
        <v>2326844.7999999998</v>
      </c>
      <c r="S1114" t="s">
        <v>1035</v>
      </c>
    </row>
    <row r="1115" spans="1:19" x14ac:dyDescent="0.25">
      <c r="A1115" t="str">
        <f t="shared" si="33"/>
        <v>08</v>
      </c>
      <c r="B1115" t="str">
        <f t="shared" si="34"/>
        <v>001</v>
      </c>
      <c r="C1115" t="str">
        <f t="shared" si="35"/>
        <v>12</v>
      </c>
      <c r="D1115" t="str">
        <f t="shared" si="36"/>
        <v>365</v>
      </c>
      <c r="E1115" t="str">
        <f t="shared" si="37"/>
        <v>0016</v>
      </c>
      <c r="F1115" t="str">
        <f t="shared" si="38"/>
        <v>2.011</v>
      </c>
      <c r="G1115" t="str">
        <f t="shared" si="39"/>
        <v>4.4.90.52.00</v>
      </c>
      <c r="H1115" t="s">
        <v>1155</v>
      </c>
      <c r="I1115" t="str">
        <f t="shared" si="45"/>
        <v>08 - SECRETARIA DE EDUCAÇÃO</v>
      </c>
      <c r="J1115" t="s">
        <v>20</v>
      </c>
      <c r="K1115" t="str">
        <f t="shared" si="40"/>
        <v>12-EDUCAÇÃO</v>
      </c>
      <c r="L1115" t="str">
        <f t="shared" si="41"/>
        <v>365-EDUCAÇÃO INFANTIL</v>
      </c>
      <c r="M1115" t="str">
        <f t="shared" si="42"/>
        <v>0016-Escola para Todos​</v>
      </c>
      <c r="N1115" t="str">
        <f t="shared" si="43"/>
        <v xml:space="preserve">2.011-Manutenção de Equipamentos Públicos </v>
      </c>
      <c r="O1115" t="str">
        <f t="shared" si="44"/>
        <v>4.4.90.52.00-EQUIPAMENTOS E MATERIAL PERMANENTE</v>
      </c>
      <c r="R1115" s="25">
        <v>623461</v>
      </c>
      <c r="S1115" t="s">
        <v>1035</v>
      </c>
    </row>
    <row r="1116" spans="1:19" x14ac:dyDescent="0.25">
      <c r="A1116" t="str">
        <f t="shared" si="33"/>
        <v>08</v>
      </c>
      <c r="B1116" t="str">
        <f t="shared" si="34"/>
        <v>001</v>
      </c>
      <c r="C1116" t="str">
        <f t="shared" si="35"/>
        <v>12</v>
      </c>
      <c r="D1116" t="str">
        <f t="shared" si="36"/>
        <v>365</v>
      </c>
      <c r="E1116" t="str">
        <f t="shared" si="37"/>
        <v>0016</v>
      </c>
      <c r="F1116" t="str">
        <f t="shared" si="38"/>
        <v>2.017</v>
      </c>
      <c r="G1116" t="str">
        <f t="shared" si="39"/>
        <v>3.3.90.32.00</v>
      </c>
      <c r="H1116" t="s">
        <v>1156</v>
      </c>
      <c r="I1116" t="str">
        <f t="shared" si="45"/>
        <v>08 - SECRETARIA DE EDUCAÇÃO</v>
      </c>
      <c r="J1116" t="s">
        <v>20</v>
      </c>
      <c r="K1116" t="str">
        <f t="shared" si="40"/>
        <v>12-EDUCAÇÃO</v>
      </c>
      <c r="L1116" t="str">
        <f t="shared" si="41"/>
        <v>365-EDUCAÇÃO INFANTIL</v>
      </c>
      <c r="M1116" t="str">
        <f t="shared" si="42"/>
        <v>0016-Escola para Todos​</v>
      </c>
      <c r="N1116" t="str">
        <f t="shared" si="43"/>
        <v xml:space="preserve">2.017-Suporte ao Aluno </v>
      </c>
      <c r="O1116" t="str">
        <f t="shared" si="44"/>
        <v>3.3.90.32.00-MATERIAL, BEM OU SERVIÇO PARA DISTRIBUIÇÃO GRATUITA</v>
      </c>
      <c r="R1116" s="25">
        <v>36881385.920000002</v>
      </c>
      <c r="S1116" t="s">
        <v>1035</v>
      </c>
    </row>
    <row r="1117" spans="1:19" x14ac:dyDescent="0.25">
      <c r="A1117" t="str">
        <f t="shared" si="33"/>
        <v>08</v>
      </c>
      <c r="B1117" t="str">
        <f t="shared" si="34"/>
        <v>001</v>
      </c>
      <c r="C1117" t="str">
        <f t="shared" si="35"/>
        <v>12</v>
      </c>
      <c r="D1117" t="str">
        <f t="shared" si="36"/>
        <v>365</v>
      </c>
      <c r="E1117" t="str">
        <f t="shared" si="37"/>
        <v>0016</v>
      </c>
      <c r="F1117" t="str">
        <f t="shared" si="38"/>
        <v>2.018</v>
      </c>
      <c r="G1117" t="str">
        <f t="shared" si="39"/>
        <v>3.3.90.40.00</v>
      </c>
      <c r="H1117" t="s">
        <v>1157</v>
      </c>
      <c r="I1117" t="str">
        <f t="shared" si="45"/>
        <v>08 - SECRETARIA DE EDUCAÇÃO</v>
      </c>
      <c r="J1117" t="s">
        <v>20</v>
      </c>
      <c r="K1117" t="str">
        <f t="shared" si="40"/>
        <v>12-EDUCAÇÃO</v>
      </c>
      <c r="L1117" t="str">
        <f t="shared" si="41"/>
        <v>365-EDUCAÇÃO INFANTIL</v>
      </c>
      <c r="M1117" t="str">
        <f t="shared" si="42"/>
        <v>0016-Escola para Todos​</v>
      </c>
      <c r="N1117" t="str">
        <f t="shared" si="43"/>
        <v>2.018-Conectividade e Tecnologia na Educação</v>
      </c>
      <c r="O1117" t="str">
        <f t="shared" si="44"/>
        <v>3.3.90.40.00-SERVIÇOS DE TECNOLOGIA DA INFORMAÇÃO E COMUNICAÇÃO - PESSOA JURÍDICA</v>
      </c>
      <c r="R1117" s="25">
        <v>24718428</v>
      </c>
      <c r="S1117" t="s">
        <v>1035</v>
      </c>
    </row>
    <row r="1118" spans="1:19" x14ac:dyDescent="0.25">
      <c r="A1118" t="str">
        <f t="shared" si="33"/>
        <v>08</v>
      </c>
      <c r="B1118" t="str">
        <f t="shared" si="34"/>
        <v>001</v>
      </c>
      <c r="C1118" t="str">
        <f t="shared" si="35"/>
        <v>12</v>
      </c>
      <c r="D1118" t="str">
        <f t="shared" si="36"/>
        <v>365</v>
      </c>
      <c r="E1118" t="str">
        <f t="shared" si="37"/>
        <v>0016</v>
      </c>
      <c r="F1118" t="str">
        <f t="shared" si="38"/>
        <v>2.019</v>
      </c>
      <c r="G1118" t="str">
        <f t="shared" si="39"/>
        <v>3.3.90.32.00</v>
      </c>
      <c r="H1118" t="s">
        <v>1158</v>
      </c>
      <c r="I1118" t="str">
        <f t="shared" si="45"/>
        <v>08 - SECRETARIA DE EDUCAÇÃO</v>
      </c>
      <c r="J1118" t="s">
        <v>20</v>
      </c>
      <c r="K1118" t="str">
        <f t="shared" si="40"/>
        <v>12-EDUCAÇÃO</v>
      </c>
      <c r="L1118" t="str">
        <f t="shared" si="41"/>
        <v>365-EDUCAÇÃO INFANTIL</v>
      </c>
      <c r="M1118" t="str">
        <f t="shared" si="42"/>
        <v>0016-Escola para Todos​</v>
      </c>
      <c r="N1118" t="str">
        <f t="shared" si="43"/>
        <v>2.019-Ações Pedagógicas Complementares</v>
      </c>
      <c r="O1118" t="str">
        <f t="shared" si="44"/>
        <v>3.3.90.32.00-MATERIAL, BEM OU SERVIÇO PARA DISTRIBUIÇÃO GRATUITA</v>
      </c>
      <c r="R1118" s="25">
        <v>3</v>
      </c>
      <c r="S1118" t="s">
        <v>1035</v>
      </c>
    </row>
    <row r="1119" spans="1:19" x14ac:dyDescent="0.25">
      <c r="A1119" t="str">
        <f t="shared" si="33"/>
        <v>08</v>
      </c>
      <c r="B1119" t="str">
        <f t="shared" si="34"/>
        <v>001</v>
      </c>
      <c r="C1119" t="str">
        <f t="shared" si="35"/>
        <v>12</v>
      </c>
      <c r="D1119" t="str">
        <f t="shared" si="36"/>
        <v>365</v>
      </c>
      <c r="E1119" t="str">
        <f t="shared" si="37"/>
        <v>0016</v>
      </c>
      <c r="F1119" t="str">
        <f t="shared" si="38"/>
        <v>2.019</v>
      </c>
      <c r="G1119" t="str">
        <f t="shared" si="39"/>
        <v>3.3.90.39.00</v>
      </c>
      <c r="H1119" t="s">
        <v>1159</v>
      </c>
      <c r="I1119" t="str">
        <f t="shared" si="45"/>
        <v>08 - SECRETARIA DE EDUCAÇÃO</v>
      </c>
      <c r="J1119" t="s">
        <v>20</v>
      </c>
      <c r="K1119" t="str">
        <f t="shared" si="40"/>
        <v>12-EDUCAÇÃO</v>
      </c>
      <c r="L1119" t="str">
        <f t="shared" si="41"/>
        <v>365-EDUCAÇÃO INFANTIL</v>
      </c>
      <c r="M1119" t="str">
        <f t="shared" si="42"/>
        <v>0016-Escola para Todos​</v>
      </c>
      <c r="N1119" t="str">
        <f t="shared" si="43"/>
        <v>2.019-Ações Pedagógicas Complementares</v>
      </c>
      <c r="O1119" t="str">
        <f t="shared" si="44"/>
        <v>3.3.90.39.00-OUTROS SERVIÇOS DE TERCEIROS - PESSOA JURÍDICA</v>
      </c>
      <c r="R1119" s="25">
        <v>20531167.84</v>
      </c>
      <c r="S1119" t="s">
        <v>1035</v>
      </c>
    </row>
    <row r="1120" spans="1:19" x14ac:dyDescent="0.25">
      <c r="A1120" t="str">
        <f t="shared" si="33"/>
        <v>08</v>
      </c>
      <c r="B1120" t="str">
        <f t="shared" si="34"/>
        <v>001</v>
      </c>
      <c r="C1120" t="str">
        <f t="shared" si="35"/>
        <v>12</v>
      </c>
      <c r="D1120" t="str">
        <f t="shared" si="36"/>
        <v>365</v>
      </c>
      <c r="E1120" t="str">
        <f t="shared" si="37"/>
        <v>0016</v>
      </c>
      <c r="F1120" t="str">
        <f t="shared" si="38"/>
        <v>2.020</v>
      </c>
      <c r="G1120" t="str">
        <f t="shared" si="39"/>
        <v>3.3.90.39.00</v>
      </c>
      <c r="H1120" t="s">
        <v>1160</v>
      </c>
      <c r="I1120" t="str">
        <f t="shared" si="45"/>
        <v>08 - SECRETARIA DE EDUCAÇÃO</v>
      </c>
      <c r="J1120" t="s">
        <v>20</v>
      </c>
      <c r="K1120" t="str">
        <f t="shared" si="40"/>
        <v>12-EDUCAÇÃO</v>
      </c>
      <c r="L1120" t="str">
        <f t="shared" si="41"/>
        <v>365-EDUCAÇÃO INFANTIL</v>
      </c>
      <c r="M1120" t="str">
        <f t="shared" si="42"/>
        <v>0016-Escola para Todos​</v>
      </c>
      <c r="N1120" t="str">
        <f t="shared" si="43"/>
        <v xml:space="preserve">2.020-Transporte de Alunos </v>
      </c>
      <c r="O1120" t="str">
        <f t="shared" si="44"/>
        <v>3.3.90.39.00-OUTROS SERVIÇOS DE TERCEIROS - PESSOA JURÍDICA</v>
      </c>
      <c r="R1120" s="25">
        <v>7996843</v>
      </c>
      <c r="S1120" t="s">
        <v>1035</v>
      </c>
    </row>
    <row r="1121" spans="1:19" x14ac:dyDescent="0.25">
      <c r="A1121" t="str">
        <f t="shared" si="33"/>
        <v>08</v>
      </c>
      <c r="B1121" t="str">
        <f t="shared" si="34"/>
        <v>001</v>
      </c>
      <c r="C1121" t="str">
        <f t="shared" si="35"/>
        <v>12</v>
      </c>
      <c r="D1121" t="str">
        <f t="shared" si="36"/>
        <v>365</v>
      </c>
      <c r="E1121" t="str">
        <f t="shared" si="37"/>
        <v>0016</v>
      </c>
      <c r="F1121" t="str">
        <f t="shared" si="38"/>
        <v>2.022</v>
      </c>
      <c r="G1121" t="str">
        <f t="shared" si="39"/>
        <v>3.3.50.39.00</v>
      </c>
      <c r="H1121" t="s">
        <v>1161</v>
      </c>
      <c r="I1121" t="str">
        <f t="shared" si="45"/>
        <v>08 - SECRETARIA DE EDUCAÇÃO</v>
      </c>
      <c r="J1121" t="s">
        <v>20</v>
      </c>
      <c r="K1121" t="str">
        <f t="shared" si="40"/>
        <v>12-EDUCAÇÃO</v>
      </c>
      <c r="L1121" t="str">
        <f t="shared" si="41"/>
        <v>365-EDUCAÇÃO INFANTIL</v>
      </c>
      <c r="M1121" t="str">
        <f t="shared" si="42"/>
        <v>0016-Escola para Todos​</v>
      </c>
      <c r="N1121" t="str">
        <f t="shared" si="43"/>
        <v>2.022-Parcerias para Criação de Vagas</v>
      </c>
      <c r="O1121" t="str">
        <f t="shared" si="44"/>
        <v>3.3.50.39.00-OUTROS SERVIÇOS DE TERCEIROS - PESSOA JURÍDICA</v>
      </c>
      <c r="R1121" s="25">
        <v>55391598.060000002</v>
      </c>
      <c r="S1121" t="s">
        <v>1035</v>
      </c>
    </row>
    <row r="1122" spans="1:19" x14ac:dyDescent="0.25">
      <c r="A1122" t="str">
        <f t="shared" si="33"/>
        <v>08</v>
      </c>
      <c r="B1122" t="str">
        <f t="shared" si="34"/>
        <v>001</v>
      </c>
      <c r="C1122" t="str">
        <f t="shared" si="35"/>
        <v>12</v>
      </c>
      <c r="D1122" t="str">
        <f t="shared" si="36"/>
        <v>365</v>
      </c>
      <c r="E1122" t="str">
        <f t="shared" si="37"/>
        <v>0016</v>
      </c>
      <c r="F1122" t="str">
        <f t="shared" si="38"/>
        <v>2.022</v>
      </c>
      <c r="G1122" t="str">
        <f t="shared" si="39"/>
        <v>4.4.50.39.00</v>
      </c>
      <c r="H1122" t="s">
        <v>1162</v>
      </c>
      <c r="I1122" t="str">
        <f t="shared" si="45"/>
        <v>08 - SECRETARIA DE EDUCAÇÃO</v>
      </c>
      <c r="J1122" t="s">
        <v>20</v>
      </c>
      <c r="K1122" t="str">
        <f t="shared" si="40"/>
        <v>12-EDUCAÇÃO</v>
      </c>
      <c r="L1122" t="str">
        <f t="shared" si="41"/>
        <v>365-EDUCAÇÃO INFANTIL</v>
      </c>
      <c r="M1122" t="str">
        <f t="shared" si="42"/>
        <v>0016-Escola para Todos​</v>
      </c>
      <c r="N1122" t="str">
        <f t="shared" si="43"/>
        <v>2.022-Parcerias para Criação de Vagas</v>
      </c>
      <c r="O1122" t="str">
        <f t="shared" si="44"/>
        <v>4.4.50.39.00-OUTROS SERVIÇOS DE TERCEIROS - PESSOA JURÍDICA</v>
      </c>
      <c r="R1122" s="25">
        <v>408668.06</v>
      </c>
      <c r="S1122" t="s">
        <v>1035</v>
      </c>
    </row>
    <row r="1123" spans="1:19" x14ac:dyDescent="0.25">
      <c r="A1123" t="str">
        <f t="shared" ref="A1123:A1186" si="46">LEFT(H1123,2)</f>
        <v>08</v>
      </c>
      <c r="B1123" t="str">
        <f t="shared" ref="B1123:B1186" si="47">MID(H1123,4,3)</f>
        <v>001</v>
      </c>
      <c r="C1123" t="str">
        <f t="shared" ref="C1123:C1186" si="48">MID(H1123,8,2)</f>
        <v>12</v>
      </c>
      <c r="D1123" t="str">
        <f t="shared" ref="D1123:D1186" si="49">MID(H1123,11,3)</f>
        <v>365</v>
      </c>
      <c r="E1123" t="str">
        <f t="shared" ref="E1123:E1186" si="50">MID(H1123,15,4)</f>
        <v>0016</v>
      </c>
      <c r="F1123" t="str">
        <f t="shared" ref="F1123:F1186" si="51">MID(H1123,20,5)</f>
        <v>2.023</v>
      </c>
      <c r="G1123" t="str">
        <f t="shared" ref="G1123:G1186" si="52">MID(H1123,26,12)</f>
        <v>3.3.50.39.00</v>
      </c>
      <c r="H1123" t="s">
        <v>1163</v>
      </c>
      <c r="I1123" t="str">
        <f t="shared" si="45"/>
        <v>08 - SECRETARIA DE EDUCAÇÃO</v>
      </c>
      <c r="J1123" t="s">
        <v>20</v>
      </c>
      <c r="K1123" t="str">
        <f t="shared" ref="K1123:K1186" si="53">VLOOKUP(C1123,$C$1:$O$994,9,0)</f>
        <v>12-EDUCAÇÃO</v>
      </c>
      <c r="L1123" t="str">
        <f t="shared" ref="L1123:L1186" si="54">VLOOKUP(D1123,$D$1:$O$994,9,0)</f>
        <v>365-EDUCAÇÃO INFANTIL</v>
      </c>
      <c r="M1123" t="str">
        <f t="shared" ref="M1123:M1186" si="55">VLOOKUP(E1123,$E$1:$O$994,9,0)</f>
        <v>0016-Escola para Todos​</v>
      </c>
      <c r="N1123" t="str">
        <f t="shared" ref="N1123:N1186" si="56">VLOOKUP(F1123,$F$1:$O$994,9,0)</f>
        <v xml:space="preserve">2.023-Gestão Compartilhada de Equipamentos Públicos </v>
      </c>
      <c r="O1123" t="str">
        <f t="shared" ref="O1123:O1186" si="57">VLOOKUP(G1123,$G$1:$O$994,9,0)</f>
        <v>3.3.50.39.00-OUTROS SERVIÇOS DE TERCEIROS - PESSOA JURÍDICA</v>
      </c>
      <c r="R1123" s="25">
        <v>2101640.63</v>
      </c>
      <c r="S1123" t="s">
        <v>1035</v>
      </c>
    </row>
    <row r="1124" spans="1:19" x14ac:dyDescent="0.25">
      <c r="A1124" t="str">
        <f t="shared" si="46"/>
        <v>08</v>
      </c>
      <c r="B1124" t="str">
        <f t="shared" si="47"/>
        <v>001</v>
      </c>
      <c r="C1124" t="str">
        <f t="shared" si="48"/>
        <v>12</v>
      </c>
      <c r="D1124" t="str">
        <f t="shared" si="49"/>
        <v>365</v>
      </c>
      <c r="E1124" t="str">
        <f t="shared" si="50"/>
        <v>0016</v>
      </c>
      <c r="F1124" t="str">
        <f t="shared" si="51"/>
        <v>2.023</v>
      </c>
      <c r="G1124" t="str">
        <f t="shared" si="52"/>
        <v>4.4.50.39.00</v>
      </c>
      <c r="H1124" t="s">
        <v>1164</v>
      </c>
      <c r="I1124" t="str">
        <f t="shared" si="45"/>
        <v>08 - SECRETARIA DE EDUCAÇÃO</v>
      </c>
      <c r="J1124" t="s">
        <v>20</v>
      </c>
      <c r="K1124" t="str">
        <f t="shared" si="53"/>
        <v>12-EDUCAÇÃO</v>
      </c>
      <c r="L1124" t="str">
        <f t="shared" si="54"/>
        <v>365-EDUCAÇÃO INFANTIL</v>
      </c>
      <c r="M1124" t="str">
        <f t="shared" si="55"/>
        <v>0016-Escola para Todos​</v>
      </c>
      <c r="N1124" t="str">
        <f t="shared" si="56"/>
        <v xml:space="preserve">2.023-Gestão Compartilhada de Equipamentos Públicos </v>
      </c>
      <c r="O1124" t="str">
        <f t="shared" si="57"/>
        <v>4.4.50.39.00-OUTROS SERVIÇOS DE TERCEIROS - PESSOA JURÍDICA</v>
      </c>
      <c r="R1124" s="25">
        <v>527911.44000000006</v>
      </c>
      <c r="S1124" t="s">
        <v>1035</v>
      </c>
    </row>
    <row r="1125" spans="1:19" x14ac:dyDescent="0.25">
      <c r="A1125" t="str">
        <f t="shared" si="46"/>
        <v>08</v>
      </c>
      <c r="B1125" t="str">
        <f t="shared" si="47"/>
        <v>001</v>
      </c>
      <c r="C1125" t="str">
        <f t="shared" si="48"/>
        <v>12</v>
      </c>
      <c r="D1125" t="str">
        <f t="shared" si="49"/>
        <v>366</v>
      </c>
      <c r="E1125" t="str">
        <f t="shared" si="50"/>
        <v>0016</v>
      </c>
      <c r="F1125" t="str">
        <f t="shared" si="51"/>
        <v>2.019</v>
      </c>
      <c r="G1125" t="str">
        <f t="shared" si="52"/>
        <v>3.3.50.39.00</v>
      </c>
      <c r="H1125" t="s">
        <v>1165</v>
      </c>
      <c r="I1125" t="str">
        <f t="shared" si="45"/>
        <v>08 - SECRETARIA DE EDUCAÇÃO</v>
      </c>
      <c r="J1125" t="s">
        <v>20</v>
      </c>
      <c r="K1125" t="str">
        <f t="shared" si="53"/>
        <v>12-EDUCAÇÃO</v>
      </c>
      <c r="L1125" t="str">
        <f t="shared" si="54"/>
        <v>366-EDUCAÇÃO DE JOVENS E ADULTOS</v>
      </c>
      <c r="M1125" t="str">
        <f t="shared" si="55"/>
        <v>0016-Escola para Todos​</v>
      </c>
      <c r="N1125" t="str">
        <f t="shared" si="56"/>
        <v>2.019-Ações Pedagógicas Complementares</v>
      </c>
      <c r="O1125" t="str">
        <f t="shared" si="57"/>
        <v>3.3.50.39.00-OUTROS SERVIÇOS DE TERCEIROS - PESSOA JURÍDICA</v>
      </c>
      <c r="R1125" s="25">
        <v>3097377</v>
      </c>
      <c r="S1125" t="s">
        <v>1035</v>
      </c>
    </row>
    <row r="1126" spans="1:19" x14ac:dyDescent="0.25">
      <c r="A1126" t="str">
        <f t="shared" si="46"/>
        <v>08</v>
      </c>
      <c r="B1126" t="str">
        <f t="shared" si="47"/>
        <v>001</v>
      </c>
      <c r="C1126" t="str">
        <f t="shared" si="48"/>
        <v>12</v>
      </c>
      <c r="D1126" t="str">
        <f t="shared" si="49"/>
        <v>366</v>
      </c>
      <c r="E1126" t="str">
        <f t="shared" si="50"/>
        <v>0016</v>
      </c>
      <c r="F1126" t="str">
        <f t="shared" si="51"/>
        <v>2.019</v>
      </c>
      <c r="G1126" t="str">
        <f t="shared" si="52"/>
        <v>3.3.90.48.00</v>
      </c>
      <c r="H1126" t="s">
        <v>1166</v>
      </c>
      <c r="I1126" t="str">
        <f t="shared" si="45"/>
        <v>08 - SECRETARIA DE EDUCAÇÃO</v>
      </c>
      <c r="J1126" t="s">
        <v>20</v>
      </c>
      <c r="K1126" t="str">
        <f t="shared" si="53"/>
        <v>12-EDUCAÇÃO</v>
      </c>
      <c r="L1126" t="str">
        <f t="shared" si="54"/>
        <v>366-EDUCAÇÃO DE JOVENS E ADULTOS</v>
      </c>
      <c r="M1126" t="str">
        <f t="shared" si="55"/>
        <v>0016-Escola para Todos​</v>
      </c>
      <c r="N1126" t="str">
        <f t="shared" si="56"/>
        <v>2.019-Ações Pedagógicas Complementares</v>
      </c>
      <c r="O1126" t="str">
        <f t="shared" si="57"/>
        <v>3.3.90.48.00 - OUTROS AUXILIOS FINANCEIROS A PESSOAS FISICAS</v>
      </c>
      <c r="R1126" s="25">
        <v>1000000</v>
      </c>
      <c r="S1126" t="s">
        <v>1035</v>
      </c>
    </row>
    <row r="1127" spans="1:19" x14ac:dyDescent="0.25">
      <c r="A1127" t="str">
        <f t="shared" si="46"/>
        <v>08</v>
      </c>
      <c r="B1127" t="str">
        <f t="shared" si="47"/>
        <v>001</v>
      </c>
      <c r="C1127" t="str">
        <f t="shared" si="48"/>
        <v>12</v>
      </c>
      <c r="D1127" t="str">
        <f t="shared" si="49"/>
        <v>366</v>
      </c>
      <c r="E1127" t="str">
        <f t="shared" si="50"/>
        <v>0016</v>
      </c>
      <c r="F1127" t="str">
        <f t="shared" si="51"/>
        <v>2.019</v>
      </c>
      <c r="G1127" t="str">
        <f t="shared" si="52"/>
        <v>4.4.50.39.00</v>
      </c>
      <c r="H1127" t="s">
        <v>1167</v>
      </c>
      <c r="I1127" t="str">
        <f t="shared" si="45"/>
        <v>08 - SECRETARIA DE EDUCAÇÃO</v>
      </c>
      <c r="J1127" t="s">
        <v>20</v>
      </c>
      <c r="K1127" t="str">
        <f t="shared" si="53"/>
        <v>12-EDUCAÇÃO</v>
      </c>
      <c r="L1127" t="str">
        <f t="shared" si="54"/>
        <v>366-EDUCAÇÃO DE JOVENS E ADULTOS</v>
      </c>
      <c r="M1127" t="str">
        <f t="shared" si="55"/>
        <v>0016-Escola para Todos​</v>
      </c>
      <c r="N1127" t="str">
        <f t="shared" si="56"/>
        <v>2.019-Ações Pedagógicas Complementares</v>
      </c>
      <c r="O1127" t="str">
        <f t="shared" si="57"/>
        <v>4.4.50.39.00-OUTROS SERVIÇOS DE TERCEIROS - PESSOA JURÍDICA</v>
      </c>
      <c r="R1127" s="25">
        <v>1</v>
      </c>
      <c r="S1127" t="s">
        <v>1035</v>
      </c>
    </row>
    <row r="1128" spans="1:19" x14ac:dyDescent="0.25">
      <c r="A1128" t="str">
        <f t="shared" si="46"/>
        <v>08</v>
      </c>
      <c r="B1128" t="str">
        <f t="shared" si="47"/>
        <v>001</v>
      </c>
      <c r="C1128" t="str">
        <f t="shared" si="48"/>
        <v>12</v>
      </c>
      <c r="D1128" t="str">
        <f t="shared" si="49"/>
        <v>367</v>
      </c>
      <c r="E1128" t="str">
        <f t="shared" si="50"/>
        <v>0016</v>
      </c>
      <c r="F1128" t="str">
        <f t="shared" si="51"/>
        <v>2.019</v>
      </c>
      <c r="G1128" t="str">
        <f t="shared" si="52"/>
        <v>3.3.90.30.00</v>
      </c>
      <c r="H1128" t="s">
        <v>1168</v>
      </c>
      <c r="I1128" t="str">
        <f t="shared" si="45"/>
        <v>08 - SECRETARIA DE EDUCAÇÃO</v>
      </c>
      <c r="J1128" t="s">
        <v>20</v>
      </c>
      <c r="K1128" t="str">
        <f t="shared" si="53"/>
        <v>12-EDUCAÇÃO</v>
      </c>
      <c r="L1128" t="str">
        <f t="shared" si="54"/>
        <v>367-EDUCAÇÃO ESPECIAL</v>
      </c>
      <c r="M1128" t="str">
        <f t="shared" si="55"/>
        <v>0016-Escola para Todos​</v>
      </c>
      <c r="N1128" t="str">
        <f t="shared" si="56"/>
        <v>2.019-Ações Pedagógicas Complementares</v>
      </c>
      <c r="O1128" t="str">
        <f t="shared" si="57"/>
        <v>3.3.90.30.00-MATERIAL DE CONSUMO</v>
      </c>
      <c r="R1128" s="25">
        <v>0</v>
      </c>
      <c r="S1128" t="s">
        <v>1035</v>
      </c>
    </row>
    <row r="1129" spans="1:19" x14ac:dyDescent="0.25">
      <c r="A1129" t="str">
        <f t="shared" si="46"/>
        <v>08</v>
      </c>
      <c r="B1129" t="str">
        <f t="shared" si="47"/>
        <v>001</v>
      </c>
      <c r="C1129" t="str">
        <f t="shared" si="48"/>
        <v>12</v>
      </c>
      <c r="D1129" t="str">
        <f t="shared" si="49"/>
        <v>367</v>
      </c>
      <c r="E1129" t="str">
        <f t="shared" si="50"/>
        <v>0016</v>
      </c>
      <c r="F1129" t="str">
        <f t="shared" si="51"/>
        <v>2.019</v>
      </c>
      <c r="G1129" t="str">
        <f t="shared" si="52"/>
        <v>3.3.90.39.00</v>
      </c>
      <c r="H1129" t="s">
        <v>1169</v>
      </c>
      <c r="I1129" t="str">
        <f t="shared" si="45"/>
        <v>08 - SECRETARIA DE EDUCAÇÃO</v>
      </c>
      <c r="J1129" t="s">
        <v>20</v>
      </c>
      <c r="K1129" t="str">
        <f t="shared" si="53"/>
        <v>12-EDUCAÇÃO</v>
      </c>
      <c r="L1129" t="str">
        <f t="shared" si="54"/>
        <v>367-EDUCAÇÃO ESPECIAL</v>
      </c>
      <c r="M1129" t="str">
        <f t="shared" si="55"/>
        <v>0016-Escola para Todos​</v>
      </c>
      <c r="N1129" t="str">
        <f t="shared" si="56"/>
        <v>2.019-Ações Pedagógicas Complementares</v>
      </c>
      <c r="O1129" t="str">
        <f t="shared" si="57"/>
        <v>3.3.90.39.00-OUTROS SERVIÇOS DE TERCEIROS - PESSOA JURÍDICA</v>
      </c>
      <c r="R1129" s="25">
        <v>4719458</v>
      </c>
      <c r="S1129" t="s">
        <v>1035</v>
      </c>
    </row>
    <row r="1130" spans="1:19" x14ac:dyDescent="0.25">
      <c r="A1130" t="str">
        <f t="shared" si="46"/>
        <v>08</v>
      </c>
      <c r="B1130" t="str">
        <f t="shared" si="47"/>
        <v>001</v>
      </c>
      <c r="C1130" t="str">
        <f t="shared" si="48"/>
        <v>12</v>
      </c>
      <c r="D1130" t="str">
        <f t="shared" si="49"/>
        <v>367</v>
      </c>
      <c r="E1130" t="str">
        <f t="shared" si="50"/>
        <v>0016</v>
      </c>
      <c r="F1130" t="str">
        <f t="shared" si="51"/>
        <v>2.019</v>
      </c>
      <c r="G1130" t="str">
        <f t="shared" si="52"/>
        <v>4.4.90.52.00</v>
      </c>
      <c r="H1130" t="s">
        <v>1170</v>
      </c>
      <c r="I1130" t="str">
        <f t="shared" si="45"/>
        <v>08 - SECRETARIA DE EDUCAÇÃO</v>
      </c>
      <c r="J1130" t="s">
        <v>20</v>
      </c>
      <c r="K1130" t="str">
        <f t="shared" si="53"/>
        <v>12-EDUCAÇÃO</v>
      </c>
      <c r="L1130" t="str">
        <f t="shared" si="54"/>
        <v>367-EDUCAÇÃO ESPECIAL</v>
      </c>
      <c r="M1130" t="str">
        <f t="shared" si="55"/>
        <v>0016-Escola para Todos​</v>
      </c>
      <c r="N1130" t="str">
        <f t="shared" si="56"/>
        <v>2.019-Ações Pedagógicas Complementares</v>
      </c>
      <c r="O1130" t="str">
        <f t="shared" si="57"/>
        <v>4.4.90.52.00-EQUIPAMENTOS E MATERIAL PERMANENTE</v>
      </c>
      <c r="R1130" s="25">
        <v>0</v>
      </c>
      <c r="S1130" t="s">
        <v>1035</v>
      </c>
    </row>
    <row r="1131" spans="1:19" x14ac:dyDescent="0.25">
      <c r="A1131" t="str">
        <f t="shared" si="46"/>
        <v>09</v>
      </c>
      <c r="B1131" t="str">
        <f t="shared" si="47"/>
        <v>001</v>
      </c>
      <c r="C1131" t="str">
        <f t="shared" si="48"/>
        <v>04</v>
      </c>
      <c r="D1131" t="str">
        <f t="shared" si="49"/>
        <v>126</v>
      </c>
      <c r="E1131" t="str">
        <f t="shared" si="50"/>
        <v>0002</v>
      </c>
      <c r="F1131" t="str">
        <f t="shared" si="51"/>
        <v>2.007</v>
      </c>
      <c r="G1131" t="str">
        <f t="shared" si="52"/>
        <v>3.3.90.39.00</v>
      </c>
      <c r="H1131" t="s">
        <v>1171</v>
      </c>
      <c r="I1131" t="str">
        <f t="shared" si="45"/>
        <v>09 - SECRETARIA DA SAÚDE</v>
      </c>
      <c r="J1131" t="s">
        <v>20</v>
      </c>
      <c r="K1131" t="str">
        <f t="shared" si="53"/>
        <v>4-ADMINISTRAÇÃO</v>
      </c>
      <c r="L1131" t="str">
        <f t="shared" si="54"/>
        <v>126-TECNOLOGIA DA INFORMATIZAÇÃO</v>
      </c>
      <c r="M1131" t="str">
        <f t="shared" si="55"/>
        <v>0002-Governo Inteligente, Aberto e Inovador​</v>
      </c>
      <c r="N1131" t="str">
        <f t="shared" si="56"/>
        <v>2.007-Ampliação e Manutenção de Sistemas de Inteligência, Fiscalização e Tecnologia</v>
      </c>
      <c r="O1131" t="str">
        <f t="shared" si="57"/>
        <v>3.3.90.39.00-OUTROS SERVIÇOS DE TERCEIROS - PESSOA JURÍDICA</v>
      </c>
      <c r="R1131" s="25">
        <v>8353350</v>
      </c>
      <c r="S1131" t="s">
        <v>1035</v>
      </c>
    </row>
    <row r="1132" spans="1:19" x14ac:dyDescent="0.25">
      <c r="A1132" t="str">
        <f t="shared" si="46"/>
        <v>09</v>
      </c>
      <c r="B1132" t="str">
        <f t="shared" si="47"/>
        <v>001</v>
      </c>
      <c r="C1132" t="str">
        <f t="shared" si="48"/>
        <v>04</v>
      </c>
      <c r="D1132" t="str">
        <f t="shared" si="49"/>
        <v>131</v>
      </c>
      <c r="E1132" t="str">
        <f t="shared" si="50"/>
        <v>0002</v>
      </c>
      <c r="F1132" t="str">
        <f t="shared" si="51"/>
        <v>2.005</v>
      </c>
      <c r="G1132" t="str">
        <f t="shared" si="52"/>
        <v>3.3.90.30.00</v>
      </c>
      <c r="H1132" t="s">
        <v>1172</v>
      </c>
      <c r="I1132" t="str">
        <f t="shared" si="45"/>
        <v>09 - SECRETARIA DA SAÚDE</v>
      </c>
      <c r="J1132" t="s">
        <v>20</v>
      </c>
      <c r="K1132" t="str">
        <f t="shared" si="53"/>
        <v>4-ADMINISTRAÇÃO</v>
      </c>
      <c r="L1132" t="str">
        <f t="shared" si="54"/>
        <v>131-COMUNICAÇÃO SOCIAL</v>
      </c>
      <c r="M1132" t="str">
        <f t="shared" si="55"/>
        <v>0002-Governo Inteligente, Aberto e Inovador​</v>
      </c>
      <c r="N1132" t="str">
        <f t="shared" si="56"/>
        <v xml:space="preserve">2.005-Promoção de Eventos, Comunicação e Participação Social </v>
      </c>
      <c r="O1132" t="str">
        <f t="shared" si="57"/>
        <v>3.3.90.30.00-MATERIAL DE CONSUMO</v>
      </c>
      <c r="R1132" s="25">
        <v>207820</v>
      </c>
      <c r="S1132" t="s">
        <v>1035</v>
      </c>
    </row>
    <row r="1133" spans="1:19" x14ac:dyDescent="0.25">
      <c r="A1133" t="str">
        <f t="shared" si="46"/>
        <v>09</v>
      </c>
      <c r="B1133" t="str">
        <f t="shared" si="47"/>
        <v>001</v>
      </c>
      <c r="C1133" t="str">
        <f t="shared" si="48"/>
        <v>04</v>
      </c>
      <c r="D1133" t="str">
        <f t="shared" si="49"/>
        <v>131</v>
      </c>
      <c r="E1133" t="str">
        <f t="shared" si="50"/>
        <v>0002</v>
      </c>
      <c r="F1133" t="str">
        <f t="shared" si="51"/>
        <v>2.005</v>
      </c>
      <c r="G1133" t="str">
        <f t="shared" si="52"/>
        <v>3.3.90.39.00</v>
      </c>
      <c r="H1133" t="s">
        <v>1173</v>
      </c>
      <c r="I1133" t="str">
        <f t="shared" si="45"/>
        <v>09 - SECRETARIA DA SAÚDE</v>
      </c>
      <c r="J1133" t="s">
        <v>20</v>
      </c>
      <c r="K1133" t="str">
        <f t="shared" si="53"/>
        <v>4-ADMINISTRAÇÃO</v>
      </c>
      <c r="L1133" t="str">
        <f t="shared" si="54"/>
        <v>131-COMUNICAÇÃO SOCIAL</v>
      </c>
      <c r="M1133" t="str">
        <f t="shared" si="55"/>
        <v>0002-Governo Inteligente, Aberto e Inovador​</v>
      </c>
      <c r="N1133" t="str">
        <f t="shared" si="56"/>
        <v xml:space="preserve">2.005-Promoção de Eventos, Comunicação e Participação Social </v>
      </c>
      <c r="O1133" t="str">
        <f t="shared" si="57"/>
        <v>3.3.90.39.00-OUTROS SERVIÇOS DE TERCEIROS - PESSOA JURÍDICA</v>
      </c>
      <c r="R1133" s="25">
        <v>143949.1</v>
      </c>
      <c r="S1133" t="s">
        <v>1035</v>
      </c>
    </row>
    <row r="1134" spans="1:19" x14ac:dyDescent="0.25">
      <c r="A1134" t="str">
        <f t="shared" si="46"/>
        <v>09</v>
      </c>
      <c r="B1134" t="str">
        <f t="shared" si="47"/>
        <v>001</v>
      </c>
      <c r="C1134" t="str">
        <f t="shared" si="48"/>
        <v>10</v>
      </c>
      <c r="D1134" t="str">
        <f t="shared" si="49"/>
        <v>122</v>
      </c>
      <c r="E1134" t="str">
        <f t="shared" si="50"/>
        <v>0001</v>
      </c>
      <c r="F1134" t="str">
        <f t="shared" si="51"/>
        <v>2.006</v>
      </c>
      <c r="G1134" t="str">
        <f t="shared" si="52"/>
        <v>3.3.90.33.00</v>
      </c>
      <c r="H1134" t="s">
        <v>1174</v>
      </c>
      <c r="I1134" t="str">
        <f t="shared" si="45"/>
        <v>09 - SECRETARIA DA SAÚDE</v>
      </c>
      <c r="J1134" t="s">
        <v>20</v>
      </c>
      <c r="K1134" t="str">
        <f t="shared" si="53"/>
        <v>10-SAÚDE</v>
      </c>
      <c r="L1134" t="str">
        <f t="shared" si="54"/>
        <v>122-ADMINISTRAÇÃO GERAL</v>
      </c>
      <c r="M1134" t="str">
        <f t="shared" si="55"/>
        <v>0001-Administração e Coordenação Geral​</v>
      </c>
      <c r="N1134" t="str">
        <f t="shared" si="56"/>
        <v xml:space="preserve">2.006-Representações Oficiais </v>
      </c>
      <c r="O1134" t="str">
        <f t="shared" si="57"/>
        <v>3.3.90.33.00-PASSAGENS E DESPESAS COM LOCOMOÇÃO</v>
      </c>
      <c r="R1134" s="25">
        <v>0</v>
      </c>
      <c r="S1134" t="s">
        <v>1035</v>
      </c>
    </row>
    <row r="1135" spans="1:19" x14ac:dyDescent="0.25">
      <c r="A1135" t="str">
        <f t="shared" si="46"/>
        <v>09</v>
      </c>
      <c r="B1135" t="str">
        <f t="shared" si="47"/>
        <v>001</v>
      </c>
      <c r="C1135" t="str">
        <f t="shared" si="48"/>
        <v>10</v>
      </c>
      <c r="D1135" t="str">
        <f t="shared" si="49"/>
        <v>122</v>
      </c>
      <c r="E1135" t="str">
        <f t="shared" si="50"/>
        <v>0001</v>
      </c>
      <c r="F1135" t="str">
        <f t="shared" si="51"/>
        <v>2.006</v>
      </c>
      <c r="G1135" t="str">
        <f t="shared" si="52"/>
        <v>3.3.90.39.00</v>
      </c>
      <c r="H1135" t="s">
        <v>1175</v>
      </c>
      <c r="I1135" t="str">
        <f t="shared" si="45"/>
        <v>09 - SECRETARIA DA SAÚDE</v>
      </c>
      <c r="J1135" t="s">
        <v>20</v>
      </c>
      <c r="K1135" t="str">
        <f t="shared" si="53"/>
        <v>10-SAÚDE</v>
      </c>
      <c r="L1135" t="str">
        <f t="shared" si="54"/>
        <v>122-ADMINISTRAÇÃO GERAL</v>
      </c>
      <c r="M1135" t="str">
        <f t="shared" si="55"/>
        <v>0001-Administração e Coordenação Geral​</v>
      </c>
      <c r="N1135" t="str">
        <f t="shared" si="56"/>
        <v xml:space="preserve">2.006-Representações Oficiais </v>
      </c>
      <c r="O1135" t="str">
        <f t="shared" si="57"/>
        <v>3.3.90.39.00-OUTROS SERVIÇOS DE TERCEIROS - PESSOA JURÍDICA</v>
      </c>
      <c r="R1135" s="25">
        <v>0</v>
      </c>
      <c r="S1135" t="s">
        <v>1035</v>
      </c>
    </row>
    <row r="1136" spans="1:19" x14ac:dyDescent="0.25">
      <c r="A1136" t="str">
        <f t="shared" si="46"/>
        <v>09</v>
      </c>
      <c r="B1136" t="str">
        <f t="shared" si="47"/>
        <v>001</v>
      </c>
      <c r="C1136" t="str">
        <f t="shared" si="48"/>
        <v>10</v>
      </c>
      <c r="D1136" t="str">
        <f t="shared" si="49"/>
        <v>302</v>
      </c>
      <c r="E1136" t="str">
        <f t="shared" si="50"/>
        <v>0015</v>
      </c>
      <c r="F1136" t="str">
        <f t="shared" si="51"/>
        <v>2.026</v>
      </c>
      <c r="G1136" t="str">
        <f t="shared" si="52"/>
        <v>3.3.90.39.00</v>
      </c>
      <c r="H1136" t="s">
        <v>1176</v>
      </c>
      <c r="I1136" t="str">
        <f t="shared" si="45"/>
        <v>09 - SECRETARIA DA SAÚDE</v>
      </c>
      <c r="J1136" t="s">
        <v>20</v>
      </c>
      <c r="K1136" t="str">
        <f t="shared" si="53"/>
        <v>10-SAÚDE</v>
      </c>
      <c r="L1136" t="str">
        <f t="shared" si="54"/>
        <v>302-ASSISTÊNCIA HOSPITALAR E AMBULATORIAL</v>
      </c>
      <c r="M1136" t="str">
        <f t="shared" si="55"/>
        <v>0015-Atenção e Cuidado em Saúde​</v>
      </c>
      <c r="N1136" t="str">
        <f t="shared" si="56"/>
        <v>2.026-Residências e Internações Compulsórias</v>
      </c>
      <c r="O1136" t="str">
        <f t="shared" si="57"/>
        <v>3.3.90.39.00-OUTROS SERVIÇOS DE TERCEIROS - PESSOA JURÍDICA</v>
      </c>
      <c r="R1136" s="25">
        <v>2214997.52</v>
      </c>
      <c r="S1136" t="s">
        <v>1035</v>
      </c>
    </row>
    <row r="1137" spans="1:19" x14ac:dyDescent="0.25">
      <c r="A1137" t="str">
        <f t="shared" si="46"/>
        <v>09</v>
      </c>
      <c r="B1137" t="str">
        <f t="shared" si="47"/>
        <v>006</v>
      </c>
      <c r="C1137" t="str">
        <f t="shared" si="48"/>
        <v>10</v>
      </c>
      <c r="D1137" t="str">
        <f t="shared" si="49"/>
        <v>302</v>
      </c>
      <c r="E1137" t="str">
        <f t="shared" si="50"/>
        <v>0015</v>
      </c>
      <c r="F1137" t="str">
        <f t="shared" si="51"/>
        <v>2.014</v>
      </c>
      <c r="G1137" t="str">
        <f t="shared" si="52"/>
        <v>3.3.90.30.00</v>
      </c>
      <c r="H1137" t="s">
        <v>1177</v>
      </c>
      <c r="I1137" t="str">
        <f t="shared" ref="I1137:I1200" si="58">VLOOKUP(A1137,$A$1:$O$994,9,0)</f>
        <v>09 - SECRETARIA DA SAÚDE</v>
      </c>
      <c r="J1137" t="s">
        <v>348</v>
      </c>
      <c r="K1137" t="str">
        <f t="shared" si="53"/>
        <v>10-SAÚDE</v>
      </c>
      <c r="L1137" t="str">
        <f t="shared" si="54"/>
        <v>302-ASSISTÊNCIA HOSPITALAR E AMBULATORIAL</v>
      </c>
      <c r="M1137" t="str">
        <f t="shared" si="55"/>
        <v>0015-Atenção e Cuidado em Saúde​</v>
      </c>
      <c r="N1137" t="str">
        <f t="shared" si="56"/>
        <v xml:space="preserve">2.014-Manutenção de Equipamentos Públicos - Atenção Hospitalar e Urgência e Emergência </v>
      </c>
      <c r="O1137" t="str">
        <f t="shared" si="57"/>
        <v>3.3.90.30.00-MATERIAL DE CONSUMO</v>
      </c>
      <c r="R1137" s="25">
        <v>6211561.4409999996</v>
      </c>
      <c r="S1137" t="s">
        <v>1035</v>
      </c>
    </row>
    <row r="1138" spans="1:19" x14ac:dyDescent="0.25">
      <c r="A1138" t="str">
        <f t="shared" si="46"/>
        <v>09</v>
      </c>
      <c r="B1138" t="str">
        <f t="shared" si="47"/>
        <v>006</v>
      </c>
      <c r="C1138" t="str">
        <f t="shared" si="48"/>
        <v>10</v>
      </c>
      <c r="D1138" t="str">
        <f t="shared" si="49"/>
        <v>302</v>
      </c>
      <c r="E1138" t="str">
        <f t="shared" si="50"/>
        <v>0015</v>
      </c>
      <c r="F1138" t="str">
        <f t="shared" si="51"/>
        <v>2.014</v>
      </c>
      <c r="G1138" t="str">
        <f t="shared" si="52"/>
        <v>3.3.90.39.00</v>
      </c>
      <c r="H1138" t="s">
        <v>1178</v>
      </c>
      <c r="I1138" t="str">
        <f t="shared" si="58"/>
        <v>09 - SECRETARIA DA SAÚDE</v>
      </c>
      <c r="J1138" t="s">
        <v>348</v>
      </c>
      <c r="K1138" t="str">
        <f t="shared" si="53"/>
        <v>10-SAÚDE</v>
      </c>
      <c r="L1138" t="str">
        <f t="shared" si="54"/>
        <v>302-ASSISTÊNCIA HOSPITALAR E AMBULATORIAL</v>
      </c>
      <c r="M1138" t="str">
        <f t="shared" si="55"/>
        <v>0015-Atenção e Cuidado em Saúde​</v>
      </c>
      <c r="N1138" t="str">
        <f t="shared" si="56"/>
        <v xml:space="preserve">2.014-Manutenção de Equipamentos Públicos - Atenção Hospitalar e Urgência e Emergência </v>
      </c>
      <c r="O1138" t="str">
        <f t="shared" si="57"/>
        <v>3.3.90.39.00-OUTROS SERVIÇOS DE TERCEIROS - PESSOA JURÍDICA</v>
      </c>
      <c r="R1138" s="25">
        <v>28059851.57</v>
      </c>
      <c r="S1138" t="s">
        <v>1035</v>
      </c>
    </row>
    <row r="1139" spans="1:19" x14ac:dyDescent="0.25">
      <c r="A1139" t="str">
        <f t="shared" si="46"/>
        <v>09</v>
      </c>
      <c r="B1139" t="str">
        <f t="shared" si="47"/>
        <v>006</v>
      </c>
      <c r="C1139" t="str">
        <f t="shared" si="48"/>
        <v>10</v>
      </c>
      <c r="D1139" t="str">
        <f t="shared" si="49"/>
        <v>302</v>
      </c>
      <c r="E1139" t="str">
        <f t="shared" si="50"/>
        <v>0015</v>
      </c>
      <c r="F1139" t="str">
        <f t="shared" si="51"/>
        <v>2.014</v>
      </c>
      <c r="G1139" t="str">
        <f t="shared" si="52"/>
        <v>3.3.90.93.00</v>
      </c>
      <c r="H1139" t="s">
        <v>1179</v>
      </c>
      <c r="I1139" t="str">
        <f t="shared" si="58"/>
        <v>09 - SECRETARIA DA SAÚDE</v>
      </c>
      <c r="J1139" t="s">
        <v>348</v>
      </c>
      <c r="K1139" t="str">
        <f t="shared" si="53"/>
        <v>10-SAÚDE</v>
      </c>
      <c r="L1139" t="str">
        <f t="shared" si="54"/>
        <v>302-ASSISTÊNCIA HOSPITALAR E AMBULATORIAL</v>
      </c>
      <c r="M1139" t="str">
        <f t="shared" si="55"/>
        <v>0015-Atenção e Cuidado em Saúde​</v>
      </c>
      <c r="N1139" t="str">
        <f t="shared" si="56"/>
        <v xml:space="preserve">2.014-Manutenção de Equipamentos Públicos - Atenção Hospitalar e Urgência e Emergência </v>
      </c>
      <c r="O1139" t="str">
        <f t="shared" si="57"/>
        <v>3.3.90.93.00-INDENIZAÇÕES E RESTITUIÇÕES</v>
      </c>
      <c r="R1139" s="25">
        <v>1554520</v>
      </c>
      <c r="S1139" t="s">
        <v>1035</v>
      </c>
    </row>
    <row r="1140" spans="1:19" x14ac:dyDescent="0.25">
      <c r="A1140" t="str">
        <f t="shared" si="46"/>
        <v>09</v>
      </c>
      <c r="B1140" t="str">
        <f t="shared" si="47"/>
        <v>008</v>
      </c>
      <c r="C1140" t="str">
        <f t="shared" si="48"/>
        <v>10</v>
      </c>
      <c r="D1140" t="str">
        <f t="shared" si="49"/>
        <v>301</v>
      </c>
      <c r="E1140" t="str">
        <f t="shared" si="50"/>
        <v>0015</v>
      </c>
      <c r="F1140" t="str">
        <f t="shared" si="51"/>
        <v>2.012</v>
      </c>
      <c r="G1140" t="str">
        <f t="shared" si="52"/>
        <v>3.3.50.39.00</v>
      </c>
      <c r="H1140" t="s">
        <v>1180</v>
      </c>
      <c r="I1140" t="str">
        <f t="shared" si="58"/>
        <v>09 - SECRETARIA DA SAÚDE</v>
      </c>
      <c r="J1140" t="s">
        <v>355</v>
      </c>
      <c r="K1140" t="str">
        <f t="shared" si="53"/>
        <v>10-SAÚDE</v>
      </c>
      <c r="L1140" t="str">
        <f t="shared" si="54"/>
        <v>301-ATENÇÃO BÁSICA</v>
      </c>
      <c r="M1140" t="str">
        <f t="shared" si="55"/>
        <v>0015-Atenção e Cuidado em Saúde​</v>
      </c>
      <c r="N1140" t="str">
        <f t="shared" si="56"/>
        <v xml:space="preserve">2.012-Manutenção de Equipamentos Públicos - Atenção Primária </v>
      </c>
      <c r="O1140" t="str">
        <f t="shared" si="57"/>
        <v>3.3.50.39.00-OUTROS SERVIÇOS DE TERCEIROS - PESSOA JURÍDICA</v>
      </c>
      <c r="R1140" s="25">
        <v>0</v>
      </c>
      <c r="S1140" t="s">
        <v>1035</v>
      </c>
    </row>
    <row r="1141" spans="1:19" x14ac:dyDescent="0.25">
      <c r="A1141" t="str">
        <f t="shared" si="46"/>
        <v>09</v>
      </c>
      <c r="B1141" t="str">
        <f t="shared" si="47"/>
        <v>008</v>
      </c>
      <c r="C1141" t="str">
        <f t="shared" si="48"/>
        <v>10</v>
      </c>
      <c r="D1141" t="str">
        <f t="shared" si="49"/>
        <v>301</v>
      </c>
      <c r="E1141" t="str">
        <f t="shared" si="50"/>
        <v>0015</v>
      </c>
      <c r="F1141" t="str">
        <f t="shared" si="51"/>
        <v>2.012</v>
      </c>
      <c r="G1141" t="str">
        <f t="shared" si="52"/>
        <v>3.3.90.30.00</v>
      </c>
      <c r="H1141" t="s">
        <v>1181</v>
      </c>
      <c r="I1141" t="str">
        <f t="shared" si="58"/>
        <v>09 - SECRETARIA DA SAÚDE</v>
      </c>
      <c r="J1141" t="s">
        <v>355</v>
      </c>
      <c r="K1141" t="str">
        <f t="shared" si="53"/>
        <v>10-SAÚDE</v>
      </c>
      <c r="L1141" t="str">
        <f t="shared" si="54"/>
        <v>301-ATENÇÃO BÁSICA</v>
      </c>
      <c r="M1141" t="str">
        <f t="shared" si="55"/>
        <v>0015-Atenção e Cuidado em Saúde​</v>
      </c>
      <c r="N1141" t="str">
        <f t="shared" si="56"/>
        <v xml:space="preserve">2.012-Manutenção de Equipamentos Públicos - Atenção Primária </v>
      </c>
      <c r="O1141" t="str">
        <f t="shared" si="57"/>
        <v>3.3.90.30.00-MATERIAL DE CONSUMO</v>
      </c>
      <c r="R1141" s="25">
        <v>3953806.12</v>
      </c>
      <c r="S1141" t="s">
        <v>1035</v>
      </c>
    </row>
    <row r="1142" spans="1:19" x14ac:dyDescent="0.25">
      <c r="A1142" t="str">
        <f t="shared" si="46"/>
        <v>09</v>
      </c>
      <c r="B1142" t="str">
        <f t="shared" si="47"/>
        <v>008</v>
      </c>
      <c r="C1142" t="str">
        <f t="shared" si="48"/>
        <v>10</v>
      </c>
      <c r="D1142" t="str">
        <f t="shared" si="49"/>
        <v>301</v>
      </c>
      <c r="E1142" t="str">
        <f t="shared" si="50"/>
        <v>0015</v>
      </c>
      <c r="F1142" t="str">
        <f t="shared" si="51"/>
        <v>2.012</v>
      </c>
      <c r="G1142" t="str">
        <f t="shared" si="52"/>
        <v>3.3.90.32.00</v>
      </c>
      <c r="H1142" t="s">
        <v>1182</v>
      </c>
      <c r="I1142" t="str">
        <f t="shared" si="58"/>
        <v>09 - SECRETARIA DA SAÚDE</v>
      </c>
      <c r="J1142" t="s">
        <v>355</v>
      </c>
      <c r="K1142" t="str">
        <f t="shared" si="53"/>
        <v>10-SAÚDE</v>
      </c>
      <c r="L1142" t="str">
        <f t="shared" si="54"/>
        <v>301-ATENÇÃO BÁSICA</v>
      </c>
      <c r="M1142" t="str">
        <f t="shared" si="55"/>
        <v>0015-Atenção e Cuidado em Saúde​</v>
      </c>
      <c r="N1142" t="str">
        <f t="shared" si="56"/>
        <v xml:space="preserve">2.012-Manutenção de Equipamentos Públicos - Atenção Primária </v>
      </c>
      <c r="O1142" t="str">
        <f t="shared" si="57"/>
        <v>3.3.90.32.00-MATERIAL, BEM OU SERVIÇO PARA DISTRIBUIÇÃO GRATUITA</v>
      </c>
      <c r="R1142" s="25">
        <v>3594974.5000000009</v>
      </c>
      <c r="S1142" t="s">
        <v>1035</v>
      </c>
    </row>
    <row r="1143" spans="1:19" x14ac:dyDescent="0.25">
      <c r="A1143" t="str">
        <f t="shared" si="46"/>
        <v>09</v>
      </c>
      <c r="B1143" t="str">
        <f t="shared" si="47"/>
        <v>008</v>
      </c>
      <c r="C1143" t="str">
        <f t="shared" si="48"/>
        <v>10</v>
      </c>
      <c r="D1143" t="str">
        <f t="shared" si="49"/>
        <v>301</v>
      </c>
      <c r="E1143" t="str">
        <f t="shared" si="50"/>
        <v>0015</v>
      </c>
      <c r="F1143" t="str">
        <f t="shared" si="51"/>
        <v>2.012</v>
      </c>
      <c r="G1143" t="str">
        <f t="shared" si="52"/>
        <v>3.3.90.39.00</v>
      </c>
      <c r="H1143" t="s">
        <v>1183</v>
      </c>
      <c r="I1143" t="str">
        <f t="shared" si="58"/>
        <v>09 - SECRETARIA DA SAÚDE</v>
      </c>
      <c r="J1143" t="s">
        <v>355</v>
      </c>
      <c r="K1143" t="str">
        <f t="shared" si="53"/>
        <v>10-SAÚDE</v>
      </c>
      <c r="L1143" t="str">
        <f t="shared" si="54"/>
        <v>301-ATENÇÃO BÁSICA</v>
      </c>
      <c r="M1143" t="str">
        <f t="shared" si="55"/>
        <v>0015-Atenção e Cuidado em Saúde​</v>
      </c>
      <c r="N1143" t="str">
        <f t="shared" si="56"/>
        <v xml:space="preserve">2.012-Manutenção de Equipamentos Públicos - Atenção Primária </v>
      </c>
      <c r="O1143" t="str">
        <f t="shared" si="57"/>
        <v>3.3.90.39.00-OUTROS SERVIÇOS DE TERCEIROS - PESSOA JURÍDICA</v>
      </c>
      <c r="R1143" s="25">
        <v>49021463.021799996</v>
      </c>
      <c r="S1143" t="s">
        <v>1035</v>
      </c>
    </row>
    <row r="1144" spans="1:19" x14ac:dyDescent="0.25">
      <c r="A1144" t="str">
        <f t="shared" si="46"/>
        <v>09</v>
      </c>
      <c r="B1144" t="str">
        <f t="shared" si="47"/>
        <v>008</v>
      </c>
      <c r="C1144" t="str">
        <f t="shared" si="48"/>
        <v>10</v>
      </c>
      <c r="D1144" t="str">
        <f t="shared" si="49"/>
        <v>301</v>
      </c>
      <c r="E1144" t="str">
        <f t="shared" si="50"/>
        <v>0015</v>
      </c>
      <c r="F1144" t="str">
        <f t="shared" si="51"/>
        <v>2.012</v>
      </c>
      <c r="G1144" t="str">
        <f t="shared" si="52"/>
        <v>4.4.50.52.00</v>
      </c>
      <c r="H1144" t="s">
        <v>1184</v>
      </c>
      <c r="I1144" t="str">
        <f t="shared" si="58"/>
        <v>09 - SECRETARIA DA SAÚDE</v>
      </c>
      <c r="J1144" t="s">
        <v>355</v>
      </c>
      <c r="K1144" t="str">
        <f t="shared" si="53"/>
        <v>10-SAÚDE</v>
      </c>
      <c r="L1144" t="str">
        <f t="shared" si="54"/>
        <v>301-ATENÇÃO BÁSICA</v>
      </c>
      <c r="M1144" t="str">
        <f t="shared" si="55"/>
        <v>0015-Atenção e Cuidado em Saúde​</v>
      </c>
      <c r="N1144" t="str">
        <f t="shared" si="56"/>
        <v xml:space="preserve">2.012-Manutenção de Equipamentos Públicos - Atenção Primária </v>
      </c>
      <c r="O1144" t="str">
        <f t="shared" si="57"/>
        <v>4.4.50.52.00-EQUIPAMENTOS E MATERIAL PERMANENTE</v>
      </c>
      <c r="R1144" s="25">
        <v>0</v>
      </c>
      <c r="S1144" t="s">
        <v>1035</v>
      </c>
    </row>
    <row r="1145" spans="1:19" x14ac:dyDescent="0.25">
      <c r="A1145" t="str">
        <f t="shared" si="46"/>
        <v>09</v>
      </c>
      <c r="B1145" t="str">
        <f t="shared" si="47"/>
        <v>009</v>
      </c>
      <c r="C1145" t="str">
        <f t="shared" si="48"/>
        <v>10</v>
      </c>
      <c r="D1145" t="str">
        <f t="shared" si="49"/>
        <v>302</v>
      </c>
      <c r="E1145" t="str">
        <f t="shared" si="50"/>
        <v>0015</v>
      </c>
      <c r="F1145" t="str">
        <f t="shared" si="51"/>
        <v>2.013</v>
      </c>
      <c r="G1145" t="str">
        <f t="shared" si="52"/>
        <v>3.3.50.39.00</v>
      </c>
      <c r="H1145" t="s">
        <v>1185</v>
      </c>
      <c r="I1145" t="str">
        <f t="shared" si="58"/>
        <v>09 - SECRETARIA DA SAÚDE</v>
      </c>
      <c r="J1145" t="s">
        <v>336</v>
      </c>
      <c r="K1145" t="str">
        <f t="shared" si="53"/>
        <v>10-SAÚDE</v>
      </c>
      <c r="L1145" t="str">
        <f t="shared" si="54"/>
        <v>302-ASSISTÊNCIA HOSPITALAR E AMBULATORIAL</v>
      </c>
      <c r="M1145" t="str">
        <f t="shared" si="55"/>
        <v>0015-Atenção e Cuidado em Saúde​</v>
      </c>
      <c r="N1145" t="str">
        <f t="shared" si="56"/>
        <v xml:space="preserve">2.013-Manutenção de Equipamentos Públicos - Atenção Especializada </v>
      </c>
      <c r="O1145" t="str">
        <f t="shared" si="57"/>
        <v>3.3.50.39.00-OUTROS SERVIÇOS DE TERCEIROS - PESSOA JURÍDICA</v>
      </c>
      <c r="R1145" s="25">
        <v>10891346</v>
      </c>
      <c r="S1145" t="s">
        <v>1035</v>
      </c>
    </row>
    <row r="1146" spans="1:19" x14ac:dyDescent="0.25">
      <c r="A1146" t="str">
        <f t="shared" si="46"/>
        <v>09</v>
      </c>
      <c r="B1146" t="str">
        <f t="shared" si="47"/>
        <v>009</v>
      </c>
      <c r="C1146" t="str">
        <f t="shared" si="48"/>
        <v>10</v>
      </c>
      <c r="D1146" t="str">
        <f t="shared" si="49"/>
        <v>302</v>
      </c>
      <c r="E1146" t="str">
        <f t="shared" si="50"/>
        <v>0015</v>
      </c>
      <c r="F1146" t="str">
        <f t="shared" si="51"/>
        <v>2.013</v>
      </c>
      <c r="G1146" t="str">
        <f t="shared" si="52"/>
        <v>3.3.90.30.00</v>
      </c>
      <c r="H1146" t="s">
        <v>1186</v>
      </c>
      <c r="I1146" t="str">
        <f t="shared" si="58"/>
        <v>09 - SECRETARIA DA SAÚDE</v>
      </c>
      <c r="J1146" t="s">
        <v>336</v>
      </c>
      <c r="K1146" t="str">
        <f t="shared" si="53"/>
        <v>10-SAÚDE</v>
      </c>
      <c r="L1146" t="str">
        <f t="shared" si="54"/>
        <v>302-ASSISTÊNCIA HOSPITALAR E AMBULATORIAL</v>
      </c>
      <c r="M1146" t="str">
        <f t="shared" si="55"/>
        <v>0015-Atenção e Cuidado em Saúde​</v>
      </c>
      <c r="N1146" t="str">
        <f t="shared" si="56"/>
        <v xml:space="preserve">2.013-Manutenção de Equipamentos Públicos - Atenção Especializada </v>
      </c>
      <c r="O1146" t="str">
        <f t="shared" si="57"/>
        <v>3.3.90.30.00-MATERIAL DE CONSUMO</v>
      </c>
      <c r="R1146" s="25">
        <v>4321020.0642639995</v>
      </c>
      <c r="S1146" t="s">
        <v>1035</v>
      </c>
    </row>
    <row r="1147" spans="1:19" x14ac:dyDescent="0.25">
      <c r="A1147" t="str">
        <f t="shared" si="46"/>
        <v>09</v>
      </c>
      <c r="B1147" t="str">
        <f t="shared" si="47"/>
        <v>009</v>
      </c>
      <c r="C1147" t="str">
        <f t="shared" si="48"/>
        <v>10</v>
      </c>
      <c r="D1147" t="str">
        <f t="shared" si="49"/>
        <v>302</v>
      </c>
      <c r="E1147" t="str">
        <f t="shared" si="50"/>
        <v>0015</v>
      </c>
      <c r="F1147" t="str">
        <f t="shared" si="51"/>
        <v>2.013</v>
      </c>
      <c r="G1147" t="str">
        <f t="shared" si="52"/>
        <v>3.3.90.39.00</v>
      </c>
      <c r="H1147" t="s">
        <v>1187</v>
      </c>
      <c r="I1147" t="str">
        <f t="shared" si="58"/>
        <v>09 - SECRETARIA DA SAÚDE</v>
      </c>
      <c r="J1147" t="s">
        <v>336</v>
      </c>
      <c r="K1147" t="str">
        <f t="shared" si="53"/>
        <v>10-SAÚDE</v>
      </c>
      <c r="L1147" t="str">
        <f t="shared" si="54"/>
        <v>302-ASSISTÊNCIA HOSPITALAR E AMBULATORIAL</v>
      </c>
      <c r="M1147" t="str">
        <f t="shared" si="55"/>
        <v>0015-Atenção e Cuidado em Saúde​</v>
      </c>
      <c r="N1147" t="str">
        <f t="shared" si="56"/>
        <v xml:space="preserve">2.013-Manutenção de Equipamentos Públicos - Atenção Especializada </v>
      </c>
      <c r="O1147" t="str">
        <f t="shared" si="57"/>
        <v>3.3.90.39.00-OUTROS SERVIÇOS DE TERCEIROS - PESSOA JURÍDICA</v>
      </c>
      <c r="R1147" s="25">
        <v>22243177.381557003</v>
      </c>
      <c r="S1147" t="s">
        <v>1035</v>
      </c>
    </row>
    <row r="1148" spans="1:19" x14ac:dyDescent="0.25">
      <c r="A1148" t="str">
        <f t="shared" si="46"/>
        <v>09</v>
      </c>
      <c r="B1148" t="str">
        <f t="shared" si="47"/>
        <v>009</v>
      </c>
      <c r="C1148" t="str">
        <f t="shared" si="48"/>
        <v>10</v>
      </c>
      <c r="D1148" t="str">
        <f t="shared" si="49"/>
        <v>302</v>
      </c>
      <c r="E1148" t="str">
        <f t="shared" si="50"/>
        <v>0015</v>
      </c>
      <c r="F1148" t="str">
        <f t="shared" si="51"/>
        <v>2.013</v>
      </c>
      <c r="G1148" t="str">
        <f t="shared" si="52"/>
        <v>3.3.90.40.00</v>
      </c>
      <c r="H1148" t="s">
        <v>1188</v>
      </c>
      <c r="I1148" t="str">
        <f t="shared" si="58"/>
        <v>09 - SECRETARIA DA SAÚDE</v>
      </c>
      <c r="J1148" t="s">
        <v>336</v>
      </c>
      <c r="K1148" t="str">
        <f t="shared" si="53"/>
        <v>10-SAÚDE</v>
      </c>
      <c r="L1148" t="str">
        <f t="shared" si="54"/>
        <v>302-ASSISTÊNCIA HOSPITALAR E AMBULATORIAL</v>
      </c>
      <c r="M1148" t="str">
        <f t="shared" si="55"/>
        <v>0015-Atenção e Cuidado em Saúde​</v>
      </c>
      <c r="N1148" t="str">
        <f t="shared" si="56"/>
        <v xml:space="preserve">2.013-Manutenção de Equipamentos Públicos - Atenção Especializada </v>
      </c>
      <c r="O1148" t="str">
        <f t="shared" si="57"/>
        <v>3.3.90.40.00-SERVIÇOS DE TECNOLOGIA DA INFORMAÇÃO E COMUNICAÇÃO - PESSOA JURÍDICA</v>
      </c>
      <c r="R1148" s="25">
        <v>0</v>
      </c>
      <c r="S1148" t="s">
        <v>1035</v>
      </c>
    </row>
    <row r="1149" spans="1:19" x14ac:dyDescent="0.25">
      <c r="A1149" t="str">
        <f t="shared" si="46"/>
        <v>09</v>
      </c>
      <c r="B1149" t="str">
        <f t="shared" si="47"/>
        <v>009</v>
      </c>
      <c r="C1149" t="str">
        <f t="shared" si="48"/>
        <v>10</v>
      </c>
      <c r="D1149" t="str">
        <f t="shared" si="49"/>
        <v>302</v>
      </c>
      <c r="E1149" t="str">
        <f t="shared" si="50"/>
        <v>0015</v>
      </c>
      <c r="F1149" t="str">
        <f t="shared" si="51"/>
        <v>2.013</v>
      </c>
      <c r="G1149" t="str">
        <f t="shared" si="52"/>
        <v>3.3.90.93.00</v>
      </c>
      <c r="H1149" t="s">
        <v>1189</v>
      </c>
      <c r="I1149" t="str">
        <f t="shared" si="58"/>
        <v>09 - SECRETARIA DA SAÚDE</v>
      </c>
      <c r="J1149" t="s">
        <v>336</v>
      </c>
      <c r="K1149" t="str">
        <f t="shared" si="53"/>
        <v>10-SAÚDE</v>
      </c>
      <c r="L1149" t="str">
        <f t="shared" si="54"/>
        <v>302-ASSISTÊNCIA HOSPITALAR E AMBULATORIAL</v>
      </c>
      <c r="M1149" t="str">
        <f t="shared" si="55"/>
        <v>0015-Atenção e Cuidado em Saúde​</v>
      </c>
      <c r="N1149" t="str">
        <f t="shared" si="56"/>
        <v xml:space="preserve">2.013-Manutenção de Equipamentos Públicos - Atenção Especializada </v>
      </c>
      <c r="O1149" t="str">
        <f t="shared" si="57"/>
        <v>3.3.90.93.00-INDENIZAÇÕES E RESTITUIÇÕES</v>
      </c>
      <c r="R1149" s="25">
        <v>726001</v>
      </c>
      <c r="S1149" t="s">
        <v>1035</v>
      </c>
    </row>
    <row r="1150" spans="1:19" x14ac:dyDescent="0.25">
      <c r="A1150" t="str">
        <f t="shared" si="46"/>
        <v>09</v>
      </c>
      <c r="B1150" t="str">
        <f t="shared" si="47"/>
        <v>009</v>
      </c>
      <c r="C1150" t="str">
        <f t="shared" si="48"/>
        <v>10</v>
      </c>
      <c r="D1150" t="str">
        <f t="shared" si="49"/>
        <v>302</v>
      </c>
      <c r="E1150" t="str">
        <f t="shared" si="50"/>
        <v>0015</v>
      </c>
      <c r="F1150" t="str">
        <f t="shared" si="51"/>
        <v>2.013</v>
      </c>
      <c r="G1150" t="str">
        <f t="shared" si="52"/>
        <v>4.4.50.51.00</v>
      </c>
      <c r="H1150" t="s">
        <v>1190</v>
      </c>
      <c r="I1150" t="str">
        <f t="shared" si="58"/>
        <v>09 - SECRETARIA DA SAÚDE</v>
      </c>
      <c r="J1150" t="s">
        <v>336</v>
      </c>
      <c r="K1150" t="str">
        <f t="shared" si="53"/>
        <v>10-SAÚDE</v>
      </c>
      <c r="L1150" t="str">
        <f t="shared" si="54"/>
        <v>302-ASSISTÊNCIA HOSPITALAR E AMBULATORIAL</v>
      </c>
      <c r="M1150" t="str">
        <f t="shared" si="55"/>
        <v>0015-Atenção e Cuidado em Saúde​</v>
      </c>
      <c r="N1150" t="str">
        <f t="shared" si="56"/>
        <v xml:space="preserve">2.013-Manutenção de Equipamentos Públicos - Atenção Especializada </v>
      </c>
      <c r="O1150" t="str">
        <f t="shared" si="57"/>
        <v>4.4.50.51.00-OBRAS E INSTALAÇÕES</v>
      </c>
      <c r="R1150" s="25">
        <v>0</v>
      </c>
      <c r="S1150" t="s">
        <v>1035</v>
      </c>
    </row>
    <row r="1151" spans="1:19" x14ac:dyDescent="0.25">
      <c r="A1151" t="str">
        <f t="shared" si="46"/>
        <v>09</v>
      </c>
      <c r="B1151" t="str">
        <f t="shared" si="47"/>
        <v>009</v>
      </c>
      <c r="C1151" t="str">
        <f t="shared" si="48"/>
        <v>10</v>
      </c>
      <c r="D1151" t="str">
        <f t="shared" si="49"/>
        <v>302</v>
      </c>
      <c r="E1151" t="str">
        <f t="shared" si="50"/>
        <v>0015</v>
      </c>
      <c r="F1151" t="str">
        <f t="shared" si="51"/>
        <v>2.013</v>
      </c>
      <c r="G1151" t="str">
        <f t="shared" si="52"/>
        <v>4.4.50.52.00</v>
      </c>
      <c r="H1151" t="s">
        <v>1191</v>
      </c>
      <c r="I1151" t="str">
        <f t="shared" si="58"/>
        <v>09 - SECRETARIA DA SAÚDE</v>
      </c>
      <c r="J1151" t="s">
        <v>336</v>
      </c>
      <c r="K1151" t="str">
        <f t="shared" si="53"/>
        <v>10-SAÚDE</v>
      </c>
      <c r="L1151" t="str">
        <f t="shared" si="54"/>
        <v>302-ASSISTÊNCIA HOSPITALAR E AMBULATORIAL</v>
      </c>
      <c r="M1151" t="str">
        <f t="shared" si="55"/>
        <v>0015-Atenção e Cuidado em Saúde​</v>
      </c>
      <c r="N1151" t="str">
        <f t="shared" si="56"/>
        <v xml:space="preserve">2.013-Manutenção de Equipamentos Públicos - Atenção Especializada </v>
      </c>
      <c r="O1151" t="str">
        <f t="shared" si="57"/>
        <v>4.4.50.52.00-EQUIPAMENTOS E MATERIAL PERMANENTE</v>
      </c>
      <c r="R1151" s="25">
        <v>519549.96090000001</v>
      </c>
      <c r="S1151" t="s">
        <v>1035</v>
      </c>
    </row>
    <row r="1152" spans="1:19" x14ac:dyDescent="0.25">
      <c r="A1152" t="str">
        <f t="shared" si="46"/>
        <v>09</v>
      </c>
      <c r="B1152" t="str">
        <f t="shared" si="47"/>
        <v>009</v>
      </c>
      <c r="C1152" t="str">
        <f t="shared" si="48"/>
        <v>10</v>
      </c>
      <c r="D1152" t="str">
        <f t="shared" si="49"/>
        <v>302</v>
      </c>
      <c r="E1152" t="str">
        <f t="shared" si="50"/>
        <v>0015</v>
      </c>
      <c r="F1152" t="str">
        <f t="shared" si="51"/>
        <v>2.013</v>
      </c>
      <c r="G1152" t="str">
        <f t="shared" si="52"/>
        <v>4.4.90.52.00</v>
      </c>
      <c r="H1152" t="s">
        <v>1192</v>
      </c>
      <c r="I1152" t="str">
        <f t="shared" si="58"/>
        <v>09 - SECRETARIA DA SAÚDE</v>
      </c>
      <c r="J1152" t="s">
        <v>336</v>
      </c>
      <c r="K1152" t="str">
        <f t="shared" si="53"/>
        <v>10-SAÚDE</v>
      </c>
      <c r="L1152" t="str">
        <f t="shared" si="54"/>
        <v>302-ASSISTÊNCIA HOSPITALAR E AMBULATORIAL</v>
      </c>
      <c r="M1152" t="str">
        <f t="shared" si="55"/>
        <v>0015-Atenção e Cuidado em Saúde​</v>
      </c>
      <c r="N1152" t="str">
        <f t="shared" si="56"/>
        <v xml:space="preserve">2.013-Manutenção de Equipamentos Públicos - Atenção Especializada </v>
      </c>
      <c r="O1152" t="str">
        <f t="shared" si="57"/>
        <v>4.4.90.52.00-EQUIPAMENTOS E MATERIAL PERMANENTE</v>
      </c>
      <c r="R1152" s="25">
        <v>0</v>
      </c>
      <c r="S1152" t="s">
        <v>1035</v>
      </c>
    </row>
    <row r="1153" spans="1:19" x14ac:dyDescent="0.25">
      <c r="A1153" t="str">
        <f t="shared" si="46"/>
        <v>09</v>
      </c>
      <c r="B1153" t="str">
        <f t="shared" si="47"/>
        <v>009</v>
      </c>
      <c r="C1153" t="str">
        <f t="shared" si="48"/>
        <v>10</v>
      </c>
      <c r="D1153" t="str">
        <f t="shared" si="49"/>
        <v>302</v>
      </c>
      <c r="E1153" t="str">
        <f t="shared" si="50"/>
        <v>0015</v>
      </c>
      <c r="F1153" t="str">
        <f t="shared" si="51"/>
        <v>2.023</v>
      </c>
      <c r="G1153" t="str">
        <f t="shared" si="52"/>
        <v>3.3.50.85.00</v>
      </c>
      <c r="H1153" t="s">
        <v>1193</v>
      </c>
      <c r="I1153" t="str">
        <f t="shared" si="58"/>
        <v>09 - SECRETARIA DA SAÚDE</v>
      </c>
      <c r="J1153" t="s">
        <v>336</v>
      </c>
      <c r="K1153" t="str">
        <f t="shared" si="53"/>
        <v>10-SAÚDE</v>
      </c>
      <c r="L1153" t="str">
        <f t="shared" si="54"/>
        <v>302-ASSISTÊNCIA HOSPITALAR E AMBULATORIAL</v>
      </c>
      <c r="M1153" t="str">
        <f t="shared" si="55"/>
        <v>0015-Atenção e Cuidado em Saúde​</v>
      </c>
      <c r="N1153" t="str">
        <f t="shared" si="56"/>
        <v xml:space="preserve">2.023-Gestão Compartilhada de Equipamentos Públicos </v>
      </c>
      <c r="O1153" t="str">
        <f t="shared" si="57"/>
        <v>3.3.50.85.00-CONTRATO DE GESTÃO</v>
      </c>
      <c r="R1153" s="25">
        <v>14563114.16</v>
      </c>
      <c r="S1153" t="s">
        <v>1035</v>
      </c>
    </row>
    <row r="1154" spans="1:19" x14ac:dyDescent="0.25">
      <c r="A1154" t="str">
        <f t="shared" si="46"/>
        <v>09</v>
      </c>
      <c r="B1154" t="str">
        <f t="shared" si="47"/>
        <v>010</v>
      </c>
      <c r="C1154" t="str">
        <f t="shared" si="48"/>
        <v>10</v>
      </c>
      <c r="D1154" t="str">
        <f t="shared" si="49"/>
        <v>302</v>
      </c>
      <c r="E1154" t="str">
        <f t="shared" si="50"/>
        <v>0015</v>
      </c>
      <c r="F1154" t="str">
        <f t="shared" si="51"/>
        <v>2.014</v>
      </c>
      <c r="G1154" t="str">
        <f t="shared" si="52"/>
        <v>3.3.90.30.00</v>
      </c>
      <c r="H1154" t="s">
        <v>1194</v>
      </c>
      <c r="I1154" t="str">
        <f t="shared" si="58"/>
        <v>09 - SECRETARIA DA SAÚDE</v>
      </c>
      <c r="J1154" t="s">
        <v>324</v>
      </c>
      <c r="K1154" t="str">
        <f t="shared" si="53"/>
        <v>10-SAÚDE</v>
      </c>
      <c r="L1154" t="str">
        <f t="shared" si="54"/>
        <v>302-ASSISTÊNCIA HOSPITALAR E AMBULATORIAL</v>
      </c>
      <c r="M1154" t="str">
        <f t="shared" si="55"/>
        <v>0015-Atenção e Cuidado em Saúde​</v>
      </c>
      <c r="N1154" t="str">
        <f t="shared" si="56"/>
        <v xml:space="preserve">2.014-Manutenção de Equipamentos Públicos - Atenção Hospitalar e Urgência e Emergência </v>
      </c>
      <c r="O1154" t="str">
        <f t="shared" si="57"/>
        <v>3.3.90.30.00-MATERIAL DE CONSUMO</v>
      </c>
      <c r="R1154" s="25">
        <v>11184239.447099999</v>
      </c>
      <c r="S1154" t="s">
        <v>1035</v>
      </c>
    </row>
    <row r="1155" spans="1:19" x14ac:dyDescent="0.25">
      <c r="A1155" t="str">
        <f t="shared" si="46"/>
        <v>09</v>
      </c>
      <c r="B1155" t="str">
        <f t="shared" si="47"/>
        <v>010</v>
      </c>
      <c r="C1155" t="str">
        <f t="shared" si="48"/>
        <v>10</v>
      </c>
      <c r="D1155" t="str">
        <f t="shared" si="49"/>
        <v>302</v>
      </c>
      <c r="E1155" t="str">
        <f t="shared" si="50"/>
        <v>0015</v>
      </c>
      <c r="F1155" t="str">
        <f t="shared" si="51"/>
        <v>2.014</v>
      </c>
      <c r="G1155" t="str">
        <f t="shared" si="52"/>
        <v>3.3.90.39.00</v>
      </c>
      <c r="H1155" t="s">
        <v>1195</v>
      </c>
      <c r="I1155" t="str">
        <f t="shared" si="58"/>
        <v>09 - SECRETARIA DA SAÚDE</v>
      </c>
      <c r="J1155" t="s">
        <v>324</v>
      </c>
      <c r="K1155" t="str">
        <f t="shared" si="53"/>
        <v>10-SAÚDE</v>
      </c>
      <c r="L1155" t="str">
        <f t="shared" si="54"/>
        <v>302-ASSISTÊNCIA HOSPITALAR E AMBULATORIAL</v>
      </c>
      <c r="M1155" t="str">
        <f t="shared" si="55"/>
        <v>0015-Atenção e Cuidado em Saúde​</v>
      </c>
      <c r="N1155" t="str">
        <f t="shared" si="56"/>
        <v xml:space="preserve">2.014-Manutenção de Equipamentos Públicos - Atenção Hospitalar e Urgência e Emergência </v>
      </c>
      <c r="O1155" t="str">
        <f t="shared" si="57"/>
        <v>3.3.90.39.00-OUTROS SERVIÇOS DE TERCEIROS - PESSOA JURÍDICA</v>
      </c>
      <c r="R1155" s="25">
        <v>56198454.6809</v>
      </c>
      <c r="S1155" t="s">
        <v>1035</v>
      </c>
    </row>
    <row r="1156" spans="1:19" x14ac:dyDescent="0.25">
      <c r="A1156" t="str">
        <f t="shared" si="46"/>
        <v>09</v>
      </c>
      <c r="B1156" t="str">
        <f t="shared" si="47"/>
        <v>010</v>
      </c>
      <c r="C1156" t="str">
        <f t="shared" si="48"/>
        <v>10</v>
      </c>
      <c r="D1156" t="str">
        <f t="shared" si="49"/>
        <v>302</v>
      </c>
      <c r="E1156" t="str">
        <f t="shared" si="50"/>
        <v>0015</v>
      </c>
      <c r="F1156" t="str">
        <f t="shared" si="51"/>
        <v>2.023</v>
      </c>
      <c r="G1156" t="str">
        <f t="shared" si="52"/>
        <v>3.3.50.85.00</v>
      </c>
      <c r="H1156" t="s">
        <v>1196</v>
      </c>
      <c r="I1156" t="str">
        <f t="shared" si="58"/>
        <v>09 - SECRETARIA DA SAÚDE</v>
      </c>
      <c r="J1156" t="s">
        <v>324</v>
      </c>
      <c r="K1156" t="str">
        <f t="shared" si="53"/>
        <v>10-SAÚDE</v>
      </c>
      <c r="L1156" t="str">
        <f t="shared" si="54"/>
        <v>302-ASSISTÊNCIA HOSPITALAR E AMBULATORIAL</v>
      </c>
      <c r="M1156" t="str">
        <f t="shared" si="55"/>
        <v>0015-Atenção e Cuidado em Saúde​</v>
      </c>
      <c r="N1156" t="str">
        <f t="shared" si="56"/>
        <v xml:space="preserve">2.023-Gestão Compartilhada de Equipamentos Públicos </v>
      </c>
      <c r="O1156" t="str">
        <f t="shared" si="57"/>
        <v>3.3.50.85.00-CONTRATO DE GESTÃO</v>
      </c>
      <c r="R1156" s="25">
        <v>408734669.25999999</v>
      </c>
      <c r="S1156" t="s">
        <v>1035</v>
      </c>
    </row>
    <row r="1157" spans="1:19" x14ac:dyDescent="0.25">
      <c r="A1157" t="str">
        <f t="shared" si="46"/>
        <v>09</v>
      </c>
      <c r="B1157" t="str">
        <f t="shared" si="47"/>
        <v>012</v>
      </c>
      <c r="C1157" t="str">
        <f t="shared" si="48"/>
        <v>10</v>
      </c>
      <c r="D1157" t="str">
        <f t="shared" si="49"/>
        <v>303</v>
      </c>
      <c r="E1157" t="str">
        <f t="shared" si="50"/>
        <v>0014</v>
      </c>
      <c r="F1157" t="str">
        <f t="shared" si="51"/>
        <v>2.011</v>
      </c>
      <c r="G1157" t="str">
        <f t="shared" si="52"/>
        <v>3.3.90.30.00</v>
      </c>
      <c r="H1157" t="s">
        <v>1197</v>
      </c>
      <c r="I1157" t="str">
        <f t="shared" si="58"/>
        <v>09 - SECRETARIA DA SAÚDE</v>
      </c>
      <c r="J1157" t="s">
        <v>48</v>
      </c>
      <c r="K1157" t="str">
        <f t="shared" si="53"/>
        <v>10-SAÚDE</v>
      </c>
      <c r="L1157" t="str">
        <f t="shared" si="54"/>
        <v>303-SUPORTE PROFILÁTICO E TERAPÊUTICO</v>
      </c>
      <c r="M1157" t="str">
        <f t="shared" si="55"/>
        <v>0014-Gestão em Saúde​</v>
      </c>
      <c r="N1157" t="str">
        <f t="shared" si="56"/>
        <v xml:space="preserve">2.011-Manutenção de Equipamentos Públicos </v>
      </c>
      <c r="O1157" t="str">
        <f t="shared" si="57"/>
        <v>3.3.90.30.00-MATERIAL DE CONSUMO</v>
      </c>
      <c r="R1157" s="25">
        <v>27522306.099999998</v>
      </c>
      <c r="S1157" t="s">
        <v>1035</v>
      </c>
    </row>
    <row r="1158" spans="1:19" x14ac:dyDescent="0.25">
      <c r="A1158" t="str">
        <f t="shared" si="46"/>
        <v>09</v>
      </c>
      <c r="B1158" t="str">
        <f t="shared" si="47"/>
        <v>012</v>
      </c>
      <c r="C1158" t="str">
        <f t="shared" si="48"/>
        <v>10</v>
      </c>
      <c r="D1158" t="str">
        <f t="shared" si="49"/>
        <v>303</v>
      </c>
      <c r="E1158" t="str">
        <f t="shared" si="50"/>
        <v>0014</v>
      </c>
      <c r="F1158" t="str">
        <f t="shared" si="51"/>
        <v>2.011</v>
      </c>
      <c r="G1158" t="str">
        <f t="shared" si="52"/>
        <v>3.3.90.32.00</v>
      </c>
      <c r="H1158" t="s">
        <v>1198</v>
      </c>
      <c r="I1158" t="str">
        <f t="shared" si="58"/>
        <v>09 - SECRETARIA DA SAÚDE</v>
      </c>
      <c r="J1158" t="s">
        <v>48</v>
      </c>
      <c r="K1158" t="str">
        <f t="shared" si="53"/>
        <v>10-SAÚDE</v>
      </c>
      <c r="L1158" t="str">
        <f t="shared" si="54"/>
        <v>303-SUPORTE PROFILÁTICO E TERAPÊUTICO</v>
      </c>
      <c r="M1158" t="str">
        <f t="shared" si="55"/>
        <v>0014-Gestão em Saúde​</v>
      </c>
      <c r="N1158" t="str">
        <f t="shared" si="56"/>
        <v xml:space="preserve">2.011-Manutenção de Equipamentos Públicos </v>
      </c>
      <c r="O1158" t="str">
        <f t="shared" si="57"/>
        <v>3.3.90.32.00-MATERIAL, BEM OU SERVIÇO PARA DISTRIBUIÇÃO GRATUITA</v>
      </c>
      <c r="R1158" s="25">
        <v>17716924.5</v>
      </c>
      <c r="S1158" t="s">
        <v>1035</v>
      </c>
    </row>
    <row r="1159" spans="1:19" x14ac:dyDescent="0.25">
      <c r="A1159" t="str">
        <f t="shared" si="46"/>
        <v>09</v>
      </c>
      <c r="B1159" t="str">
        <f t="shared" si="47"/>
        <v>012</v>
      </c>
      <c r="C1159" t="str">
        <f t="shared" si="48"/>
        <v>10</v>
      </c>
      <c r="D1159" t="str">
        <f t="shared" si="49"/>
        <v>303</v>
      </c>
      <c r="E1159" t="str">
        <f t="shared" si="50"/>
        <v>0014</v>
      </c>
      <c r="F1159" t="str">
        <f t="shared" si="51"/>
        <v>2.011</v>
      </c>
      <c r="G1159" t="str">
        <f t="shared" si="52"/>
        <v>3.3.90.39.00</v>
      </c>
      <c r="H1159" t="s">
        <v>1199</v>
      </c>
      <c r="I1159" t="str">
        <f t="shared" si="58"/>
        <v>09 - SECRETARIA DA SAÚDE</v>
      </c>
      <c r="J1159" t="s">
        <v>48</v>
      </c>
      <c r="K1159" t="str">
        <f t="shared" si="53"/>
        <v>10-SAÚDE</v>
      </c>
      <c r="L1159" t="str">
        <f t="shared" si="54"/>
        <v>303-SUPORTE PROFILÁTICO E TERAPÊUTICO</v>
      </c>
      <c r="M1159" t="str">
        <f t="shared" si="55"/>
        <v>0014-Gestão em Saúde​</v>
      </c>
      <c r="N1159" t="str">
        <f t="shared" si="56"/>
        <v xml:space="preserve">2.011-Manutenção de Equipamentos Públicos </v>
      </c>
      <c r="O1159" t="str">
        <f t="shared" si="57"/>
        <v>3.3.90.39.00-OUTROS SERVIÇOS DE TERCEIROS - PESSOA JURÍDICA</v>
      </c>
      <c r="R1159" s="25">
        <v>457713.11990000005</v>
      </c>
      <c r="S1159" t="s">
        <v>1035</v>
      </c>
    </row>
    <row r="1160" spans="1:19" x14ac:dyDescent="0.25">
      <c r="A1160" t="str">
        <f t="shared" si="46"/>
        <v>09</v>
      </c>
      <c r="B1160" t="str">
        <f t="shared" si="47"/>
        <v>012</v>
      </c>
      <c r="C1160" t="str">
        <f t="shared" si="48"/>
        <v>10</v>
      </c>
      <c r="D1160" t="str">
        <f t="shared" si="49"/>
        <v>303</v>
      </c>
      <c r="E1160" t="str">
        <f t="shared" si="50"/>
        <v>0014</v>
      </c>
      <c r="F1160" t="str">
        <f t="shared" si="51"/>
        <v>2.011</v>
      </c>
      <c r="G1160" t="str">
        <f t="shared" si="52"/>
        <v>4.4.90.52.00</v>
      </c>
      <c r="H1160" t="s">
        <v>1200</v>
      </c>
      <c r="I1160" t="str">
        <f t="shared" si="58"/>
        <v>09 - SECRETARIA DA SAÚDE</v>
      </c>
      <c r="J1160" t="s">
        <v>48</v>
      </c>
      <c r="K1160" t="str">
        <f t="shared" si="53"/>
        <v>10-SAÚDE</v>
      </c>
      <c r="L1160" t="str">
        <f t="shared" si="54"/>
        <v>303-SUPORTE PROFILÁTICO E TERAPÊUTICO</v>
      </c>
      <c r="M1160" t="str">
        <f t="shared" si="55"/>
        <v>0014-Gestão em Saúde​</v>
      </c>
      <c r="N1160" t="str">
        <f t="shared" si="56"/>
        <v xml:space="preserve">2.011-Manutenção de Equipamentos Públicos </v>
      </c>
      <c r="O1160" t="str">
        <f t="shared" si="57"/>
        <v>4.4.90.52.00-EQUIPAMENTOS E MATERIAL PERMANENTE</v>
      </c>
      <c r="R1160" s="25">
        <v>103910</v>
      </c>
      <c r="S1160" t="s">
        <v>1035</v>
      </c>
    </row>
    <row r="1161" spans="1:19" x14ac:dyDescent="0.25">
      <c r="A1161" t="str">
        <f t="shared" si="46"/>
        <v>09</v>
      </c>
      <c r="B1161" t="str">
        <f t="shared" si="47"/>
        <v>012</v>
      </c>
      <c r="C1161" t="str">
        <f t="shared" si="48"/>
        <v>10</v>
      </c>
      <c r="D1161" t="str">
        <f t="shared" si="49"/>
        <v>303</v>
      </c>
      <c r="E1161" t="str">
        <f t="shared" si="50"/>
        <v>0015</v>
      </c>
      <c r="F1161" t="str">
        <f t="shared" si="51"/>
        <v>2.011</v>
      </c>
      <c r="G1161" t="str">
        <f t="shared" si="52"/>
        <v>3.3.90.30.00</v>
      </c>
      <c r="H1161" t="s">
        <v>1201</v>
      </c>
      <c r="I1161" t="str">
        <f t="shared" si="58"/>
        <v>09 - SECRETARIA DA SAÚDE</v>
      </c>
      <c r="J1161" t="s">
        <v>48</v>
      </c>
      <c r="K1161" t="str">
        <f t="shared" si="53"/>
        <v>10-SAÚDE</v>
      </c>
      <c r="L1161" t="str">
        <f t="shared" si="54"/>
        <v>303-SUPORTE PROFILÁTICO E TERAPÊUTICO</v>
      </c>
      <c r="M1161" t="str">
        <f t="shared" si="55"/>
        <v>0015-Atenção e Cuidado em Saúde​</v>
      </c>
      <c r="N1161" t="str">
        <f t="shared" si="56"/>
        <v xml:space="preserve">2.011-Manutenção de Equipamentos Públicos </v>
      </c>
      <c r="O1161" t="str">
        <f t="shared" si="57"/>
        <v>3.3.90.30.00-MATERIAL DE CONSUMO</v>
      </c>
      <c r="R1161" s="25">
        <v>7279119.8200000003</v>
      </c>
      <c r="S1161" t="s">
        <v>1035</v>
      </c>
    </row>
    <row r="1162" spans="1:19" x14ac:dyDescent="0.25">
      <c r="A1162" t="str">
        <f t="shared" si="46"/>
        <v>09</v>
      </c>
      <c r="B1162" t="str">
        <f t="shared" si="47"/>
        <v>015</v>
      </c>
      <c r="C1162" t="str">
        <f t="shared" si="48"/>
        <v>04</v>
      </c>
      <c r="D1162" t="str">
        <f t="shared" si="49"/>
        <v>128</v>
      </c>
      <c r="E1162" t="str">
        <f t="shared" si="50"/>
        <v>0002</v>
      </c>
      <c r="F1162" t="str">
        <f t="shared" si="51"/>
        <v>2.003</v>
      </c>
      <c r="G1162" t="str">
        <f t="shared" si="52"/>
        <v>3.3.90.36.00</v>
      </c>
      <c r="H1162" t="s">
        <v>1202</v>
      </c>
      <c r="I1162" t="str">
        <f t="shared" si="58"/>
        <v>09 - SECRETARIA DA SAÚDE</v>
      </c>
      <c r="J1162" t="s">
        <v>361</v>
      </c>
      <c r="K1162" t="str">
        <f t="shared" si="53"/>
        <v>4-ADMINISTRAÇÃO</v>
      </c>
      <c r="L1162" t="str">
        <f t="shared" si="54"/>
        <v>128-FORMAÇÃO DE RECURSOS HUMANOS</v>
      </c>
      <c r="M1162" t="str">
        <f t="shared" si="55"/>
        <v>0002-Governo Inteligente, Aberto e Inovador​</v>
      </c>
      <c r="N1162" t="str">
        <f t="shared" si="56"/>
        <v>2.003-Qualificação de Servidores e Processos Institucionais</v>
      </c>
      <c r="O1162" t="str">
        <f t="shared" si="57"/>
        <v>3.3.90.36.00-OUTROS SERVIÇOS DE TERCEIROS - PESSOA FÍSICA</v>
      </c>
      <c r="R1162" s="25">
        <v>2</v>
      </c>
      <c r="S1162" t="s">
        <v>1035</v>
      </c>
    </row>
    <row r="1163" spans="1:19" x14ac:dyDescent="0.25">
      <c r="A1163" t="str">
        <f t="shared" si="46"/>
        <v>09</v>
      </c>
      <c r="B1163" t="str">
        <f t="shared" si="47"/>
        <v>015</v>
      </c>
      <c r="C1163" t="str">
        <f t="shared" si="48"/>
        <v>04</v>
      </c>
      <c r="D1163" t="str">
        <f t="shared" si="49"/>
        <v>128</v>
      </c>
      <c r="E1163" t="str">
        <f t="shared" si="50"/>
        <v>0002</v>
      </c>
      <c r="F1163" t="str">
        <f t="shared" si="51"/>
        <v>2.003</v>
      </c>
      <c r="G1163" t="str">
        <f t="shared" si="52"/>
        <v>3.3.90.39.00</v>
      </c>
      <c r="H1163" t="s">
        <v>1203</v>
      </c>
      <c r="I1163" t="str">
        <f t="shared" si="58"/>
        <v>09 - SECRETARIA DA SAÚDE</v>
      </c>
      <c r="J1163" t="s">
        <v>361</v>
      </c>
      <c r="K1163" t="str">
        <f t="shared" si="53"/>
        <v>4-ADMINISTRAÇÃO</v>
      </c>
      <c r="L1163" t="str">
        <f t="shared" si="54"/>
        <v>128-FORMAÇÃO DE RECURSOS HUMANOS</v>
      </c>
      <c r="M1163" t="str">
        <f t="shared" si="55"/>
        <v>0002-Governo Inteligente, Aberto e Inovador​</v>
      </c>
      <c r="N1163" t="str">
        <f t="shared" si="56"/>
        <v>2.003-Qualificação de Servidores e Processos Institucionais</v>
      </c>
      <c r="O1163" t="str">
        <f t="shared" si="57"/>
        <v>3.3.90.39.00-OUTROS SERVIÇOS DE TERCEIROS - PESSOA JURÍDICA</v>
      </c>
      <c r="R1163" s="25">
        <v>2</v>
      </c>
      <c r="S1163" t="s">
        <v>1035</v>
      </c>
    </row>
    <row r="1164" spans="1:19" x14ac:dyDescent="0.25">
      <c r="A1164" t="str">
        <f t="shared" si="46"/>
        <v>09</v>
      </c>
      <c r="B1164" t="str">
        <f t="shared" si="47"/>
        <v>015</v>
      </c>
      <c r="C1164" t="str">
        <f t="shared" si="48"/>
        <v>10</v>
      </c>
      <c r="D1164" t="str">
        <f t="shared" si="49"/>
        <v>122</v>
      </c>
      <c r="E1164" t="str">
        <f t="shared" si="50"/>
        <v>0014</v>
      </c>
      <c r="F1164" t="str">
        <f t="shared" si="51"/>
        <v>2.011</v>
      </c>
      <c r="G1164" t="str">
        <f t="shared" si="52"/>
        <v>3.3.90.30.00</v>
      </c>
      <c r="H1164" t="s">
        <v>1204</v>
      </c>
      <c r="I1164" t="str">
        <f t="shared" si="58"/>
        <v>09 - SECRETARIA DA SAÚDE</v>
      </c>
      <c r="J1164" t="s">
        <v>361</v>
      </c>
      <c r="K1164" t="str">
        <f t="shared" si="53"/>
        <v>10-SAÚDE</v>
      </c>
      <c r="L1164" t="str">
        <f t="shared" si="54"/>
        <v>122-ADMINISTRAÇÃO GERAL</v>
      </c>
      <c r="M1164" t="str">
        <f t="shared" si="55"/>
        <v>0014-Gestão em Saúde​</v>
      </c>
      <c r="N1164" t="str">
        <f t="shared" si="56"/>
        <v xml:space="preserve">2.011-Manutenção de Equipamentos Públicos </v>
      </c>
      <c r="O1164" t="str">
        <f t="shared" si="57"/>
        <v>3.3.90.30.00-MATERIAL DE CONSUMO</v>
      </c>
      <c r="R1164" s="25">
        <v>7462180.9609000012</v>
      </c>
      <c r="S1164" t="s">
        <v>1035</v>
      </c>
    </row>
    <row r="1165" spans="1:19" x14ac:dyDescent="0.25">
      <c r="A1165" t="str">
        <f t="shared" si="46"/>
        <v>09</v>
      </c>
      <c r="B1165" t="str">
        <f t="shared" si="47"/>
        <v>015</v>
      </c>
      <c r="C1165" t="str">
        <f t="shared" si="48"/>
        <v>10</v>
      </c>
      <c r="D1165" t="str">
        <f t="shared" si="49"/>
        <v>122</v>
      </c>
      <c r="E1165" t="str">
        <f t="shared" si="50"/>
        <v>0014</v>
      </c>
      <c r="F1165" t="str">
        <f t="shared" si="51"/>
        <v>2.011</v>
      </c>
      <c r="G1165" t="str">
        <f t="shared" si="52"/>
        <v>3.3.90.32.00</v>
      </c>
      <c r="H1165" t="s">
        <v>1205</v>
      </c>
      <c r="I1165" t="str">
        <f t="shared" si="58"/>
        <v>09 - SECRETARIA DA SAÚDE</v>
      </c>
      <c r="J1165" t="s">
        <v>361</v>
      </c>
      <c r="K1165" t="str">
        <f t="shared" si="53"/>
        <v>10-SAÚDE</v>
      </c>
      <c r="L1165" t="str">
        <f t="shared" si="54"/>
        <v>122-ADMINISTRAÇÃO GERAL</v>
      </c>
      <c r="M1165" t="str">
        <f t="shared" si="55"/>
        <v>0014-Gestão em Saúde​</v>
      </c>
      <c r="N1165" t="str">
        <f t="shared" si="56"/>
        <v xml:space="preserve">2.011-Manutenção de Equipamentos Públicos </v>
      </c>
      <c r="O1165" t="str">
        <f t="shared" si="57"/>
        <v>3.3.90.32.00-MATERIAL, BEM OU SERVIÇO PARA DISTRIBUIÇÃO GRATUITA</v>
      </c>
      <c r="R1165" s="25">
        <v>152099</v>
      </c>
      <c r="S1165" t="s">
        <v>1035</v>
      </c>
    </row>
    <row r="1166" spans="1:19" x14ac:dyDescent="0.25">
      <c r="A1166" t="str">
        <f t="shared" si="46"/>
        <v>09</v>
      </c>
      <c r="B1166" t="str">
        <f t="shared" si="47"/>
        <v>015</v>
      </c>
      <c r="C1166" t="str">
        <f t="shared" si="48"/>
        <v>10</v>
      </c>
      <c r="D1166" t="str">
        <f t="shared" si="49"/>
        <v>122</v>
      </c>
      <c r="E1166" t="str">
        <f t="shared" si="50"/>
        <v>0014</v>
      </c>
      <c r="F1166" t="str">
        <f t="shared" si="51"/>
        <v>2.011</v>
      </c>
      <c r="G1166" t="str">
        <f t="shared" si="52"/>
        <v>3.3.90.39.00</v>
      </c>
      <c r="H1166" t="s">
        <v>1206</v>
      </c>
      <c r="I1166" t="str">
        <f t="shared" si="58"/>
        <v>09 - SECRETARIA DA SAÚDE</v>
      </c>
      <c r="J1166" t="s">
        <v>361</v>
      </c>
      <c r="K1166" t="str">
        <f t="shared" si="53"/>
        <v>10-SAÚDE</v>
      </c>
      <c r="L1166" t="str">
        <f t="shared" si="54"/>
        <v>122-ADMINISTRAÇÃO GERAL</v>
      </c>
      <c r="M1166" t="str">
        <f t="shared" si="55"/>
        <v>0014-Gestão em Saúde​</v>
      </c>
      <c r="N1166" t="str">
        <f t="shared" si="56"/>
        <v xml:space="preserve">2.011-Manutenção de Equipamentos Públicos </v>
      </c>
      <c r="O1166" t="str">
        <f t="shared" si="57"/>
        <v>3.3.90.39.00-OUTROS SERVIÇOS DE TERCEIROS - PESSOA JURÍDICA</v>
      </c>
      <c r="R1166" s="25">
        <v>6111079.4584000008</v>
      </c>
      <c r="S1166" t="s">
        <v>1035</v>
      </c>
    </row>
    <row r="1167" spans="1:19" x14ac:dyDescent="0.25">
      <c r="A1167" t="str">
        <f t="shared" si="46"/>
        <v>09</v>
      </c>
      <c r="B1167" t="str">
        <f t="shared" si="47"/>
        <v>015</v>
      </c>
      <c r="C1167" t="str">
        <f t="shared" si="48"/>
        <v>10</v>
      </c>
      <c r="D1167" t="str">
        <f t="shared" si="49"/>
        <v>122</v>
      </c>
      <c r="E1167" t="str">
        <f t="shared" si="50"/>
        <v>0014</v>
      </c>
      <c r="F1167" t="str">
        <f t="shared" si="51"/>
        <v>2.011</v>
      </c>
      <c r="G1167" t="str">
        <f t="shared" si="52"/>
        <v>3.3.90.93.00</v>
      </c>
      <c r="H1167" t="s">
        <v>1207</v>
      </c>
      <c r="I1167" t="str">
        <f t="shared" si="58"/>
        <v>09 - SECRETARIA DA SAÚDE</v>
      </c>
      <c r="J1167" t="s">
        <v>361</v>
      </c>
      <c r="K1167" t="str">
        <f t="shared" si="53"/>
        <v>10-SAÚDE</v>
      </c>
      <c r="L1167" t="str">
        <f t="shared" si="54"/>
        <v>122-ADMINISTRAÇÃO GERAL</v>
      </c>
      <c r="M1167" t="str">
        <f t="shared" si="55"/>
        <v>0014-Gestão em Saúde​</v>
      </c>
      <c r="N1167" t="str">
        <f t="shared" si="56"/>
        <v xml:space="preserve">2.011-Manutenção de Equipamentos Públicos </v>
      </c>
      <c r="O1167" t="str">
        <f t="shared" si="57"/>
        <v>3.3.90.93.00-INDENIZAÇÕES E RESTITUIÇÕES</v>
      </c>
      <c r="R1167" s="25">
        <v>1039099.9609000001</v>
      </c>
      <c r="S1167" t="s">
        <v>1035</v>
      </c>
    </row>
    <row r="1168" spans="1:19" x14ac:dyDescent="0.25">
      <c r="A1168" t="str">
        <f t="shared" si="46"/>
        <v>09</v>
      </c>
      <c r="B1168" t="str">
        <f t="shared" si="47"/>
        <v>015</v>
      </c>
      <c r="C1168" t="str">
        <f t="shared" si="48"/>
        <v>10</v>
      </c>
      <c r="D1168" t="str">
        <f t="shared" si="49"/>
        <v>128</v>
      </c>
      <c r="E1168" t="str">
        <f t="shared" si="50"/>
        <v>0014</v>
      </c>
      <c r="F1168" t="str">
        <f t="shared" si="51"/>
        <v>2.008</v>
      </c>
      <c r="G1168" t="str">
        <f t="shared" si="52"/>
        <v>3.3.90.48.00</v>
      </c>
      <c r="H1168" t="s">
        <v>1208</v>
      </c>
      <c r="I1168" t="str">
        <f t="shared" si="58"/>
        <v>09 - SECRETARIA DA SAÚDE</v>
      </c>
      <c r="J1168" t="s">
        <v>361</v>
      </c>
      <c r="K1168" t="str">
        <f t="shared" si="53"/>
        <v>10-SAÚDE</v>
      </c>
      <c r="L1168" t="str">
        <f t="shared" si="54"/>
        <v>128-FORMAÇÃO DE RECURSOS HUMANOS</v>
      </c>
      <c r="M1168" t="str">
        <f t="shared" si="55"/>
        <v>0014-Gestão em Saúde​</v>
      </c>
      <c r="N1168" t="str">
        <f t="shared" si="56"/>
        <v>2.008-Estágio e Aprendizagem</v>
      </c>
      <c r="O1168" t="str">
        <f t="shared" si="57"/>
        <v>3.3.90.48.00 - OUTROS AUXILIOS FINANCEIROS A PESSOAS FISICAS</v>
      </c>
      <c r="R1168" s="25">
        <v>432364.10667999979</v>
      </c>
      <c r="S1168" t="s">
        <v>1035</v>
      </c>
    </row>
    <row r="1169" spans="1:19" x14ac:dyDescent="0.25">
      <c r="A1169" t="str">
        <f t="shared" si="46"/>
        <v>11</v>
      </c>
      <c r="B1169" t="str">
        <f t="shared" si="47"/>
        <v>001</v>
      </c>
      <c r="C1169" t="str">
        <f t="shared" si="48"/>
        <v>04</v>
      </c>
      <c r="D1169" t="str">
        <f t="shared" si="49"/>
        <v>122</v>
      </c>
      <c r="E1169" t="str">
        <f t="shared" si="50"/>
        <v>0011</v>
      </c>
      <c r="F1169" t="str">
        <f t="shared" si="51"/>
        <v>2.011</v>
      </c>
      <c r="G1169" t="str">
        <f t="shared" si="52"/>
        <v>3.3.90.30.00</v>
      </c>
      <c r="H1169" t="s">
        <v>1209</v>
      </c>
      <c r="I1169" t="str">
        <f t="shared" si="58"/>
        <v>11 - SECRETARIA DE SERVIÇOS E OBRAS</v>
      </c>
      <c r="J1169" t="s">
        <v>20</v>
      </c>
      <c r="K1169" t="str">
        <f t="shared" si="53"/>
        <v>4-ADMINISTRAÇÃO</v>
      </c>
      <c r="L1169" t="str">
        <f t="shared" si="54"/>
        <v>122-ADMINISTRAÇÃO GERAL</v>
      </c>
      <c r="M1169" t="str">
        <f t="shared" si="55"/>
        <v>0011-Zeladoria Urbana e Cuidados com a Cidade​</v>
      </c>
      <c r="N1169" t="str">
        <f t="shared" si="56"/>
        <v xml:space="preserve">2.011-Manutenção de Equipamentos Públicos </v>
      </c>
      <c r="O1169" t="str">
        <f t="shared" si="57"/>
        <v>3.3.90.30.00-MATERIAL DE CONSUMO</v>
      </c>
      <c r="R1169" s="25">
        <v>2990932.6000699997</v>
      </c>
      <c r="S1169" t="s">
        <v>1035</v>
      </c>
    </row>
    <row r="1170" spans="1:19" x14ac:dyDescent="0.25">
      <c r="A1170" t="str">
        <f t="shared" si="46"/>
        <v>11</v>
      </c>
      <c r="B1170" t="str">
        <f t="shared" si="47"/>
        <v>001</v>
      </c>
      <c r="C1170" t="str">
        <f t="shared" si="48"/>
        <v>04</v>
      </c>
      <c r="D1170" t="str">
        <f t="shared" si="49"/>
        <v>122</v>
      </c>
      <c r="E1170" t="str">
        <f t="shared" si="50"/>
        <v>0011</v>
      </c>
      <c r="F1170" t="str">
        <f t="shared" si="51"/>
        <v>2.011</v>
      </c>
      <c r="G1170" t="str">
        <f t="shared" si="52"/>
        <v>3.3.90.39.00</v>
      </c>
      <c r="H1170" t="s">
        <v>1210</v>
      </c>
      <c r="I1170" t="str">
        <f t="shared" si="58"/>
        <v>11 - SECRETARIA DE SERVIÇOS E OBRAS</v>
      </c>
      <c r="J1170" t="s">
        <v>20</v>
      </c>
      <c r="K1170" t="str">
        <f t="shared" si="53"/>
        <v>4-ADMINISTRAÇÃO</v>
      </c>
      <c r="L1170" t="str">
        <f t="shared" si="54"/>
        <v>122-ADMINISTRAÇÃO GERAL</v>
      </c>
      <c r="M1170" t="str">
        <f t="shared" si="55"/>
        <v>0011-Zeladoria Urbana e Cuidados com a Cidade​</v>
      </c>
      <c r="N1170" t="str">
        <f t="shared" si="56"/>
        <v xml:space="preserve">2.011-Manutenção de Equipamentos Públicos </v>
      </c>
      <c r="O1170" t="str">
        <f t="shared" si="57"/>
        <v>3.3.90.39.00-OUTROS SERVIÇOS DE TERCEIROS - PESSOA JURÍDICA</v>
      </c>
      <c r="R1170" s="25">
        <v>36023986.859999999</v>
      </c>
      <c r="S1170" t="s">
        <v>1035</v>
      </c>
    </row>
    <row r="1171" spans="1:19" x14ac:dyDescent="0.25">
      <c r="A1171" t="str">
        <f t="shared" si="46"/>
        <v>11</v>
      </c>
      <c r="B1171" t="str">
        <f t="shared" si="47"/>
        <v>001</v>
      </c>
      <c r="C1171" t="str">
        <f t="shared" si="48"/>
        <v>04</v>
      </c>
      <c r="D1171" t="str">
        <f t="shared" si="49"/>
        <v>122</v>
      </c>
      <c r="E1171" t="str">
        <f t="shared" si="50"/>
        <v>0011</v>
      </c>
      <c r="F1171" t="str">
        <f t="shared" si="51"/>
        <v>2.011</v>
      </c>
      <c r="G1171" t="str">
        <f t="shared" si="52"/>
        <v>4.4.90.52.00</v>
      </c>
      <c r="H1171" t="s">
        <v>1211</v>
      </c>
      <c r="I1171" t="str">
        <f t="shared" si="58"/>
        <v>11 - SECRETARIA DE SERVIÇOS E OBRAS</v>
      </c>
      <c r="J1171" t="s">
        <v>20</v>
      </c>
      <c r="K1171" t="str">
        <f t="shared" si="53"/>
        <v>4-ADMINISTRAÇÃO</v>
      </c>
      <c r="L1171" t="str">
        <f t="shared" si="54"/>
        <v>122-ADMINISTRAÇÃO GERAL</v>
      </c>
      <c r="M1171" t="str">
        <f t="shared" si="55"/>
        <v>0011-Zeladoria Urbana e Cuidados com a Cidade​</v>
      </c>
      <c r="N1171" t="str">
        <f t="shared" si="56"/>
        <v xml:space="preserve">2.011-Manutenção de Equipamentos Públicos </v>
      </c>
      <c r="O1171" t="str">
        <f t="shared" si="57"/>
        <v>4.4.90.52.00-EQUIPAMENTOS E MATERIAL PERMANENTE</v>
      </c>
      <c r="R1171" s="25">
        <v>342903.00000000006</v>
      </c>
      <c r="S1171" t="s">
        <v>1035</v>
      </c>
    </row>
    <row r="1172" spans="1:19" x14ac:dyDescent="0.25">
      <c r="A1172" t="str">
        <f t="shared" si="46"/>
        <v>11</v>
      </c>
      <c r="B1172" t="str">
        <f t="shared" si="47"/>
        <v>001</v>
      </c>
      <c r="C1172" t="str">
        <f t="shared" si="48"/>
        <v>04</v>
      </c>
      <c r="D1172" t="str">
        <f t="shared" si="49"/>
        <v>131</v>
      </c>
      <c r="E1172" t="str">
        <f t="shared" si="50"/>
        <v>0002</v>
      </c>
      <c r="F1172" t="str">
        <f t="shared" si="51"/>
        <v>2.005</v>
      </c>
      <c r="G1172" t="str">
        <f t="shared" si="52"/>
        <v>3.3.90.30.00</v>
      </c>
      <c r="H1172" t="s">
        <v>1212</v>
      </c>
      <c r="I1172" t="str">
        <f t="shared" si="58"/>
        <v>11 - SECRETARIA DE SERVIÇOS E OBRAS</v>
      </c>
      <c r="J1172" t="s">
        <v>20</v>
      </c>
      <c r="K1172" t="str">
        <f t="shared" si="53"/>
        <v>4-ADMINISTRAÇÃO</v>
      </c>
      <c r="L1172" t="str">
        <f t="shared" si="54"/>
        <v>131-COMUNICAÇÃO SOCIAL</v>
      </c>
      <c r="M1172" t="str">
        <f t="shared" si="55"/>
        <v>0002-Governo Inteligente, Aberto e Inovador​</v>
      </c>
      <c r="N1172" t="str">
        <f t="shared" si="56"/>
        <v xml:space="preserve">2.005-Promoção de Eventos, Comunicação e Participação Social </v>
      </c>
      <c r="O1172" t="str">
        <f t="shared" si="57"/>
        <v>3.3.90.30.00-MATERIAL DE CONSUMO</v>
      </c>
      <c r="R1172" s="25">
        <v>2597.75</v>
      </c>
      <c r="S1172" t="s">
        <v>1035</v>
      </c>
    </row>
    <row r="1173" spans="1:19" x14ac:dyDescent="0.25">
      <c r="A1173" t="str">
        <f t="shared" si="46"/>
        <v>11</v>
      </c>
      <c r="B1173" t="str">
        <f t="shared" si="47"/>
        <v>001</v>
      </c>
      <c r="C1173" t="str">
        <f t="shared" si="48"/>
        <v>04</v>
      </c>
      <c r="D1173" t="str">
        <f t="shared" si="49"/>
        <v>131</v>
      </c>
      <c r="E1173" t="str">
        <f t="shared" si="50"/>
        <v>0002</v>
      </c>
      <c r="F1173" t="str">
        <f t="shared" si="51"/>
        <v>2.005</v>
      </c>
      <c r="G1173" t="str">
        <f t="shared" si="52"/>
        <v>3.3.90.39.00</v>
      </c>
      <c r="H1173" t="s">
        <v>1213</v>
      </c>
      <c r="I1173" t="str">
        <f t="shared" si="58"/>
        <v>11 - SECRETARIA DE SERVIÇOS E OBRAS</v>
      </c>
      <c r="J1173" t="s">
        <v>20</v>
      </c>
      <c r="K1173" t="str">
        <f t="shared" si="53"/>
        <v>4-ADMINISTRAÇÃO</v>
      </c>
      <c r="L1173" t="str">
        <f t="shared" si="54"/>
        <v>131-COMUNICAÇÃO SOCIAL</v>
      </c>
      <c r="M1173" t="str">
        <f t="shared" si="55"/>
        <v>0002-Governo Inteligente, Aberto e Inovador​</v>
      </c>
      <c r="N1173" t="str">
        <f t="shared" si="56"/>
        <v xml:space="preserve">2.005-Promoção de Eventos, Comunicação e Participação Social </v>
      </c>
      <c r="O1173" t="str">
        <f t="shared" si="57"/>
        <v>3.3.90.39.00-OUTROS SERVIÇOS DE TERCEIROS - PESSOA JURÍDICA</v>
      </c>
      <c r="R1173" s="25">
        <v>22340.649999999998</v>
      </c>
      <c r="S1173" t="s">
        <v>1035</v>
      </c>
    </row>
    <row r="1174" spans="1:19" x14ac:dyDescent="0.25">
      <c r="A1174" t="str">
        <f t="shared" si="46"/>
        <v>11</v>
      </c>
      <c r="B1174" t="str">
        <f t="shared" si="47"/>
        <v>001</v>
      </c>
      <c r="C1174" t="str">
        <f t="shared" si="48"/>
        <v>15</v>
      </c>
      <c r="D1174" t="str">
        <f t="shared" si="49"/>
        <v>452</v>
      </c>
      <c r="E1174" t="str">
        <f t="shared" si="50"/>
        <v>0011</v>
      </c>
      <c r="F1174" t="str">
        <f t="shared" si="51"/>
        <v>2.038</v>
      </c>
      <c r="G1174" t="str">
        <f t="shared" si="52"/>
        <v>3.3.90.30.00</v>
      </c>
      <c r="H1174" t="s">
        <v>1214</v>
      </c>
      <c r="I1174" t="str">
        <f t="shared" si="58"/>
        <v>11 - SECRETARIA DE SERVIÇOS E OBRAS</v>
      </c>
      <c r="J1174" t="s">
        <v>20</v>
      </c>
      <c r="K1174" t="str">
        <f t="shared" si="53"/>
        <v>15-URBANISMO</v>
      </c>
      <c r="L1174" t="str">
        <f t="shared" si="54"/>
        <v>452-SERVIÇOS URBNOS</v>
      </c>
      <c r="M1174" t="str">
        <f t="shared" si="55"/>
        <v>0011-Zeladoria Urbana e Cuidados com a Cidade​</v>
      </c>
      <c r="N1174" t="str">
        <f t="shared" si="56"/>
        <v xml:space="preserve">2.038-Iluminação Pública </v>
      </c>
      <c r="O1174" t="str">
        <f t="shared" si="57"/>
        <v>3.3.90.30.00-MATERIAL DE CONSUMO</v>
      </c>
      <c r="R1174" s="25">
        <v>623460</v>
      </c>
      <c r="S1174" t="s">
        <v>1035</v>
      </c>
    </row>
    <row r="1175" spans="1:19" x14ac:dyDescent="0.25">
      <c r="A1175" t="str">
        <f t="shared" si="46"/>
        <v>11</v>
      </c>
      <c r="B1175" t="str">
        <f t="shared" si="47"/>
        <v>001</v>
      </c>
      <c r="C1175" t="str">
        <f t="shared" si="48"/>
        <v>15</v>
      </c>
      <c r="D1175" t="str">
        <f t="shared" si="49"/>
        <v>452</v>
      </c>
      <c r="E1175" t="str">
        <f t="shared" si="50"/>
        <v>0011</v>
      </c>
      <c r="F1175" t="str">
        <f t="shared" si="51"/>
        <v>2.038</v>
      </c>
      <c r="G1175" t="str">
        <f t="shared" si="52"/>
        <v>3.3.90.39.00</v>
      </c>
      <c r="H1175" t="s">
        <v>1215</v>
      </c>
      <c r="I1175" t="str">
        <f t="shared" si="58"/>
        <v>11 - SECRETARIA DE SERVIÇOS E OBRAS</v>
      </c>
      <c r="J1175" t="s">
        <v>20</v>
      </c>
      <c r="K1175" t="str">
        <f t="shared" si="53"/>
        <v>15-URBANISMO</v>
      </c>
      <c r="L1175" t="str">
        <f t="shared" si="54"/>
        <v>452-SERVIÇOS URBNOS</v>
      </c>
      <c r="M1175" t="str">
        <f t="shared" si="55"/>
        <v>0011-Zeladoria Urbana e Cuidados com a Cidade​</v>
      </c>
      <c r="N1175" t="str">
        <f t="shared" si="56"/>
        <v xml:space="preserve">2.038-Iluminação Pública </v>
      </c>
      <c r="O1175" t="str">
        <f t="shared" si="57"/>
        <v>3.3.90.39.00-OUTROS SERVIÇOS DE TERCEIROS - PESSOA JURÍDICA</v>
      </c>
      <c r="R1175" s="25">
        <v>19072894.466047</v>
      </c>
      <c r="S1175" t="s">
        <v>1035</v>
      </c>
    </row>
    <row r="1176" spans="1:19" x14ac:dyDescent="0.25">
      <c r="A1176" t="str">
        <f t="shared" si="46"/>
        <v>11</v>
      </c>
      <c r="B1176" t="str">
        <f t="shared" si="47"/>
        <v>001</v>
      </c>
      <c r="C1176" t="str">
        <f t="shared" si="48"/>
        <v>15</v>
      </c>
      <c r="D1176" t="str">
        <f t="shared" si="49"/>
        <v>452</v>
      </c>
      <c r="E1176" t="str">
        <f t="shared" si="50"/>
        <v>0013</v>
      </c>
      <c r="F1176" t="str">
        <f t="shared" si="51"/>
        <v>2.034</v>
      </c>
      <c r="G1176" t="str">
        <f t="shared" si="52"/>
        <v>3.3.90.39.00</v>
      </c>
      <c r="H1176" t="s">
        <v>1216</v>
      </c>
      <c r="I1176" t="str">
        <f t="shared" si="58"/>
        <v>11 - SECRETARIA DE SERVIÇOS E OBRAS</v>
      </c>
      <c r="J1176" t="s">
        <v>20</v>
      </c>
      <c r="K1176" t="str">
        <f t="shared" si="53"/>
        <v>15-URBANISMO</v>
      </c>
      <c r="L1176" t="str">
        <f t="shared" si="54"/>
        <v>452-SERVIÇOS URBNOS</v>
      </c>
      <c r="M1176" t="str">
        <f t="shared" si="55"/>
        <v>0013-Mobilidade Urbana e Infraestrutura Viária​</v>
      </c>
      <c r="N1176" t="str">
        <f t="shared" si="56"/>
        <v>2.034-Manutenção da Infraestrutura Viária</v>
      </c>
      <c r="O1176" t="str">
        <f t="shared" si="57"/>
        <v>3.3.90.39.00-OUTROS SERVIÇOS DE TERCEIROS - PESSOA JURÍDICA</v>
      </c>
      <c r="R1176" s="25">
        <v>48539552.719999999</v>
      </c>
      <c r="S1176" t="s">
        <v>1035</v>
      </c>
    </row>
    <row r="1177" spans="1:19" x14ac:dyDescent="0.25">
      <c r="A1177" t="str">
        <f t="shared" si="46"/>
        <v>11</v>
      </c>
      <c r="B1177" t="str">
        <f t="shared" si="47"/>
        <v>001</v>
      </c>
      <c r="C1177" t="str">
        <f t="shared" si="48"/>
        <v>15</v>
      </c>
      <c r="D1177" t="str">
        <f t="shared" si="49"/>
        <v>452</v>
      </c>
      <c r="E1177" t="str">
        <f t="shared" si="50"/>
        <v>0013</v>
      </c>
      <c r="F1177" t="str">
        <f t="shared" si="51"/>
        <v>2.034</v>
      </c>
      <c r="G1177" t="str">
        <f t="shared" si="52"/>
        <v>4.4.90.52.00</v>
      </c>
      <c r="H1177" t="s">
        <v>1217</v>
      </c>
      <c r="I1177" t="str">
        <f t="shared" si="58"/>
        <v>11 - SECRETARIA DE SERVIÇOS E OBRAS</v>
      </c>
      <c r="J1177" t="s">
        <v>20</v>
      </c>
      <c r="K1177" t="str">
        <f t="shared" si="53"/>
        <v>15-URBANISMO</v>
      </c>
      <c r="L1177" t="str">
        <f t="shared" si="54"/>
        <v>452-SERVIÇOS URBNOS</v>
      </c>
      <c r="M1177" t="str">
        <f t="shared" si="55"/>
        <v>0013-Mobilidade Urbana e Infraestrutura Viária​</v>
      </c>
      <c r="N1177" t="str">
        <f t="shared" si="56"/>
        <v>2.034-Manutenção da Infraestrutura Viária</v>
      </c>
      <c r="O1177" t="str">
        <f t="shared" si="57"/>
        <v>4.4.90.52.00-EQUIPAMENTOS E MATERIAL PERMANENTE</v>
      </c>
      <c r="R1177" s="25">
        <v>0</v>
      </c>
      <c r="S1177" t="s">
        <v>1035</v>
      </c>
    </row>
    <row r="1178" spans="1:19" x14ac:dyDescent="0.25">
      <c r="A1178" t="str">
        <f t="shared" si="46"/>
        <v>11</v>
      </c>
      <c r="B1178" t="str">
        <f t="shared" si="47"/>
        <v>001</v>
      </c>
      <c r="C1178" t="str">
        <f t="shared" si="48"/>
        <v>17</v>
      </c>
      <c r="D1178" t="str">
        <f t="shared" si="49"/>
        <v>452</v>
      </c>
      <c r="E1178" t="str">
        <f t="shared" si="50"/>
        <v>0007</v>
      </c>
      <c r="F1178" t="str">
        <f t="shared" si="51"/>
        <v>2.039</v>
      </c>
      <c r="G1178" t="str">
        <f t="shared" si="52"/>
        <v>3.3.90.30.00</v>
      </c>
      <c r="H1178" t="s">
        <v>1218</v>
      </c>
      <c r="I1178" t="str">
        <f t="shared" si="58"/>
        <v>11 - SECRETARIA DE SERVIÇOS E OBRAS</v>
      </c>
      <c r="J1178" t="s">
        <v>20</v>
      </c>
      <c r="K1178" t="str">
        <f t="shared" si="53"/>
        <v>17-SANEAMENTO</v>
      </c>
      <c r="L1178" t="str">
        <f t="shared" si="54"/>
        <v>452-SERVIÇOS URBNOS</v>
      </c>
      <c r="M1178" t="str">
        <f t="shared" si="55"/>
        <v>0007-Meio Ambiente, Sustentabilidade e Bem-Estar Animal​</v>
      </c>
      <c r="N1178" t="str">
        <f t="shared" si="56"/>
        <v xml:space="preserve">2.039-Limpeza Urbana e Gestão de Resíduos Sólidos </v>
      </c>
      <c r="O1178" t="str">
        <f t="shared" si="57"/>
        <v>3.3.90.30.00-MATERIAL DE CONSUMO</v>
      </c>
      <c r="R1178" s="25">
        <v>0</v>
      </c>
      <c r="S1178" t="s">
        <v>1035</v>
      </c>
    </row>
    <row r="1179" spans="1:19" x14ac:dyDescent="0.25">
      <c r="A1179" t="str">
        <f t="shared" si="46"/>
        <v>11</v>
      </c>
      <c r="B1179" t="str">
        <f t="shared" si="47"/>
        <v>001</v>
      </c>
      <c r="C1179" t="str">
        <f t="shared" si="48"/>
        <v>17</v>
      </c>
      <c r="D1179" t="str">
        <f t="shared" si="49"/>
        <v>452</v>
      </c>
      <c r="E1179" t="str">
        <f t="shared" si="50"/>
        <v>0007</v>
      </c>
      <c r="F1179" t="str">
        <f t="shared" si="51"/>
        <v>2.039</v>
      </c>
      <c r="G1179" t="str">
        <f t="shared" si="52"/>
        <v>3.3.90.39.00</v>
      </c>
      <c r="H1179" t="s">
        <v>1219</v>
      </c>
      <c r="I1179" t="str">
        <f t="shared" si="58"/>
        <v>11 - SECRETARIA DE SERVIÇOS E OBRAS</v>
      </c>
      <c r="J1179" t="s">
        <v>20</v>
      </c>
      <c r="K1179" t="str">
        <f t="shared" si="53"/>
        <v>17-SANEAMENTO</v>
      </c>
      <c r="L1179" t="str">
        <f t="shared" si="54"/>
        <v>452-SERVIÇOS URBNOS</v>
      </c>
      <c r="M1179" t="str">
        <f t="shared" si="55"/>
        <v>0007-Meio Ambiente, Sustentabilidade e Bem-Estar Animal​</v>
      </c>
      <c r="N1179" t="str">
        <f t="shared" si="56"/>
        <v xml:space="preserve">2.039-Limpeza Urbana e Gestão de Resíduos Sólidos </v>
      </c>
      <c r="O1179" t="str">
        <f t="shared" si="57"/>
        <v>3.3.90.39.00-OUTROS SERVIÇOS DE TERCEIROS - PESSOA JURÍDICA</v>
      </c>
      <c r="R1179" s="25">
        <v>58801481.18</v>
      </c>
      <c r="S1179" t="s">
        <v>1035</v>
      </c>
    </row>
    <row r="1180" spans="1:19" x14ac:dyDescent="0.25">
      <c r="A1180" t="str">
        <f t="shared" si="46"/>
        <v>11</v>
      </c>
      <c r="B1180" t="str">
        <f t="shared" si="47"/>
        <v>001</v>
      </c>
      <c r="C1180" t="str">
        <f t="shared" si="48"/>
        <v>17</v>
      </c>
      <c r="D1180" t="str">
        <f t="shared" si="49"/>
        <v>452</v>
      </c>
      <c r="E1180" t="str">
        <f t="shared" si="50"/>
        <v>0007</v>
      </c>
      <c r="F1180" t="str">
        <f t="shared" si="51"/>
        <v>2.039</v>
      </c>
      <c r="G1180" t="str">
        <f t="shared" si="52"/>
        <v>4.4.90.51.00</v>
      </c>
      <c r="H1180" t="s">
        <v>1220</v>
      </c>
      <c r="I1180" t="str">
        <f t="shared" si="58"/>
        <v>11 - SECRETARIA DE SERVIÇOS E OBRAS</v>
      </c>
      <c r="J1180" t="s">
        <v>20</v>
      </c>
      <c r="K1180" t="str">
        <f t="shared" si="53"/>
        <v>17-SANEAMENTO</v>
      </c>
      <c r="L1180" t="str">
        <f t="shared" si="54"/>
        <v>452-SERVIÇOS URBNOS</v>
      </c>
      <c r="M1180" t="str">
        <f t="shared" si="55"/>
        <v>0007-Meio Ambiente, Sustentabilidade e Bem-Estar Animal​</v>
      </c>
      <c r="N1180" t="str">
        <f t="shared" si="56"/>
        <v xml:space="preserve">2.039-Limpeza Urbana e Gestão de Resíduos Sólidos </v>
      </c>
      <c r="O1180" t="str">
        <f t="shared" si="57"/>
        <v>4.4.90.51.00-OBRAS E INSTALAÇÕES</v>
      </c>
      <c r="R1180" s="25">
        <v>1</v>
      </c>
      <c r="S1180" t="s">
        <v>1035</v>
      </c>
    </row>
    <row r="1181" spans="1:19" x14ac:dyDescent="0.25">
      <c r="A1181" t="str">
        <f t="shared" si="46"/>
        <v>11</v>
      </c>
      <c r="B1181" t="str">
        <f t="shared" si="47"/>
        <v>001</v>
      </c>
      <c r="C1181" t="str">
        <f t="shared" si="48"/>
        <v>17</v>
      </c>
      <c r="D1181" t="str">
        <f t="shared" si="49"/>
        <v>452</v>
      </c>
      <c r="E1181" t="str">
        <f t="shared" si="50"/>
        <v>0007</v>
      </c>
      <c r="F1181" t="str">
        <f t="shared" si="51"/>
        <v>2.039</v>
      </c>
      <c r="G1181" t="str">
        <f t="shared" si="52"/>
        <v>4.4.90.52.00</v>
      </c>
      <c r="H1181" t="s">
        <v>1221</v>
      </c>
      <c r="I1181" t="str">
        <f t="shared" si="58"/>
        <v>11 - SECRETARIA DE SERVIÇOS E OBRAS</v>
      </c>
      <c r="J1181" t="s">
        <v>20</v>
      </c>
      <c r="K1181" t="str">
        <f t="shared" si="53"/>
        <v>17-SANEAMENTO</v>
      </c>
      <c r="L1181" t="str">
        <f t="shared" si="54"/>
        <v>452-SERVIÇOS URBNOS</v>
      </c>
      <c r="M1181" t="str">
        <f t="shared" si="55"/>
        <v>0007-Meio Ambiente, Sustentabilidade e Bem-Estar Animal​</v>
      </c>
      <c r="N1181" t="str">
        <f t="shared" si="56"/>
        <v xml:space="preserve">2.039-Limpeza Urbana e Gestão de Resíduos Sólidos </v>
      </c>
      <c r="O1181" t="str">
        <f t="shared" si="57"/>
        <v>4.4.90.52.00-EQUIPAMENTOS E MATERIAL PERMANENTE</v>
      </c>
      <c r="R1181" s="25">
        <v>0</v>
      </c>
      <c r="S1181" t="s">
        <v>1035</v>
      </c>
    </row>
    <row r="1182" spans="1:19" x14ac:dyDescent="0.25">
      <c r="A1182" t="str">
        <f t="shared" si="46"/>
        <v>11</v>
      </c>
      <c r="B1182" t="str">
        <f t="shared" si="47"/>
        <v>001</v>
      </c>
      <c r="C1182" t="str">
        <f t="shared" si="48"/>
        <v>18</v>
      </c>
      <c r="D1182" t="str">
        <f t="shared" si="49"/>
        <v>543</v>
      </c>
      <c r="E1182" t="str">
        <f t="shared" si="50"/>
        <v>0007</v>
      </c>
      <c r="F1182" t="str">
        <f t="shared" si="51"/>
        <v>2.037</v>
      </c>
      <c r="G1182" t="str">
        <f t="shared" si="52"/>
        <v>3.3.50.39.00</v>
      </c>
      <c r="H1182" t="s">
        <v>1222</v>
      </c>
      <c r="I1182" t="str">
        <f t="shared" si="58"/>
        <v>11 - SECRETARIA DE SERVIÇOS E OBRAS</v>
      </c>
      <c r="J1182" t="s">
        <v>20</v>
      </c>
      <c r="K1182" t="str">
        <f t="shared" si="53"/>
        <v>18-GESTÃO AMBIENTAL</v>
      </c>
      <c r="L1182" t="str">
        <f t="shared" si="54"/>
        <v>543-RECUPERAÇÃO DE ÁREAS DEGRADADAS</v>
      </c>
      <c r="M1182" t="str">
        <f t="shared" si="55"/>
        <v>0007-Meio Ambiente, Sustentabilidade e Bem-Estar Animal​</v>
      </c>
      <c r="N1182" t="str">
        <f t="shared" si="56"/>
        <v>2.037-Ampliação e Manutenção de Áreas Verdes</v>
      </c>
      <c r="O1182" t="str">
        <f t="shared" si="57"/>
        <v>3.3.50.39.00-OUTROS SERVIÇOS DE TERCEIROS - PESSOA JURÍDICA</v>
      </c>
      <c r="R1182" s="25">
        <v>0</v>
      </c>
      <c r="S1182" t="s">
        <v>1035</v>
      </c>
    </row>
    <row r="1183" spans="1:19" x14ac:dyDescent="0.25">
      <c r="A1183" t="str">
        <f t="shared" si="46"/>
        <v>11</v>
      </c>
      <c r="B1183" t="str">
        <f t="shared" si="47"/>
        <v>001</v>
      </c>
      <c r="C1183" t="str">
        <f t="shared" si="48"/>
        <v>18</v>
      </c>
      <c r="D1183" t="str">
        <f t="shared" si="49"/>
        <v>543</v>
      </c>
      <c r="E1183" t="str">
        <f t="shared" si="50"/>
        <v>0007</v>
      </c>
      <c r="F1183" t="str">
        <f t="shared" si="51"/>
        <v>2.037</v>
      </c>
      <c r="G1183" t="str">
        <f t="shared" si="52"/>
        <v>3.3.90.39.00</v>
      </c>
      <c r="H1183" t="s">
        <v>1223</v>
      </c>
      <c r="I1183" t="str">
        <f t="shared" si="58"/>
        <v>11 - SECRETARIA DE SERVIÇOS E OBRAS</v>
      </c>
      <c r="J1183" t="s">
        <v>20</v>
      </c>
      <c r="K1183" t="str">
        <f t="shared" si="53"/>
        <v>18-GESTÃO AMBIENTAL</v>
      </c>
      <c r="L1183" t="str">
        <f t="shared" si="54"/>
        <v>543-RECUPERAÇÃO DE ÁREAS DEGRADADAS</v>
      </c>
      <c r="M1183" t="str">
        <f t="shared" si="55"/>
        <v>0007-Meio Ambiente, Sustentabilidade e Bem-Estar Animal​</v>
      </c>
      <c r="N1183" t="str">
        <f t="shared" si="56"/>
        <v>2.037-Ampliação e Manutenção de Áreas Verdes</v>
      </c>
      <c r="O1183" t="str">
        <f t="shared" si="57"/>
        <v>3.3.90.39.00-OUTROS SERVIÇOS DE TERCEIROS - PESSOA JURÍDICA</v>
      </c>
      <c r="R1183" s="25">
        <v>58470749.880000003</v>
      </c>
      <c r="S1183" t="s">
        <v>1035</v>
      </c>
    </row>
    <row r="1184" spans="1:19" x14ac:dyDescent="0.25">
      <c r="A1184" t="str">
        <f t="shared" si="46"/>
        <v>11</v>
      </c>
      <c r="B1184" t="str">
        <f t="shared" si="47"/>
        <v>001</v>
      </c>
      <c r="C1184" t="str">
        <f t="shared" si="48"/>
        <v>18</v>
      </c>
      <c r="D1184" t="str">
        <f t="shared" si="49"/>
        <v>544</v>
      </c>
      <c r="E1184" t="str">
        <f t="shared" si="50"/>
        <v>0005</v>
      </c>
      <c r="F1184" t="str">
        <f t="shared" si="51"/>
        <v>2.035</v>
      </c>
      <c r="G1184" t="str">
        <f t="shared" si="52"/>
        <v>3.3.90.39.00</v>
      </c>
      <c r="H1184" t="s">
        <v>1224</v>
      </c>
      <c r="I1184" t="str">
        <f t="shared" si="58"/>
        <v>11 - SECRETARIA DE SERVIÇOS E OBRAS</v>
      </c>
      <c r="J1184" t="s">
        <v>20</v>
      </c>
      <c r="K1184" t="str">
        <f t="shared" si="53"/>
        <v>18-GESTÃO AMBIENTAL</v>
      </c>
      <c r="L1184" t="str">
        <f t="shared" si="54"/>
        <v>544-RECURSOS HÍDRICOS</v>
      </c>
      <c r="M1184" t="str">
        <f t="shared" si="55"/>
        <v>0005-Resiliência Urbana​</v>
      </c>
      <c r="N1184" t="str">
        <f t="shared" si="56"/>
        <v xml:space="preserve">2.035-Manutenção e Serviços de Drenagem Urbana </v>
      </c>
      <c r="O1184" t="str">
        <f t="shared" si="57"/>
        <v>3.3.90.39.00-OUTROS SERVIÇOS DE TERCEIROS - PESSOA JURÍDICA</v>
      </c>
      <c r="R1184" s="25">
        <v>34137842.25</v>
      </c>
      <c r="S1184" t="s">
        <v>1035</v>
      </c>
    </row>
    <row r="1185" spans="1:19" x14ac:dyDescent="0.25">
      <c r="A1185" t="str">
        <f t="shared" si="46"/>
        <v>11</v>
      </c>
      <c r="B1185" t="str">
        <f t="shared" si="47"/>
        <v>008</v>
      </c>
      <c r="C1185" t="str">
        <f t="shared" si="48"/>
        <v>17</v>
      </c>
      <c r="D1185" t="str">
        <f t="shared" si="49"/>
        <v>452</v>
      </c>
      <c r="E1185" t="str">
        <f t="shared" si="50"/>
        <v>0007</v>
      </c>
      <c r="F1185" t="str">
        <f t="shared" si="51"/>
        <v>2.039</v>
      </c>
      <c r="G1185" t="str">
        <f t="shared" si="52"/>
        <v>3.3.90.39.00</v>
      </c>
      <c r="H1185" t="s">
        <v>1225</v>
      </c>
      <c r="I1185" t="str">
        <f t="shared" si="58"/>
        <v>11 - SECRETARIA DE SERVIÇOS E OBRAS</v>
      </c>
      <c r="J1185" t="s">
        <v>355</v>
      </c>
      <c r="K1185" t="str">
        <f t="shared" si="53"/>
        <v>17-SANEAMENTO</v>
      </c>
      <c r="L1185" t="str">
        <f t="shared" si="54"/>
        <v>452-SERVIÇOS URBNOS</v>
      </c>
      <c r="M1185" t="str">
        <f t="shared" si="55"/>
        <v>0007-Meio Ambiente, Sustentabilidade e Bem-Estar Animal​</v>
      </c>
      <c r="N1185" t="str">
        <f t="shared" si="56"/>
        <v xml:space="preserve">2.039-Limpeza Urbana e Gestão de Resíduos Sólidos </v>
      </c>
      <c r="O1185" t="str">
        <f t="shared" si="57"/>
        <v>3.3.90.39.00-OUTROS SERVIÇOS DE TERCEIROS - PESSOA JURÍDICA</v>
      </c>
      <c r="R1185" s="25">
        <v>137610322.99000001</v>
      </c>
      <c r="S1185" t="s">
        <v>1035</v>
      </c>
    </row>
    <row r="1186" spans="1:19" x14ac:dyDescent="0.25">
      <c r="A1186" t="str">
        <f t="shared" si="46"/>
        <v>11</v>
      </c>
      <c r="B1186" t="str">
        <f t="shared" si="47"/>
        <v>008</v>
      </c>
      <c r="C1186" t="str">
        <f t="shared" si="48"/>
        <v>17</v>
      </c>
      <c r="D1186" t="str">
        <f t="shared" si="49"/>
        <v>452</v>
      </c>
      <c r="E1186" t="str">
        <f t="shared" si="50"/>
        <v>0007</v>
      </c>
      <c r="F1186" t="str">
        <f t="shared" si="51"/>
        <v>2.039</v>
      </c>
      <c r="G1186" t="str">
        <f t="shared" si="52"/>
        <v>4.4.90.51.00</v>
      </c>
      <c r="H1186" t="s">
        <v>1226</v>
      </c>
      <c r="I1186" t="str">
        <f t="shared" si="58"/>
        <v>11 - SECRETARIA DE SERVIÇOS E OBRAS</v>
      </c>
      <c r="J1186" t="s">
        <v>355</v>
      </c>
      <c r="K1186" t="str">
        <f t="shared" si="53"/>
        <v>17-SANEAMENTO</v>
      </c>
      <c r="L1186" t="str">
        <f t="shared" si="54"/>
        <v>452-SERVIÇOS URBNOS</v>
      </c>
      <c r="M1186" t="str">
        <f t="shared" si="55"/>
        <v>0007-Meio Ambiente, Sustentabilidade e Bem-Estar Animal​</v>
      </c>
      <c r="N1186" t="str">
        <f t="shared" si="56"/>
        <v xml:space="preserve">2.039-Limpeza Urbana e Gestão de Resíduos Sólidos </v>
      </c>
      <c r="O1186" t="str">
        <f t="shared" si="57"/>
        <v>4.4.90.51.00-OBRAS E INSTALAÇÕES</v>
      </c>
      <c r="R1186" s="25">
        <v>0</v>
      </c>
      <c r="S1186" t="s">
        <v>1035</v>
      </c>
    </row>
    <row r="1187" spans="1:19" x14ac:dyDescent="0.25">
      <c r="A1187" t="str">
        <f t="shared" ref="A1187:A1250" si="59">LEFT(H1187,2)</f>
        <v>11</v>
      </c>
      <c r="B1187" t="str">
        <f t="shared" ref="B1187:B1250" si="60">MID(H1187,4,3)</f>
        <v>014</v>
      </c>
      <c r="C1187" t="str">
        <f t="shared" ref="C1187:C1250" si="61">MID(H1187,8,2)</f>
        <v>04</v>
      </c>
      <c r="D1187" t="str">
        <f t="shared" ref="D1187:D1250" si="62">MID(H1187,11,3)</f>
        <v>122</v>
      </c>
      <c r="E1187" t="str">
        <f t="shared" ref="E1187:E1250" si="63">MID(H1187,15,4)</f>
        <v>0011</v>
      </c>
      <c r="F1187" t="str">
        <f t="shared" ref="F1187:F1250" si="64">MID(H1187,20,5)</f>
        <v>2.011</v>
      </c>
      <c r="G1187" t="str">
        <f t="shared" ref="G1187:G1250" si="65">MID(H1187,26,12)</f>
        <v>3.3.90.30.00</v>
      </c>
      <c r="H1187" t="s">
        <v>1227</v>
      </c>
      <c r="I1187" t="str">
        <f t="shared" si="58"/>
        <v>11 - SECRETARIA DE SERVIÇOS E OBRAS</v>
      </c>
      <c r="J1187" t="s">
        <v>474</v>
      </c>
      <c r="K1187" t="str">
        <f t="shared" ref="K1187:K1250" si="66">VLOOKUP(C1187,$C$1:$O$994,9,0)</f>
        <v>4-ADMINISTRAÇÃO</v>
      </c>
      <c r="L1187" t="str">
        <f t="shared" ref="L1187:L1250" si="67">VLOOKUP(D1187,$D$1:$O$994,9,0)</f>
        <v>122-ADMINISTRAÇÃO GERAL</v>
      </c>
      <c r="M1187" t="str">
        <f t="shared" ref="M1187:M1250" si="68">VLOOKUP(E1187,$E$1:$O$994,9,0)</f>
        <v>0011-Zeladoria Urbana e Cuidados com a Cidade​</v>
      </c>
      <c r="N1187" t="str">
        <f t="shared" ref="N1187:N1250" si="69">VLOOKUP(F1187,$F$1:$O$994,9,0)</f>
        <v xml:space="preserve">2.011-Manutenção de Equipamentos Públicos </v>
      </c>
      <c r="O1187" t="str">
        <f t="shared" ref="O1187:O1250" si="70">VLOOKUP(G1187,$G$1:$O$994,9,0)</f>
        <v>3.3.90.30.00-MATERIAL DE CONSUMO</v>
      </c>
      <c r="R1187" s="25">
        <v>826510.59000000008</v>
      </c>
      <c r="S1187" t="s">
        <v>1035</v>
      </c>
    </row>
    <row r="1188" spans="1:19" x14ac:dyDescent="0.25">
      <c r="A1188" t="str">
        <f t="shared" si="59"/>
        <v>11</v>
      </c>
      <c r="B1188" t="str">
        <f t="shared" si="60"/>
        <v>014</v>
      </c>
      <c r="C1188" t="str">
        <f t="shared" si="61"/>
        <v>04</v>
      </c>
      <c r="D1188" t="str">
        <f t="shared" si="62"/>
        <v>122</v>
      </c>
      <c r="E1188" t="str">
        <f t="shared" si="63"/>
        <v>0011</v>
      </c>
      <c r="F1188" t="str">
        <f t="shared" si="64"/>
        <v>2.011</v>
      </c>
      <c r="G1188" t="str">
        <f t="shared" si="65"/>
        <v>3.3.90.39.00</v>
      </c>
      <c r="H1188" t="s">
        <v>1228</v>
      </c>
      <c r="I1188" t="str">
        <f t="shared" si="58"/>
        <v>11 - SECRETARIA DE SERVIÇOS E OBRAS</v>
      </c>
      <c r="J1188" t="s">
        <v>474</v>
      </c>
      <c r="K1188" t="str">
        <f t="shared" si="66"/>
        <v>4-ADMINISTRAÇÃO</v>
      </c>
      <c r="L1188" t="str">
        <f t="shared" si="67"/>
        <v>122-ADMINISTRAÇÃO GERAL</v>
      </c>
      <c r="M1188" t="str">
        <f t="shared" si="68"/>
        <v>0011-Zeladoria Urbana e Cuidados com a Cidade​</v>
      </c>
      <c r="N1188" t="str">
        <f t="shared" si="69"/>
        <v xml:space="preserve">2.011-Manutenção de Equipamentos Públicos </v>
      </c>
      <c r="O1188" t="str">
        <f t="shared" si="70"/>
        <v>3.3.90.39.00-OUTROS SERVIÇOS DE TERCEIROS - PESSOA JURÍDICA</v>
      </c>
      <c r="R1188" s="25">
        <v>299828</v>
      </c>
      <c r="S1188" t="s">
        <v>1035</v>
      </c>
    </row>
    <row r="1189" spans="1:19" x14ac:dyDescent="0.25">
      <c r="A1189" t="str">
        <f t="shared" si="59"/>
        <v>11</v>
      </c>
      <c r="B1189" t="str">
        <f t="shared" si="60"/>
        <v>014</v>
      </c>
      <c r="C1189" t="str">
        <f t="shared" si="61"/>
        <v>04</v>
      </c>
      <c r="D1189" t="str">
        <f t="shared" si="62"/>
        <v>122</v>
      </c>
      <c r="E1189" t="str">
        <f t="shared" si="63"/>
        <v>0011</v>
      </c>
      <c r="F1189" t="str">
        <f t="shared" si="64"/>
        <v>2.011</v>
      </c>
      <c r="G1189" t="str">
        <f t="shared" si="65"/>
        <v>4.4.90.52.00</v>
      </c>
      <c r="H1189" t="s">
        <v>1229</v>
      </c>
      <c r="I1189" t="str">
        <f t="shared" si="58"/>
        <v>11 - SECRETARIA DE SERVIÇOS E OBRAS</v>
      </c>
      <c r="J1189" t="s">
        <v>474</v>
      </c>
      <c r="K1189" t="str">
        <f t="shared" si="66"/>
        <v>4-ADMINISTRAÇÃO</v>
      </c>
      <c r="L1189" t="str">
        <f t="shared" si="67"/>
        <v>122-ADMINISTRAÇÃO GERAL</v>
      </c>
      <c r="M1189" t="str">
        <f t="shared" si="68"/>
        <v>0011-Zeladoria Urbana e Cuidados com a Cidade​</v>
      </c>
      <c r="N1189" t="str">
        <f t="shared" si="69"/>
        <v xml:space="preserve">2.011-Manutenção de Equipamentos Públicos </v>
      </c>
      <c r="O1189" t="str">
        <f t="shared" si="70"/>
        <v>4.4.90.52.00-EQUIPAMENTOS E MATERIAL PERMANENTE</v>
      </c>
      <c r="R1189" s="25">
        <v>187038</v>
      </c>
      <c r="S1189" t="s">
        <v>1035</v>
      </c>
    </row>
    <row r="1190" spans="1:19" x14ac:dyDescent="0.25">
      <c r="A1190" t="str">
        <f t="shared" si="59"/>
        <v>11</v>
      </c>
      <c r="B1190" t="str">
        <f t="shared" si="60"/>
        <v>014</v>
      </c>
      <c r="C1190" t="str">
        <f t="shared" si="61"/>
        <v>04</v>
      </c>
      <c r="D1190" t="str">
        <f t="shared" si="62"/>
        <v>122</v>
      </c>
      <c r="E1190" t="str">
        <f t="shared" si="63"/>
        <v>0011</v>
      </c>
      <c r="F1190" t="str">
        <f t="shared" si="64"/>
        <v>2.011</v>
      </c>
      <c r="G1190" t="str">
        <f t="shared" si="65"/>
        <v>4.5.90.62.00</v>
      </c>
      <c r="H1190" t="s">
        <v>1230</v>
      </c>
      <c r="I1190" t="str">
        <f t="shared" si="58"/>
        <v>11 - SECRETARIA DE SERVIÇOS E OBRAS</v>
      </c>
      <c r="J1190" t="s">
        <v>474</v>
      </c>
      <c r="K1190" t="str">
        <f t="shared" si="66"/>
        <v>4-ADMINISTRAÇÃO</v>
      </c>
      <c r="L1190" t="str">
        <f t="shared" si="67"/>
        <v>122-ADMINISTRAÇÃO GERAL</v>
      </c>
      <c r="M1190" t="str">
        <f t="shared" si="68"/>
        <v>0011-Zeladoria Urbana e Cuidados com a Cidade​</v>
      </c>
      <c r="N1190" t="str">
        <f t="shared" si="69"/>
        <v xml:space="preserve">2.011-Manutenção de Equipamentos Públicos </v>
      </c>
      <c r="O1190" t="str">
        <f t="shared" si="70"/>
        <v>4.5.90.62.00-AQUISIÇÃO DE PRODUTOS PARA REVENDA</v>
      </c>
      <c r="R1190" s="25">
        <v>1200001</v>
      </c>
      <c r="S1190" t="s">
        <v>1035</v>
      </c>
    </row>
    <row r="1191" spans="1:19" x14ac:dyDescent="0.25">
      <c r="A1191" t="str">
        <f t="shared" si="59"/>
        <v>11</v>
      </c>
      <c r="B1191" t="str">
        <f t="shared" si="60"/>
        <v>014</v>
      </c>
      <c r="C1191" t="str">
        <f t="shared" si="61"/>
        <v>18</v>
      </c>
      <c r="D1191" t="str">
        <f t="shared" si="62"/>
        <v>543</v>
      </c>
      <c r="E1191" t="str">
        <f t="shared" si="63"/>
        <v>0007</v>
      </c>
      <c r="F1191" t="str">
        <f t="shared" si="64"/>
        <v>2.037</v>
      </c>
      <c r="G1191" t="str">
        <f t="shared" si="65"/>
        <v>3.3.90.39.00</v>
      </c>
      <c r="H1191" t="s">
        <v>1231</v>
      </c>
      <c r="I1191" t="str">
        <f t="shared" si="58"/>
        <v>11 - SECRETARIA DE SERVIÇOS E OBRAS</v>
      </c>
      <c r="J1191" t="s">
        <v>474</v>
      </c>
      <c r="K1191" t="str">
        <f t="shared" si="66"/>
        <v>18-GESTÃO AMBIENTAL</v>
      </c>
      <c r="L1191" t="str">
        <f t="shared" si="67"/>
        <v>543-RECUPERAÇÃO DE ÁREAS DEGRADADAS</v>
      </c>
      <c r="M1191" t="str">
        <f t="shared" si="68"/>
        <v>0007-Meio Ambiente, Sustentabilidade e Bem-Estar Animal​</v>
      </c>
      <c r="N1191" t="str">
        <f t="shared" si="69"/>
        <v>2.037-Ampliação e Manutenção de Áreas Verdes</v>
      </c>
      <c r="O1191" t="str">
        <f t="shared" si="70"/>
        <v>3.3.90.39.00-OUTROS SERVIÇOS DE TERCEIROS - PESSOA JURÍDICA</v>
      </c>
      <c r="R1191" s="25">
        <v>0</v>
      </c>
      <c r="S1191" t="s">
        <v>1035</v>
      </c>
    </row>
    <row r="1192" spans="1:19" x14ac:dyDescent="0.25">
      <c r="A1192" t="str">
        <f t="shared" si="59"/>
        <v>12</v>
      </c>
      <c r="B1192" t="str">
        <f t="shared" si="60"/>
        <v>001</v>
      </c>
      <c r="C1192" t="str">
        <f t="shared" si="61"/>
        <v>04</v>
      </c>
      <c r="D1192" t="str">
        <f t="shared" si="62"/>
        <v>122</v>
      </c>
      <c r="E1192" t="str">
        <f t="shared" si="63"/>
        <v>0001</v>
      </c>
      <c r="F1192" t="str">
        <f t="shared" si="64"/>
        <v>2.006</v>
      </c>
      <c r="G1192" t="str">
        <f t="shared" si="65"/>
        <v>3.3.90.33.00</v>
      </c>
      <c r="H1192" t="s">
        <v>1232</v>
      </c>
      <c r="I1192" t="str">
        <f t="shared" si="58"/>
        <v>12 - SECRETARIA DE ESPORTE, RECREAÇÃO E LAZER</v>
      </c>
      <c r="J1192" t="s">
        <v>20</v>
      </c>
      <c r="K1192" t="str">
        <f t="shared" si="66"/>
        <v>4-ADMINISTRAÇÃO</v>
      </c>
      <c r="L1192" t="str">
        <f t="shared" si="67"/>
        <v>122-ADMINISTRAÇÃO GERAL</v>
      </c>
      <c r="M1192" t="str">
        <f t="shared" si="68"/>
        <v>0001-Administração e Coordenação Geral​</v>
      </c>
      <c r="N1192" t="str">
        <f t="shared" si="69"/>
        <v xml:space="preserve">2.006-Representações Oficiais </v>
      </c>
      <c r="O1192" t="str">
        <f t="shared" si="70"/>
        <v>3.3.90.33.00-PASSAGENS E DESPESAS COM LOCOMOÇÃO</v>
      </c>
      <c r="R1192" s="25">
        <v>1</v>
      </c>
      <c r="S1192" t="s">
        <v>1035</v>
      </c>
    </row>
    <row r="1193" spans="1:19" x14ac:dyDescent="0.25">
      <c r="A1193" t="str">
        <f t="shared" si="59"/>
        <v>12</v>
      </c>
      <c r="B1193" t="str">
        <f t="shared" si="60"/>
        <v>001</v>
      </c>
      <c r="C1193" t="str">
        <f t="shared" si="61"/>
        <v>04</v>
      </c>
      <c r="D1193" t="str">
        <f t="shared" si="62"/>
        <v>122</v>
      </c>
      <c r="E1193" t="str">
        <f t="shared" si="63"/>
        <v>0001</v>
      </c>
      <c r="F1193" t="str">
        <f t="shared" si="64"/>
        <v>2.006</v>
      </c>
      <c r="G1193" t="str">
        <f t="shared" si="65"/>
        <v>3.3.90.39.00</v>
      </c>
      <c r="H1193" t="s">
        <v>1233</v>
      </c>
      <c r="I1193" t="str">
        <f t="shared" si="58"/>
        <v>12 - SECRETARIA DE ESPORTE, RECREAÇÃO E LAZER</v>
      </c>
      <c r="J1193" t="s">
        <v>20</v>
      </c>
      <c r="K1193" t="str">
        <f t="shared" si="66"/>
        <v>4-ADMINISTRAÇÃO</v>
      </c>
      <c r="L1193" t="str">
        <f t="shared" si="67"/>
        <v>122-ADMINISTRAÇÃO GERAL</v>
      </c>
      <c r="M1193" t="str">
        <f t="shared" si="68"/>
        <v>0001-Administração e Coordenação Geral​</v>
      </c>
      <c r="N1193" t="str">
        <f t="shared" si="69"/>
        <v xml:space="preserve">2.006-Representações Oficiais </v>
      </c>
      <c r="O1193" t="str">
        <f t="shared" si="70"/>
        <v>3.3.90.39.00-OUTROS SERVIÇOS DE TERCEIROS - PESSOA JURÍDICA</v>
      </c>
      <c r="R1193" s="25">
        <v>1</v>
      </c>
      <c r="S1193" t="s">
        <v>1035</v>
      </c>
    </row>
    <row r="1194" spans="1:19" x14ac:dyDescent="0.25">
      <c r="A1194" t="str">
        <f t="shared" si="59"/>
        <v>12</v>
      </c>
      <c r="B1194" t="str">
        <f t="shared" si="60"/>
        <v>001</v>
      </c>
      <c r="C1194" t="str">
        <f t="shared" si="61"/>
        <v>04</v>
      </c>
      <c r="D1194" t="str">
        <f t="shared" si="62"/>
        <v>128</v>
      </c>
      <c r="E1194" t="str">
        <f t="shared" si="63"/>
        <v>0002</v>
      </c>
      <c r="F1194" t="str">
        <f t="shared" si="64"/>
        <v>2.003</v>
      </c>
      <c r="G1194" t="str">
        <f t="shared" si="65"/>
        <v>3.3.90.30.00</v>
      </c>
      <c r="H1194" t="s">
        <v>1234</v>
      </c>
      <c r="I1194" t="str">
        <f t="shared" si="58"/>
        <v>12 - SECRETARIA DE ESPORTE, RECREAÇÃO E LAZER</v>
      </c>
      <c r="J1194" t="s">
        <v>20</v>
      </c>
      <c r="K1194" t="str">
        <f t="shared" si="66"/>
        <v>4-ADMINISTRAÇÃO</v>
      </c>
      <c r="L1194" t="str">
        <f t="shared" si="67"/>
        <v>128-FORMAÇÃO DE RECURSOS HUMANOS</v>
      </c>
      <c r="M1194" t="str">
        <f t="shared" si="68"/>
        <v>0002-Governo Inteligente, Aberto e Inovador​</v>
      </c>
      <c r="N1194" t="str">
        <f t="shared" si="69"/>
        <v>2.003-Qualificação de Servidores e Processos Institucionais</v>
      </c>
      <c r="O1194" t="str">
        <f t="shared" si="70"/>
        <v>3.3.90.30.00-MATERIAL DE CONSUMO</v>
      </c>
      <c r="R1194" s="25">
        <v>1</v>
      </c>
      <c r="S1194" t="s">
        <v>1035</v>
      </c>
    </row>
    <row r="1195" spans="1:19" x14ac:dyDescent="0.25">
      <c r="A1195" t="str">
        <f t="shared" si="59"/>
        <v>12</v>
      </c>
      <c r="B1195" t="str">
        <f t="shared" si="60"/>
        <v>001</v>
      </c>
      <c r="C1195" t="str">
        <f t="shared" si="61"/>
        <v>04</v>
      </c>
      <c r="D1195" t="str">
        <f t="shared" si="62"/>
        <v>128</v>
      </c>
      <c r="E1195" t="str">
        <f t="shared" si="63"/>
        <v>0002</v>
      </c>
      <c r="F1195" t="str">
        <f t="shared" si="64"/>
        <v>2.003</v>
      </c>
      <c r="G1195" t="str">
        <f t="shared" si="65"/>
        <v>3.3.90.36.00</v>
      </c>
      <c r="H1195" t="s">
        <v>1235</v>
      </c>
      <c r="I1195" t="str">
        <f t="shared" si="58"/>
        <v>12 - SECRETARIA DE ESPORTE, RECREAÇÃO E LAZER</v>
      </c>
      <c r="J1195" t="s">
        <v>20</v>
      </c>
      <c r="K1195" t="str">
        <f t="shared" si="66"/>
        <v>4-ADMINISTRAÇÃO</v>
      </c>
      <c r="L1195" t="str">
        <f t="shared" si="67"/>
        <v>128-FORMAÇÃO DE RECURSOS HUMANOS</v>
      </c>
      <c r="M1195" t="str">
        <f t="shared" si="68"/>
        <v>0002-Governo Inteligente, Aberto e Inovador​</v>
      </c>
      <c r="N1195" t="str">
        <f t="shared" si="69"/>
        <v>2.003-Qualificação de Servidores e Processos Institucionais</v>
      </c>
      <c r="O1195" t="str">
        <f t="shared" si="70"/>
        <v>3.3.90.36.00-OUTROS SERVIÇOS DE TERCEIROS - PESSOA FÍSICA</v>
      </c>
      <c r="R1195" s="25">
        <v>1</v>
      </c>
      <c r="S1195" t="s">
        <v>1035</v>
      </c>
    </row>
    <row r="1196" spans="1:19" x14ac:dyDescent="0.25">
      <c r="A1196" t="str">
        <f t="shared" si="59"/>
        <v>12</v>
      </c>
      <c r="B1196" t="str">
        <f t="shared" si="60"/>
        <v>001</v>
      </c>
      <c r="C1196" t="str">
        <f t="shared" si="61"/>
        <v>04</v>
      </c>
      <c r="D1196" t="str">
        <f t="shared" si="62"/>
        <v>128</v>
      </c>
      <c r="E1196" t="str">
        <f t="shared" si="63"/>
        <v>0002</v>
      </c>
      <c r="F1196" t="str">
        <f t="shared" si="64"/>
        <v>2.003</v>
      </c>
      <c r="G1196" t="str">
        <f t="shared" si="65"/>
        <v>3.3.90.39.00</v>
      </c>
      <c r="H1196" t="s">
        <v>1236</v>
      </c>
      <c r="I1196" t="str">
        <f t="shared" si="58"/>
        <v>12 - SECRETARIA DE ESPORTE, RECREAÇÃO E LAZER</v>
      </c>
      <c r="J1196" t="s">
        <v>20</v>
      </c>
      <c r="K1196" t="str">
        <f t="shared" si="66"/>
        <v>4-ADMINISTRAÇÃO</v>
      </c>
      <c r="L1196" t="str">
        <f t="shared" si="67"/>
        <v>128-FORMAÇÃO DE RECURSOS HUMANOS</v>
      </c>
      <c r="M1196" t="str">
        <f t="shared" si="68"/>
        <v>0002-Governo Inteligente, Aberto e Inovador​</v>
      </c>
      <c r="N1196" t="str">
        <f t="shared" si="69"/>
        <v>2.003-Qualificação de Servidores e Processos Institucionais</v>
      </c>
      <c r="O1196" t="str">
        <f t="shared" si="70"/>
        <v>3.3.90.39.00-OUTROS SERVIÇOS DE TERCEIROS - PESSOA JURÍDICA</v>
      </c>
      <c r="R1196" s="25">
        <v>1</v>
      </c>
      <c r="S1196" t="s">
        <v>1035</v>
      </c>
    </row>
    <row r="1197" spans="1:19" x14ac:dyDescent="0.25">
      <c r="A1197" t="str">
        <f t="shared" si="59"/>
        <v>12</v>
      </c>
      <c r="B1197" t="str">
        <f t="shared" si="60"/>
        <v>001</v>
      </c>
      <c r="C1197" t="str">
        <f t="shared" si="61"/>
        <v>04</v>
      </c>
      <c r="D1197" t="str">
        <f t="shared" si="62"/>
        <v>131</v>
      </c>
      <c r="E1197" t="str">
        <f t="shared" si="63"/>
        <v>0002</v>
      </c>
      <c r="F1197" t="str">
        <f t="shared" si="64"/>
        <v>2.005</v>
      </c>
      <c r="G1197" t="str">
        <f t="shared" si="65"/>
        <v>3.3.90.30.00</v>
      </c>
      <c r="H1197" t="s">
        <v>1237</v>
      </c>
      <c r="I1197" t="str">
        <f t="shared" si="58"/>
        <v>12 - SECRETARIA DE ESPORTE, RECREAÇÃO E LAZER</v>
      </c>
      <c r="J1197" t="s">
        <v>20</v>
      </c>
      <c r="K1197" t="str">
        <f t="shared" si="66"/>
        <v>4-ADMINISTRAÇÃO</v>
      </c>
      <c r="L1197" t="str">
        <f t="shared" si="67"/>
        <v>131-COMUNICAÇÃO SOCIAL</v>
      </c>
      <c r="M1197" t="str">
        <f t="shared" si="68"/>
        <v>0002-Governo Inteligente, Aberto e Inovador​</v>
      </c>
      <c r="N1197" t="str">
        <f t="shared" si="69"/>
        <v xml:space="preserve">2.005-Promoção de Eventos, Comunicação e Participação Social </v>
      </c>
      <c r="O1197" t="str">
        <f t="shared" si="70"/>
        <v>3.3.90.30.00-MATERIAL DE CONSUMO</v>
      </c>
      <c r="R1197" s="25">
        <v>140954.9541</v>
      </c>
      <c r="S1197" t="s">
        <v>1035</v>
      </c>
    </row>
    <row r="1198" spans="1:19" x14ac:dyDescent="0.25">
      <c r="A1198" t="str">
        <f t="shared" si="59"/>
        <v>12</v>
      </c>
      <c r="B1198" t="str">
        <f t="shared" si="60"/>
        <v>001</v>
      </c>
      <c r="C1198" t="str">
        <f t="shared" si="61"/>
        <v>04</v>
      </c>
      <c r="D1198" t="str">
        <f t="shared" si="62"/>
        <v>131</v>
      </c>
      <c r="E1198" t="str">
        <f t="shared" si="63"/>
        <v>0002</v>
      </c>
      <c r="F1198" t="str">
        <f t="shared" si="64"/>
        <v>2.005</v>
      </c>
      <c r="G1198" t="str">
        <f t="shared" si="65"/>
        <v>3.3.90.39.00</v>
      </c>
      <c r="H1198" t="s">
        <v>1238</v>
      </c>
      <c r="I1198" t="str">
        <f t="shared" si="58"/>
        <v>12 - SECRETARIA DE ESPORTE, RECREAÇÃO E LAZER</v>
      </c>
      <c r="J1198" t="s">
        <v>20</v>
      </c>
      <c r="K1198" t="str">
        <f t="shared" si="66"/>
        <v>4-ADMINISTRAÇÃO</v>
      </c>
      <c r="L1198" t="str">
        <f t="shared" si="67"/>
        <v>131-COMUNICAÇÃO SOCIAL</v>
      </c>
      <c r="M1198" t="str">
        <f t="shared" si="68"/>
        <v>0002-Governo Inteligente, Aberto e Inovador​</v>
      </c>
      <c r="N1198" t="str">
        <f t="shared" si="69"/>
        <v xml:space="preserve">2.005-Promoção de Eventos, Comunicação e Participação Social </v>
      </c>
      <c r="O1198" t="str">
        <f t="shared" si="70"/>
        <v>3.3.90.39.00-OUTROS SERVIÇOS DE TERCEIROS - PESSOA JURÍDICA</v>
      </c>
      <c r="R1198" s="25">
        <v>86209.892400000012</v>
      </c>
      <c r="S1198" t="s">
        <v>1035</v>
      </c>
    </row>
    <row r="1199" spans="1:19" x14ac:dyDescent="0.25">
      <c r="A1199" t="str">
        <f t="shared" si="59"/>
        <v>12</v>
      </c>
      <c r="B1199" t="str">
        <f t="shared" si="60"/>
        <v>001</v>
      </c>
      <c r="C1199" t="str">
        <f t="shared" si="61"/>
        <v>27</v>
      </c>
      <c r="D1199" t="str">
        <f t="shared" si="62"/>
        <v>811</v>
      </c>
      <c r="E1199" t="str">
        <f t="shared" si="63"/>
        <v>0010</v>
      </c>
      <c r="F1199" t="str">
        <f t="shared" si="64"/>
        <v>2.030</v>
      </c>
      <c r="G1199" t="str">
        <f t="shared" si="65"/>
        <v>3.3.50.39.00</v>
      </c>
      <c r="H1199" t="s">
        <v>1239</v>
      </c>
      <c r="I1199" t="str">
        <f t="shared" si="58"/>
        <v>12 - SECRETARIA DE ESPORTE, RECREAÇÃO E LAZER</v>
      </c>
      <c r="J1199" t="s">
        <v>20</v>
      </c>
      <c r="K1199" t="str">
        <f t="shared" si="66"/>
        <v>27-DESPORTO E LAZER</v>
      </c>
      <c r="L1199" t="str">
        <f t="shared" si="67"/>
        <v>811-DESPORTO DE RENDIMENTO</v>
      </c>
      <c r="M1199" t="str">
        <f t="shared" si="68"/>
        <v>0010-Esporte, Lazer e Bem-Estar​</v>
      </c>
      <c r="N1199" t="str">
        <f t="shared" si="69"/>
        <v>2.030-Apoio ao Esporte de Alto Rendimento</v>
      </c>
      <c r="O1199" t="str">
        <f t="shared" si="70"/>
        <v>3.3.50.39.00-OUTROS SERVIÇOS DE TERCEIROS - PESSOA JURÍDICA</v>
      </c>
      <c r="R1199" s="25">
        <v>0</v>
      </c>
      <c r="S1199" t="s">
        <v>1035</v>
      </c>
    </row>
    <row r="1200" spans="1:19" x14ac:dyDescent="0.25">
      <c r="A1200" t="str">
        <f t="shared" si="59"/>
        <v>12</v>
      </c>
      <c r="B1200" t="str">
        <f t="shared" si="60"/>
        <v>001</v>
      </c>
      <c r="C1200" t="str">
        <f t="shared" si="61"/>
        <v>27</v>
      </c>
      <c r="D1200" t="str">
        <f t="shared" si="62"/>
        <v>811</v>
      </c>
      <c r="E1200" t="str">
        <f t="shared" si="63"/>
        <v>0010</v>
      </c>
      <c r="F1200" t="str">
        <f t="shared" si="64"/>
        <v>2.030</v>
      </c>
      <c r="G1200" t="str">
        <f t="shared" si="65"/>
        <v>3.3.90.30.00</v>
      </c>
      <c r="H1200" t="s">
        <v>1240</v>
      </c>
      <c r="I1200" t="str">
        <f t="shared" si="58"/>
        <v>12 - SECRETARIA DE ESPORTE, RECREAÇÃO E LAZER</v>
      </c>
      <c r="J1200" t="s">
        <v>20</v>
      </c>
      <c r="K1200" t="str">
        <f t="shared" si="66"/>
        <v>27-DESPORTO E LAZER</v>
      </c>
      <c r="L1200" t="str">
        <f t="shared" si="67"/>
        <v>811-DESPORTO DE RENDIMENTO</v>
      </c>
      <c r="M1200" t="str">
        <f t="shared" si="68"/>
        <v>0010-Esporte, Lazer e Bem-Estar​</v>
      </c>
      <c r="N1200" t="str">
        <f t="shared" si="69"/>
        <v>2.030-Apoio ao Esporte de Alto Rendimento</v>
      </c>
      <c r="O1200" t="str">
        <f t="shared" si="70"/>
        <v>3.3.90.30.00-MATERIAL DE CONSUMO</v>
      </c>
      <c r="R1200" s="25">
        <v>763290.64789999998</v>
      </c>
      <c r="S1200" t="s">
        <v>1035</v>
      </c>
    </row>
    <row r="1201" spans="1:19" x14ac:dyDescent="0.25">
      <c r="A1201" t="str">
        <f t="shared" si="59"/>
        <v>12</v>
      </c>
      <c r="B1201" t="str">
        <f t="shared" si="60"/>
        <v>001</v>
      </c>
      <c r="C1201" t="str">
        <f t="shared" si="61"/>
        <v>27</v>
      </c>
      <c r="D1201" t="str">
        <f t="shared" si="62"/>
        <v>811</v>
      </c>
      <c r="E1201" t="str">
        <f t="shared" si="63"/>
        <v>0010</v>
      </c>
      <c r="F1201" t="str">
        <f t="shared" si="64"/>
        <v>2.030</v>
      </c>
      <c r="G1201" t="str">
        <f t="shared" si="65"/>
        <v>3.3.90.39.00</v>
      </c>
      <c r="H1201" t="s">
        <v>1241</v>
      </c>
      <c r="I1201" t="str">
        <f t="shared" ref="I1201:I1264" si="71">VLOOKUP(A1201,$A$1:$O$994,9,0)</f>
        <v>12 - SECRETARIA DE ESPORTE, RECREAÇÃO E LAZER</v>
      </c>
      <c r="J1201" t="s">
        <v>20</v>
      </c>
      <c r="K1201" t="str">
        <f t="shared" si="66"/>
        <v>27-DESPORTO E LAZER</v>
      </c>
      <c r="L1201" t="str">
        <f t="shared" si="67"/>
        <v>811-DESPORTO DE RENDIMENTO</v>
      </c>
      <c r="M1201" t="str">
        <f t="shared" si="68"/>
        <v>0010-Esporte, Lazer e Bem-Estar​</v>
      </c>
      <c r="N1201" t="str">
        <f t="shared" si="69"/>
        <v>2.030-Apoio ao Esporte de Alto Rendimento</v>
      </c>
      <c r="O1201" t="str">
        <f t="shared" si="70"/>
        <v>3.3.90.39.00-OUTROS SERVIÇOS DE TERCEIROS - PESSOA JURÍDICA</v>
      </c>
      <c r="R1201" s="25">
        <v>2376920</v>
      </c>
      <c r="S1201" t="s">
        <v>1035</v>
      </c>
    </row>
    <row r="1202" spans="1:19" x14ac:dyDescent="0.25">
      <c r="A1202" t="str">
        <f t="shared" si="59"/>
        <v>12</v>
      </c>
      <c r="B1202" t="str">
        <f t="shared" si="60"/>
        <v>001</v>
      </c>
      <c r="C1202" t="str">
        <f t="shared" si="61"/>
        <v>27</v>
      </c>
      <c r="D1202" t="str">
        <f t="shared" si="62"/>
        <v>811</v>
      </c>
      <c r="E1202" t="str">
        <f t="shared" si="63"/>
        <v>0010</v>
      </c>
      <c r="F1202" t="str">
        <f t="shared" si="64"/>
        <v>2.030</v>
      </c>
      <c r="G1202" t="str">
        <f t="shared" si="65"/>
        <v>3.3.90.48.00</v>
      </c>
      <c r="H1202" t="s">
        <v>1242</v>
      </c>
      <c r="I1202" t="str">
        <f t="shared" si="71"/>
        <v>12 - SECRETARIA DE ESPORTE, RECREAÇÃO E LAZER</v>
      </c>
      <c r="J1202" t="s">
        <v>20</v>
      </c>
      <c r="K1202" t="str">
        <f t="shared" si="66"/>
        <v>27-DESPORTO E LAZER</v>
      </c>
      <c r="L1202" t="str">
        <f t="shared" si="67"/>
        <v>811-DESPORTO DE RENDIMENTO</v>
      </c>
      <c r="M1202" t="str">
        <f t="shared" si="68"/>
        <v>0010-Esporte, Lazer e Bem-Estar​</v>
      </c>
      <c r="N1202" t="str">
        <f t="shared" si="69"/>
        <v>2.030-Apoio ao Esporte de Alto Rendimento</v>
      </c>
      <c r="O1202" t="str">
        <f t="shared" si="70"/>
        <v>3.3.90.48.00 - OUTROS AUXILIOS FINANCEIROS A PESSOAS FISICAS</v>
      </c>
      <c r="R1202" s="25">
        <v>6442420</v>
      </c>
      <c r="S1202" t="s">
        <v>1035</v>
      </c>
    </row>
    <row r="1203" spans="1:19" x14ac:dyDescent="0.25">
      <c r="A1203" t="str">
        <f t="shared" si="59"/>
        <v>12</v>
      </c>
      <c r="B1203" t="str">
        <f t="shared" si="60"/>
        <v>001</v>
      </c>
      <c r="C1203" t="str">
        <f t="shared" si="61"/>
        <v>27</v>
      </c>
      <c r="D1203" t="str">
        <f t="shared" si="62"/>
        <v>811</v>
      </c>
      <c r="E1203" t="str">
        <f t="shared" si="63"/>
        <v>0010</v>
      </c>
      <c r="F1203" t="str">
        <f t="shared" si="64"/>
        <v>2.030</v>
      </c>
      <c r="G1203" t="str">
        <f t="shared" si="65"/>
        <v>4.4.50.52.00</v>
      </c>
      <c r="H1203" t="s">
        <v>1243</v>
      </c>
      <c r="I1203" t="str">
        <f t="shared" si="71"/>
        <v>12 - SECRETARIA DE ESPORTE, RECREAÇÃO E LAZER</v>
      </c>
      <c r="J1203" t="s">
        <v>20</v>
      </c>
      <c r="K1203" t="str">
        <f t="shared" si="66"/>
        <v>27-DESPORTO E LAZER</v>
      </c>
      <c r="L1203" t="str">
        <f t="shared" si="67"/>
        <v>811-DESPORTO DE RENDIMENTO</v>
      </c>
      <c r="M1203" t="str">
        <f t="shared" si="68"/>
        <v>0010-Esporte, Lazer e Bem-Estar​</v>
      </c>
      <c r="N1203" t="str">
        <f t="shared" si="69"/>
        <v>2.030-Apoio ao Esporte de Alto Rendimento</v>
      </c>
      <c r="O1203" t="str">
        <f t="shared" si="70"/>
        <v>4.4.50.52.00-EQUIPAMENTOS E MATERIAL PERMANENTE</v>
      </c>
      <c r="R1203" s="25">
        <v>0</v>
      </c>
      <c r="S1203" t="s">
        <v>1035</v>
      </c>
    </row>
    <row r="1204" spans="1:19" x14ac:dyDescent="0.25">
      <c r="A1204" t="str">
        <f t="shared" si="59"/>
        <v>12</v>
      </c>
      <c r="B1204" t="str">
        <f t="shared" si="60"/>
        <v>001</v>
      </c>
      <c r="C1204" t="str">
        <f t="shared" si="61"/>
        <v>27</v>
      </c>
      <c r="D1204" t="str">
        <f t="shared" si="62"/>
        <v>811</v>
      </c>
      <c r="E1204" t="str">
        <f t="shared" si="63"/>
        <v>0010</v>
      </c>
      <c r="F1204" t="str">
        <f t="shared" si="64"/>
        <v>2.030</v>
      </c>
      <c r="G1204" t="str">
        <f t="shared" si="65"/>
        <v>4.4.90.51.00</v>
      </c>
      <c r="H1204" t="s">
        <v>1244</v>
      </c>
      <c r="I1204" t="str">
        <f t="shared" si="71"/>
        <v>12 - SECRETARIA DE ESPORTE, RECREAÇÃO E LAZER</v>
      </c>
      <c r="J1204" t="s">
        <v>20</v>
      </c>
      <c r="K1204" t="str">
        <f t="shared" si="66"/>
        <v>27-DESPORTO E LAZER</v>
      </c>
      <c r="L1204" t="str">
        <f t="shared" si="67"/>
        <v>811-DESPORTO DE RENDIMENTO</v>
      </c>
      <c r="M1204" t="str">
        <f t="shared" si="68"/>
        <v>0010-Esporte, Lazer e Bem-Estar​</v>
      </c>
      <c r="N1204" t="str">
        <f t="shared" si="69"/>
        <v>2.030-Apoio ao Esporte de Alto Rendimento</v>
      </c>
      <c r="O1204" t="str">
        <f t="shared" si="70"/>
        <v>4.4.90.51.00-OBRAS E INSTALAÇÕES</v>
      </c>
      <c r="R1204" s="25">
        <v>1</v>
      </c>
      <c r="S1204" t="s">
        <v>1035</v>
      </c>
    </row>
    <row r="1205" spans="1:19" x14ac:dyDescent="0.25">
      <c r="A1205" t="str">
        <f t="shared" si="59"/>
        <v>12</v>
      </c>
      <c r="B1205" t="str">
        <f t="shared" si="60"/>
        <v>001</v>
      </c>
      <c r="C1205" t="str">
        <f t="shared" si="61"/>
        <v>27</v>
      </c>
      <c r="D1205" t="str">
        <f t="shared" si="62"/>
        <v>812</v>
      </c>
      <c r="E1205" t="str">
        <f t="shared" si="63"/>
        <v>0010</v>
      </c>
      <c r="F1205" t="str">
        <f t="shared" si="64"/>
        <v>2.011</v>
      </c>
      <c r="G1205" t="str">
        <f t="shared" si="65"/>
        <v>3.3.90.30.00</v>
      </c>
      <c r="H1205" t="s">
        <v>1245</v>
      </c>
      <c r="I1205" t="str">
        <f t="shared" si="71"/>
        <v>12 - SECRETARIA DE ESPORTE, RECREAÇÃO E LAZER</v>
      </c>
      <c r="J1205" t="s">
        <v>20</v>
      </c>
      <c r="K1205" t="str">
        <f t="shared" si="66"/>
        <v>27-DESPORTO E LAZER</v>
      </c>
      <c r="L1205" t="str">
        <f t="shared" si="67"/>
        <v>812-DESPORTO COMUNITÁRIO</v>
      </c>
      <c r="M1205" t="str">
        <f t="shared" si="68"/>
        <v>0010-Esporte, Lazer e Bem-Estar​</v>
      </c>
      <c r="N1205" t="str">
        <f t="shared" si="69"/>
        <v xml:space="preserve">2.011-Manutenção de Equipamentos Públicos </v>
      </c>
      <c r="O1205" t="str">
        <f t="shared" si="70"/>
        <v>3.3.90.30.00-MATERIAL DE CONSUMO</v>
      </c>
      <c r="R1205" s="25">
        <v>189236.73560000001</v>
      </c>
      <c r="S1205" t="s">
        <v>1035</v>
      </c>
    </row>
    <row r="1206" spans="1:19" x14ac:dyDescent="0.25">
      <c r="A1206" t="str">
        <f t="shared" si="59"/>
        <v>12</v>
      </c>
      <c r="B1206" t="str">
        <f t="shared" si="60"/>
        <v>001</v>
      </c>
      <c r="C1206" t="str">
        <f t="shared" si="61"/>
        <v>27</v>
      </c>
      <c r="D1206" t="str">
        <f t="shared" si="62"/>
        <v>812</v>
      </c>
      <c r="E1206" t="str">
        <f t="shared" si="63"/>
        <v>0010</v>
      </c>
      <c r="F1206" t="str">
        <f t="shared" si="64"/>
        <v>2.011</v>
      </c>
      <c r="G1206" t="str">
        <f t="shared" si="65"/>
        <v>3.3.90.39.00</v>
      </c>
      <c r="H1206" t="s">
        <v>1246</v>
      </c>
      <c r="I1206" t="str">
        <f t="shared" si="71"/>
        <v>12 - SECRETARIA DE ESPORTE, RECREAÇÃO E LAZER</v>
      </c>
      <c r="J1206" t="s">
        <v>20</v>
      </c>
      <c r="K1206" t="str">
        <f t="shared" si="66"/>
        <v>27-DESPORTO E LAZER</v>
      </c>
      <c r="L1206" t="str">
        <f t="shared" si="67"/>
        <v>812-DESPORTO COMUNITÁRIO</v>
      </c>
      <c r="M1206" t="str">
        <f t="shared" si="68"/>
        <v>0010-Esporte, Lazer e Bem-Estar​</v>
      </c>
      <c r="N1206" t="str">
        <f t="shared" si="69"/>
        <v xml:space="preserve">2.011-Manutenção de Equipamentos Públicos </v>
      </c>
      <c r="O1206" t="str">
        <f t="shared" si="70"/>
        <v>3.3.90.39.00-OUTROS SERVIÇOS DE TERCEIROS - PESSOA JURÍDICA</v>
      </c>
      <c r="R1206" s="25">
        <v>1700000</v>
      </c>
      <c r="S1206" t="s">
        <v>1035</v>
      </c>
    </row>
    <row r="1207" spans="1:19" x14ac:dyDescent="0.25">
      <c r="A1207" t="str">
        <f t="shared" si="59"/>
        <v>12</v>
      </c>
      <c r="B1207" t="str">
        <f t="shared" si="60"/>
        <v>001</v>
      </c>
      <c r="C1207" t="str">
        <f t="shared" si="61"/>
        <v>27</v>
      </c>
      <c r="D1207" t="str">
        <f t="shared" si="62"/>
        <v>812</v>
      </c>
      <c r="E1207" t="str">
        <f t="shared" si="63"/>
        <v>0010</v>
      </c>
      <c r="F1207" t="str">
        <f t="shared" si="64"/>
        <v>2.028</v>
      </c>
      <c r="G1207" t="str">
        <f t="shared" si="65"/>
        <v>3.3.90.30.00</v>
      </c>
      <c r="H1207" t="s">
        <v>1247</v>
      </c>
      <c r="I1207" t="str">
        <f t="shared" si="71"/>
        <v>12 - SECRETARIA DE ESPORTE, RECREAÇÃO E LAZER</v>
      </c>
      <c r="J1207" t="s">
        <v>20</v>
      </c>
      <c r="K1207" t="str">
        <f t="shared" si="66"/>
        <v>27-DESPORTO E LAZER</v>
      </c>
      <c r="L1207" t="str">
        <f t="shared" si="67"/>
        <v>812-DESPORTO COMUNITÁRIO</v>
      </c>
      <c r="M1207" t="str">
        <f t="shared" si="68"/>
        <v>0010-Esporte, Lazer e Bem-Estar​</v>
      </c>
      <c r="N1207" t="str">
        <f t="shared" si="69"/>
        <v>2.028-Disseminação de Atividades Culturais e Esportivas Decentralizadas</v>
      </c>
      <c r="O1207" t="str">
        <f t="shared" si="70"/>
        <v>3.3.90.30.00-MATERIAL DE CONSUMO</v>
      </c>
      <c r="R1207" s="25">
        <v>0</v>
      </c>
      <c r="S1207" t="s">
        <v>1035</v>
      </c>
    </row>
    <row r="1208" spans="1:19" x14ac:dyDescent="0.25">
      <c r="A1208" t="str">
        <f t="shared" si="59"/>
        <v>12</v>
      </c>
      <c r="B1208" t="str">
        <f t="shared" si="60"/>
        <v>001</v>
      </c>
      <c r="C1208" t="str">
        <f t="shared" si="61"/>
        <v>27</v>
      </c>
      <c r="D1208" t="str">
        <f t="shared" si="62"/>
        <v>812</v>
      </c>
      <c r="E1208" t="str">
        <f t="shared" si="63"/>
        <v>0010</v>
      </c>
      <c r="F1208" t="str">
        <f t="shared" si="64"/>
        <v>2.028</v>
      </c>
      <c r="G1208" t="str">
        <f t="shared" si="65"/>
        <v>3.3.90.36.00</v>
      </c>
      <c r="H1208" t="s">
        <v>1248</v>
      </c>
      <c r="I1208" t="str">
        <f t="shared" si="71"/>
        <v>12 - SECRETARIA DE ESPORTE, RECREAÇÃO E LAZER</v>
      </c>
      <c r="J1208" t="s">
        <v>20</v>
      </c>
      <c r="K1208" t="str">
        <f t="shared" si="66"/>
        <v>27-DESPORTO E LAZER</v>
      </c>
      <c r="L1208" t="str">
        <f t="shared" si="67"/>
        <v>812-DESPORTO COMUNITÁRIO</v>
      </c>
      <c r="M1208" t="str">
        <f t="shared" si="68"/>
        <v>0010-Esporte, Lazer e Bem-Estar​</v>
      </c>
      <c r="N1208" t="str">
        <f t="shared" si="69"/>
        <v>2.028-Disseminação de Atividades Culturais e Esportivas Decentralizadas</v>
      </c>
      <c r="O1208" t="str">
        <f t="shared" si="70"/>
        <v>3.3.90.36.00-OUTROS SERVIÇOS DE TERCEIROS - PESSOA FÍSICA</v>
      </c>
      <c r="R1208" s="25">
        <v>37800</v>
      </c>
      <c r="S1208" t="s">
        <v>1035</v>
      </c>
    </row>
    <row r="1209" spans="1:19" x14ac:dyDescent="0.25">
      <c r="A1209" t="str">
        <f t="shared" si="59"/>
        <v>12</v>
      </c>
      <c r="B1209" t="str">
        <f t="shared" si="60"/>
        <v>001</v>
      </c>
      <c r="C1209" t="str">
        <f t="shared" si="61"/>
        <v>27</v>
      </c>
      <c r="D1209" t="str">
        <f t="shared" si="62"/>
        <v>812</v>
      </c>
      <c r="E1209" t="str">
        <f t="shared" si="63"/>
        <v>0010</v>
      </c>
      <c r="F1209" t="str">
        <f t="shared" si="64"/>
        <v>2.028</v>
      </c>
      <c r="G1209" t="str">
        <f t="shared" si="65"/>
        <v>3.3.90.39.00</v>
      </c>
      <c r="H1209" t="s">
        <v>1249</v>
      </c>
      <c r="I1209" t="str">
        <f t="shared" si="71"/>
        <v>12 - SECRETARIA DE ESPORTE, RECREAÇÃO E LAZER</v>
      </c>
      <c r="J1209" t="s">
        <v>20</v>
      </c>
      <c r="K1209" t="str">
        <f t="shared" si="66"/>
        <v>27-DESPORTO E LAZER</v>
      </c>
      <c r="L1209" t="str">
        <f t="shared" si="67"/>
        <v>812-DESPORTO COMUNITÁRIO</v>
      </c>
      <c r="M1209" t="str">
        <f t="shared" si="68"/>
        <v>0010-Esporte, Lazer e Bem-Estar​</v>
      </c>
      <c r="N1209" t="str">
        <f t="shared" si="69"/>
        <v>2.028-Disseminação de Atividades Culturais e Esportivas Decentralizadas</v>
      </c>
      <c r="O1209" t="str">
        <f t="shared" si="70"/>
        <v>3.3.90.39.00-OUTROS SERVIÇOS DE TERCEIROS - PESSOA JURÍDICA</v>
      </c>
      <c r="R1209" s="25">
        <v>199920</v>
      </c>
      <c r="S1209" t="s">
        <v>1035</v>
      </c>
    </row>
    <row r="1210" spans="1:19" x14ac:dyDescent="0.25">
      <c r="A1210" t="str">
        <f t="shared" si="59"/>
        <v>12</v>
      </c>
      <c r="B1210" t="str">
        <f t="shared" si="60"/>
        <v>001</v>
      </c>
      <c r="C1210" t="str">
        <f t="shared" si="61"/>
        <v>27</v>
      </c>
      <c r="D1210" t="str">
        <f t="shared" si="62"/>
        <v>812</v>
      </c>
      <c r="E1210" t="str">
        <f t="shared" si="63"/>
        <v>0010</v>
      </c>
      <c r="F1210" t="str">
        <f t="shared" si="64"/>
        <v>2.028</v>
      </c>
      <c r="G1210" t="str">
        <f t="shared" si="65"/>
        <v>4.4.90.52.00</v>
      </c>
      <c r="H1210" t="s">
        <v>1250</v>
      </c>
      <c r="I1210" t="str">
        <f t="shared" si="71"/>
        <v>12 - SECRETARIA DE ESPORTE, RECREAÇÃO E LAZER</v>
      </c>
      <c r="J1210" t="s">
        <v>20</v>
      </c>
      <c r="K1210" t="str">
        <f t="shared" si="66"/>
        <v>27-DESPORTO E LAZER</v>
      </c>
      <c r="L1210" t="str">
        <f t="shared" si="67"/>
        <v>812-DESPORTO COMUNITÁRIO</v>
      </c>
      <c r="M1210" t="str">
        <f t="shared" si="68"/>
        <v>0010-Esporte, Lazer e Bem-Estar​</v>
      </c>
      <c r="N1210" t="str">
        <f t="shared" si="69"/>
        <v>2.028-Disseminação de Atividades Culturais e Esportivas Decentralizadas</v>
      </c>
      <c r="O1210" t="str">
        <f t="shared" si="70"/>
        <v>4.4.90.52.00-EQUIPAMENTOS E MATERIAL PERMANENTE</v>
      </c>
      <c r="R1210" s="25">
        <v>0</v>
      </c>
      <c r="S1210" t="s">
        <v>1035</v>
      </c>
    </row>
    <row r="1211" spans="1:19" x14ac:dyDescent="0.25">
      <c r="A1211" t="str">
        <f t="shared" si="59"/>
        <v>12</v>
      </c>
      <c r="B1211" t="str">
        <f t="shared" si="60"/>
        <v>001</v>
      </c>
      <c r="C1211" t="str">
        <f t="shared" si="61"/>
        <v>27</v>
      </c>
      <c r="D1211" t="str">
        <f t="shared" si="62"/>
        <v>812</v>
      </c>
      <c r="E1211" t="str">
        <f t="shared" si="63"/>
        <v>0010</v>
      </c>
      <c r="F1211" t="str">
        <f t="shared" si="64"/>
        <v>2.030</v>
      </c>
      <c r="G1211" t="str">
        <f t="shared" si="65"/>
        <v>4.4.90.51.00</v>
      </c>
      <c r="H1211" t="s">
        <v>1251</v>
      </c>
      <c r="I1211" t="str">
        <f t="shared" si="71"/>
        <v>12 - SECRETARIA DE ESPORTE, RECREAÇÃO E LAZER</v>
      </c>
      <c r="J1211" t="s">
        <v>20</v>
      </c>
      <c r="K1211" t="str">
        <f t="shared" si="66"/>
        <v>27-DESPORTO E LAZER</v>
      </c>
      <c r="L1211" t="str">
        <f t="shared" si="67"/>
        <v>812-DESPORTO COMUNITÁRIO</v>
      </c>
      <c r="M1211" t="str">
        <f t="shared" si="68"/>
        <v>0010-Esporte, Lazer e Bem-Estar​</v>
      </c>
      <c r="N1211" t="str">
        <f t="shared" si="69"/>
        <v>2.030-Apoio ao Esporte de Alto Rendimento</v>
      </c>
      <c r="O1211" t="str">
        <f t="shared" si="70"/>
        <v>4.4.90.51.00-OBRAS E INSTALAÇÕES</v>
      </c>
      <c r="R1211" s="25">
        <v>1</v>
      </c>
      <c r="S1211" t="s">
        <v>1035</v>
      </c>
    </row>
    <row r="1212" spans="1:19" x14ac:dyDescent="0.25">
      <c r="A1212" t="str">
        <f t="shared" si="59"/>
        <v>12</v>
      </c>
      <c r="B1212" t="str">
        <f t="shared" si="60"/>
        <v>001</v>
      </c>
      <c r="C1212" t="str">
        <f t="shared" si="61"/>
        <v>27</v>
      </c>
      <c r="D1212" t="str">
        <f t="shared" si="62"/>
        <v>812</v>
      </c>
      <c r="E1212" t="str">
        <f t="shared" si="63"/>
        <v>0010</v>
      </c>
      <c r="F1212" t="str">
        <f t="shared" si="64"/>
        <v>2.031</v>
      </c>
      <c r="G1212" t="str">
        <f t="shared" si="65"/>
        <v>3.3.50.39.00</v>
      </c>
      <c r="H1212" t="s">
        <v>1252</v>
      </c>
      <c r="I1212" t="str">
        <f t="shared" si="71"/>
        <v>12 - SECRETARIA DE ESPORTE, RECREAÇÃO E LAZER</v>
      </c>
      <c r="J1212" t="s">
        <v>20</v>
      </c>
      <c r="K1212" t="str">
        <f t="shared" si="66"/>
        <v>27-DESPORTO E LAZER</v>
      </c>
      <c r="L1212" t="str">
        <f t="shared" si="67"/>
        <v>812-DESPORTO COMUNITÁRIO</v>
      </c>
      <c r="M1212" t="str">
        <f t="shared" si="68"/>
        <v>0010-Esporte, Lazer e Bem-Estar​</v>
      </c>
      <c r="N1212" t="str">
        <f t="shared" si="69"/>
        <v xml:space="preserve">2.031-Esporte Amador </v>
      </c>
      <c r="O1212" t="str">
        <f t="shared" si="70"/>
        <v>3.3.50.39.00-OUTROS SERVIÇOS DE TERCEIROS - PESSOA JURÍDICA</v>
      </c>
      <c r="R1212" s="25">
        <v>0</v>
      </c>
      <c r="S1212" t="s">
        <v>1035</v>
      </c>
    </row>
    <row r="1213" spans="1:19" x14ac:dyDescent="0.25">
      <c r="A1213" t="str">
        <f t="shared" si="59"/>
        <v>12</v>
      </c>
      <c r="B1213" t="str">
        <f t="shared" si="60"/>
        <v>001</v>
      </c>
      <c r="C1213" t="str">
        <f t="shared" si="61"/>
        <v>27</v>
      </c>
      <c r="D1213" t="str">
        <f t="shared" si="62"/>
        <v>812</v>
      </c>
      <c r="E1213" t="str">
        <f t="shared" si="63"/>
        <v>0010</v>
      </c>
      <c r="F1213" t="str">
        <f t="shared" si="64"/>
        <v>2.031</v>
      </c>
      <c r="G1213" t="str">
        <f t="shared" si="65"/>
        <v>3.3.90.30.00</v>
      </c>
      <c r="H1213" t="s">
        <v>1253</v>
      </c>
      <c r="I1213" t="str">
        <f t="shared" si="71"/>
        <v>12 - SECRETARIA DE ESPORTE, RECREAÇÃO E LAZER</v>
      </c>
      <c r="J1213" t="s">
        <v>20</v>
      </c>
      <c r="K1213" t="str">
        <f t="shared" si="66"/>
        <v>27-DESPORTO E LAZER</v>
      </c>
      <c r="L1213" t="str">
        <f t="shared" si="67"/>
        <v>812-DESPORTO COMUNITÁRIO</v>
      </c>
      <c r="M1213" t="str">
        <f t="shared" si="68"/>
        <v>0010-Esporte, Lazer e Bem-Estar​</v>
      </c>
      <c r="N1213" t="str">
        <f t="shared" si="69"/>
        <v xml:space="preserve">2.031-Esporte Amador </v>
      </c>
      <c r="O1213" t="str">
        <f t="shared" si="70"/>
        <v>3.3.90.30.00-MATERIAL DE CONSUMO</v>
      </c>
      <c r="R1213" s="25">
        <v>60952.566899999998</v>
      </c>
      <c r="S1213" t="s">
        <v>1035</v>
      </c>
    </row>
    <row r="1214" spans="1:19" x14ac:dyDescent="0.25">
      <c r="A1214" t="str">
        <f t="shared" si="59"/>
        <v>12</v>
      </c>
      <c r="B1214" t="str">
        <f t="shared" si="60"/>
        <v>001</v>
      </c>
      <c r="C1214" t="str">
        <f t="shared" si="61"/>
        <v>27</v>
      </c>
      <c r="D1214" t="str">
        <f t="shared" si="62"/>
        <v>812</v>
      </c>
      <c r="E1214" t="str">
        <f t="shared" si="63"/>
        <v>0010</v>
      </c>
      <c r="F1214" t="str">
        <f t="shared" si="64"/>
        <v>2.031</v>
      </c>
      <c r="G1214" t="str">
        <f t="shared" si="65"/>
        <v>3.3.90.31.00</v>
      </c>
      <c r="H1214" t="s">
        <v>1254</v>
      </c>
      <c r="I1214" t="str">
        <f t="shared" si="71"/>
        <v>12 - SECRETARIA DE ESPORTE, RECREAÇÃO E LAZER</v>
      </c>
      <c r="J1214" t="s">
        <v>20</v>
      </c>
      <c r="K1214" t="str">
        <f t="shared" si="66"/>
        <v>27-DESPORTO E LAZER</v>
      </c>
      <c r="L1214" t="str">
        <f t="shared" si="67"/>
        <v>812-DESPORTO COMUNITÁRIO</v>
      </c>
      <c r="M1214" t="str">
        <f t="shared" si="68"/>
        <v>0010-Esporte, Lazer e Bem-Estar​</v>
      </c>
      <c r="N1214" t="str">
        <f t="shared" si="69"/>
        <v xml:space="preserve">2.031-Esporte Amador </v>
      </c>
      <c r="O1214" t="str">
        <f t="shared" si="70"/>
        <v>3.3.90.31.00-PREMIAÇÕES CULTURAIS, ARTÍSTICAS, CIENTÍFICAS, DESPORTIVAS E OUTRAS</v>
      </c>
      <c r="R1214" s="25">
        <v>0</v>
      </c>
      <c r="S1214" t="s">
        <v>1035</v>
      </c>
    </row>
    <row r="1215" spans="1:19" x14ac:dyDescent="0.25">
      <c r="A1215" t="str">
        <f t="shared" si="59"/>
        <v>12</v>
      </c>
      <c r="B1215" t="str">
        <f t="shared" si="60"/>
        <v>001</v>
      </c>
      <c r="C1215" t="str">
        <f t="shared" si="61"/>
        <v>27</v>
      </c>
      <c r="D1215" t="str">
        <f t="shared" si="62"/>
        <v>812</v>
      </c>
      <c r="E1215" t="str">
        <f t="shared" si="63"/>
        <v>0010</v>
      </c>
      <c r="F1215" t="str">
        <f t="shared" si="64"/>
        <v>2.031</v>
      </c>
      <c r="G1215" t="str">
        <f t="shared" si="65"/>
        <v>3.3.90.39.00</v>
      </c>
      <c r="H1215" t="s">
        <v>1255</v>
      </c>
      <c r="I1215" t="str">
        <f t="shared" si="71"/>
        <v>12 - SECRETARIA DE ESPORTE, RECREAÇÃO E LAZER</v>
      </c>
      <c r="J1215" t="s">
        <v>20</v>
      </c>
      <c r="K1215" t="str">
        <f t="shared" si="66"/>
        <v>27-DESPORTO E LAZER</v>
      </c>
      <c r="L1215" t="str">
        <f t="shared" si="67"/>
        <v>812-DESPORTO COMUNITÁRIO</v>
      </c>
      <c r="M1215" t="str">
        <f t="shared" si="68"/>
        <v>0010-Esporte, Lazer e Bem-Estar​</v>
      </c>
      <c r="N1215" t="str">
        <f t="shared" si="69"/>
        <v xml:space="preserve">2.031-Esporte Amador </v>
      </c>
      <c r="O1215" t="str">
        <f t="shared" si="70"/>
        <v>3.3.90.39.00-OUTROS SERVIÇOS DE TERCEIROS - PESSOA JURÍDICA</v>
      </c>
      <c r="R1215" s="25">
        <v>1</v>
      </c>
      <c r="S1215" t="s">
        <v>1035</v>
      </c>
    </row>
    <row r="1216" spans="1:19" x14ac:dyDescent="0.25">
      <c r="A1216" t="str">
        <f t="shared" si="59"/>
        <v>12</v>
      </c>
      <c r="B1216" t="str">
        <f t="shared" si="60"/>
        <v>001</v>
      </c>
      <c r="C1216" t="str">
        <f t="shared" si="61"/>
        <v>27</v>
      </c>
      <c r="D1216" t="str">
        <f t="shared" si="62"/>
        <v>812</v>
      </c>
      <c r="E1216" t="str">
        <f t="shared" si="63"/>
        <v>0010</v>
      </c>
      <c r="F1216" t="str">
        <f t="shared" si="64"/>
        <v>2.031</v>
      </c>
      <c r="G1216" t="str">
        <f t="shared" si="65"/>
        <v>4.4.50.52.00</v>
      </c>
      <c r="H1216" t="s">
        <v>1256</v>
      </c>
      <c r="I1216" t="str">
        <f t="shared" si="71"/>
        <v>12 - SECRETARIA DE ESPORTE, RECREAÇÃO E LAZER</v>
      </c>
      <c r="J1216" t="s">
        <v>20</v>
      </c>
      <c r="K1216" t="str">
        <f t="shared" si="66"/>
        <v>27-DESPORTO E LAZER</v>
      </c>
      <c r="L1216" t="str">
        <f t="shared" si="67"/>
        <v>812-DESPORTO COMUNITÁRIO</v>
      </c>
      <c r="M1216" t="str">
        <f t="shared" si="68"/>
        <v>0010-Esporte, Lazer e Bem-Estar​</v>
      </c>
      <c r="N1216" t="str">
        <f t="shared" si="69"/>
        <v xml:space="preserve">2.031-Esporte Amador </v>
      </c>
      <c r="O1216" t="str">
        <f t="shared" si="70"/>
        <v>4.4.50.52.00-EQUIPAMENTOS E MATERIAL PERMANENTE</v>
      </c>
      <c r="R1216" s="25">
        <v>0</v>
      </c>
      <c r="S1216" t="s">
        <v>1035</v>
      </c>
    </row>
    <row r="1217" spans="1:19" x14ac:dyDescent="0.25">
      <c r="A1217" t="str">
        <f t="shared" si="59"/>
        <v>12</v>
      </c>
      <c r="B1217" t="str">
        <f t="shared" si="60"/>
        <v>001</v>
      </c>
      <c r="C1217" t="str">
        <f t="shared" si="61"/>
        <v>27</v>
      </c>
      <c r="D1217" t="str">
        <f t="shared" si="62"/>
        <v>812</v>
      </c>
      <c r="E1217" t="str">
        <f t="shared" si="63"/>
        <v>0010</v>
      </c>
      <c r="F1217" t="str">
        <f t="shared" si="64"/>
        <v>2.031</v>
      </c>
      <c r="G1217" t="str">
        <f t="shared" si="65"/>
        <v>4.4.90.52.00</v>
      </c>
      <c r="H1217" t="s">
        <v>1257</v>
      </c>
      <c r="I1217" t="str">
        <f t="shared" si="71"/>
        <v>12 - SECRETARIA DE ESPORTE, RECREAÇÃO E LAZER</v>
      </c>
      <c r="J1217" t="s">
        <v>20</v>
      </c>
      <c r="K1217" t="str">
        <f t="shared" si="66"/>
        <v>27-DESPORTO E LAZER</v>
      </c>
      <c r="L1217" t="str">
        <f t="shared" si="67"/>
        <v>812-DESPORTO COMUNITÁRIO</v>
      </c>
      <c r="M1217" t="str">
        <f t="shared" si="68"/>
        <v>0010-Esporte, Lazer e Bem-Estar​</v>
      </c>
      <c r="N1217" t="str">
        <f t="shared" si="69"/>
        <v xml:space="preserve">2.031-Esporte Amador </v>
      </c>
      <c r="O1217" t="str">
        <f t="shared" si="70"/>
        <v>4.4.90.52.00-EQUIPAMENTOS E MATERIAL PERMANENTE</v>
      </c>
      <c r="R1217" s="25">
        <v>0</v>
      </c>
      <c r="S1217" t="s">
        <v>1035</v>
      </c>
    </row>
    <row r="1218" spans="1:19" x14ac:dyDescent="0.25">
      <c r="A1218" t="str">
        <f t="shared" si="59"/>
        <v>12</v>
      </c>
      <c r="B1218" t="str">
        <f t="shared" si="60"/>
        <v>001</v>
      </c>
      <c r="C1218" t="str">
        <f t="shared" si="61"/>
        <v>27</v>
      </c>
      <c r="D1218" t="str">
        <f t="shared" si="62"/>
        <v>812</v>
      </c>
      <c r="E1218" t="str">
        <f t="shared" si="63"/>
        <v>0010</v>
      </c>
      <c r="F1218" t="str">
        <f t="shared" si="64"/>
        <v>2.032</v>
      </c>
      <c r="G1218" t="str">
        <f t="shared" si="65"/>
        <v>3.3.90.30.00</v>
      </c>
      <c r="H1218" t="s">
        <v>1258</v>
      </c>
      <c r="I1218" t="str">
        <f t="shared" si="71"/>
        <v>12 - SECRETARIA DE ESPORTE, RECREAÇÃO E LAZER</v>
      </c>
      <c r="J1218" t="s">
        <v>20</v>
      </c>
      <c r="K1218" t="str">
        <f t="shared" si="66"/>
        <v>27-DESPORTO E LAZER</v>
      </c>
      <c r="L1218" t="str">
        <f t="shared" si="67"/>
        <v>812-DESPORTO COMUNITÁRIO</v>
      </c>
      <c r="M1218" t="str">
        <f t="shared" si="68"/>
        <v>0010-Esporte, Lazer e Bem-Estar​</v>
      </c>
      <c r="N1218" t="str">
        <f t="shared" si="69"/>
        <v xml:space="preserve">2.032-Iniciação Esportiva </v>
      </c>
      <c r="O1218" t="str">
        <f t="shared" si="70"/>
        <v>3.3.90.30.00-MATERIAL DE CONSUMO</v>
      </c>
      <c r="R1218" s="25">
        <v>173278.19870000001</v>
      </c>
      <c r="S1218" t="s">
        <v>1035</v>
      </c>
    </row>
    <row r="1219" spans="1:19" x14ac:dyDescent="0.25">
      <c r="A1219" t="str">
        <f t="shared" si="59"/>
        <v>12</v>
      </c>
      <c r="B1219" t="str">
        <f t="shared" si="60"/>
        <v>001</v>
      </c>
      <c r="C1219" t="str">
        <f t="shared" si="61"/>
        <v>27</v>
      </c>
      <c r="D1219" t="str">
        <f t="shared" si="62"/>
        <v>812</v>
      </c>
      <c r="E1219" t="str">
        <f t="shared" si="63"/>
        <v>0010</v>
      </c>
      <c r="F1219" t="str">
        <f t="shared" si="64"/>
        <v>2.032</v>
      </c>
      <c r="G1219" t="str">
        <f t="shared" si="65"/>
        <v>3.3.90.39.00</v>
      </c>
      <c r="H1219" t="s">
        <v>1259</v>
      </c>
      <c r="I1219" t="str">
        <f t="shared" si="71"/>
        <v>12 - SECRETARIA DE ESPORTE, RECREAÇÃO E LAZER</v>
      </c>
      <c r="J1219" t="s">
        <v>20</v>
      </c>
      <c r="K1219" t="str">
        <f t="shared" si="66"/>
        <v>27-DESPORTO E LAZER</v>
      </c>
      <c r="L1219" t="str">
        <f t="shared" si="67"/>
        <v>812-DESPORTO COMUNITÁRIO</v>
      </c>
      <c r="M1219" t="str">
        <f t="shared" si="68"/>
        <v>0010-Esporte, Lazer e Bem-Estar​</v>
      </c>
      <c r="N1219" t="str">
        <f t="shared" si="69"/>
        <v xml:space="preserve">2.032-Iniciação Esportiva </v>
      </c>
      <c r="O1219" t="str">
        <f t="shared" si="70"/>
        <v>3.3.90.39.00-OUTROS SERVIÇOS DE TERCEIROS - PESSOA JURÍDICA</v>
      </c>
      <c r="R1219" s="25">
        <v>1</v>
      </c>
      <c r="S1219" t="s">
        <v>1035</v>
      </c>
    </row>
    <row r="1220" spans="1:19" x14ac:dyDescent="0.25">
      <c r="A1220" t="str">
        <f t="shared" si="59"/>
        <v>12</v>
      </c>
      <c r="B1220" t="str">
        <f t="shared" si="60"/>
        <v>001</v>
      </c>
      <c r="C1220" t="str">
        <f t="shared" si="61"/>
        <v>27</v>
      </c>
      <c r="D1220" t="str">
        <f t="shared" si="62"/>
        <v>812</v>
      </c>
      <c r="E1220" t="str">
        <f t="shared" si="63"/>
        <v>0010</v>
      </c>
      <c r="F1220" t="str">
        <f t="shared" si="64"/>
        <v>2028.</v>
      </c>
      <c r="G1220" t="str">
        <f t="shared" si="65"/>
        <v>.3.50.39..00</v>
      </c>
      <c r="H1220" t="s">
        <v>1260</v>
      </c>
      <c r="I1220" t="str">
        <f t="shared" si="71"/>
        <v>12 - SECRETARIA DE ESPORTE, RECREAÇÃO E LAZER</v>
      </c>
      <c r="J1220" t="s">
        <v>20</v>
      </c>
      <c r="K1220" t="str">
        <f t="shared" si="66"/>
        <v>27-DESPORTO E LAZER</v>
      </c>
      <c r="L1220" t="str">
        <f t="shared" si="67"/>
        <v>812-DESPORTO COMUNITÁRIO</v>
      </c>
      <c r="M1220" t="str">
        <f t="shared" si="68"/>
        <v>0010-Esporte, Lazer e Bem-Estar​</v>
      </c>
      <c r="N1220" t="str">
        <f>F1220</f>
        <v>2028.</v>
      </c>
      <c r="O1220" t="str">
        <f>G1220</f>
        <v>.3.50.39..00</v>
      </c>
      <c r="R1220" s="25">
        <v>702215.46719999996</v>
      </c>
      <c r="S1220" t="s">
        <v>1035</v>
      </c>
    </row>
    <row r="1221" spans="1:19" x14ac:dyDescent="0.25">
      <c r="A1221" t="str">
        <f t="shared" si="59"/>
        <v>13</v>
      </c>
      <c r="B1221" t="str">
        <f t="shared" si="60"/>
        <v>001</v>
      </c>
      <c r="C1221" t="str">
        <f t="shared" si="61"/>
        <v>04</v>
      </c>
      <c r="D1221" t="str">
        <f t="shared" si="62"/>
        <v>122</v>
      </c>
      <c r="E1221" t="str">
        <f t="shared" si="63"/>
        <v>0001</v>
      </c>
      <c r="F1221" t="str">
        <f t="shared" si="64"/>
        <v>2.006</v>
      </c>
      <c r="G1221" t="str">
        <f t="shared" si="65"/>
        <v>3.3.90.33.00</v>
      </c>
      <c r="H1221" t="s">
        <v>1261</v>
      </c>
      <c r="I1221" t="str">
        <f t="shared" si="71"/>
        <v>13 - SECRETARIA DE HABITAÇÃO</v>
      </c>
      <c r="J1221" t="s">
        <v>20</v>
      </c>
      <c r="K1221" t="str">
        <f t="shared" si="66"/>
        <v>4-ADMINISTRAÇÃO</v>
      </c>
      <c r="L1221" t="str">
        <f t="shared" si="67"/>
        <v>122-ADMINISTRAÇÃO GERAL</v>
      </c>
      <c r="M1221" t="str">
        <f t="shared" si="68"/>
        <v>0001-Administração e Coordenação Geral​</v>
      </c>
      <c r="N1221" t="str">
        <f t="shared" si="69"/>
        <v xml:space="preserve">2.006-Representações Oficiais </v>
      </c>
      <c r="O1221" t="str">
        <f t="shared" si="70"/>
        <v>3.3.90.33.00-PASSAGENS E DESPESAS COM LOCOMOÇÃO</v>
      </c>
      <c r="R1221" s="25">
        <v>1</v>
      </c>
      <c r="S1221" t="s">
        <v>1035</v>
      </c>
    </row>
    <row r="1222" spans="1:19" x14ac:dyDescent="0.25">
      <c r="A1222" t="str">
        <f t="shared" si="59"/>
        <v>13</v>
      </c>
      <c r="B1222" t="str">
        <f t="shared" si="60"/>
        <v>001</v>
      </c>
      <c r="C1222" t="str">
        <f t="shared" si="61"/>
        <v>04</v>
      </c>
      <c r="D1222" t="str">
        <f t="shared" si="62"/>
        <v>122</v>
      </c>
      <c r="E1222" t="str">
        <f t="shared" si="63"/>
        <v>0001</v>
      </c>
      <c r="F1222" t="str">
        <f t="shared" si="64"/>
        <v>2.006</v>
      </c>
      <c r="G1222" t="str">
        <f t="shared" si="65"/>
        <v>3.3.90.39.00</v>
      </c>
      <c r="H1222" t="s">
        <v>1262</v>
      </c>
      <c r="I1222" t="str">
        <f t="shared" si="71"/>
        <v>13 - SECRETARIA DE HABITAÇÃO</v>
      </c>
      <c r="J1222" t="s">
        <v>20</v>
      </c>
      <c r="K1222" t="str">
        <f t="shared" si="66"/>
        <v>4-ADMINISTRAÇÃO</v>
      </c>
      <c r="L1222" t="str">
        <f t="shared" si="67"/>
        <v>122-ADMINISTRAÇÃO GERAL</v>
      </c>
      <c r="M1222" t="str">
        <f t="shared" si="68"/>
        <v>0001-Administração e Coordenação Geral​</v>
      </c>
      <c r="N1222" t="str">
        <f t="shared" si="69"/>
        <v xml:space="preserve">2.006-Representações Oficiais </v>
      </c>
      <c r="O1222" t="str">
        <f t="shared" si="70"/>
        <v>3.3.90.39.00-OUTROS SERVIÇOS DE TERCEIROS - PESSOA JURÍDICA</v>
      </c>
      <c r="R1222" s="25">
        <v>1</v>
      </c>
      <c r="S1222" t="s">
        <v>1035</v>
      </c>
    </row>
    <row r="1223" spans="1:19" x14ac:dyDescent="0.25">
      <c r="A1223" t="str">
        <f t="shared" si="59"/>
        <v>13</v>
      </c>
      <c r="B1223" t="str">
        <f t="shared" si="60"/>
        <v>001</v>
      </c>
      <c r="C1223" t="str">
        <f t="shared" si="61"/>
        <v>04</v>
      </c>
      <c r="D1223" t="str">
        <f t="shared" si="62"/>
        <v>122</v>
      </c>
      <c r="E1223" t="str">
        <f t="shared" si="63"/>
        <v>0001</v>
      </c>
      <c r="F1223" t="str">
        <f t="shared" si="64"/>
        <v>2.011</v>
      </c>
      <c r="G1223" t="str">
        <f t="shared" si="65"/>
        <v>3.3.90.30.00</v>
      </c>
      <c r="H1223" t="s">
        <v>1263</v>
      </c>
      <c r="I1223" t="str">
        <f t="shared" si="71"/>
        <v>13 - SECRETARIA DE HABITAÇÃO</v>
      </c>
      <c r="J1223" t="s">
        <v>20</v>
      </c>
      <c r="K1223" t="str">
        <f t="shared" si="66"/>
        <v>4-ADMINISTRAÇÃO</v>
      </c>
      <c r="L1223" t="str">
        <f t="shared" si="67"/>
        <v>122-ADMINISTRAÇÃO GERAL</v>
      </c>
      <c r="M1223" t="str">
        <f t="shared" si="68"/>
        <v>0001-Administração e Coordenação Geral​</v>
      </c>
      <c r="N1223" t="str">
        <f t="shared" si="69"/>
        <v xml:space="preserve">2.011-Manutenção de Equipamentos Públicos </v>
      </c>
      <c r="O1223" t="str">
        <f t="shared" si="70"/>
        <v>3.3.90.30.00-MATERIAL DE CONSUMO</v>
      </c>
      <c r="R1223" s="25">
        <v>389662.5</v>
      </c>
      <c r="S1223" t="s">
        <v>1035</v>
      </c>
    </row>
    <row r="1224" spans="1:19" x14ac:dyDescent="0.25">
      <c r="A1224" t="str">
        <f t="shared" si="59"/>
        <v>13</v>
      </c>
      <c r="B1224" t="str">
        <f t="shared" si="60"/>
        <v>001</v>
      </c>
      <c r="C1224" t="str">
        <f t="shared" si="61"/>
        <v>04</v>
      </c>
      <c r="D1224" t="str">
        <f t="shared" si="62"/>
        <v>122</v>
      </c>
      <c r="E1224" t="str">
        <f t="shared" si="63"/>
        <v>0001</v>
      </c>
      <c r="F1224" t="str">
        <f t="shared" si="64"/>
        <v>2.011</v>
      </c>
      <c r="G1224" t="str">
        <f t="shared" si="65"/>
        <v>3.3.90.39.00</v>
      </c>
      <c r="H1224" t="s">
        <v>1264</v>
      </c>
      <c r="I1224" t="str">
        <f t="shared" si="71"/>
        <v>13 - SECRETARIA DE HABITAÇÃO</v>
      </c>
      <c r="J1224" t="s">
        <v>20</v>
      </c>
      <c r="K1224" t="str">
        <f t="shared" si="66"/>
        <v>4-ADMINISTRAÇÃO</v>
      </c>
      <c r="L1224" t="str">
        <f t="shared" si="67"/>
        <v>122-ADMINISTRAÇÃO GERAL</v>
      </c>
      <c r="M1224" t="str">
        <f t="shared" si="68"/>
        <v>0001-Administração e Coordenação Geral​</v>
      </c>
      <c r="N1224" t="str">
        <f t="shared" si="69"/>
        <v xml:space="preserve">2.011-Manutenção de Equipamentos Públicos </v>
      </c>
      <c r="O1224" t="str">
        <f t="shared" si="70"/>
        <v>3.3.90.39.00-OUTROS SERVIÇOS DE TERCEIROS - PESSOA JURÍDICA</v>
      </c>
      <c r="R1224" s="25">
        <v>1268367</v>
      </c>
      <c r="S1224" t="s">
        <v>1035</v>
      </c>
    </row>
    <row r="1225" spans="1:19" x14ac:dyDescent="0.25">
      <c r="A1225" t="str">
        <f t="shared" si="59"/>
        <v>13</v>
      </c>
      <c r="B1225" t="str">
        <f t="shared" si="60"/>
        <v>001</v>
      </c>
      <c r="C1225" t="str">
        <f t="shared" si="61"/>
        <v>04</v>
      </c>
      <c r="D1225" t="str">
        <f t="shared" si="62"/>
        <v>122</v>
      </c>
      <c r="E1225" t="str">
        <f t="shared" si="63"/>
        <v>0001</v>
      </c>
      <c r="F1225" t="str">
        <f t="shared" si="64"/>
        <v>2.011</v>
      </c>
      <c r="G1225" t="str">
        <f t="shared" si="65"/>
        <v>4.4.90.52.00</v>
      </c>
      <c r="H1225" t="s">
        <v>1265</v>
      </c>
      <c r="I1225" t="str">
        <f t="shared" si="71"/>
        <v>13 - SECRETARIA DE HABITAÇÃO</v>
      </c>
      <c r="J1225" t="s">
        <v>20</v>
      </c>
      <c r="K1225" t="str">
        <f t="shared" si="66"/>
        <v>4-ADMINISTRAÇÃO</v>
      </c>
      <c r="L1225" t="str">
        <f t="shared" si="67"/>
        <v>122-ADMINISTRAÇÃO GERAL</v>
      </c>
      <c r="M1225" t="str">
        <f t="shared" si="68"/>
        <v>0001-Administração e Coordenação Geral​</v>
      </c>
      <c r="N1225" t="str">
        <f t="shared" si="69"/>
        <v xml:space="preserve">2.011-Manutenção de Equipamentos Públicos </v>
      </c>
      <c r="O1225" t="str">
        <f t="shared" si="70"/>
        <v>4.4.90.52.00-EQUIPAMENTOS E MATERIAL PERMANENTE</v>
      </c>
      <c r="R1225" s="25">
        <v>62346</v>
      </c>
      <c r="S1225" t="s">
        <v>1035</v>
      </c>
    </row>
    <row r="1226" spans="1:19" x14ac:dyDescent="0.25">
      <c r="A1226" t="str">
        <f t="shared" si="59"/>
        <v>13</v>
      </c>
      <c r="B1226" t="str">
        <f t="shared" si="60"/>
        <v>001</v>
      </c>
      <c r="C1226" t="str">
        <f t="shared" si="61"/>
        <v>04</v>
      </c>
      <c r="D1226" t="str">
        <f t="shared" si="62"/>
        <v>128</v>
      </c>
      <c r="E1226" t="str">
        <f t="shared" si="63"/>
        <v>0002</v>
      </c>
      <c r="F1226" t="str">
        <f t="shared" si="64"/>
        <v>2.003</v>
      </c>
      <c r="G1226" t="str">
        <f t="shared" si="65"/>
        <v>3.3.90.36.00</v>
      </c>
      <c r="H1226" t="s">
        <v>1266</v>
      </c>
      <c r="I1226" t="str">
        <f t="shared" si="71"/>
        <v>13 - SECRETARIA DE HABITAÇÃO</v>
      </c>
      <c r="J1226" t="s">
        <v>20</v>
      </c>
      <c r="K1226" t="str">
        <f t="shared" si="66"/>
        <v>4-ADMINISTRAÇÃO</v>
      </c>
      <c r="L1226" t="str">
        <f t="shared" si="67"/>
        <v>128-FORMAÇÃO DE RECURSOS HUMANOS</v>
      </c>
      <c r="M1226" t="str">
        <f t="shared" si="68"/>
        <v>0002-Governo Inteligente, Aberto e Inovador​</v>
      </c>
      <c r="N1226" t="str">
        <f t="shared" si="69"/>
        <v>2.003-Qualificação de Servidores e Processos Institucionais</v>
      </c>
      <c r="O1226" t="str">
        <f t="shared" si="70"/>
        <v>3.3.90.36.00-OUTROS SERVIÇOS DE TERCEIROS - PESSOA FÍSICA</v>
      </c>
      <c r="R1226" s="25">
        <v>1</v>
      </c>
      <c r="S1226" t="s">
        <v>1035</v>
      </c>
    </row>
    <row r="1227" spans="1:19" x14ac:dyDescent="0.25">
      <c r="A1227" t="str">
        <f t="shared" si="59"/>
        <v>13</v>
      </c>
      <c r="B1227" t="str">
        <f t="shared" si="60"/>
        <v>001</v>
      </c>
      <c r="C1227" t="str">
        <f t="shared" si="61"/>
        <v>04</v>
      </c>
      <c r="D1227" t="str">
        <f t="shared" si="62"/>
        <v>128</v>
      </c>
      <c r="E1227" t="str">
        <f t="shared" si="63"/>
        <v>0002</v>
      </c>
      <c r="F1227" t="str">
        <f t="shared" si="64"/>
        <v>2.003</v>
      </c>
      <c r="G1227" t="str">
        <f t="shared" si="65"/>
        <v>3.3.90.39.00</v>
      </c>
      <c r="H1227" t="s">
        <v>1267</v>
      </c>
      <c r="I1227" t="str">
        <f t="shared" si="71"/>
        <v>13 - SECRETARIA DE HABITAÇÃO</v>
      </c>
      <c r="J1227" t="s">
        <v>20</v>
      </c>
      <c r="K1227" t="str">
        <f t="shared" si="66"/>
        <v>4-ADMINISTRAÇÃO</v>
      </c>
      <c r="L1227" t="str">
        <f t="shared" si="67"/>
        <v>128-FORMAÇÃO DE RECURSOS HUMANOS</v>
      </c>
      <c r="M1227" t="str">
        <f t="shared" si="68"/>
        <v>0002-Governo Inteligente, Aberto e Inovador​</v>
      </c>
      <c r="N1227" t="str">
        <f t="shared" si="69"/>
        <v>2.003-Qualificação de Servidores e Processos Institucionais</v>
      </c>
      <c r="O1227" t="str">
        <f t="shared" si="70"/>
        <v>3.3.90.39.00-OUTROS SERVIÇOS DE TERCEIROS - PESSOA JURÍDICA</v>
      </c>
      <c r="R1227" s="25">
        <v>1</v>
      </c>
      <c r="S1227" t="s">
        <v>1035</v>
      </c>
    </row>
    <row r="1228" spans="1:19" x14ac:dyDescent="0.25">
      <c r="A1228" t="str">
        <f t="shared" si="59"/>
        <v>13</v>
      </c>
      <c r="B1228" t="str">
        <f t="shared" si="60"/>
        <v>001</v>
      </c>
      <c r="C1228" t="str">
        <f t="shared" si="61"/>
        <v>04</v>
      </c>
      <c r="D1228" t="str">
        <f t="shared" si="62"/>
        <v>131</v>
      </c>
      <c r="E1228" t="str">
        <f t="shared" si="63"/>
        <v>0002</v>
      </c>
      <c r="F1228" t="str">
        <f t="shared" si="64"/>
        <v>2.005</v>
      </c>
      <c r="G1228" t="str">
        <f t="shared" si="65"/>
        <v>3.3.90.30.00</v>
      </c>
      <c r="H1228" t="s">
        <v>1268</v>
      </c>
      <c r="I1228" t="str">
        <f t="shared" si="71"/>
        <v>13 - SECRETARIA DE HABITAÇÃO</v>
      </c>
      <c r="J1228" t="s">
        <v>20</v>
      </c>
      <c r="K1228" t="str">
        <f t="shared" si="66"/>
        <v>4-ADMINISTRAÇÃO</v>
      </c>
      <c r="L1228" t="str">
        <f t="shared" si="67"/>
        <v>131-COMUNICAÇÃO SOCIAL</v>
      </c>
      <c r="M1228" t="str">
        <f t="shared" si="68"/>
        <v>0002-Governo Inteligente, Aberto e Inovador​</v>
      </c>
      <c r="N1228" t="str">
        <f t="shared" si="69"/>
        <v xml:space="preserve">2.005-Promoção de Eventos, Comunicação e Participação Social </v>
      </c>
      <c r="O1228" t="str">
        <f t="shared" si="70"/>
        <v>3.3.90.30.00-MATERIAL DE CONSUMO</v>
      </c>
      <c r="R1228" s="25">
        <v>7793.25</v>
      </c>
      <c r="S1228" t="s">
        <v>1035</v>
      </c>
    </row>
    <row r="1229" spans="1:19" x14ac:dyDescent="0.25">
      <c r="A1229" t="str">
        <f t="shared" si="59"/>
        <v>13</v>
      </c>
      <c r="B1229" t="str">
        <f t="shared" si="60"/>
        <v>001</v>
      </c>
      <c r="C1229" t="str">
        <f t="shared" si="61"/>
        <v>04</v>
      </c>
      <c r="D1229" t="str">
        <f t="shared" si="62"/>
        <v>131</v>
      </c>
      <c r="E1229" t="str">
        <f t="shared" si="63"/>
        <v>0002</v>
      </c>
      <c r="F1229" t="str">
        <f t="shared" si="64"/>
        <v>2.005</v>
      </c>
      <c r="G1229" t="str">
        <f t="shared" si="65"/>
        <v>3.3.90.39.00</v>
      </c>
      <c r="H1229" t="s">
        <v>1269</v>
      </c>
      <c r="I1229" t="str">
        <f t="shared" si="71"/>
        <v>13 - SECRETARIA DE HABITAÇÃO</v>
      </c>
      <c r="J1229" t="s">
        <v>20</v>
      </c>
      <c r="K1229" t="str">
        <f t="shared" si="66"/>
        <v>4-ADMINISTRAÇÃO</v>
      </c>
      <c r="L1229" t="str">
        <f t="shared" si="67"/>
        <v>131-COMUNICAÇÃO SOCIAL</v>
      </c>
      <c r="M1229" t="str">
        <f t="shared" si="68"/>
        <v>0002-Governo Inteligente, Aberto e Inovador​</v>
      </c>
      <c r="N1229" t="str">
        <f t="shared" si="69"/>
        <v xml:space="preserve">2.005-Promoção de Eventos, Comunicação e Participação Social </v>
      </c>
      <c r="O1229" t="str">
        <f t="shared" si="70"/>
        <v>3.3.90.39.00-OUTROS SERVIÇOS DE TERCEIROS - PESSOA JURÍDICA</v>
      </c>
      <c r="R1229" s="25">
        <v>20783</v>
      </c>
      <c r="S1229" t="s">
        <v>1035</v>
      </c>
    </row>
    <row r="1230" spans="1:19" x14ac:dyDescent="0.25">
      <c r="A1230" t="str">
        <f t="shared" si="59"/>
        <v>13</v>
      </c>
      <c r="B1230" t="str">
        <f t="shared" si="60"/>
        <v>001</v>
      </c>
      <c r="C1230" t="str">
        <f t="shared" si="61"/>
        <v>16</v>
      </c>
      <c r="D1230" t="str">
        <f t="shared" si="62"/>
        <v>244</v>
      </c>
      <c r="E1230" t="str">
        <f t="shared" si="63"/>
        <v>0012</v>
      </c>
      <c r="F1230" t="str">
        <f t="shared" si="64"/>
        <v>2.040</v>
      </c>
      <c r="G1230" t="str">
        <f t="shared" si="65"/>
        <v>3.3.90.48.00</v>
      </c>
      <c r="H1230" t="s">
        <v>1270</v>
      </c>
      <c r="I1230" t="str">
        <f t="shared" si="71"/>
        <v>13 - SECRETARIA DE HABITAÇÃO</v>
      </c>
      <c r="J1230" t="s">
        <v>20</v>
      </c>
      <c r="K1230" t="str">
        <f t="shared" si="66"/>
        <v>16-HABITAÇÃO</v>
      </c>
      <c r="L1230" t="str">
        <f t="shared" si="67"/>
        <v>244-ASSISTÊNCIA COMUNITÁRIA</v>
      </c>
      <c r="M1230" t="str">
        <f t="shared" si="68"/>
        <v>0012-Moradia Digna​</v>
      </c>
      <c r="N1230" t="str">
        <f>F1230</f>
        <v>2.040</v>
      </c>
      <c r="O1230" t="str">
        <f t="shared" si="70"/>
        <v>3.3.90.48.00 - OUTROS AUXILIOS FINANCEIROS A PESSOAS FISICAS</v>
      </c>
      <c r="R1230" s="25">
        <v>10202956.1121</v>
      </c>
      <c r="S1230" t="s">
        <v>1035</v>
      </c>
    </row>
    <row r="1231" spans="1:19" x14ac:dyDescent="0.25">
      <c r="A1231" t="str">
        <f t="shared" si="59"/>
        <v>14</v>
      </c>
      <c r="B1231" t="str">
        <f t="shared" si="60"/>
        <v>001</v>
      </c>
      <c r="C1231" t="str">
        <f t="shared" si="61"/>
        <v>04</v>
      </c>
      <c r="D1231" t="str">
        <f t="shared" si="62"/>
        <v>122</v>
      </c>
      <c r="E1231" t="str">
        <f t="shared" si="63"/>
        <v>0001</v>
      </c>
      <c r="F1231" t="str">
        <f t="shared" si="64"/>
        <v>2.005</v>
      </c>
      <c r="G1231" t="str">
        <f t="shared" si="65"/>
        <v>3.3.90.39.00</v>
      </c>
      <c r="H1231" t="s">
        <v>1271</v>
      </c>
      <c r="I1231" t="str">
        <f t="shared" si="71"/>
        <v>14 - SECRETARIA DE ASSISTÊNCIA SOCIAL</v>
      </c>
      <c r="J1231" t="s">
        <v>20</v>
      </c>
      <c r="K1231" t="str">
        <f t="shared" si="66"/>
        <v>4-ADMINISTRAÇÃO</v>
      </c>
      <c r="L1231" t="str">
        <f t="shared" si="67"/>
        <v>122-ADMINISTRAÇÃO GERAL</v>
      </c>
      <c r="M1231" t="str">
        <f t="shared" si="68"/>
        <v>0001-Administração e Coordenação Geral​</v>
      </c>
      <c r="N1231" t="str">
        <f t="shared" si="69"/>
        <v xml:space="preserve">2.005-Promoção de Eventos, Comunicação e Participação Social </v>
      </c>
      <c r="O1231" t="str">
        <f t="shared" si="70"/>
        <v>3.3.90.39.00-OUTROS SERVIÇOS DE TERCEIROS - PESSOA JURÍDICA</v>
      </c>
      <c r="R1231" s="25">
        <v>1</v>
      </c>
      <c r="S1231" t="s">
        <v>1035</v>
      </c>
    </row>
    <row r="1232" spans="1:19" x14ac:dyDescent="0.25">
      <c r="A1232" t="str">
        <f t="shared" si="59"/>
        <v>14</v>
      </c>
      <c r="B1232" t="str">
        <f t="shared" si="60"/>
        <v>001</v>
      </c>
      <c r="C1232" t="str">
        <f t="shared" si="61"/>
        <v>04</v>
      </c>
      <c r="D1232" t="str">
        <f t="shared" si="62"/>
        <v>122</v>
      </c>
      <c r="E1232" t="str">
        <f t="shared" si="63"/>
        <v>0001</v>
      </c>
      <c r="F1232" t="str">
        <f t="shared" si="64"/>
        <v>2.006</v>
      </c>
      <c r="G1232" t="str">
        <f t="shared" si="65"/>
        <v>3.3.90.33.00</v>
      </c>
      <c r="H1232" t="s">
        <v>1272</v>
      </c>
      <c r="I1232" t="str">
        <f t="shared" si="71"/>
        <v>14 - SECRETARIA DE ASSISTÊNCIA SOCIAL</v>
      </c>
      <c r="J1232" t="s">
        <v>20</v>
      </c>
      <c r="K1232" t="str">
        <f t="shared" si="66"/>
        <v>4-ADMINISTRAÇÃO</v>
      </c>
      <c r="L1232" t="str">
        <f t="shared" si="67"/>
        <v>122-ADMINISTRAÇÃO GERAL</v>
      </c>
      <c r="M1232" t="str">
        <f t="shared" si="68"/>
        <v>0001-Administração e Coordenação Geral​</v>
      </c>
      <c r="N1232" t="str">
        <f t="shared" si="69"/>
        <v xml:space="preserve">2.006-Representações Oficiais </v>
      </c>
      <c r="O1232" t="str">
        <f t="shared" si="70"/>
        <v>3.3.90.33.00-PASSAGENS E DESPESAS COM LOCOMOÇÃO</v>
      </c>
      <c r="R1232" s="25">
        <v>1</v>
      </c>
      <c r="S1232" t="s">
        <v>1035</v>
      </c>
    </row>
    <row r="1233" spans="1:19" x14ac:dyDescent="0.25">
      <c r="A1233" t="str">
        <f t="shared" si="59"/>
        <v>14</v>
      </c>
      <c r="B1233" t="str">
        <f t="shared" si="60"/>
        <v>001</v>
      </c>
      <c r="C1233" t="str">
        <f t="shared" si="61"/>
        <v>04</v>
      </c>
      <c r="D1233" t="str">
        <f t="shared" si="62"/>
        <v>122</v>
      </c>
      <c r="E1233" t="str">
        <f t="shared" si="63"/>
        <v>0001</v>
      </c>
      <c r="F1233" t="str">
        <f t="shared" si="64"/>
        <v>2.006</v>
      </c>
      <c r="G1233" t="str">
        <f t="shared" si="65"/>
        <v>3.3.90.39.00</v>
      </c>
      <c r="H1233" t="s">
        <v>1273</v>
      </c>
      <c r="I1233" t="str">
        <f t="shared" si="71"/>
        <v>14 - SECRETARIA DE ASSISTÊNCIA SOCIAL</v>
      </c>
      <c r="J1233" t="s">
        <v>20</v>
      </c>
      <c r="K1233" t="str">
        <f t="shared" si="66"/>
        <v>4-ADMINISTRAÇÃO</v>
      </c>
      <c r="L1233" t="str">
        <f t="shared" si="67"/>
        <v>122-ADMINISTRAÇÃO GERAL</v>
      </c>
      <c r="M1233" t="str">
        <f t="shared" si="68"/>
        <v>0001-Administração e Coordenação Geral​</v>
      </c>
      <c r="N1233" t="str">
        <f t="shared" si="69"/>
        <v xml:space="preserve">2.006-Representações Oficiais </v>
      </c>
      <c r="O1233" t="str">
        <f t="shared" si="70"/>
        <v>3.3.90.39.00-OUTROS SERVIÇOS DE TERCEIROS - PESSOA JURÍDICA</v>
      </c>
      <c r="R1233" s="25">
        <v>1</v>
      </c>
      <c r="S1233" t="s">
        <v>1035</v>
      </c>
    </row>
    <row r="1234" spans="1:19" x14ac:dyDescent="0.25">
      <c r="A1234" t="str">
        <f t="shared" si="59"/>
        <v>14</v>
      </c>
      <c r="B1234" t="str">
        <f t="shared" si="60"/>
        <v>001</v>
      </c>
      <c r="C1234" t="str">
        <f t="shared" si="61"/>
        <v>04</v>
      </c>
      <c r="D1234" t="str">
        <f t="shared" si="62"/>
        <v>122</v>
      </c>
      <c r="E1234" t="str">
        <f t="shared" si="63"/>
        <v>0001</v>
      </c>
      <c r="F1234" t="str">
        <f t="shared" si="64"/>
        <v>2.011</v>
      </c>
      <c r="G1234" t="str">
        <f t="shared" si="65"/>
        <v>3.3.90.30.00</v>
      </c>
      <c r="H1234" t="s">
        <v>1274</v>
      </c>
      <c r="I1234" t="str">
        <f t="shared" si="71"/>
        <v>14 - SECRETARIA DE ASSISTÊNCIA SOCIAL</v>
      </c>
      <c r="J1234" t="s">
        <v>20</v>
      </c>
      <c r="K1234" t="str">
        <f t="shared" si="66"/>
        <v>4-ADMINISTRAÇÃO</v>
      </c>
      <c r="L1234" t="str">
        <f t="shared" si="67"/>
        <v>122-ADMINISTRAÇÃO GERAL</v>
      </c>
      <c r="M1234" t="str">
        <f t="shared" si="68"/>
        <v>0001-Administração e Coordenação Geral​</v>
      </c>
      <c r="N1234" t="str">
        <f t="shared" si="69"/>
        <v xml:space="preserve">2.011-Manutenção de Equipamentos Públicos </v>
      </c>
      <c r="O1234" t="str">
        <f t="shared" si="70"/>
        <v>3.3.90.30.00-MATERIAL DE CONSUMO</v>
      </c>
      <c r="R1234" s="25">
        <v>316225.77</v>
      </c>
      <c r="S1234" t="s">
        <v>1035</v>
      </c>
    </row>
    <row r="1235" spans="1:19" x14ac:dyDescent="0.25">
      <c r="A1235" t="str">
        <f t="shared" si="59"/>
        <v>14</v>
      </c>
      <c r="B1235" t="str">
        <f t="shared" si="60"/>
        <v>001</v>
      </c>
      <c r="C1235" t="str">
        <f t="shared" si="61"/>
        <v>04</v>
      </c>
      <c r="D1235" t="str">
        <f t="shared" si="62"/>
        <v>122</v>
      </c>
      <c r="E1235" t="str">
        <f t="shared" si="63"/>
        <v>0001</v>
      </c>
      <c r="F1235" t="str">
        <f t="shared" si="64"/>
        <v>2.011</v>
      </c>
      <c r="G1235" t="str">
        <f t="shared" si="65"/>
        <v>3.3.90.39.00</v>
      </c>
      <c r="H1235" t="s">
        <v>1275</v>
      </c>
      <c r="I1235" t="str">
        <f t="shared" si="71"/>
        <v>14 - SECRETARIA DE ASSISTÊNCIA SOCIAL</v>
      </c>
      <c r="J1235" t="s">
        <v>20</v>
      </c>
      <c r="K1235" t="str">
        <f t="shared" si="66"/>
        <v>4-ADMINISTRAÇÃO</v>
      </c>
      <c r="L1235" t="str">
        <f t="shared" si="67"/>
        <v>122-ADMINISTRAÇÃO GERAL</v>
      </c>
      <c r="M1235" t="str">
        <f t="shared" si="68"/>
        <v>0001-Administração e Coordenação Geral​</v>
      </c>
      <c r="N1235" t="str">
        <f t="shared" si="69"/>
        <v xml:space="preserve">2.011-Manutenção de Equipamentos Públicos </v>
      </c>
      <c r="O1235" t="str">
        <f t="shared" si="70"/>
        <v>3.3.90.39.00-OUTROS SERVIÇOS DE TERCEIROS - PESSOA JURÍDICA</v>
      </c>
      <c r="R1235" s="25">
        <v>57150.5</v>
      </c>
      <c r="S1235" t="s">
        <v>1035</v>
      </c>
    </row>
    <row r="1236" spans="1:19" x14ac:dyDescent="0.25">
      <c r="A1236" t="str">
        <f t="shared" si="59"/>
        <v>14</v>
      </c>
      <c r="B1236" t="str">
        <f t="shared" si="60"/>
        <v>001</v>
      </c>
      <c r="C1236" t="str">
        <f t="shared" si="61"/>
        <v>04</v>
      </c>
      <c r="D1236" t="str">
        <f t="shared" si="62"/>
        <v>122</v>
      </c>
      <c r="E1236" t="str">
        <f t="shared" si="63"/>
        <v>0001</v>
      </c>
      <c r="F1236" t="str">
        <f t="shared" si="64"/>
        <v>2.011</v>
      </c>
      <c r="G1236" t="str">
        <f t="shared" si="65"/>
        <v>3.3.90.93.00</v>
      </c>
      <c r="H1236" t="s">
        <v>1276</v>
      </c>
      <c r="I1236" t="str">
        <f t="shared" si="71"/>
        <v>14 - SECRETARIA DE ASSISTÊNCIA SOCIAL</v>
      </c>
      <c r="J1236" t="s">
        <v>20</v>
      </c>
      <c r="K1236" t="str">
        <f t="shared" si="66"/>
        <v>4-ADMINISTRAÇÃO</v>
      </c>
      <c r="L1236" t="str">
        <f t="shared" si="67"/>
        <v>122-ADMINISTRAÇÃO GERAL</v>
      </c>
      <c r="M1236" t="str">
        <f t="shared" si="68"/>
        <v>0001-Administração e Coordenação Geral​</v>
      </c>
      <c r="N1236" t="str">
        <f t="shared" si="69"/>
        <v xml:space="preserve">2.011-Manutenção de Equipamentos Públicos </v>
      </c>
      <c r="O1236" t="str">
        <f t="shared" si="70"/>
        <v>3.3.90.93.00-INDENIZAÇÕES E RESTITUIÇÕES</v>
      </c>
      <c r="R1236" s="25">
        <v>5195.5</v>
      </c>
      <c r="S1236" t="s">
        <v>1035</v>
      </c>
    </row>
    <row r="1237" spans="1:19" x14ac:dyDescent="0.25">
      <c r="A1237" t="str">
        <f t="shared" si="59"/>
        <v>14</v>
      </c>
      <c r="B1237" t="str">
        <f t="shared" si="60"/>
        <v>001</v>
      </c>
      <c r="C1237" t="str">
        <f t="shared" si="61"/>
        <v>04</v>
      </c>
      <c r="D1237" t="str">
        <f t="shared" si="62"/>
        <v>122</v>
      </c>
      <c r="E1237" t="str">
        <f t="shared" si="63"/>
        <v>0001</v>
      </c>
      <c r="F1237" t="str">
        <f t="shared" si="64"/>
        <v>2.011</v>
      </c>
      <c r="G1237" t="str">
        <f t="shared" si="65"/>
        <v>4.4.90.52.00</v>
      </c>
      <c r="H1237" t="s">
        <v>1277</v>
      </c>
      <c r="I1237" t="str">
        <f t="shared" si="71"/>
        <v>14 - SECRETARIA DE ASSISTÊNCIA SOCIAL</v>
      </c>
      <c r="J1237" t="s">
        <v>20</v>
      </c>
      <c r="K1237" t="str">
        <f t="shared" si="66"/>
        <v>4-ADMINISTRAÇÃO</v>
      </c>
      <c r="L1237" t="str">
        <f t="shared" si="67"/>
        <v>122-ADMINISTRAÇÃO GERAL</v>
      </c>
      <c r="M1237" t="str">
        <f t="shared" si="68"/>
        <v>0001-Administração e Coordenação Geral​</v>
      </c>
      <c r="N1237" t="str">
        <f t="shared" si="69"/>
        <v xml:space="preserve">2.011-Manutenção de Equipamentos Públicos </v>
      </c>
      <c r="O1237" t="str">
        <f t="shared" si="70"/>
        <v>4.4.90.52.00-EQUIPAMENTOS E MATERIAL PERMANENTE</v>
      </c>
      <c r="R1237" s="25">
        <v>202624.5</v>
      </c>
      <c r="S1237" t="s">
        <v>1035</v>
      </c>
    </row>
    <row r="1238" spans="1:19" x14ac:dyDescent="0.25">
      <c r="A1238" t="str">
        <f t="shared" si="59"/>
        <v>14</v>
      </c>
      <c r="B1238" t="str">
        <f t="shared" si="60"/>
        <v>001</v>
      </c>
      <c r="C1238" t="str">
        <f t="shared" si="61"/>
        <v>04</v>
      </c>
      <c r="D1238" t="str">
        <f t="shared" si="62"/>
        <v>126</v>
      </c>
      <c r="E1238" t="str">
        <f t="shared" si="63"/>
        <v>0002</v>
      </c>
      <c r="F1238" t="str">
        <f t="shared" si="64"/>
        <v>2.007</v>
      </c>
      <c r="G1238" t="str">
        <f t="shared" si="65"/>
        <v>3.3.90.40.00</v>
      </c>
      <c r="H1238" t="s">
        <v>1278</v>
      </c>
      <c r="I1238" t="str">
        <f t="shared" si="71"/>
        <v>14 - SECRETARIA DE ASSISTÊNCIA SOCIAL</v>
      </c>
      <c r="J1238" t="s">
        <v>20</v>
      </c>
      <c r="K1238" t="str">
        <f t="shared" si="66"/>
        <v>4-ADMINISTRAÇÃO</v>
      </c>
      <c r="L1238" t="str">
        <f t="shared" si="67"/>
        <v>126-TECNOLOGIA DA INFORMATIZAÇÃO</v>
      </c>
      <c r="M1238" t="str">
        <f t="shared" si="68"/>
        <v>0002-Governo Inteligente, Aberto e Inovador​</v>
      </c>
      <c r="N1238" t="str">
        <f t="shared" si="69"/>
        <v>2.007-Ampliação e Manutenção de Sistemas de Inteligência, Fiscalização e Tecnologia</v>
      </c>
      <c r="O1238" t="str">
        <f t="shared" si="70"/>
        <v>3.3.90.40.00-SERVIÇOS DE TECNOLOGIA DA INFORMAÇÃO E COMUNICAÇÃO - PESSOA JURÍDICA</v>
      </c>
      <c r="R1238" s="25">
        <v>1378090.08</v>
      </c>
      <c r="S1238" t="s">
        <v>1035</v>
      </c>
    </row>
    <row r="1239" spans="1:19" x14ac:dyDescent="0.25">
      <c r="A1239" t="str">
        <f t="shared" si="59"/>
        <v>14</v>
      </c>
      <c r="B1239" t="str">
        <f t="shared" si="60"/>
        <v>001</v>
      </c>
      <c r="C1239" t="str">
        <f t="shared" si="61"/>
        <v>04</v>
      </c>
      <c r="D1239" t="str">
        <f t="shared" si="62"/>
        <v>128</v>
      </c>
      <c r="E1239" t="str">
        <f t="shared" si="63"/>
        <v>0002</v>
      </c>
      <c r="F1239" t="str">
        <f t="shared" si="64"/>
        <v>2.003</v>
      </c>
      <c r="G1239" t="str">
        <f t="shared" si="65"/>
        <v>3.3.90.39.00</v>
      </c>
      <c r="H1239" t="s">
        <v>1279</v>
      </c>
      <c r="I1239" t="str">
        <f t="shared" si="71"/>
        <v>14 - SECRETARIA DE ASSISTÊNCIA SOCIAL</v>
      </c>
      <c r="J1239" t="s">
        <v>20</v>
      </c>
      <c r="K1239" t="str">
        <f t="shared" si="66"/>
        <v>4-ADMINISTRAÇÃO</v>
      </c>
      <c r="L1239" t="str">
        <f t="shared" si="67"/>
        <v>128-FORMAÇÃO DE RECURSOS HUMANOS</v>
      </c>
      <c r="M1239" t="str">
        <f t="shared" si="68"/>
        <v>0002-Governo Inteligente, Aberto e Inovador​</v>
      </c>
      <c r="N1239" t="str">
        <f t="shared" si="69"/>
        <v>2.003-Qualificação de Servidores e Processos Institucionais</v>
      </c>
      <c r="O1239" t="str">
        <f t="shared" si="70"/>
        <v>3.3.90.39.00-OUTROS SERVIÇOS DE TERCEIROS - PESSOA JURÍDICA</v>
      </c>
      <c r="R1239" s="25">
        <v>145475</v>
      </c>
      <c r="S1239" t="s">
        <v>1035</v>
      </c>
    </row>
    <row r="1240" spans="1:19" x14ac:dyDescent="0.25">
      <c r="A1240" t="str">
        <f t="shared" si="59"/>
        <v>14</v>
      </c>
      <c r="B1240" t="str">
        <f t="shared" si="60"/>
        <v>001</v>
      </c>
      <c r="C1240" t="str">
        <f t="shared" si="61"/>
        <v>04</v>
      </c>
      <c r="D1240" t="str">
        <f t="shared" si="62"/>
        <v>131</v>
      </c>
      <c r="E1240" t="str">
        <f t="shared" si="63"/>
        <v>0001</v>
      </c>
      <c r="F1240" t="str">
        <f t="shared" si="64"/>
        <v>2.005</v>
      </c>
      <c r="G1240" t="str">
        <f t="shared" si="65"/>
        <v>3.3.90.30.00</v>
      </c>
      <c r="H1240" t="s">
        <v>1280</v>
      </c>
      <c r="I1240" t="str">
        <f t="shared" si="71"/>
        <v>14 - SECRETARIA DE ASSISTÊNCIA SOCIAL</v>
      </c>
      <c r="J1240" t="s">
        <v>20</v>
      </c>
      <c r="K1240" t="str">
        <f t="shared" si="66"/>
        <v>4-ADMINISTRAÇÃO</v>
      </c>
      <c r="L1240" t="str">
        <f t="shared" si="67"/>
        <v>131-COMUNICAÇÃO SOCIAL</v>
      </c>
      <c r="M1240" t="str">
        <f t="shared" si="68"/>
        <v>0001-Administração e Coordenação Geral​</v>
      </c>
      <c r="N1240" t="str">
        <f t="shared" si="69"/>
        <v xml:space="preserve">2.005-Promoção de Eventos, Comunicação e Participação Social </v>
      </c>
      <c r="O1240" t="str">
        <f t="shared" si="70"/>
        <v>3.3.90.30.00-MATERIAL DE CONSUMO</v>
      </c>
      <c r="R1240" s="25">
        <v>15586.5</v>
      </c>
      <c r="S1240" t="s">
        <v>1035</v>
      </c>
    </row>
    <row r="1241" spans="1:19" x14ac:dyDescent="0.25">
      <c r="A1241" t="str">
        <f t="shared" si="59"/>
        <v>14</v>
      </c>
      <c r="B1241" t="str">
        <f t="shared" si="60"/>
        <v>001</v>
      </c>
      <c r="C1241" t="str">
        <f t="shared" si="61"/>
        <v>04</v>
      </c>
      <c r="D1241" t="str">
        <f t="shared" si="62"/>
        <v>131</v>
      </c>
      <c r="E1241" t="str">
        <f t="shared" si="63"/>
        <v>0002</v>
      </c>
      <c r="F1241" t="str">
        <f t="shared" si="64"/>
        <v>2.005</v>
      </c>
      <c r="G1241" t="str">
        <f t="shared" si="65"/>
        <v>3.3.90.30.00</v>
      </c>
      <c r="H1241" t="s">
        <v>1281</v>
      </c>
      <c r="I1241" t="str">
        <f t="shared" si="71"/>
        <v>14 - SECRETARIA DE ASSISTÊNCIA SOCIAL</v>
      </c>
      <c r="J1241" t="s">
        <v>20</v>
      </c>
      <c r="K1241" t="str">
        <f t="shared" si="66"/>
        <v>4-ADMINISTRAÇÃO</v>
      </c>
      <c r="L1241" t="str">
        <f t="shared" si="67"/>
        <v>131-COMUNICAÇÃO SOCIAL</v>
      </c>
      <c r="M1241" t="str">
        <f t="shared" si="68"/>
        <v>0002-Governo Inteligente, Aberto e Inovador​</v>
      </c>
      <c r="N1241" t="str">
        <f t="shared" si="69"/>
        <v xml:space="preserve">2.005-Promoção de Eventos, Comunicação e Participação Social </v>
      </c>
      <c r="O1241" t="str">
        <f t="shared" si="70"/>
        <v>3.3.90.30.00-MATERIAL DE CONSUMO</v>
      </c>
      <c r="R1241" s="25">
        <v>10391</v>
      </c>
      <c r="S1241" t="s">
        <v>1035</v>
      </c>
    </row>
    <row r="1242" spans="1:19" x14ac:dyDescent="0.25">
      <c r="A1242" t="str">
        <f t="shared" si="59"/>
        <v>14</v>
      </c>
      <c r="B1242" t="str">
        <f t="shared" si="60"/>
        <v>001</v>
      </c>
      <c r="C1242" t="str">
        <f t="shared" si="61"/>
        <v>04</v>
      </c>
      <c r="D1242" t="str">
        <f t="shared" si="62"/>
        <v>131</v>
      </c>
      <c r="E1242" t="str">
        <f t="shared" si="63"/>
        <v>0002</v>
      </c>
      <c r="F1242" t="str">
        <f t="shared" si="64"/>
        <v>2.005</v>
      </c>
      <c r="G1242" t="str">
        <f t="shared" si="65"/>
        <v>3.3.90.39.00</v>
      </c>
      <c r="H1242" t="s">
        <v>1282</v>
      </c>
      <c r="I1242" t="str">
        <f t="shared" si="71"/>
        <v>14 - SECRETARIA DE ASSISTÊNCIA SOCIAL</v>
      </c>
      <c r="J1242" t="s">
        <v>20</v>
      </c>
      <c r="K1242" t="str">
        <f t="shared" si="66"/>
        <v>4-ADMINISTRAÇÃO</v>
      </c>
      <c r="L1242" t="str">
        <f t="shared" si="67"/>
        <v>131-COMUNICAÇÃO SOCIAL</v>
      </c>
      <c r="M1242" t="str">
        <f t="shared" si="68"/>
        <v>0002-Governo Inteligente, Aberto e Inovador​</v>
      </c>
      <c r="N1242" t="str">
        <f t="shared" si="69"/>
        <v xml:space="preserve">2.005-Promoção de Eventos, Comunicação e Participação Social </v>
      </c>
      <c r="O1242" t="str">
        <f t="shared" si="70"/>
        <v>3.3.90.39.00-OUTROS SERVIÇOS DE TERCEIROS - PESSOA JURÍDICA</v>
      </c>
      <c r="R1242" s="25">
        <v>51956</v>
      </c>
      <c r="S1242" t="s">
        <v>1035</v>
      </c>
    </row>
    <row r="1243" spans="1:19" x14ac:dyDescent="0.25">
      <c r="A1243" t="str">
        <f t="shared" si="59"/>
        <v>14</v>
      </c>
      <c r="B1243" t="str">
        <f t="shared" si="60"/>
        <v>001</v>
      </c>
      <c r="C1243" t="str">
        <f t="shared" si="61"/>
        <v>08</v>
      </c>
      <c r="D1243" t="str">
        <f t="shared" si="62"/>
        <v>241</v>
      </c>
      <c r="E1243" t="str">
        <f t="shared" si="63"/>
        <v>0018</v>
      </c>
      <c r="F1243" t="str">
        <f t="shared" si="64"/>
        <v>2.041</v>
      </c>
      <c r="G1243" t="str">
        <f t="shared" si="65"/>
        <v>3.3.50.39.00</v>
      </c>
      <c r="H1243" t="s">
        <v>1283</v>
      </c>
      <c r="I1243" t="str">
        <f t="shared" si="71"/>
        <v>14 - SECRETARIA DE ASSISTÊNCIA SOCIAL</v>
      </c>
      <c r="J1243" t="s">
        <v>20</v>
      </c>
      <c r="K1243" t="str">
        <f t="shared" si="66"/>
        <v>8-ASSISTÊNCIA SOCIAL</v>
      </c>
      <c r="L1243" t="str">
        <f t="shared" si="67"/>
        <v>241-ASSISTÊNCIA AO IDOSO ASSISTÊNCIA À PESSOA IDOSA</v>
      </c>
      <c r="M1243" t="str">
        <f t="shared" si="68"/>
        <v>0018-Proteção Social e Garantia de Direitos​</v>
      </c>
      <c r="N1243" t="str">
        <f t="shared" si="69"/>
        <v>2.041-Ação Transversal de Garantia de Direitos</v>
      </c>
      <c r="O1243" t="str">
        <f t="shared" si="70"/>
        <v>3.3.50.39.00-OUTROS SERVIÇOS DE TERCEIROS - PESSOA JURÍDICA</v>
      </c>
      <c r="R1243" s="25">
        <v>1167939.0481</v>
      </c>
      <c r="S1243" t="s">
        <v>1035</v>
      </c>
    </row>
    <row r="1244" spans="1:19" x14ac:dyDescent="0.25">
      <c r="A1244" t="str">
        <f t="shared" si="59"/>
        <v>14</v>
      </c>
      <c r="B1244" t="str">
        <f t="shared" si="60"/>
        <v>001</v>
      </c>
      <c r="C1244" t="str">
        <f t="shared" si="61"/>
        <v>08</v>
      </c>
      <c r="D1244" t="str">
        <f t="shared" si="62"/>
        <v>241</v>
      </c>
      <c r="E1244" t="str">
        <f t="shared" si="63"/>
        <v>0018</v>
      </c>
      <c r="F1244" t="str">
        <f t="shared" si="64"/>
        <v>2.041</v>
      </c>
      <c r="G1244" t="str">
        <f t="shared" si="65"/>
        <v>3.3.90.30.00</v>
      </c>
      <c r="H1244" t="s">
        <v>1284</v>
      </c>
      <c r="I1244" t="str">
        <f t="shared" si="71"/>
        <v>14 - SECRETARIA DE ASSISTÊNCIA SOCIAL</v>
      </c>
      <c r="J1244" t="s">
        <v>20</v>
      </c>
      <c r="K1244" t="str">
        <f t="shared" si="66"/>
        <v>8-ASSISTÊNCIA SOCIAL</v>
      </c>
      <c r="L1244" t="str">
        <f t="shared" si="67"/>
        <v>241-ASSISTÊNCIA AO IDOSO ASSISTÊNCIA À PESSOA IDOSA</v>
      </c>
      <c r="M1244" t="str">
        <f t="shared" si="68"/>
        <v>0018-Proteção Social e Garantia de Direitos​</v>
      </c>
      <c r="N1244" t="str">
        <f t="shared" si="69"/>
        <v>2.041-Ação Transversal de Garantia de Direitos</v>
      </c>
      <c r="O1244" t="str">
        <f t="shared" si="70"/>
        <v>3.3.90.30.00-MATERIAL DE CONSUMO</v>
      </c>
      <c r="R1244" s="25">
        <v>20783</v>
      </c>
      <c r="S1244" t="s">
        <v>1035</v>
      </c>
    </row>
    <row r="1245" spans="1:19" x14ac:dyDescent="0.25">
      <c r="A1245" t="str">
        <f t="shared" si="59"/>
        <v>14</v>
      </c>
      <c r="B1245" t="str">
        <f t="shared" si="60"/>
        <v>001</v>
      </c>
      <c r="C1245" t="str">
        <f t="shared" si="61"/>
        <v>08</v>
      </c>
      <c r="D1245" t="str">
        <f t="shared" si="62"/>
        <v>241</v>
      </c>
      <c r="E1245" t="str">
        <f t="shared" si="63"/>
        <v>0018</v>
      </c>
      <c r="F1245" t="str">
        <f t="shared" si="64"/>
        <v>2.041</v>
      </c>
      <c r="G1245" t="str">
        <f t="shared" si="65"/>
        <v>3.3.90.36.00</v>
      </c>
      <c r="H1245" t="s">
        <v>1285</v>
      </c>
      <c r="I1245" t="str">
        <f t="shared" si="71"/>
        <v>14 - SECRETARIA DE ASSISTÊNCIA SOCIAL</v>
      </c>
      <c r="J1245" t="s">
        <v>20</v>
      </c>
      <c r="K1245" t="str">
        <f t="shared" si="66"/>
        <v>8-ASSISTÊNCIA SOCIAL</v>
      </c>
      <c r="L1245" t="str">
        <f t="shared" si="67"/>
        <v>241-ASSISTÊNCIA AO IDOSO ASSISTÊNCIA À PESSOA IDOSA</v>
      </c>
      <c r="M1245" t="str">
        <f t="shared" si="68"/>
        <v>0018-Proteção Social e Garantia de Direitos​</v>
      </c>
      <c r="N1245" t="str">
        <f t="shared" si="69"/>
        <v>2.041-Ação Transversal de Garantia de Direitos</v>
      </c>
      <c r="O1245" t="str">
        <f t="shared" si="70"/>
        <v>3.3.90.36.00-OUTROS SERVIÇOS DE TERCEIROS - PESSOA FÍSICA</v>
      </c>
      <c r="R1245" s="25">
        <v>5196.5</v>
      </c>
      <c r="S1245" t="s">
        <v>1035</v>
      </c>
    </row>
    <row r="1246" spans="1:19" x14ac:dyDescent="0.25">
      <c r="A1246" t="str">
        <f t="shared" si="59"/>
        <v>14</v>
      </c>
      <c r="B1246" t="str">
        <f t="shared" si="60"/>
        <v>001</v>
      </c>
      <c r="C1246" t="str">
        <f t="shared" si="61"/>
        <v>08</v>
      </c>
      <c r="D1246" t="str">
        <f t="shared" si="62"/>
        <v>241</v>
      </c>
      <c r="E1246" t="str">
        <f t="shared" si="63"/>
        <v>0018</v>
      </c>
      <c r="F1246" t="str">
        <f t="shared" si="64"/>
        <v>2.041</v>
      </c>
      <c r="G1246" t="str">
        <f t="shared" si="65"/>
        <v>3.3.90.39.00</v>
      </c>
      <c r="H1246" t="s">
        <v>1286</v>
      </c>
      <c r="I1246" t="str">
        <f t="shared" si="71"/>
        <v>14 - SECRETARIA DE ASSISTÊNCIA SOCIAL</v>
      </c>
      <c r="J1246" t="s">
        <v>20</v>
      </c>
      <c r="K1246" t="str">
        <f t="shared" si="66"/>
        <v>8-ASSISTÊNCIA SOCIAL</v>
      </c>
      <c r="L1246" t="str">
        <f t="shared" si="67"/>
        <v>241-ASSISTÊNCIA AO IDOSO ASSISTÊNCIA À PESSOA IDOSA</v>
      </c>
      <c r="M1246" t="str">
        <f t="shared" si="68"/>
        <v>0018-Proteção Social e Garantia de Direitos​</v>
      </c>
      <c r="N1246" t="str">
        <f t="shared" si="69"/>
        <v>2.041-Ação Transversal de Garantia de Direitos</v>
      </c>
      <c r="O1246" t="str">
        <f t="shared" si="70"/>
        <v>3.3.90.39.00-OUTROS SERVIÇOS DE TERCEIROS - PESSOA JURÍDICA</v>
      </c>
      <c r="R1246" s="25">
        <v>31174</v>
      </c>
      <c r="S1246" t="s">
        <v>1035</v>
      </c>
    </row>
    <row r="1247" spans="1:19" x14ac:dyDescent="0.25">
      <c r="A1247" t="str">
        <f t="shared" si="59"/>
        <v>14</v>
      </c>
      <c r="B1247" t="str">
        <f t="shared" si="60"/>
        <v>001</v>
      </c>
      <c r="C1247" t="str">
        <f t="shared" si="61"/>
        <v>08</v>
      </c>
      <c r="D1247" t="str">
        <f t="shared" si="62"/>
        <v>241</v>
      </c>
      <c r="E1247" t="str">
        <f t="shared" si="63"/>
        <v>0018</v>
      </c>
      <c r="F1247" t="str">
        <f t="shared" si="64"/>
        <v>2.041</v>
      </c>
      <c r="G1247" t="str">
        <f t="shared" si="65"/>
        <v>4.4.50.52.00</v>
      </c>
      <c r="H1247" t="s">
        <v>1287</v>
      </c>
      <c r="I1247" t="str">
        <f t="shared" si="71"/>
        <v>14 - SECRETARIA DE ASSISTÊNCIA SOCIAL</v>
      </c>
      <c r="J1247" t="s">
        <v>20</v>
      </c>
      <c r="K1247" t="str">
        <f t="shared" si="66"/>
        <v>8-ASSISTÊNCIA SOCIAL</v>
      </c>
      <c r="L1247" t="str">
        <f t="shared" si="67"/>
        <v>241-ASSISTÊNCIA AO IDOSO ASSISTÊNCIA À PESSOA IDOSA</v>
      </c>
      <c r="M1247" t="str">
        <f t="shared" si="68"/>
        <v>0018-Proteção Social e Garantia de Direitos​</v>
      </c>
      <c r="N1247" t="str">
        <f t="shared" si="69"/>
        <v>2.041-Ação Transversal de Garantia de Direitos</v>
      </c>
      <c r="O1247" t="str">
        <f t="shared" si="70"/>
        <v>4.4.50.52.00-EQUIPAMENTOS E MATERIAL PERMANENTE</v>
      </c>
      <c r="R1247" s="25">
        <v>0</v>
      </c>
      <c r="S1247" t="s">
        <v>1035</v>
      </c>
    </row>
    <row r="1248" spans="1:19" x14ac:dyDescent="0.25">
      <c r="A1248" t="str">
        <f t="shared" si="59"/>
        <v>14</v>
      </c>
      <c r="B1248" t="str">
        <f t="shared" si="60"/>
        <v>001</v>
      </c>
      <c r="C1248" t="str">
        <f t="shared" si="61"/>
        <v>08</v>
      </c>
      <c r="D1248" t="str">
        <f t="shared" si="62"/>
        <v>241</v>
      </c>
      <c r="E1248" t="str">
        <f t="shared" si="63"/>
        <v>0018</v>
      </c>
      <c r="F1248" t="str">
        <f t="shared" si="64"/>
        <v>2.041</v>
      </c>
      <c r="G1248" t="str">
        <f t="shared" si="65"/>
        <v>4.4.90.52.00</v>
      </c>
      <c r="H1248" t="s">
        <v>1288</v>
      </c>
      <c r="I1248" t="str">
        <f t="shared" si="71"/>
        <v>14 - SECRETARIA DE ASSISTÊNCIA SOCIAL</v>
      </c>
      <c r="J1248" t="s">
        <v>20</v>
      </c>
      <c r="K1248" t="str">
        <f t="shared" si="66"/>
        <v>8-ASSISTÊNCIA SOCIAL</v>
      </c>
      <c r="L1248" t="str">
        <f t="shared" si="67"/>
        <v>241-ASSISTÊNCIA AO IDOSO ASSISTÊNCIA À PESSOA IDOSA</v>
      </c>
      <c r="M1248" t="str">
        <f t="shared" si="68"/>
        <v>0018-Proteção Social e Garantia de Direitos​</v>
      </c>
      <c r="N1248" t="str">
        <f t="shared" si="69"/>
        <v>2.041-Ação Transversal de Garantia de Direitos</v>
      </c>
      <c r="O1248" t="str">
        <f t="shared" si="70"/>
        <v>4.4.90.52.00-EQUIPAMENTOS E MATERIAL PERMANENTE</v>
      </c>
      <c r="R1248" s="25">
        <v>31174</v>
      </c>
      <c r="S1248" t="s">
        <v>1035</v>
      </c>
    </row>
    <row r="1249" spans="1:19" x14ac:dyDescent="0.25">
      <c r="A1249" t="str">
        <f t="shared" si="59"/>
        <v>14</v>
      </c>
      <c r="B1249" t="str">
        <f t="shared" si="60"/>
        <v>001</v>
      </c>
      <c r="C1249" t="str">
        <f t="shared" si="61"/>
        <v>08</v>
      </c>
      <c r="D1249" t="str">
        <f t="shared" si="62"/>
        <v>245</v>
      </c>
      <c r="E1249" t="str">
        <f t="shared" si="63"/>
        <v>0018</v>
      </c>
      <c r="F1249" t="str">
        <f t="shared" si="64"/>
        <v>2.015</v>
      </c>
      <c r="G1249" t="str">
        <f t="shared" si="65"/>
        <v>3.3.90.39.00</v>
      </c>
      <c r="H1249" t="s">
        <v>1289</v>
      </c>
      <c r="I1249" t="str">
        <f t="shared" si="71"/>
        <v>14 - SECRETARIA DE ASSISTÊNCIA SOCIAL</v>
      </c>
      <c r="J1249" t="s">
        <v>20</v>
      </c>
      <c r="K1249" t="str">
        <f t="shared" si="66"/>
        <v>8-ASSISTÊNCIA SOCIAL</v>
      </c>
      <c r="L1249" t="str">
        <f t="shared" si="67"/>
        <v>245-SERVIÇOS SOCIOASSISTENCIAIS</v>
      </c>
      <c r="M1249" t="str">
        <f t="shared" si="68"/>
        <v>0018-Proteção Social e Garantia de Direitos​</v>
      </c>
      <c r="N1249" t="str">
        <f t="shared" si="69"/>
        <v xml:space="preserve">2.015-Manutenção de Equipamentos Públicos - Proteção Básica </v>
      </c>
      <c r="O1249" t="str">
        <f t="shared" si="70"/>
        <v>3.3.90.39.00-OUTROS SERVIÇOS DE TERCEIROS - PESSOA JURÍDICA</v>
      </c>
      <c r="R1249" s="25">
        <v>405612.58999999997</v>
      </c>
      <c r="S1249" t="s">
        <v>1035</v>
      </c>
    </row>
    <row r="1250" spans="1:19" x14ac:dyDescent="0.25">
      <c r="A1250" t="str">
        <f t="shared" si="59"/>
        <v>14</v>
      </c>
      <c r="B1250" t="str">
        <f t="shared" si="60"/>
        <v>001</v>
      </c>
      <c r="C1250" t="str">
        <f t="shared" si="61"/>
        <v>08</v>
      </c>
      <c r="D1250" t="str">
        <f t="shared" si="62"/>
        <v>245</v>
      </c>
      <c r="E1250" t="str">
        <f t="shared" si="63"/>
        <v>0018</v>
      </c>
      <c r="F1250" t="str">
        <f t="shared" si="64"/>
        <v>2.026</v>
      </c>
      <c r="G1250" t="str">
        <f t="shared" si="65"/>
        <v>3.3.90.39.00</v>
      </c>
      <c r="H1250" t="s">
        <v>1290</v>
      </c>
      <c r="I1250" t="str">
        <f t="shared" si="71"/>
        <v>14 - SECRETARIA DE ASSISTÊNCIA SOCIAL</v>
      </c>
      <c r="J1250" t="s">
        <v>20</v>
      </c>
      <c r="K1250" t="str">
        <f t="shared" si="66"/>
        <v>8-ASSISTÊNCIA SOCIAL</v>
      </c>
      <c r="L1250" t="str">
        <f t="shared" si="67"/>
        <v>245-SERVIÇOS SOCIOASSISTENCIAIS</v>
      </c>
      <c r="M1250" t="str">
        <f t="shared" si="68"/>
        <v>0018-Proteção Social e Garantia de Direitos​</v>
      </c>
      <c r="N1250" t="str">
        <f t="shared" si="69"/>
        <v>2.026-Residências e Internações Compulsórias</v>
      </c>
      <c r="O1250" t="str">
        <f t="shared" si="70"/>
        <v>3.3.90.39.00-OUTROS SERVIÇOS DE TERCEIROS - PESSOA JURÍDICA</v>
      </c>
      <c r="R1250" s="25">
        <v>1819269.73</v>
      </c>
      <c r="S1250" t="s">
        <v>1035</v>
      </c>
    </row>
    <row r="1251" spans="1:19" x14ac:dyDescent="0.25">
      <c r="A1251" t="str">
        <f t="shared" ref="A1251:A1314" si="72">LEFT(H1251,2)</f>
        <v>14</v>
      </c>
      <c r="B1251" t="str">
        <f t="shared" ref="B1251:B1314" si="73">MID(H1251,4,3)</f>
        <v>001</v>
      </c>
      <c r="C1251" t="str">
        <f t="shared" ref="C1251:C1314" si="74">MID(H1251,8,2)</f>
        <v>08</v>
      </c>
      <c r="D1251" t="str">
        <f t="shared" ref="D1251:D1314" si="75">MID(H1251,11,3)</f>
        <v>245</v>
      </c>
      <c r="E1251" t="str">
        <f t="shared" ref="E1251:E1314" si="76">MID(H1251,15,4)</f>
        <v>0018</v>
      </c>
      <c r="F1251" t="str">
        <f t="shared" ref="F1251:F1314" si="77">MID(H1251,20,5)</f>
        <v>2.041</v>
      </c>
      <c r="G1251" t="str">
        <f t="shared" ref="G1251:G1314" si="78">MID(H1251,26,12)</f>
        <v>3.3.50.39.00</v>
      </c>
      <c r="H1251" t="s">
        <v>1291</v>
      </c>
      <c r="I1251" t="str">
        <f t="shared" si="71"/>
        <v>14 - SECRETARIA DE ASSISTÊNCIA SOCIAL</v>
      </c>
      <c r="J1251" t="s">
        <v>20</v>
      </c>
      <c r="K1251" t="str">
        <f t="shared" ref="K1251:K1314" si="79">VLOOKUP(C1251,$C$1:$O$994,9,0)</f>
        <v>8-ASSISTÊNCIA SOCIAL</v>
      </c>
      <c r="L1251" t="str">
        <f t="shared" ref="L1251:L1314" si="80">VLOOKUP(D1251,$D$1:$O$994,9,0)</f>
        <v>245-SERVIÇOS SOCIOASSISTENCIAIS</v>
      </c>
      <c r="M1251" t="str">
        <f t="shared" ref="M1251:M1314" si="81">VLOOKUP(E1251,$E$1:$O$994,9,0)</f>
        <v>0018-Proteção Social e Garantia de Direitos​</v>
      </c>
      <c r="N1251" t="str">
        <f t="shared" ref="N1251:N1314" si="82">VLOOKUP(F1251,$F$1:$O$994,9,0)</f>
        <v>2.041-Ação Transversal de Garantia de Direitos</v>
      </c>
      <c r="O1251" t="str">
        <f t="shared" ref="O1251:O1314" si="83">VLOOKUP(G1251,$G$1:$O$994,9,0)</f>
        <v>3.3.50.39.00-OUTROS SERVIÇOS DE TERCEIROS - PESSOA JURÍDICA</v>
      </c>
      <c r="R1251" s="25">
        <v>0</v>
      </c>
      <c r="S1251" t="s">
        <v>1035</v>
      </c>
    </row>
    <row r="1252" spans="1:19" x14ac:dyDescent="0.25">
      <c r="A1252" t="str">
        <f t="shared" si="72"/>
        <v>14</v>
      </c>
      <c r="B1252" t="str">
        <f t="shared" si="73"/>
        <v>001</v>
      </c>
      <c r="C1252" t="str">
        <f t="shared" si="74"/>
        <v>08</v>
      </c>
      <c r="D1252" t="str">
        <f t="shared" si="75"/>
        <v>245</v>
      </c>
      <c r="E1252" t="str">
        <f t="shared" si="76"/>
        <v>0018</v>
      </c>
      <c r="F1252" t="str">
        <f t="shared" si="77"/>
        <v>2.041</v>
      </c>
      <c r="G1252" t="str">
        <f t="shared" si="78"/>
        <v>3.3.90.30.00</v>
      </c>
      <c r="H1252" t="s">
        <v>1292</v>
      </c>
      <c r="I1252" t="str">
        <f t="shared" si="71"/>
        <v>14 - SECRETARIA DE ASSISTÊNCIA SOCIAL</v>
      </c>
      <c r="J1252" t="s">
        <v>20</v>
      </c>
      <c r="K1252" t="str">
        <f t="shared" si="79"/>
        <v>8-ASSISTÊNCIA SOCIAL</v>
      </c>
      <c r="L1252" t="str">
        <f t="shared" si="80"/>
        <v>245-SERVIÇOS SOCIOASSISTENCIAIS</v>
      </c>
      <c r="M1252" t="str">
        <f t="shared" si="81"/>
        <v>0018-Proteção Social e Garantia de Direitos​</v>
      </c>
      <c r="N1252" t="str">
        <f t="shared" si="82"/>
        <v>2.041-Ação Transversal de Garantia de Direitos</v>
      </c>
      <c r="O1252" t="str">
        <f t="shared" si="83"/>
        <v>3.3.90.30.00-MATERIAL DE CONSUMO</v>
      </c>
      <c r="R1252" s="25">
        <v>10391</v>
      </c>
      <c r="S1252" t="s">
        <v>1035</v>
      </c>
    </row>
    <row r="1253" spans="1:19" x14ac:dyDescent="0.25">
      <c r="A1253" t="str">
        <f t="shared" si="72"/>
        <v>14</v>
      </c>
      <c r="B1253" t="str">
        <f t="shared" si="73"/>
        <v>001</v>
      </c>
      <c r="C1253" t="str">
        <f t="shared" si="74"/>
        <v>08</v>
      </c>
      <c r="D1253" t="str">
        <f t="shared" si="75"/>
        <v>245</v>
      </c>
      <c r="E1253" t="str">
        <f t="shared" si="76"/>
        <v>0018</v>
      </c>
      <c r="F1253" t="str">
        <f t="shared" si="77"/>
        <v>2.041</v>
      </c>
      <c r="G1253" t="str">
        <f t="shared" si="78"/>
        <v>3.3.90.36.00</v>
      </c>
      <c r="H1253" t="s">
        <v>1293</v>
      </c>
      <c r="I1253" t="str">
        <f t="shared" si="71"/>
        <v>14 - SECRETARIA DE ASSISTÊNCIA SOCIAL</v>
      </c>
      <c r="J1253" t="s">
        <v>20</v>
      </c>
      <c r="K1253" t="str">
        <f t="shared" si="79"/>
        <v>8-ASSISTÊNCIA SOCIAL</v>
      </c>
      <c r="L1253" t="str">
        <f t="shared" si="80"/>
        <v>245-SERVIÇOS SOCIOASSISTENCIAIS</v>
      </c>
      <c r="M1253" t="str">
        <f t="shared" si="81"/>
        <v>0018-Proteção Social e Garantia de Direitos​</v>
      </c>
      <c r="N1253" t="str">
        <f t="shared" si="82"/>
        <v>2.041-Ação Transversal de Garantia de Direitos</v>
      </c>
      <c r="O1253" t="str">
        <f t="shared" si="83"/>
        <v>3.3.90.36.00-OUTROS SERVIÇOS DE TERCEIROS - PESSOA FÍSICA</v>
      </c>
      <c r="R1253" s="25">
        <v>5195.5</v>
      </c>
      <c r="S1253" t="s">
        <v>1035</v>
      </c>
    </row>
    <row r="1254" spans="1:19" x14ac:dyDescent="0.25">
      <c r="A1254" t="str">
        <f t="shared" si="72"/>
        <v>14</v>
      </c>
      <c r="B1254" t="str">
        <f t="shared" si="73"/>
        <v>001</v>
      </c>
      <c r="C1254" t="str">
        <f t="shared" si="74"/>
        <v>08</v>
      </c>
      <c r="D1254" t="str">
        <f t="shared" si="75"/>
        <v>245</v>
      </c>
      <c r="E1254" t="str">
        <f t="shared" si="76"/>
        <v>0018</v>
      </c>
      <c r="F1254" t="str">
        <f t="shared" si="77"/>
        <v>2.041</v>
      </c>
      <c r="G1254" t="str">
        <f t="shared" si="78"/>
        <v>3.3.90.39.00</v>
      </c>
      <c r="H1254" t="s">
        <v>1294</v>
      </c>
      <c r="I1254" t="str">
        <f t="shared" si="71"/>
        <v>14 - SECRETARIA DE ASSISTÊNCIA SOCIAL</v>
      </c>
      <c r="J1254" t="s">
        <v>20</v>
      </c>
      <c r="K1254" t="str">
        <f t="shared" si="79"/>
        <v>8-ASSISTÊNCIA SOCIAL</v>
      </c>
      <c r="L1254" t="str">
        <f t="shared" si="80"/>
        <v>245-SERVIÇOS SOCIOASSISTENCIAIS</v>
      </c>
      <c r="M1254" t="str">
        <f t="shared" si="81"/>
        <v>0018-Proteção Social e Garantia de Direitos​</v>
      </c>
      <c r="N1254" t="str">
        <f t="shared" si="82"/>
        <v>2.041-Ação Transversal de Garantia de Direitos</v>
      </c>
      <c r="O1254" t="str">
        <f t="shared" si="83"/>
        <v>3.3.90.39.00-OUTROS SERVIÇOS DE TERCEIROS - PESSOA JURÍDICA</v>
      </c>
      <c r="R1254" s="25">
        <v>83128</v>
      </c>
      <c r="S1254" t="s">
        <v>1035</v>
      </c>
    </row>
    <row r="1255" spans="1:19" x14ac:dyDescent="0.25">
      <c r="A1255" t="str">
        <f t="shared" si="72"/>
        <v>14</v>
      </c>
      <c r="B1255" t="str">
        <f t="shared" si="73"/>
        <v>001</v>
      </c>
      <c r="C1255" t="str">
        <f t="shared" si="74"/>
        <v>08</v>
      </c>
      <c r="D1255" t="str">
        <f t="shared" si="75"/>
        <v>245</v>
      </c>
      <c r="E1255" t="str">
        <f t="shared" si="76"/>
        <v>0018</v>
      </c>
      <c r="F1255" t="str">
        <f t="shared" si="77"/>
        <v>2.041</v>
      </c>
      <c r="G1255" t="str">
        <f t="shared" si="78"/>
        <v>4.4.50.51.00</v>
      </c>
      <c r="H1255" t="s">
        <v>1295</v>
      </c>
      <c r="I1255" t="str">
        <f t="shared" si="71"/>
        <v>14 - SECRETARIA DE ASSISTÊNCIA SOCIAL</v>
      </c>
      <c r="J1255" t="s">
        <v>20</v>
      </c>
      <c r="K1255" t="str">
        <f t="shared" si="79"/>
        <v>8-ASSISTÊNCIA SOCIAL</v>
      </c>
      <c r="L1255" t="str">
        <f t="shared" si="80"/>
        <v>245-SERVIÇOS SOCIOASSISTENCIAIS</v>
      </c>
      <c r="M1255" t="str">
        <f t="shared" si="81"/>
        <v>0018-Proteção Social e Garantia de Direitos​</v>
      </c>
      <c r="N1255" t="str">
        <f t="shared" si="82"/>
        <v>2.041-Ação Transversal de Garantia de Direitos</v>
      </c>
      <c r="O1255" t="str">
        <f t="shared" si="83"/>
        <v>4.4.50.51.00-OBRAS E INSTALAÇÕES</v>
      </c>
      <c r="R1255" s="25">
        <v>0</v>
      </c>
      <c r="S1255" t="s">
        <v>1035</v>
      </c>
    </row>
    <row r="1256" spans="1:19" x14ac:dyDescent="0.25">
      <c r="A1256" t="str">
        <f t="shared" si="72"/>
        <v>14</v>
      </c>
      <c r="B1256" t="str">
        <f t="shared" si="73"/>
        <v>001</v>
      </c>
      <c r="C1256" t="str">
        <f t="shared" si="74"/>
        <v>08</v>
      </c>
      <c r="D1256" t="str">
        <f t="shared" si="75"/>
        <v>245</v>
      </c>
      <c r="E1256" t="str">
        <f t="shared" si="76"/>
        <v>0018</v>
      </c>
      <c r="F1256" t="str">
        <f t="shared" si="77"/>
        <v>2.041</v>
      </c>
      <c r="G1256" t="str">
        <f t="shared" si="78"/>
        <v>4.4.50.52.00</v>
      </c>
      <c r="H1256" t="s">
        <v>1296</v>
      </c>
      <c r="I1256" t="str">
        <f t="shared" si="71"/>
        <v>14 - SECRETARIA DE ASSISTÊNCIA SOCIAL</v>
      </c>
      <c r="J1256" t="s">
        <v>20</v>
      </c>
      <c r="K1256" t="str">
        <f t="shared" si="79"/>
        <v>8-ASSISTÊNCIA SOCIAL</v>
      </c>
      <c r="L1256" t="str">
        <f t="shared" si="80"/>
        <v>245-SERVIÇOS SOCIOASSISTENCIAIS</v>
      </c>
      <c r="M1256" t="str">
        <f t="shared" si="81"/>
        <v>0018-Proteção Social e Garantia de Direitos​</v>
      </c>
      <c r="N1256" t="str">
        <f t="shared" si="82"/>
        <v>2.041-Ação Transversal de Garantia de Direitos</v>
      </c>
      <c r="O1256" t="str">
        <f t="shared" si="83"/>
        <v>4.4.50.52.00-EQUIPAMENTOS E MATERIAL PERMANENTE</v>
      </c>
      <c r="R1256" s="25">
        <v>0</v>
      </c>
      <c r="S1256" t="s">
        <v>1035</v>
      </c>
    </row>
    <row r="1257" spans="1:19" x14ac:dyDescent="0.25">
      <c r="A1257" t="str">
        <f t="shared" si="72"/>
        <v>14</v>
      </c>
      <c r="B1257" t="str">
        <f t="shared" si="73"/>
        <v>001</v>
      </c>
      <c r="C1257" t="str">
        <f t="shared" si="74"/>
        <v>08</v>
      </c>
      <c r="D1257" t="str">
        <f t="shared" si="75"/>
        <v>245</v>
      </c>
      <c r="E1257" t="str">
        <f t="shared" si="76"/>
        <v>0018</v>
      </c>
      <c r="F1257" t="str">
        <f t="shared" si="77"/>
        <v>2.041</v>
      </c>
      <c r="G1257" t="str">
        <f t="shared" si="78"/>
        <v>4.4.90.52.00</v>
      </c>
      <c r="H1257" t="s">
        <v>1297</v>
      </c>
      <c r="I1257" t="str">
        <f t="shared" si="71"/>
        <v>14 - SECRETARIA DE ASSISTÊNCIA SOCIAL</v>
      </c>
      <c r="J1257" t="s">
        <v>20</v>
      </c>
      <c r="K1257" t="str">
        <f t="shared" si="79"/>
        <v>8-ASSISTÊNCIA SOCIAL</v>
      </c>
      <c r="L1257" t="str">
        <f t="shared" si="80"/>
        <v>245-SERVIÇOS SOCIOASSISTENCIAIS</v>
      </c>
      <c r="M1257" t="str">
        <f t="shared" si="81"/>
        <v>0018-Proteção Social e Garantia de Direitos​</v>
      </c>
      <c r="N1257" t="str">
        <f t="shared" si="82"/>
        <v>2.041-Ação Transversal de Garantia de Direitos</v>
      </c>
      <c r="O1257" t="str">
        <f t="shared" si="83"/>
        <v>4.4.90.52.00-EQUIPAMENTOS E MATERIAL PERMANENTE</v>
      </c>
      <c r="R1257" s="25">
        <v>20782</v>
      </c>
      <c r="S1257" t="s">
        <v>1035</v>
      </c>
    </row>
    <row r="1258" spans="1:19" x14ac:dyDescent="0.25">
      <c r="A1258" t="str">
        <f t="shared" si="72"/>
        <v>14</v>
      </c>
      <c r="B1258" t="str">
        <f t="shared" si="73"/>
        <v>001</v>
      </c>
      <c r="C1258" t="str">
        <f t="shared" si="74"/>
        <v>08</v>
      </c>
      <c r="D1258" t="str">
        <f t="shared" si="75"/>
        <v>246</v>
      </c>
      <c r="E1258" t="str">
        <f t="shared" si="76"/>
        <v>0018</v>
      </c>
      <c r="F1258" t="str">
        <f t="shared" si="77"/>
        <v>2.027</v>
      </c>
      <c r="G1258" t="str">
        <f t="shared" si="78"/>
        <v>3.3.90.39.00</v>
      </c>
      <c r="H1258" t="s">
        <v>1298</v>
      </c>
      <c r="I1258" t="str">
        <f t="shared" si="71"/>
        <v>14 - SECRETARIA DE ASSISTÊNCIA SOCIAL</v>
      </c>
      <c r="J1258" t="s">
        <v>20</v>
      </c>
      <c r="K1258" t="str">
        <f t="shared" si="79"/>
        <v>8-ASSISTÊNCIA SOCIAL</v>
      </c>
      <c r="L1258" t="str">
        <f t="shared" si="80"/>
        <v>246-SEGURANÇA DE RENDA</v>
      </c>
      <c r="M1258" t="str">
        <f t="shared" si="81"/>
        <v>0018-Proteção Social e Garantia de Direitos​</v>
      </c>
      <c r="N1258" t="str">
        <f t="shared" si="82"/>
        <v xml:space="preserve">2.027-Intermediação Profissional </v>
      </c>
      <c r="O1258" t="str">
        <f t="shared" si="83"/>
        <v>3.3.90.39.00-OUTROS SERVIÇOS DE TERCEIROS - PESSOA JURÍDICA</v>
      </c>
      <c r="R1258" s="25">
        <v>3212030.92</v>
      </c>
      <c r="S1258" t="s">
        <v>1035</v>
      </c>
    </row>
    <row r="1259" spans="1:19" x14ac:dyDescent="0.25">
      <c r="A1259" t="str">
        <f t="shared" si="72"/>
        <v>14</v>
      </c>
      <c r="B1259" t="str">
        <f t="shared" si="73"/>
        <v>001</v>
      </c>
      <c r="C1259" t="str">
        <f t="shared" si="74"/>
        <v>08</v>
      </c>
      <c r="D1259" t="str">
        <f t="shared" si="75"/>
        <v>246</v>
      </c>
      <c r="E1259" t="str">
        <f t="shared" si="76"/>
        <v>0019</v>
      </c>
      <c r="F1259" t="str">
        <f t="shared" si="77"/>
        <v>2.024</v>
      </c>
      <c r="G1259" t="str">
        <f t="shared" si="78"/>
        <v>3.3.90.48.00</v>
      </c>
      <c r="H1259" t="s">
        <v>1299</v>
      </c>
      <c r="I1259" t="str">
        <f t="shared" si="71"/>
        <v>14 - SECRETARIA DE ASSISTÊNCIA SOCIAL</v>
      </c>
      <c r="J1259" t="s">
        <v>20</v>
      </c>
      <c r="K1259" t="str">
        <f t="shared" si="79"/>
        <v>8-ASSISTÊNCIA SOCIAL</v>
      </c>
      <c r="L1259" t="str">
        <f t="shared" si="80"/>
        <v>246-SEGURANÇA DE RENDA</v>
      </c>
      <c r="M1259" t="str">
        <f t="shared" si="81"/>
        <v>0019-Segurança Alimentar e Combate à Pobreza​</v>
      </c>
      <c r="N1259" t="str">
        <f t="shared" si="82"/>
        <v>2.024-Distribuição de Alimentos e Benefícios para as Famílias em Situação de Vulnerabilidade</v>
      </c>
      <c r="O1259" t="str">
        <f t="shared" si="83"/>
        <v>3.3.90.48.00 - OUTROS AUXILIOS FINANCEIROS A PESSOAS FISICAS</v>
      </c>
      <c r="R1259" s="25">
        <v>60000000</v>
      </c>
      <c r="S1259" t="s">
        <v>1035</v>
      </c>
    </row>
    <row r="1260" spans="1:19" x14ac:dyDescent="0.25">
      <c r="A1260" t="str">
        <f t="shared" si="72"/>
        <v>14</v>
      </c>
      <c r="B1260" t="str">
        <f t="shared" si="73"/>
        <v>005</v>
      </c>
      <c r="C1260" t="str">
        <f t="shared" si="74"/>
        <v>04</v>
      </c>
      <c r="D1260" t="str">
        <f t="shared" si="75"/>
        <v>128</v>
      </c>
      <c r="E1260" t="str">
        <f t="shared" si="76"/>
        <v>0002</v>
      </c>
      <c r="F1260" t="str">
        <f t="shared" si="77"/>
        <v>2.003</v>
      </c>
      <c r="G1260" t="str">
        <f t="shared" si="78"/>
        <v>3.3.90.39.00</v>
      </c>
      <c r="H1260" t="s">
        <v>1300</v>
      </c>
      <c r="I1260" t="str">
        <f t="shared" si="71"/>
        <v>14 - SECRETARIA DE ASSISTÊNCIA SOCIAL</v>
      </c>
      <c r="J1260" t="s">
        <v>619</v>
      </c>
      <c r="K1260" t="str">
        <f t="shared" si="79"/>
        <v>4-ADMINISTRAÇÃO</v>
      </c>
      <c r="L1260" t="str">
        <f t="shared" si="80"/>
        <v>128-FORMAÇÃO DE RECURSOS HUMANOS</v>
      </c>
      <c r="M1260" t="str">
        <f t="shared" si="81"/>
        <v>0002-Governo Inteligente, Aberto e Inovador​</v>
      </c>
      <c r="N1260" t="str">
        <f t="shared" si="82"/>
        <v>2.003-Qualificação de Servidores e Processos Institucionais</v>
      </c>
      <c r="O1260" t="str">
        <f t="shared" si="83"/>
        <v>3.3.90.39.00-OUTROS SERVIÇOS DE TERCEIROS - PESSOA JURÍDICA</v>
      </c>
      <c r="R1260" s="25">
        <v>145474</v>
      </c>
      <c r="S1260" t="s">
        <v>1035</v>
      </c>
    </row>
    <row r="1261" spans="1:19" x14ac:dyDescent="0.25">
      <c r="A1261" t="str">
        <f t="shared" si="72"/>
        <v>14</v>
      </c>
      <c r="B1261" t="str">
        <f t="shared" si="73"/>
        <v>005</v>
      </c>
      <c r="C1261" t="str">
        <f t="shared" si="74"/>
        <v>04</v>
      </c>
      <c r="D1261" t="str">
        <f t="shared" si="75"/>
        <v>131</v>
      </c>
      <c r="E1261" t="str">
        <f t="shared" si="76"/>
        <v>0002</v>
      </c>
      <c r="F1261" t="str">
        <f t="shared" si="77"/>
        <v>2.005</v>
      </c>
      <c r="G1261" t="str">
        <f t="shared" si="78"/>
        <v>3.3.90.30.00</v>
      </c>
      <c r="H1261" t="s">
        <v>1301</v>
      </c>
      <c r="I1261" t="str">
        <f t="shared" si="71"/>
        <v>14 - SECRETARIA DE ASSISTÊNCIA SOCIAL</v>
      </c>
      <c r="J1261" t="s">
        <v>619</v>
      </c>
      <c r="K1261" t="str">
        <f t="shared" si="79"/>
        <v>4-ADMINISTRAÇÃO</v>
      </c>
      <c r="L1261" t="str">
        <f t="shared" si="80"/>
        <v>131-COMUNICAÇÃO SOCIAL</v>
      </c>
      <c r="M1261" t="str">
        <f t="shared" si="81"/>
        <v>0002-Governo Inteligente, Aberto e Inovador​</v>
      </c>
      <c r="N1261" t="str">
        <f t="shared" si="82"/>
        <v xml:space="preserve">2.005-Promoção de Eventos, Comunicação e Participação Social </v>
      </c>
      <c r="O1261" t="str">
        <f t="shared" si="83"/>
        <v>3.3.90.30.00-MATERIAL DE CONSUMO</v>
      </c>
      <c r="R1261" s="25">
        <v>159329.35939999999</v>
      </c>
      <c r="S1261" t="s">
        <v>1035</v>
      </c>
    </row>
    <row r="1262" spans="1:19" x14ac:dyDescent="0.25">
      <c r="A1262" t="str">
        <f t="shared" si="72"/>
        <v>14</v>
      </c>
      <c r="B1262" t="str">
        <f t="shared" si="73"/>
        <v>005</v>
      </c>
      <c r="C1262" t="str">
        <f t="shared" si="74"/>
        <v>04</v>
      </c>
      <c r="D1262" t="str">
        <f t="shared" si="75"/>
        <v>131</v>
      </c>
      <c r="E1262" t="str">
        <f t="shared" si="76"/>
        <v>0002</v>
      </c>
      <c r="F1262" t="str">
        <f t="shared" si="77"/>
        <v>2.005</v>
      </c>
      <c r="G1262" t="str">
        <f t="shared" si="78"/>
        <v>3.3.90.39.00</v>
      </c>
      <c r="H1262" t="s">
        <v>1302</v>
      </c>
      <c r="I1262" t="str">
        <f t="shared" si="71"/>
        <v>14 - SECRETARIA DE ASSISTÊNCIA SOCIAL</v>
      </c>
      <c r="J1262" t="s">
        <v>619</v>
      </c>
      <c r="K1262" t="str">
        <f t="shared" si="79"/>
        <v>4-ADMINISTRAÇÃO</v>
      </c>
      <c r="L1262" t="str">
        <f t="shared" si="80"/>
        <v>131-COMUNICAÇÃO SOCIAL</v>
      </c>
      <c r="M1262" t="str">
        <f t="shared" si="81"/>
        <v>0002-Governo Inteligente, Aberto e Inovador​</v>
      </c>
      <c r="N1262" t="str">
        <f t="shared" si="82"/>
        <v xml:space="preserve">2.005-Promoção de Eventos, Comunicação e Participação Social </v>
      </c>
      <c r="O1262" t="str">
        <f t="shared" si="83"/>
        <v>3.3.90.39.00-OUTROS SERVIÇOS DE TERCEIROS - PESSOA JURÍDICA</v>
      </c>
      <c r="R1262" s="25">
        <v>318658.71879999997</v>
      </c>
      <c r="S1262" t="s">
        <v>1035</v>
      </c>
    </row>
    <row r="1263" spans="1:19" x14ac:dyDescent="0.25">
      <c r="A1263" t="str">
        <f t="shared" si="72"/>
        <v>14</v>
      </c>
      <c r="B1263" t="str">
        <f t="shared" si="73"/>
        <v>005</v>
      </c>
      <c r="C1263" t="str">
        <f t="shared" si="74"/>
        <v>08</v>
      </c>
      <c r="D1263" t="str">
        <f t="shared" si="75"/>
        <v>122</v>
      </c>
      <c r="E1263" t="str">
        <f t="shared" si="76"/>
        <v>0018</v>
      </c>
      <c r="F1263" t="str">
        <f t="shared" si="77"/>
        <v>2.011</v>
      </c>
      <c r="G1263" t="str">
        <f t="shared" si="78"/>
        <v>3.3.90.30.00</v>
      </c>
      <c r="H1263" t="s">
        <v>1303</v>
      </c>
      <c r="I1263" t="str">
        <f t="shared" si="71"/>
        <v>14 - SECRETARIA DE ASSISTÊNCIA SOCIAL</v>
      </c>
      <c r="J1263" t="s">
        <v>619</v>
      </c>
      <c r="K1263" t="str">
        <f t="shared" si="79"/>
        <v>8-ASSISTÊNCIA SOCIAL</v>
      </c>
      <c r="L1263" t="str">
        <f t="shared" si="80"/>
        <v>122-ADMINISTRAÇÃO GERAL</v>
      </c>
      <c r="M1263" t="str">
        <f t="shared" si="81"/>
        <v>0018-Proteção Social e Garantia de Direitos​</v>
      </c>
      <c r="N1263" t="str">
        <f t="shared" si="82"/>
        <v xml:space="preserve">2.011-Manutenção de Equipamentos Públicos </v>
      </c>
      <c r="O1263" t="str">
        <f t="shared" si="83"/>
        <v>3.3.90.30.00-MATERIAL DE CONSUMO</v>
      </c>
      <c r="R1263" s="25">
        <v>12988.75</v>
      </c>
      <c r="S1263" t="s">
        <v>1035</v>
      </c>
    </row>
    <row r="1264" spans="1:19" x14ac:dyDescent="0.25">
      <c r="A1264" t="str">
        <f t="shared" si="72"/>
        <v>14</v>
      </c>
      <c r="B1264" t="str">
        <f t="shared" si="73"/>
        <v>005</v>
      </c>
      <c r="C1264" t="str">
        <f t="shared" si="74"/>
        <v>08</v>
      </c>
      <c r="D1264" t="str">
        <f t="shared" si="75"/>
        <v>122</v>
      </c>
      <c r="E1264" t="str">
        <f t="shared" si="76"/>
        <v>0018</v>
      </c>
      <c r="F1264" t="str">
        <f t="shared" si="77"/>
        <v>2.011</v>
      </c>
      <c r="G1264" t="str">
        <f t="shared" si="78"/>
        <v>3.3.90.39.00</v>
      </c>
      <c r="H1264" t="s">
        <v>1304</v>
      </c>
      <c r="I1264" t="str">
        <f t="shared" si="71"/>
        <v>14 - SECRETARIA DE ASSISTÊNCIA SOCIAL</v>
      </c>
      <c r="J1264" t="s">
        <v>619</v>
      </c>
      <c r="K1264" t="str">
        <f t="shared" si="79"/>
        <v>8-ASSISTÊNCIA SOCIAL</v>
      </c>
      <c r="L1264" t="str">
        <f t="shared" si="80"/>
        <v>122-ADMINISTRAÇÃO GERAL</v>
      </c>
      <c r="M1264" t="str">
        <f t="shared" si="81"/>
        <v>0018-Proteção Social e Garantia de Direitos​</v>
      </c>
      <c r="N1264" t="str">
        <f t="shared" si="82"/>
        <v xml:space="preserve">2.011-Manutenção de Equipamentos Públicos </v>
      </c>
      <c r="O1264" t="str">
        <f t="shared" si="83"/>
        <v>3.3.90.39.00-OUTROS SERVIÇOS DE TERCEIROS - PESSOA JURÍDICA</v>
      </c>
      <c r="R1264" s="25">
        <v>12988.75</v>
      </c>
      <c r="S1264" t="s">
        <v>1035</v>
      </c>
    </row>
    <row r="1265" spans="1:19" x14ac:dyDescent="0.25">
      <c r="A1265" t="str">
        <f t="shared" si="72"/>
        <v>14</v>
      </c>
      <c r="B1265" t="str">
        <f t="shared" si="73"/>
        <v>005</v>
      </c>
      <c r="C1265" t="str">
        <f t="shared" si="74"/>
        <v>08</v>
      </c>
      <c r="D1265" t="str">
        <f t="shared" si="75"/>
        <v>122</v>
      </c>
      <c r="E1265" t="str">
        <f t="shared" si="76"/>
        <v>0018</v>
      </c>
      <c r="F1265" t="str">
        <f t="shared" si="77"/>
        <v>2.011</v>
      </c>
      <c r="G1265" t="str">
        <f t="shared" si="78"/>
        <v>4.4.90.52.00</v>
      </c>
      <c r="H1265" t="s">
        <v>1305</v>
      </c>
      <c r="I1265" t="str">
        <f t="shared" ref="I1265:I1328" si="84">VLOOKUP(A1265,$A$1:$O$994,9,0)</f>
        <v>14 - SECRETARIA DE ASSISTÊNCIA SOCIAL</v>
      </c>
      <c r="J1265" t="s">
        <v>619</v>
      </c>
      <c r="K1265" t="str">
        <f t="shared" si="79"/>
        <v>8-ASSISTÊNCIA SOCIAL</v>
      </c>
      <c r="L1265" t="str">
        <f t="shared" si="80"/>
        <v>122-ADMINISTRAÇÃO GERAL</v>
      </c>
      <c r="M1265" t="str">
        <f t="shared" si="81"/>
        <v>0018-Proteção Social e Garantia de Direitos​</v>
      </c>
      <c r="N1265" t="str">
        <f t="shared" si="82"/>
        <v xml:space="preserve">2.011-Manutenção de Equipamentos Públicos </v>
      </c>
      <c r="O1265" t="str">
        <f t="shared" si="83"/>
        <v>4.4.90.52.00-EQUIPAMENTOS E MATERIAL PERMANENTE</v>
      </c>
      <c r="R1265" s="25">
        <v>12988.75</v>
      </c>
      <c r="S1265" t="s">
        <v>1035</v>
      </c>
    </row>
    <row r="1266" spans="1:19" x14ac:dyDescent="0.25">
      <c r="A1266" t="str">
        <f t="shared" si="72"/>
        <v>14</v>
      </c>
      <c r="B1266" t="str">
        <f t="shared" si="73"/>
        <v>005</v>
      </c>
      <c r="C1266" t="str">
        <f t="shared" si="74"/>
        <v>08</v>
      </c>
      <c r="D1266" t="str">
        <f t="shared" si="75"/>
        <v>241</v>
      </c>
      <c r="E1266" t="str">
        <f t="shared" si="76"/>
        <v>0018</v>
      </c>
      <c r="F1266" t="str">
        <f t="shared" si="77"/>
        <v>2.015</v>
      </c>
      <c r="G1266" t="str">
        <f t="shared" si="78"/>
        <v>4.4.90.52.00</v>
      </c>
      <c r="H1266" t="s">
        <v>1306</v>
      </c>
      <c r="I1266" t="str">
        <f t="shared" si="84"/>
        <v>14 - SECRETARIA DE ASSISTÊNCIA SOCIAL</v>
      </c>
      <c r="J1266" t="s">
        <v>619</v>
      </c>
      <c r="K1266" t="str">
        <f t="shared" si="79"/>
        <v>8-ASSISTÊNCIA SOCIAL</v>
      </c>
      <c r="L1266" t="str">
        <f t="shared" si="80"/>
        <v>241-ASSISTÊNCIA AO IDOSO ASSISTÊNCIA À PESSOA IDOSA</v>
      </c>
      <c r="M1266" t="str">
        <f t="shared" si="81"/>
        <v>0018-Proteção Social e Garantia de Direitos​</v>
      </c>
      <c r="N1266" t="str">
        <f t="shared" si="82"/>
        <v xml:space="preserve">2.015-Manutenção de Equipamentos Públicos - Proteção Básica </v>
      </c>
      <c r="O1266" t="str">
        <f t="shared" si="83"/>
        <v>4.4.90.52.00-EQUIPAMENTOS E MATERIAL PERMANENTE</v>
      </c>
      <c r="R1266" s="25">
        <v>0</v>
      </c>
      <c r="S1266" t="s">
        <v>1035</v>
      </c>
    </row>
    <row r="1267" spans="1:19" x14ac:dyDescent="0.25">
      <c r="A1267" t="str">
        <f t="shared" si="72"/>
        <v>14</v>
      </c>
      <c r="B1267" t="str">
        <f t="shared" si="73"/>
        <v>005</v>
      </c>
      <c r="C1267" t="str">
        <f t="shared" si="74"/>
        <v>08</v>
      </c>
      <c r="D1267" t="str">
        <f t="shared" si="75"/>
        <v>245</v>
      </c>
      <c r="E1267" t="str">
        <f t="shared" si="76"/>
        <v>0018</v>
      </c>
      <c r="F1267" t="str">
        <f t="shared" si="77"/>
        <v>2.005</v>
      </c>
      <c r="G1267" t="str">
        <f t="shared" si="78"/>
        <v>3.3.90.30.00</v>
      </c>
      <c r="H1267" t="s">
        <v>1307</v>
      </c>
      <c r="I1267" t="str">
        <f t="shared" si="84"/>
        <v>14 - SECRETARIA DE ASSISTÊNCIA SOCIAL</v>
      </c>
      <c r="J1267" t="s">
        <v>619</v>
      </c>
      <c r="K1267" t="str">
        <f t="shared" si="79"/>
        <v>8-ASSISTÊNCIA SOCIAL</v>
      </c>
      <c r="L1267" t="str">
        <f t="shared" si="80"/>
        <v>245-SERVIÇOS SOCIOASSISTENCIAIS</v>
      </c>
      <c r="M1267" t="str">
        <f t="shared" si="81"/>
        <v>0018-Proteção Social e Garantia de Direitos​</v>
      </c>
      <c r="N1267" t="str">
        <f t="shared" si="82"/>
        <v xml:space="preserve">2.005-Promoção de Eventos, Comunicação e Participação Social </v>
      </c>
      <c r="O1267" t="str">
        <f t="shared" si="83"/>
        <v>3.3.90.30.00-MATERIAL DE CONSUMO</v>
      </c>
      <c r="R1267" s="25">
        <v>633851</v>
      </c>
      <c r="S1267" t="s">
        <v>1035</v>
      </c>
    </row>
    <row r="1268" spans="1:19" x14ac:dyDescent="0.25">
      <c r="A1268" t="str">
        <f t="shared" si="72"/>
        <v>14</v>
      </c>
      <c r="B1268" t="str">
        <f t="shared" si="73"/>
        <v>005</v>
      </c>
      <c r="C1268" t="str">
        <f t="shared" si="74"/>
        <v>08</v>
      </c>
      <c r="D1268" t="str">
        <f t="shared" si="75"/>
        <v>245</v>
      </c>
      <c r="E1268" t="str">
        <f t="shared" si="76"/>
        <v>0018</v>
      </c>
      <c r="F1268" t="str">
        <f t="shared" si="77"/>
        <v>2.005</v>
      </c>
      <c r="G1268" t="str">
        <f t="shared" si="78"/>
        <v>3.3.90.39.00</v>
      </c>
      <c r="H1268" t="s">
        <v>1308</v>
      </c>
      <c r="I1268" t="str">
        <f t="shared" si="84"/>
        <v>14 - SECRETARIA DE ASSISTÊNCIA SOCIAL</v>
      </c>
      <c r="J1268" t="s">
        <v>619</v>
      </c>
      <c r="K1268" t="str">
        <f t="shared" si="79"/>
        <v>8-ASSISTÊNCIA SOCIAL</v>
      </c>
      <c r="L1268" t="str">
        <f t="shared" si="80"/>
        <v>245-SERVIÇOS SOCIOASSISTENCIAIS</v>
      </c>
      <c r="M1268" t="str">
        <f t="shared" si="81"/>
        <v>0018-Proteção Social e Garantia de Direitos​</v>
      </c>
      <c r="N1268" t="str">
        <f t="shared" si="82"/>
        <v xml:space="preserve">2.005-Promoção de Eventos, Comunicação e Participação Social </v>
      </c>
      <c r="O1268" t="str">
        <f t="shared" si="83"/>
        <v>3.3.90.39.00-OUTROS SERVIÇOS DE TERCEIROS - PESSOA JURÍDICA</v>
      </c>
      <c r="R1268" s="25">
        <v>519553</v>
      </c>
      <c r="S1268" t="s">
        <v>1035</v>
      </c>
    </row>
    <row r="1269" spans="1:19" x14ac:dyDescent="0.25">
      <c r="A1269" t="str">
        <f t="shared" si="72"/>
        <v>14</v>
      </c>
      <c r="B1269" t="str">
        <f t="shared" si="73"/>
        <v>005</v>
      </c>
      <c r="C1269" t="str">
        <f t="shared" si="74"/>
        <v>08</v>
      </c>
      <c r="D1269" t="str">
        <f t="shared" si="75"/>
        <v>245</v>
      </c>
      <c r="E1269" t="str">
        <f t="shared" si="76"/>
        <v>0018</v>
      </c>
      <c r="F1269" t="str">
        <f t="shared" si="77"/>
        <v>2.015</v>
      </c>
      <c r="G1269" t="str">
        <f t="shared" si="78"/>
        <v>3.3.50.39.00</v>
      </c>
      <c r="H1269" t="s">
        <v>1309</v>
      </c>
      <c r="I1269" t="str">
        <f t="shared" si="84"/>
        <v>14 - SECRETARIA DE ASSISTÊNCIA SOCIAL</v>
      </c>
      <c r="J1269" t="s">
        <v>619</v>
      </c>
      <c r="K1269" t="str">
        <f t="shared" si="79"/>
        <v>8-ASSISTÊNCIA SOCIAL</v>
      </c>
      <c r="L1269" t="str">
        <f t="shared" si="80"/>
        <v>245-SERVIÇOS SOCIOASSISTENCIAIS</v>
      </c>
      <c r="M1269" t="str">
        <f t="shared" si="81"/>
        <v>0018-Proteção Social e Garantia de Direitos​</v>
      </c>
      <c r="N1269" t="str">
        <f t="shared" si="82"/>
        <v xml:space="preserve">2.015-Manutenção de Equipamentos Públicos - Proteção Básica </v>
      </c>
      <c r="O1269" t="str">
        <f t="shared" si="83"/>
        <v>3.3.50.39.00-OUTROS SERVIÇOS DE TERCEIROS - PESSOA JURÍDICA</v>
      </c>
      <c r="R1269" s="25">
        <v>4601000</v>
      </c>
      <c r="S1269" t="s">
        <v>1035</v>
      </c>
    </row>
    <row r="1270" spans="1:19" x14ac:dyDescent="0.25">
      <c r="A1270" t="str">
        <f t="shared" si="72"/>
        <v>14</v>
      </c>
      <c r="B1270" t="str">
        <f t="shared" si="73"/>
        <v>005</v>
      </c>
      <c r="C1270" t="str">
        <f t="shared" si="74"/>
        <v>08</v>
      </c>
      <c r="D1270" t="str">
        <f t="shared" si="75"/>
        <v>245</v>
      </c>
      <c r="E1270" t="str">
        <f t="shared" si="76"/>
        <v>0018</v>
      </c>
      <c r="F1270" t="str">
        <f t="shared" si="77"/>
        <v>2.015</v>
      </c>
      <c r="G1270" t="str">
        <f t="shared" si="78"/>
        <v>3.3.90.30.00</v>
      </c>
      <c r="H1270" t="s">
        <v>1310</v>
      </c>
      <c r="I1270" t="str">
        <f t="shared" si="84"/>
        <v>14 - SECRETARIA DE ASSISTÊNCIA SOCIAL</v>
      </c>
      <c r="J1270" t="s">
        <v>619</v>
      </c>
      <c r="K1270" t="str">
        <f t="shared" si="79"/>
        <v>8-ASSISTÊNCIA SOCIAL</v>
      </c>
      <c r="L1270" t="str">
        <f t="shared" si="80"/>
        <v>245-SERVIÇOS SOCIOASSISTENCIAIS</v>
      </c>
      <c r="M1270" t="str">
        <f t="shared" si="81"/>
        <v>0018-Proteção Social e Garantia de Direitos​</v>
      </c>
      <c r="N1270" t="str">
        <f t="shared" si="82"/>
        <v xml:space="preserve">2.015-Manutenção de Equipamentos Públicos - Proteção Básica </v>
      </c>
      <c r="O1270" t="str">
        <f t="shared" si="83"/>
        <v>3.3.90.30.00-MATERIAL DE CONSUMO</v>
      </c>
      <c r="R1270" s="25">
        <v>684762.95079999999</v>
      </c>
      <c r="S1270" t="s">
        <v>1035</v>
      </c>
    </row>
    <row r="1271" spans="1:19" x14ac:dyDescent="0.25">
      <c r="A1271" t="str">
        <f t="shared" si="72"/>
        <v>14</v>
      </c>
      <c r="B1271" t="str">
        <f t="shared" si="73"/>
        <v>005</v>
      </c>
      <c r="C1271" t="str">
        <f t="shared" si="74"/>
        <v>08</v>
      </c>
      <c r="D1271" t="str">
        <f t="shared" si="75"/>
        <v>245</v>
      </c>
      <c r="E1271" t="str">
        <f t="shared" si="76"/>
        <v>0018</v>
      </c>
      <c r="F1271" t="str">
        <f t="shared" si="77"/>
        <v>2.015</v>
      </c>
      <c r="G1271" t="str">
        <f t="shared" si="78"/>
        <v>3.3.90.39.00</v>
      </c>
      <c r="H1271" t="s">
        <v>1311</v>
      </c>
      <c r="I1271" t="str">
        <f t="shared" si="84"/>
        <v>14 - SECRETARIA DE ASSISTÊNCIA SOCIAL</v>
      </c>
      <c r="J1271" t="s">
        <v>619</v>
      </c>
      <c r="K1271" t="str">
        <f t="shared" si="79"/>
        <v>8-ASSISTÊNCIA SOCIAL</v>
      </c>
      <c r="L1271" t="str">
        <f t="shared" si="80"/>
        <v>245-SERVIÇOS SOCIOASSISTENCIAIS</v>
      </c>
      <c r="M1271" t="str">
        <f t="shared" si="81"/>
        <v>0018-Proteção Social e Garantia de Direitos​</v>
      </c>
      <c r="N1271" t="str">
        <f t="shared" si="82"/>
        <v xml:space="preserve">2.015-Manutenção de Equipamentos Públicos - Proteção Básica </v>
      </c>
      <c r="O1271" t="str">
        <f t="shared" si="83"/>
        <v>3.3.90.39.00-OUTROS SERVIÇOS DE TERCEIROS - PESSOA JURÍDICA</v>
      </c>
      <c r="R1271" s="25">
        <v>609033.41</v>
      </c>
      <c r="S1271" t="s">
        <v>1035</v>
      </c>
    </row>
    <row r="1272" spans="1:19" x14ac:dyDescent="0.25">
      <c r="A1272" t="str">
        <f t="shared" si="72"/>
        <v>14</v>
      </c>
      <c r="B1272" t="str">
        <f t="shared" si="73"/>
        <v>005</v>
      </c>
      <c r="C1272" t="str">
        <f t="shared" si="74"/>
        <v>08</v>
      </c>
      <c r="D1272" t="str">
        <f t="shared" si="75"/>
        <v>245</v>
      </c>
      <c r="E1272" t="str">
        <f t="shared" si="76"/>
        <v>0018</v>
      </c>
      <c r="F1272" t="str">
        <f t="shared" si="77"/>
        <v>2.015</v>
      </c>
      <c r="G1272" t="str">
        <f t="shared" si="78"/>
        <v>3.3.90.93.00</v>
      </c>
      <c r="H1272" t="s">
        <v>1312</v>
      </c>
      <c r="I1272" t="str">
        <f t="shared" si="84"/>
        <v>14 - SECRETARIA DE ASSISTÊNCIA SOCIAL</v>
      </c>
      <c r="J1272" t="s">
        <v>619</v>
      </c>
      <c r="K1272" t="str">
        <f t="shared" si="79"/>
        <v>8-ASSISTÊNCIA SOCIAL</v>
      </c>
      <c r="L1272" t="str">
        <f t="shared" si="80"/>
        <v>245-SERVIÇOS SOCIOASSISTENCIAIS</v>
      </c>
      <c r="M1272" t="str">
        <f t="shared" si="81"/>
        <v>0018-Proteção Social e Garantia de Direitos​</v>
      </c>
      <c r="N1272" t="str">
        <f t="shared" si="82"/>
        <v xml:space="preserve">2.015-Manutenção de Equipamentos Públicos - Proteção Básica </v>
      </c>
      <c r="O1272" t="str">
        <f t="shared" si="83"/>
        <v>3.3.90.93.00-INDENIZAÇÕES E RESTITUIÇÕES</v>
      </c>
      <c r="R1272" s="25">
        <v>36368.5</v>
      </c>
      <c r="S1272" t="s">
        <v>1035</v>
      </c>
    </row>
    <row r="1273" spans="1:19" x14ac:dyDescent="0.25">
      <c r="A1273" t="str">
        <f t="shared" si="72"/>
        <v>14</v>
      </c>
      <c r="B1273" t="str">
        <f t="shared" si="73"/>
        <v>005</v>
      </c>
      <c r="C1273" t="str">
        <f t="shared" si="74"/>
        <v>08</v>
      </c>
      <c r="D1273" t="str">
        <f t="shared" si="75"/>
        <v>245</v>
      </c>
      <c r="E1273" t="str">
        <f t="shared" si="76"/>
        <v>0018</v>
      </c>
      <c r="F1273" t="str">
        <f t="shared" si="77"/>
        <v>2.015</v>
      </c>
      <c r="G1273" t="str">
        <f t="shared" si="78"/>
        <v>4.4.50.52.00</v>
      </c>
      <c r="H1273" t="s">
        <v>1313</v>
      </c>
      <c r="I1273" t="str">
        <f t="shared" si="84"/>
        <v>14 - SECRETARIA DE ASSISTÊNCIA SOCIAL</v>
      </c>
      <c r="J1273" t="s">
        <v>619</v>
      </c>
      <c r="K1273" t="str">
        <f t="shared" si="79"/>
        <v>8-ASSISTÊNCIA SOCIAL</v>
      </c>
      <c r="L1273" t="str">
        <f t="shared" si="80"/>
        <v>245-SERVIÇOS SOCIOASSISTENCIAIS</v>
      </c>
      <c r="M1273" t="str">
        <f t="shared" si="81"/>
        <v>0018-Proteção Social e Garantia de Direitos​</v>
      </c>
      <c r="N1273" t="str">
        <f t="shared" si="82"/>
        <v xml:space="preserve">2.015-Manutenção de Equipamentos Públicos - Proteção Básica </v>
      </c>
      <c r="O1273" t="str">
        <f t="shared" si="83"/>
        <v>4.4.50.52.00-EQUIPAMENTOS E MATERIAL PERMANENTE</v>
      </c>
      <c r="R1273" s="25">
        <v>1</v>
      </c>
      <c r="S1273" t="s">
        <v>1035</v>
      </c>
    </row>
    <row r="1274" spans="1:19" x14ac:dyDescent="0.25">
      <c r="A1274" t="str">
        <f t="shared" si="72"/>
        <v>14</v>
      </c>
      <c r="B1274" t="str">
        <f t="shared" si="73"/>
        <v>005</v>
      </c>
      <c r="C1274" t="str">
        <f t="shared" si="74"/>
        <v>08</v>
      </c>
      <c r="D1274" t="str">
        <f t="shared" si="75"/>
        <v>245</v>
      </c>
      <c r="E1274" t="str">
        <f t="shared" si="76"/>
        <v>0018</v>
      </c>
      <c r="F1274" t="str">
        <f t="shared" si="77"/>
        <v>2.015</v>
      </c>
      <c r="G1274" t="str">
        <f t="shared" si="78"/>
        <v>4.4.90.52.00</v>
      </c>
      <c r="H1274" t="s">
        <v>1314</v>
      </c>
      <c r="I1274" t="str">
        <f t="shared" si="84"/>
        <v>14 - SECRETARIA DE ASSISTÊNCIA SOCIAL</v>
      </c>
      <c r="J1274" t="s">
        <v>619</v>
      </c>
      <c r="K1274" t="str">
        <f t="shared" si="79"/>
        <v>8-ASSISTÊNCIA SOCIAL</v>
      </c>
      <c r="L1274" t="str">
        <f t="shared" si="80"/>
        <v>245-SERVIÇOS SOCIOASSISTENCIAIS</v>
      </c>
      <c r="M1274" t="str">
        <f t="shared" si="81"/>
        <v>0018-Proteção Social e Garantia de Direitos​</v>
      </c>
      <c r="N1274" t="str">
        <f t="shared" si="82"/>
        <v xml:space="preserve">2.015-Manutenção de Equipamentos Públicos - Proteção Básica </v>
      </c>
      <c r="O1274" t="str">
        <f t="shared" si="83"/>
        <v>4.4.90.52.00-EQUIPAMENTOS E MATERIAL PERMANENTE</v>
      </c>
      <c r="R1274" s="25">
        <v>207820</v>
      </c>
      <c r="S1274" t="s">
        <v>1035</v>
      </c>
    </row>
    <row r="1275" spans="1:19" x14ac:dyDescent="0.25">
      <c r="A1275" t="str">
        <f t="shared" si="72"/>
        <v>14</v>
      </c>
      <c r="B1275" t="str">
        <f t="shared" si="73"/>
        <v>005</v>
      </c>
      <c r="C1275" t="str">
        <f t="shared" si="74"/>
        <v>08</v>
      </c>
      <c r="D1275" t="str">
        <f t="shared" si="75"/>
        <v>245</v>
      </c>
      <c r="E1275" t="str">
        <f t="shared" si="76"/>
        <v>0018</v>
      </c>
      <c r="F1275" t="str">
        <f t="shared" si="77"/>
        <v>2.016</v>
      </c>
      <c r="G1275" t="str">
        <f t="shared" si="78"/>
        <v>3.3.50.39.00</v>
      </c>
      <c r="H1275" t="s">
        <v>1315</v>
      </c>
      <c r="I1275" t="str">
        <f t="shared" si="84"/>
        <v>14 - SECRETARIA DE ASSISTÊNCIA SOCIAL</v>
      </c>
      <c r="J1275" t="s">
        <v>619</v>
      </c>
      <c r="K1275" t="str">
        <f t="shared" si="79"/>
        <v>8-ASSISTÊNCIA SOCIAL</v>
      </c>
      <c r="L1275" t="str">
        <f t="shared" si="80"/>
        <v>245-SERVIÇOS SOCIOASSISTENCIAIS</v>
      </c>
      <c r="M1275" t="str">
        <f t="shared" si="81"/>
        <v>0018-Proteção Social e Garantia de Direitos​</v>
      </c>
      <c r="N1275" t="str">
        <f t="shared" si="82"/>
        <v xml:space="preserve">2.016-Manutenção de Equipamentos Públicos - Proteção Especial </v>
      </c>
      <c r="O1275" t="str">
        <f t="shared" si="83"/>
        <v>3.3.50.39.00-OUTROS SERVIÇOS DE TERCEIROS - PESSOA JURÍDICA</v>
      </c>
      <c r="R1275" s="25">
        <v>20670361.530000001</v>
      </c>
      <c r="S1275" t="s">
        <v>1035</v>
      </c>
    </row>
    <row r="1276" spans="1:19" x14ac:dyDescent="0.25">
      <c r="A1276" t="str">
        <f t="shared" si="72"/>
        <v>14</v>
      </c>
      <c r="B1276" t="str">
        <f t="shared" si="73"/>
        <v>005</v>
      </c>
      <c r="C1276" t="str">
        <f t="shared" si="74"/>
        <v>08</v>
      </c>
      <c r="D1276" t="str">
        <f t="shared" si="75"/>
        <v>245</v>
      </c>
      <c r="E1276" t="str">
        <f t="shared" si="76"/>
        <v>0018</v>
      </c>
      <c r="F1276" t="str">
        <f t="shared" si="77"/>
        <v>2.016</v>
      </c>
      <c r="G1276" t="str">
        <f t="shared" si="78"/>
        <v>3.3.71.70.00</v>
      </c>
      <c r="H1276" t="s">
        <v>1316</v>
      </c>
      <c r="I1276" t="str">
        <f t="shared" si="84"/>
        <v>14 - SECRETARIA DE ASSISTÊNCIA SOCIAL</v>
      </c>
      <c r="J1276" t="s">
        <v>619</v>
      </c>
      <c r="K1276" t="str">
        <f t="shared" si="79"/>
        <v>8-ASSISTÊNCIA SOCIAL</v>
      </c>
      <c r="L1276" t="str">
        <f t="shared" si="80"/>
        <v>245-SERVIÇOS SOCIOASSISTENCIAIS</v>
      </c>
      <c r="M1276" t="str">
        <f t="shared" si="81"/>
        <v>0018-Proteção Social e Garantia de Direitos​</v>
      </c>
      <c r="N1276" t="str">
        <f t="shared" si="82"/>
        <v xml:space="preserve">2.016-Manutenção de Equipamentos Públicos - Proteção Especial </v>
      </c>
      <c r="O1276" t="str">
        <f t="shared" si="83"/>
        <v>3.3.71.70.00-RATEIO PELA PARTICIPAÇÃO EM CONSÓRCIO PÚBLICO</v>
      </c>
      <c r="R1276" s="25">
        <v>81049.8</v>
      </c>
      <c r="S1276" t="s">
        <v>1035</v>
      </c>
    </row>
    <row r="1277" spans="1:19" x14ac:dyDescent="0.25">
      <c r="A1277" t="str">
        <f t="shared" si="72"/>
        <v>14</v>
      </c>
      <c r="B1277" t="str">
        <f t="shared" si="73"/>
        <v>005</v>
      </c>
      <c r="C1277" t="str">
        <f t="shared" si="74"/>
        <v>08</v>
      </c>
      <c r="D1277" t="str">
        <f t="shared" si="75"/>
        <v>245</v>
      </c>
      <c r="E1277" t="str">
        <f t="shared" si="76"/>
        <v>0018</v>
      </c>
      <c r="F1277" t="str">
        <f t="shared" si="77"/>
        <v>2.016</v>
      </c>
      <c r="G1277" t="str">
        <f t="shared" si="78"/>
        <v>3.3.90.30.00</v>
      </c>
      <c r="H1277" t="s">
        <v>1317</v>
      </c>
      <c r="I1277" t="str">
        <f t="shared" si="84"/>
        <v>14 - SECRETARIA DE ASSISTÊNCIA SOCIAL</v>
      </c>
      <c r="J1277" t="s">
        <v>619</v>
      </c>
      <c r="K1277" t="str">
        <f t="shared" si="79"/>
        <v>8-ASSISTÊNCIA SOCIAL</v>
      </c>
      <c r="L1277" t="str">
        <f t="shared" si="80"/>
        <v>245-SERVIÇOS SOCIOASSISTENCIAIS</v>
      </c>
      <c r="M1277" t="str">
        <f t="shared" si="81"/>
        <v>0018-Proteção Social e Garantia de Direitos​</v>
      </c>
      <c r="N1277" t="str">
        <f t="shared" si="82"/>
        <v xml:space="preserve">2.016-Manutenção de Equipamentos Públicos - Proteção Especial </v>
      </c>
      <c r="O1277" t="str">
        <f t="shared" si="83"/>
        <v>3.3.90.30.00-MATERIAL DE CONSUMO</v>
      </c>
      <c r="R1277" s="25">
        <v>2370682.8199999998</v>
      </c>
      <c r="S1277" t="s">
        <v>1035</v>
      </c>
    </row>
    <row r="1278" spans="1:19" x14ac:dyDescent="0.25">
      <c r="A1278" t="str">
        <f t="shared" si="72"/>
        <v>14</v>
      </c>
      <c r="B1278" t="str">
        <f t="shared" si="73"/>
        <v>005</v>
      </c>
      <c r="C1278" t="str">
        <f t="shared" si="74"/>
        <v>08</v>
      </c>
      <c r="D1278" t="str">
        <f t="shared" si="75"/>
        <v>245</v>
      </c>
      <c r="E1278" t="str">
        <f t="shared" si="76"/>
        <v>0018</v>
      </c>
      <c r="F1278" t="str">
        <f t="shared" si="77"/>
        <v>2.016</v>
      </c>
      <c r="G1278" t="str">
        <f t="shared" si="78"/>
        <v>3.3.90.39.00</v>
      </c>
      <c r="H1278" t="s">
        <v>1318</v>
      </c>
      <c r="I1278" t="str">
        <f t="shared" si="84"/>
        <v>14 - SECRETARIA DE ASSISTÊNCIA SOCIAL</v>
      </c>
      <c r="J1278" t="s">
        <v>619</v>
      </c>
      <c r="K1278" t="str">
        <f t="shared" si="79"/>
        <v>8-ASSISTÊNCIA SOCIAL</v>
      </c>
      <c r="L1278" t="str">
        <f t="shared" si="80"/>
        <v>245-SERVIÇOS SOCIOASSISTENCIAIS</v>
      </c>
      <c r="M1278" t="str">
        <f t="shared" si="81"/>
        <v>0018-Proteção Social e Garantia de Direitos​</v>
      </c>
      <c r="N1278" t="str">
        <f t="shared" si="82"/>
        <v xml:space="preserve">2.016-Manutenção de Equipamentos Públicos - Proteção Especial </v>
      </c>
      <c r="O1278" t="str">
        <f t="shared" si="83"/>
        <v>3.3.90.39.00-OUTROS SERVIÇOS DE TERCEIROS - PESSOA JURÍDICA</v>
      </c>
      <c r="R1278" s="25">
        <v>727348.50080000004</v>
      </c>
      <c r="S1278" t="s">
        <v>1035</v>
      </c>
    </row>
    <row r="1279" spans="1:19" x14ac:dyDescent="0.25">
      <c r="A1279" t="str">
        <f t="shared" si="72"/>
        <v>14</v>
      </c>
      <c r="B1279" t="str">
        <f t="shared" si="73"/>
        <v>005</v>
      </c>
      <c r="C1279" t="str">
        <f t="shared" si="74"/>
        <v>08</v>
      </c>
      <c r="D1279" t="str">
        <f t="shared" si="75"/>
        <v>245</v>
      </c>
      <c r="E1279" t="str">
        <f t="shared" si="76"/>
        <v>0018</v>
      </c>
      <c r="F1279" t="str">
        <f t="shared" si="77"/>
        <v>2.016</v>
      </c>
      <c r="G1279" t="str">
        <f t="shared" si="78"/>
        <v>3.3.90.48.00</v>
      </c>
      <c r="H1279" t="s">
        <v>1319</v>
      </c>
      <c r="I1279" t="str">
        <f t="shared" si="84"/>
        <v>14 - SECRETARIA DE ASSISTÊNCIA SOCIAL</v>
      </c>
      <c r="J1279" t="s">
        <v>619</v>
      </c>
      <c r="K1279" t="str">
        <f t="shared" si="79"/>
        <v>8-ASSISTÊNCIA SOCIAL</v>
      </c>
      <c r="L1279" t="str">
        <f t="shared" si="80"/>
        <v>245-SERVIÇOS SOCIOASSISTENCIAIS</v>
      </c>
      <c r="M1279" t="str">
        <f t="shared" si="81"/>
        <v>0018-Proteção Social e Garantia de Direitos​</v>
      </c>
      <c r="N1279" t="str">
        <f t="shared" si="82"/>
        <v xml:space="preserve">2.016-Manutenção de Equipamentos Públicos - Proteção Especial </v>
      </c>
      <c r="O1279" t="str">
        <f t="shared" si="83"/>
        <v>3.3.90.48.00 - OUTROS AUXILIOS FINANCEIROS A PESSOAS FISICAS</v>
      </c>
      <c r="R1279" s="25">
        <v>1436588.9608999998</v>
      </c>
      <c r="S1279" t="s">
        <v>1035</v>
      </c>
    </row>
    <row r="1280" spans="1:19" x14ac:dyDescent="0.25">
      <c r="A1280" t="str">
        <f t="shared" si="72"/>
        <v>14</v>
      </c>
      <c r="B1280" t="str">
        <f t="shared" si="73"/>
        <v>005</v>
      </c>
      <c r="C1280" t="str">
        <f t="shared" si="74"/>
        <v>08</v>
      </c>
      <c r="D1280" t="str">
        <f t="shared" si="75"/>
        <v>245</v>
      </c>
      <c r="E1280" t="str">
        <f t="shared" si="76"/>
        <v>0018</v>
      </c>
      <c r="F1280" t="str">
        <f t="shared" si="77"/>
        <v>2.016</v>
      </c>
      <c r="G1280" t="str">
        <f t="shared" si="78"/>
        <v>3.3.90.93.00</v>
      </c>
      <c r="H1280" t="s">
        <v>1320</v>
      </c>
      <c r="I1280" t="str">
        <f t="shared" si="84"/>
        <v>14 - SECRETARIA DE ASSISTÊNCIA SOCIAL</v>
      </c>
      <c r="J1280" t="s">
        <v>619</v>
      </c>
      <c r="K1280" t="str">
        <f t="shared" si="79"/>
        <v>8-ASSISTÊNCIA SOCIAL</v>
      </c>
      <c r="L1280" t="str">
        <f t="shared" si="80"/>
        <v>245-SERVIÇOS SOCIOASSISTENCIAIS</v>
      </c>
      <c r="M1280" t="str">
        <f t="shared" si="81"/>
        <v>0018-Proteção Social e Garantia de Direitos​</v>
      </c>
      <c r="N1280" t="str">
        <f t="shared" si="82"/>
        <v xml:space="preserve">2.016-Manutenção de Equipamentos Públicos - Proteção Especial </v>
      </c>
      <c r="O1280" t="str">
        <f t="shared" si="83"/>
        <v>3.3.90.93.00-INDENIZAÇÕES E RESTITUIÇÕES</v>
      </c>
      <c r="R1280" s="25">
        <v>83128</v>
      </c>
      <c r="S1280" t="s">
        <v>1035</v>
      </c>
    </row>
    <row r="1281" spans="1:19" x14ac:dyDescent="0.25">
      <c r="A1281" t="str">
        <f t="shared" si="72"/>
        <v>14</v>
      </c>
      <c r="B1281" t="str">
        <f t="shared" si="73"/>
        <v>005</v>
      </c>
      <c r="C1281" t="str">
        <f t="shared" si="74"/>
        <v>08</v>
      </c>
      <c r="D1281" t="str">
        <f t="shared" si="75"/>
        <v>245</v>
      </c>
      <c r="E1281" t="str">
        <f t="shared" si="76"/>
        <v>0018</v>
      </c>
      <c r="F1281" t="str">
        <f t="shared" si="77"/>
        <v>2.016</v>
      </c>
      <c r="G1281" t="str">
        <f t="shared" si="78"/>
        <v>4.4.50.52.00</v>
      </c>
      <c r="H1281" t="s">
        <v>1321</v>
      </c>
      <c r="I1281" t="str">
        <f t="shared" si="84"/>
        <v>14 - SECRETARIA DE ASSISTÊNCIA SOCIAL</v>
      </c>
      <c r="J1281" t="s">
        <v>619</v>
      </c>
      <c r="K1281" t="str">
        <f t="shared" si="79"/>
        <v>8-ASSISTÊNCIA SOCIAL</v>
      </c>
      <c r="L1281" t="str">
        <f t="shared" si="80"/>
        <v>245-SERVIÇOS SOCIOASSISTENCIAIS</v>
      </c>
      <c r="M1281" t="str">
        <f t="shared" si="81"/>
        <v>0018-Proteção Social e Garantia de Direitos​</v>
      </c>
      <c r="N1281" t="str">
        <f t="shared" si="82"/>
        <v xml:space="preserve">2.016-Manutenção de Equipamentos Públicos - Proteção Especial </v>
      </c>
      <c r="O1281" t="str">
        <f t="shared" si="83"/>
        <v>4.4.50.52.00-EQUIPAMENTOS E MATERIAL PERMANENTE</v>
      </c>
      <c r="R1281" s="25">
        <v>920852.96999999974</v>
      </c>
      <c r="S1281" t="s">
        <v>1035</v>
      </c>
    </row>
    <row r="1282" spans="1:19" x14ac:dyDescent="0.25">
      <c r="A1282" t="str">
        <f t="shared" si="72"/>
        <v>14</v>
      </c>
      <c r="B1282" t="str">
        <f t="shared" si="73"/>
        <v>005</v>
      </c>
      <c r="C1282" t="str">
        <f t="shared" si="74"/>
        <v>08</v>
      </c>
      <c r="D1282" t="str">
        <f t="shared" si="75"/>
        <v>245</v>
      </c>
      <c r="E1282" t="str">
        <f t="shared" si="76"/>
        <v>0018</v>
      </c>
      <c r="F1282" t="str">
        <f t="shared" si="77"/>
        <v>2.016</v>
      </c>
      <c r="G1282" t="str">
        <f t="shared" si="78"/>
        <v>4.4.71.70.00</v>
      </c>
      <c r="H1282" t="s">
        <v>1322</v>
      </c>
      <c r="I1282" t="str">
        <f t="shared" si="84"/>
        <v>14 - SECRETARIA DE ASSISTÊNCIA SOCIAL</v>
      </c>
      <c r="J1282" t="s">
        <v>619</v>
      </c>
      <c r="K1282" t="str">
        <f t="shared" si="79"/>
        <v>8-ASSISTÊNCIA SOCIAL</v>
      </c>
      <c r="L1282" t="str">
        <f t="shared" si="80"/>
        <v>245-SERVIÇOS SOCIOASSISTENCIAIS</v>
      </c>
      <c r="M1282" t="str">
        <f t="shared" si="81"/>
        <v>0018-Proteção Social e Garantia de Direitos​</v>
      </c>
      <c r="N1282" t="str">
        <f t="shared" si="82"/>
        <v xml:space="preserve">2.016-Manutenção de Equipamentos Públicos - Proteção Especial </v>
      </c>
      <c r="O1282" t="str">
        <f t="shared" si="83"/>
        <v>4.4.71.70.00-RATEIO PELA PARTICIPAÇÃO EM CONSÓRCIO PÚBLICO</v>
      </c>
      <c r="R1282" s="25">
        <v>9351.9</v>
      </c>
      <c r="S1282" t="s">
        <v>1035</v>
      </c>
    </row>
    <row r="1283" spans="1:19" x14ac:dyDescent="0.25">
      <c r="A1283" t="str">
        <f t="shared" si="72"/>
        <v>14</v>
      </c>
      <c r="B1283" t="str">
        <f t="shared" si="73"/>
        <v>005</v>
      </c>
      <c r="C1283" t="str">
        <f t="shared" si="74"/>
        <v>08</v>
      </c>
      <c r="D1283" t="str">
        <f t="shared" si="75"/>
        <v>245</v>
      </c>
      <c r="E1283" t="str">
        <f t="shared" si="76"/>
        <v>0018</v>
      </c>
      <c r="F1283" t="str">
        <f t="shared" si="77"/>
        <v>2.016</v>
      </c>
      <c r="G1283" t="str">
        <f t="shared" si="78"/>
        <v>4.4.90.52.00</v>
      </c>
      <c r="H1283" t="s">
        <v>1323</v>
      </c>
      <c r="I1283" t="str">
        <f t="shared" si="84"/>
        <v>14 - SECRETARIA DE ASSISTÊNCIA SOCIAL</v>
      </c>
      <c r="J1283" t="s">
        <v>619</v>
      </c>
      <c r="K1283" t="str">
        <f t="shared" si="79"/>
        <v>8-ASSISTÊNCIA SOCIAL</v>
      </c>
      <c r="L1283" t="str">
        <f t="shared" si="80"/>
        <v>245-SERVIÇOS SOCIOASSISTENCIAIS</v>
      </c>
      <c r="M1283" t="str">
        <f t="shared" si="81"/>
        <v>0018-Proteção Social e Garantia de Direitos​</v>
      </c>
      <c r="N1283" t="str">
        <f t="shared" si="82"/>
        <v xml:space="preserve">2.016-Manutenção de Equipamentos Públicos - Proteção Especial </v>
      </c>
      <c r="O1283" t="str">
        <f t="shared" si="83"/>
        <v>4.4.90.52.00-EQUIPAMENTOS E MATERIAL PERMANENTE</v>
      </c>
      <c r="R1283" s="25">
        <v>311729.96090000001</v>
      </c>
      <c r="S1283" t="s">
        <v>1035</v>
      </c>
    </row>
    <row r="1284" spans="1:19" x14ac:dyDescent="0.25">
      <c r="A1284" t="str">
        <f t="shared" si="72"/>
        <v>14</v>
      </c>
      <c r="B1284" t="str">
        <f t="shared" si="73"/>
        <v>005</v>
      </c>
      <c r="C1284" t="str">
        <f t="shared" si="74"/>
        <v>08</v>
      </c>
      <c r="D1284" t="str">
        <f t="shared" si="75"/>
        <v>246</v>
      </c>
      <c r="E1284" t="str">
        <f t="shared" si="76"/>
        <v>0018</v>
      </c>
      <c r="F1284" t="str">
        <f t="shared" si="77"/>
        <v>2.024</v>
      </c>
      <c r="G1284" t="str">
        <f t="shared" si="78"/>
        <v>3.3.90.30.00</v>
      </c>
      <c r="H1284" t="s">
        <v>1324</v>
      </c>
      <c r="I1284" t="str">
        <f t="shared" si="84"/>
        <v>14 - SECRETARIA DE ASSISTÊNCIA SOCIAL</v>
      </c>
      <c r="J1284" t="s">
        <v>619</v>
      </c>
      <c r="K1284" t="str">
        <f t="shared" si="79"/>
        <v>8-ASSISTÊNCIA SOCIAL</v>
      </c>
      <c r="L1284" t="str">
        <f t="shared" si="80"/>
        <v>246-SEGURANÇA DE RENDA</v>
      </c>
      <c r="M1284" t="str">
        <f t="shared" si="81"/>
        <v>0018-Proteção Social e Garantia de Direitos​</v>
      </c>
      <c r="N1284" t="str">
        <f t="shared" si="82"/>
        <v>2.024-Distribuição de Alimentos e Benefícios para as Famílias em Situação de Vulnerabilidade</v>
      </c>
      <c r="O1284" t="str">
        <f t="shared" si="83"/>
        <v>3.3.90.30.00-MATERIAL DE CONSUMO</v>
      </c>
      <c r="R1284" s="25">
        <v>102369.0147</v>
      </c>
      <c r="S1284" t="s">
        <v>1035</v>
      </c>
    </row>
    <row r="1285" spans="1:19" x14ac:dyDescent="0.25">
      <c r="A1285" t="str">
        <f t="shared" si="72"/>
        <v>14</v>
      </c>
      <c r="B1285" t="str">
        <f t="shared" si="73"/>
        <v>005</v>
      </c>
      <c r="C1285" t="str">
        <f t="shared" si="74"/>
        <v>08</v>
      </c>
      <c r="D1285" t="str">
        <f t="shared" si="75"/>
        <v>246</v>
      </c>
      <c r="E1285" t="str">
        <f t="shared" si="76"/>
        <v>0018</v>
      </c>
      <c r="F1285" t="str">
        <f t="shared" si="77"/>
        <v>2.024</v>
      </c>
      <c r="G1285" t="str">
        <f t="shared" si="78"/>
        <v>3.3.90.39.00</v>
      </c>
      <c r="H1285" t="s">
        <v>1325</v>
      </c>
      <c r="I1285" t="str">
        <f t="shared" si="84"/>
        <v>14 - SECRETARIA DE ASSISTÊNCIA SOCIAL</v>
      </c>
      <c r="J1285" t="s">
        <v>619</v>
      </c>
      <c r="K1285" t="str">
        <f t="shared" si="79"/>
        <v>8-ASSISTÊNCIA SOCIAL</v>
      </c>
      <c r="L1285" t="str">
        <f t="shared" si="80"/>
        <v>246-SEGURANÇA DE RENDA</v>
      </c>
      <c r="M1285" t="str">
        <f t="shared" si="81"/>
        <v>0018-Proteção Social e Garantia de Direitos​</v>
      </c>
      <c r="N1285" t="str">
        <f t="shared" si="82"/>
        <v>2.024-Distribuição de Alimentos e Benefícios para as Famílias em Situação de Vulnerabilidade</v>
      </c>
      <c r="O1285" t="str">
        <f t="shared" si="83"/>
        <v>3.3.90.39.00-OUTROS SERVIÇOS DE TERCEIROS - PESSOA JURÍDICA</v>
      </c>
      <c r="R1285" s="25">
        <v>773194.08270000003</v>
      </c>
      <c r="S1285" t="s">
        <v>1035</v>
      </c>
    </row>
    <row r="1286" spans="1:19" x14ac:dyDescent="0.25">
      <c r="A1286" t="str">
        <f t="shared" si="72"/>
        <v>14</v>
      </c>
      <c r="B1286" t="str">
        <f t="shared" si="73"/>
        <v>005</v>
      </c>
      <c r="C1286" t="str">
        <f t="shared" si="74"/>
        <v>08</v>
      </c>
      <c r="D1286" t="str">
        <f t="shared" si="75"/>
        <v>246</v>
      </c>
      <c r="E1286" t="str">
        <f t="shared" si="76"/>
        <v>0018</v>
      </c>
      <c r="F1286" t="str">
        <f t="shared" si="77"/>
        <v>2.024</v>
      </c>
      <c r="G1286" t="str">
        <f t="shared" si="78"/>
        <v>3.3.90.93.00</v>
      </c>
      <c r="H1286" t="s">
        <v>1326</v>
      </c>
      <c r="I1286" t="str">
        <f t="shared" si="84"/>
        <v>14 - SECRETARIA DE ASSISTÊNCIA SOCIAL</v>
      </c>
      <c r="J1286" t="s">
        <v>619</v>
      </c>
      <c r="K1286" t="str">
        <f t="shared" si="79"/>
        <v>8-ASSISTÊNCIA SOCIAL</v>
      </c>
      <c r="L1286" t="str">
        <f t="shared" si="80"/>
        <v>246-SEGURANÇA DE RENDA</v>
      </c>
      <c r="M1286" t="str">
        <f t="shared" si="81"/>
        <v>0018-Proteção Social e Garantia de Direitos​</v>
      </c>
      <c r="N1286" t="str">
        <f t="shared" si="82"/>
        <v>2.024-Distribuição de Alimentos e Benefícios para as Famílias em Situação de Vulnerabilidade</v>
      </c>
      <c r="O1286" t="str">
        <f t="shared" si="83"/>
        <v>3.3.90.93.00-INDENIZAÇÕES E RESTITUIÇÕES</v>
      </c>
      <c r="R1286" s="25">
        <v>10391</v>
      </c>
      <c r="S1286" t="s">
        <v>1035</v>
      </c>
    </row>
    <row r="1287" spans="1:19" x14ac:dyDescent="0.25">
      <c r="A1287" t="str">
        <f t="shared" si="72"/>
        <v>14</v>
      </c>
      <c r="B1287" t="str">
        <f t="shared" si="73"/>
        <v>005</v>
      </c>
      <c r="C1287" t="str">
        <f t="shared" si="74"/>
        <v>08</v>
      </c>
      <c r="D1287" t="str">
        <f t="shared" si="75"/>
        <v>246</v>
      </c>
      <c r="E1287" t="str">
        <f t="shared" si="76"/>
        <v>0018</v>
      </c>
      <c r="F1287" t="str">
        <f t="shared" si="77"/>
        <v>2.024</v>
      </c>
      <c r="G1287" t="str">
        <f t="shared" si="78"/>
        <v>4.4.90.52.00</v>
      </c>
      <c r="H1287" t="s">
        <v>1327</v>
      </c>
      <c r="I1287" t="str">
        <f t="shared" si="84"/>
        <v>14 - SECRETARIA DE ASSISTÊNCIA SOCIAL</v>
      </c>
      <c r="J1287" t="s">
        <v>619</v>
      </c>
      <c r="K1287" t="str">
        <f t="shared" si="79"/>
        <v>8-ASSISTÊNCIA SOCIAL</v>
      </c>
      <c r="L1287" t="str">
        <f t="shared" si="80"/>
        <v>246-SEGURANÇA DE RENDA</v>
      </c>
      <c r="M1287" t="str">
        <f t="shared" si="81"/>
        <v>0018-Proteção Social e Garantia de Direitos​</v>
      </c>
      <c r="N1287" t="str">
        <f t="shared" si="82"/>
        <v>2.024-Distribuição de Alimentos e Benefícios para as Famílias em Situação de Vulnerabilidade</v>
      </c>
      <c r="O1287" t="str">
        <f t="shared" si="83"/>
        <v>4.4.90.52.00-EQUIPAMENTOS E MATERIAL PERMANENTE</v>
      </c>
      <c r="R1287" s="25">
        <v>181842.5</v>
      </c>
      <c r="S1287" t="s">
        <v>1035</v>
      </c>
    </row>
    <row r="1288" spans="1:19" x14ac:dyDescent="0.25">
      <c r="A1288" t="str">
        <f t="shared" si="72"/>
        <v>14</v>
      </c>
      <c r="B1288" t="str">
        <f t="shared" si="73"/>
        <v>007</v>
      </c>
      <c r="C1288" t="str">
        <f t="shared" si="74"/>
        <v>08</v>
      </c>
      <c r="D1288" t="str">
        <f t="shared" si="75"/>
        <v>245</v>
      </c>
      <c r="E1288" t="str">
        <f t="shared" si="76"/>
        <v>0018</v>
      </c>
      <c r="F1288" t="str">
        <f t="shared" si="77"/>
        <v>2.005</v>
      </c>
      <c r="G1288" t="str">
        <f t="shared" si="78"/>
        <v>3.3.90.30.00</v>
      </c>
      <c r="H1288" t="s">
        <v>1328</v>
      </c>
      <c r="I1288" t="str">
        <f t="shared" si="84"/>
        <v>14 - SECRETARIA DE ASSISTÊNCIA SOCIAL</v>
      </c>
      <c r="J1288" t="s">
        <v>660</v>
      </c>
      <c r="K1288" t="str">
        <f t="shared" si="79"/>
        <v>8-ASSISTÊNCIA SOCIAL</v>
      </c>
      <c r="L1288" t="str">
        <f t="shared" si="80"/>
        <v>245-SERVIÇOS SOCIOASSISTENCIAIS</v>
      </c>
      <c r="M1288" t="str">
        <f t="shared" si="81"/>
        <v>0018-Proteção Social e Garantia de Direitos​</v>
      </c>
      <c r="N1288" t="str">
        <f t="shared" si="82"/>
        <v xml:space="preserve">2.005-Promoção de Eventos, Comunicação e Participação Social </v>
      </c>
      <c r="O1288" t="str">
        <f t="shared" si="83"/>
        <v>3.3.90.30.00-MATERIAL DE CONSUMO</v>
      </c>
      <c r="R1288" s="25">
        <v>62346</v>
      </c>
      <c r="S1288" t="s">
        <v>1035</v>
      </c>
    </row>
    <row r="1289" spans="1:19" x14ac:dyDescent="0.25">
      <c r="A1289" t="str">
        <f t="shared" si="72"/>
        <v>14</v>
      </c>
      <c r="B1289" t="str">
        <f t="shared" si="73"/>
        <v>007</v>
      </c>
      <c r="C1289" t="str">
        <f t="shared" si="74"/>
        <v>08</v>
      </c>
      <c r="D1289" t="str">
        <f t="shared" si="75"/>
        <v>245</v>
      </c>
      <c r="E1289" t="str">
        <f t="shared" si="76"/>
        <v>0018</v>
      </c>
      <c r="F1289" t="str">
        <f t="shared" si="77"/>
        <v>2.005</v>
      </c>
      <c r="G1289" t="str">
        <f t="shared" si="78"/>
        <v>3.3.90.39.00</v>
      </c>
      <c r="H1289" t="s">
        <v>1329</v>
      </c>
      <c r="I1289" t="str">
        <f t="shared" si="84"/>
        <v>14 - SECRETARIA DE ASSISTÊNCIA SOCIAL</v>
      </c>
      <c r="J1289" t="s">
        <v>660</v>
      </c>
      <c r="K1289" t="str">
        <f t="shared" si="79"/>
        <v>8-ASSISTÊNCIA SOCIAL</v>
      </c>
      <c r="L1289" t="str">
        <f t="shared" si="80"/>
        <v>245-SERVIÇOS SOCIOASSISTENCIAIS</v>
      </c>
      <c r="M1289" t="str">
        <f t="shared" si="81"/>
        <v>0018-Proteção Social e Garantia de Direitos​</v>
      </c>
      <c r="N1289" t="str">
        <f t="shared" si="82"/>
        <v xml:space="preserve">2.005-Promoção de Eventos, Comunicação e Participação Social </v>
      </c>
      <c r="O1289" t="str">
        <f t="shared" si="83"/>
        <v>3.3.90.39.00-OUTROS SERVIÇOS DE TERCEIROS - PESSOA JURÍDICA</v>
      </c>
      <c r="R1289" s="25">
        <v>5196.5</v>
      </c>
      <c r="S1289" t="s">
        <v>1035</v>
      </c>
    </row>
    <row r="1290" spans="1:19" x14ac:dyDescent="0.25">
      <c r="A1290" t="str">
        <f t="shared" si="72"/>
        <v>14</v>
      </c>
      <c r="B1290" t="str">
        <f t="shared" si="73"/>
        <v>007</v>
      </c>
      <c r="C1290" t="str">
        <f t="shared" si="74"/>
        <v>08</v>
      </c>
      <c r="D1290" t="str">
        <f t="shared" si="75"/>
        <v>245</v>
      </c>
      <c r="E1290" t="str">
        <f t="shared" si="76"/>
        <v>0018</v>
      </c>
      <c r="F1290" t="str">
        <f t="shared" si="77"/>
        <v>2.015</v>
      </c>
      <c r="G1290" t="str">
        <f t="shared" si="78"/>
        <v>3.3.90.30.00</v>
      </c>
      <c r="H1290" t="s">
        <v>1330</v>
      </c>
      <c r="I1290" t="str">
        <f t="shared" si="84"/>
        <v>14 - SECRETARIA DE ASSISTÊNCIA SOCIAL</v>
      </c>
      <c r="J1290" t="s">
        <v>660</v>
      </c>
      <c r="K1290" t="str">
        <f t="shared" si="79"/>
        <v>8-ASSISTÊNCIA SOCIAL</v>
      </c>
      <c r="L1290" t="str">
        <f t="shared" si="80"/>
        <v>245-SERVIÇOS SOCIOASSISTENCIAIS</v>
      </c>
      <c r="M1290" t="str">
        <f t="shared" si="81"/>
        <v>0018-Proteção Social e Garantia de Direitos​</v>
      </c>
      <c r="N1290" t="str">
        <f t="shared" si="82"/>
        <v xml:space="preserve">2.015-Manutenção de Equipamentos Públicos - Proteção Básica </v>
      </c>
      <c r="O1290" t="str">
        <f t="shared" si="83"/>
        <v>3.3.90.30.00-MATERIAL DE CONSUMO</v>
      </c>
      <c r="R1290" s="25">
        <v>108998.26</v>
      </c>
      <c r="S1290" t="s">
        <v>1035</v>
      </c>
    </row>
    <row r="1291" spans="1:19" x14ac:dyDescent="0.25">
      <c r="A1291" t="str">
        <f t="shared" si="72"/>
        <v>14</v>
      </c>
      <c r="B1291" t="str">
        <f t="shared" si="73"/>
        <v>007</v>
      </c>
      <c r="C1291" t="str">
        <f t="shared" si="74"/>
        <v>08</v>
      </c>
      <c r="D1291" t="str">
        <f t="shared" si="75"/>
        <v>245</v>
      </c>
      <c r="E1291" t="str">
        <f t="shared" si="76"/>
        <v>0018</v>
      </c>
      <c r="F1291" t="str">
        <f t="shared" si="77"/>
        <v>2.015</v>
      </c>
      <c r="G1291" t="str">
        <f t="shared" si="78"/>
        <v>3.3.90.39.00</v>
      </c>
      <c r="H1291" t="s">
        <v>1331</v>
      </c>
      <c r="I1291" t="str">
        <f t="shared" si="84"/>
        <v>14 - SECRETARIA DE ASSISTÊNCIA SOCIAL</v>
      </c>
      <c r="J1291" t="s">
        <v>660</v>
      </c>
      <c r="K1291" t="str">
        <f t="shared" si="79"/>
        <v>8-ASSISTÊNCIA SOCIAL</v>
      </c>
      <c r="L1291" t="str">
        <f t="shared" si="80"/>
        <v>245-SERVIÇOS SOCIOASSISTENCIAIS</v>
      </c>
      <c r="M1291" t="str">
        <f t="shared" si="81"/>
        <v>0018-Proteção Social e Garantia de Direitos​</v>
      </c>
      <c r="N1291" t="str">
        <f t="shared" si="82"/>
        <v xml:space="preserve">2.015-Manutenção de Equipamentos Públicos - Proteção Básica </v>
      </c>
      <c r="O1291" t="str">
        <f t="shared" si="83"/>
        <v>3.3.90.39.00-OUTROS SERVIÇOS DE TERCEIROS - PESSOA JURÍDICA</v>
      </c>
      <c r="R1291" s="25">
        <v>1</v>
      </c>
      <c r="S1291" t="s">
        <v>1035</v>
      </c>
    </row>
    <row r="1292" spans="1:19" x14ac:dyDescent="0.25">
      <c r="A1292" t="str">
        <f t="shared" si="72"/>
        <v>14</v>
      </c>
      <c r="B1292" t="str">
        <f t="shared" si="73"/>
        <v>007</v>
      </c>
      <c r="C1292" t="str">
        <f t="shared" si="74"/>
        <v>08</v>
      </c>
      <c r="D1292" t="str">
        <f t="shared" si="75"/>
        <v>245</v>
      </c>
      <c r="E1292" t="str">
        <f t="shared" si="76"/>
        <v>0018</v>
      </c>
      <c r="F1292" t="str">
        <f t="shared" si="77"/>
        <v>2.015</v>
      </c>
      <c r="G1292" t="str">
        <f t="shared" si="78"/>
        <v>3.3.90.93.00</v>
      </c>
      <c r="H1292" t="s">
        <v>1332</v>
      </c>
      <c r="I1292" t="str">
        <f t="shared" si="84"/>
        <v>14 - SECRETARIA DE ASSISTÊNCIA SOCIAL</v>
      </c>
      <c r="J1292" t="s">
        <v>660</v>
      </c>
      <c r="K1292" t="str">
        <f t="shared" si="79"/>
        <v>8-ASSISTÊNCIA SOCIAL</v>
      </c>
      <c r="L1292" t="str">
        <f t="shared" si="80"/>
        <v>245-SERVIÇOS SOCIOASSISTENCIAIS</v>
      </c>
      <c r="M1292" t="str">
        <f t="shared" si="81"/>
        <v>0018-Proteção Social e Garantia de Direitos​</v>
      </c>
      <c r="N1292" t="str">
        <f t="shared" si="82"/>
        <v xml:space="preserve">2.015-Manutenção de Equipamentos Públicos - Proteção Básica </v>
      </c>
      <c r="O1292" t="str">
        <f t="shared" si="83"/>
        <v>3.3.90.93.00-INDENIZAÇÕES E RESTITUIÇÕES</v>
      </c>
      <c r="R1292" s="25">
        <v>5195.5</v>
      </c>
      <c r="S1292" t="s">
        <v>1035</v>
      </c>
    </row>
    <row r="1293" spans="1:19" x14ac:dyDescent="0.25">
      <c r="A1293" t="str">
        <f t="shared" si="72"/>
        <v>14</v>
      </c>
      <c r="B1293" t="str">
        <f t="shared" si="73"/>
        <v>007</v>
      </c>
      <c r="C1293" t="str">
        <f t="shared" si="74"/>
        <v>08</v>
      </c>
      <c r="D1293" t="str">
        <f t="shared" si="75"/>
        <v>245</v>
      </c>
      <c r="E1293" t="str">
        <f t="shared" si="76"/>
        <v>0018</v>
      </c>
      <c r="F1293" t="str">
        <f t="shared" si="77"/>
        <v>2.015</v>
      </c>
      <c r="G1293" t="str">
        <f t="shared" si="78"/>
        <v>4.4.90.52.00</v>
      </c>
      <c r="H1293" t="s">
        <v>1333</v>
      </c>
      <c r="I1293" t="str">
        <f t="shared" si="84"/>
        <v>14 - SECRETARIA DE ASSISTÊNCIA SOCIAL</v>
      </c>
      <c r="J1293" t="s">
        <v>660</v>
      </c>
      <c r="K1293" t="str">
        <f t="shared" si="79"/>
        <v>8-ASSISTÊNCIA SOCIAL</v>
      </c>
      <c r="L1293" t="str">
        <f t="shared" si="80"/>
        <v>245-SERVIÇOS SOCIOASSISTENCIAIS</v>
      </c>
      <c r="M1293" t="str">
        <f t="shared" si="81"/>
        <v>0018-Proteção Social e Garantia de Direitos​</v>
      </c>
      <c r="N1293" t="str">
        <f t="shared" si="82"/>
        <v xml:space="preserve">2.015-Manutenção de Equipamentos Públicos - Proteção Básica </v>
      </c>
      <c r="O1293" t="str">
        <f t="shared" si="83"/>
        <v>4.4.90.52.00-EQUIPAMENTOS E MATERIAL PERMANENTE</v>
      </c>
      <c r="R1293" s="25">
        <v>62345.921799999996</v>
      </c>
      <c r="S1293" t="s">
        <v>1035</v>
      </c>
    </row>
    <row r="1294" spans="1:19" x14ac:dyDescent="0.25">
      <c r="A1294" t="str">
        <f t="shared" si="72"/>
        <v>14</v>
      </c>
      <c r="B1294" t="str">
        <f t="shared" si="73"/>
        <v>008</v>
      </c>
      <c r="C1294" t="str">
        <f t="shared" si="74"/>
        <v>08</v>
      </c>
      <c r="D1294" t="str">
        <f t="shared" si="75"/>
        <v>245</v>
      </c>
      <c r="E1294" t="str">
        <f t="shared" si="76"/>
        <v>0018</v>
      </c>
      <c r="F1294" t="str">
        <f t="shared" si="77"/>
        <v>2.005</v>
      </c>
      <c r="G1294" t="str">
        <f t="shared" si="78"/>
        <v>3.3.90.39.00</v>
      </c>
      <c r="H1294" t="s">
        <v>1334</v>
      </c>
      <c r="I1294" t="str">
        <f t="shared" si="84"/>
        <v>14 - SECRETARIA DE ASSISTÊNCIA SOCIAL</v>
      </c>
      <c r="J1294" t="s">
        <v>355</v>
      </c>
      <c r="K1294" t="str">
        <f t="shared" si="79"/>
        <v>8-ASSISTÊNCIA SOCIAL</v>
      </c>
      <c r="L1294" t="str">
        <f t="shared" si="80"/>
        <v>245-SERVIÇOS SOCIOASSISTENCIAIS</v>
      </c>
      <c r="M1294" t="str">
        <f t="shared" si="81"/>
        <v>0018-Proteção Social e Garantia de Direitos​</v>
      </c>
      <c r="N1294" t="str">
        <f t="shared" si="82"/>
        <v xml:space="preserve">2.005-Promoção de Eventos, Comunicação e Participação Social </v>
      </c>
      <c r="O1294" t="str">
        <f t="shared" si="83"/>
        <v>3.3.90.39.00-OUTROS SERVIÇOS DE TERCEIROS - PESSOA JURÍDICA</v>
      </c>
      <c r="R1294" s="25">
        <v>157014.20550000001</v>
      </c>
      <c r="S1294" t="s">
        <v>1035</v>
      </c>
    </row>
    <row r="1295" spans="1:19" x14ac:dyDescent="0.25">
      <c r="A1295" t="str">
        <f t="shared" si="72"/>
        <v>14</v>
      </c>
      <c r="B1295" t="str">
        <f t="shared" si="73"/>
        <v>008</v>
      </c>
      <c r="C1295" t="str">
        <f t="shared" si="74"/>
        <v>08</v>
      </c>
      <c r="D1295" t="str">
        <f t="shared" si="75"/>
        <v>245</v>
      </c>
      <c r="E1295" t="str">
        <f t="shared" si="76"/>
        <v>0018</v>
      </c>
      <c r="F1295" t="str">
        <f t="shared" si="77"/>
        <v>2.016</v>
      </c>
      <c r="G1295" t="str">
        <f t="shared" si="78"/>
        <v>3.3.90.30.00</v>
      </c>
      <c r="H1295" t="s">
        <v>1335</v>
      </c>
      <c r="I1295" t="str">
        <f t="shared" si="84"/>
        <v>14 - SECRETARIA DE ASSISTÊNCIA SOCIAL</v>
      </c>
      <c r="J1295" t="s">
        <v>355</v>
      </c>
      <c r="K1295" t="str">
        <f t="shared" si="79"/>
        <v>8-ASSISTÊNCIA SOCIAL</v>
      </c>
      <c r="L1295" t="str">
        <f t="shared" si="80"/>
        <v>245-SERVIÇOS SOCIOASSISTENCIAIS</v>
      </c>
      <c r="M1295" t="str">
        <f t="shared" si="81"/>
        <v>0018-Proteção Social e Garantia de Direitos​</v>
      </c>
      <c r="N1295" t="str">
        <f t="shared" si="82"/>
        <v xml:space="preserve">2.016-Manutenção de Equipamentos Públicos - Proteção Especial </v>
      </c>
      <c r="O1295" t="str">
        <f t="shared" si="83"/>
        <v>3.3.90.30.00-MATERIAL DE CONSUMO</v>
      </c>
      <c r="R1295" s="25">
        <v>409637.05</v>
      </c>
      <c r="S1295" t="s">
        <v>1035</v>
      </c>
    </row>
    <row r="1296" spans="1:19" x14ac:dyDescent="0.25">
      <c r="A1296" t="str">
        <f t="shared" si="72"/>
        <v>14</v>
      </c>
      <c r="B1296" t="str">
        <f t="shared" si="73"/>
        <v>008</v>
      </c>
      <c r="C1296" t="str">
        <f t="shared" si="74"/>
        <v>08</v>
      </c>
      <c r="D1296" t="str">
        <f t="shared" si="75"/>
        <v>245</v>
      </c>
      <c r="E1296" t="str">
        <f t="shared" si="76"/>
        <v>0018</v>
      </c>
      <c r="F1296" t="str">
        <f t="shared" si="77"/>
        <v>2.016</v>
      </c>
      <c r="G1296" t="str">
        <f t="shared" si="78"/>
        <v>3.3.90.48.00</v>
      </c>
      <c r="H1296" t="s">
        <v>1336</v>
      </c>
      <c r="I1296" t="str">
        <f t="shared" si="84"/>
        <v>14 - SECRETARIA DE ASSISTÊNCIA SOCIAL</v>
      </c>
      <c r="J1296" t="s">
        <v>355</v>
      </c>
      <c r="K1296" t="str">
        <f t="shared" si="79"/>
        <v>8-ASSISTÊNCIA SOCIAL</v>
      </c>
      <c r="L1296" t="str">
        <f t="shared" si="80"/>
        <v>245-SERVIÇOS SOCIOASSISTENCIAIS</v>
      </c>
      <c r="M1296" t="str">
        <f t="shared" si="81"/>
        <v>0018-Proteção Social e Garantia de Direitos​</v>
      </c>
      <c r="N1296" t="str">
        <f t="shared" si="82"/>
        <v xml:space="preserve">2.016-Manutenção de Equipamentos Públicos - Proteção Especial </v>
      </c>
      <c r="O1296" t="str">
        <f t="shared" si="83"/>
        <v>3.3.90.48.00 - OUTROS AUXILIOS FINANCEIROS A PESSOAS FISICAS</v>
      </c>
      <c r="R1296" s="25">
        <v>171109.96090000001</v>
      </c>
      <c r="S1296" t="s">
        <v>1035</v>
      </c>
    </row>
    <row r="1297" spans="1:19" x14ac:dyDescent="0.25">
      <c r="A1297" t="str">
        <f t="shared" si="72"/>
        <v>14</v>
      </c>
      <c r="B1297" t="str">
        <f t="shared" si="73"/>
        <v>008</v>
      </c>
      <c r="C1297" t="str">
        <f t="shared" si="74"/>
        <v>08</v>
      </c>
      <c r="D1297" t="str">
        <f t="shared" si="75"/>
        <v>245</v>
      </c>
      <c r="E1297" t="str">
        <f t="shared" si="76"/>
        <v>0018</v>
      </c>
      <c r="F1297" t="str">
        <f t="shared" si="77"/>
        <v>2.016</v>
      </c>
      <c r="G1297" t="str">
        <f t="shared" si="78"/>
        <v>3.3.90.93.00</v>
      </c>
      <c r="H1297" t="s">
        <v>1337</v>
      </c>
      <c r="I1297" t="str">
        <f t="shared" si="84"/>
        <v>14 - SECRETARIA DE ASSISTÊNCIA SOCIAL</v>
      </c>
      <c r="J1297" t="s">
        <v>355</v>
      </c>
      <c r="K1297" t="str">
        <f t="shared" si="79"/>
        <v>8-ASSISTÊNCIA SOCIAL</v>
      </c>
      <c r="L1297" t="str">
        <f t="shared" si="80"/>
        <v>245-SERVIÇOS SOCIOASSISTENCIAIS</v>
      </c>
      <c r="M1297" t="str">
        <f t="shared" si="81"/>
        <v>0018-Proteção Social e Garantia de Direitos​</v>
      </c>
      <c r="N1297" t="str">
        <f t="shared" si="82"/>
        <v xml:space="preserve">2.016-Manutenção de Equipamentos Públicos - Proteção Especial </v>
      </c>
      <c r="O1297" t="str">
        <f t="shared" si="83"/>
        <v>3.3.90.93.00-INDENIZAÇÕES E RESTITUIÇÕES</v>
      </c>
      <c r="R1297" s="25">
        <v>10391</v>
      </c>
      <c r="S1297" t="s">
        <v>1035</v>
      </c>
    </row>
    <row r="1298" spans="1:19" x14ac:dyDescent="0.25">
      <c r="A1298" t="str">
        <f t="shared" si="72"/>
        <v>14</v>
      </c>
      <c r="B1298" t="str">
        <f t="shared" si="73"/>
        <v>008</v>
      </c>
      <c r="C1298" t="str">
        <f t="shared" si="74"/>
        <v>08</v>
      </c>
      <c r="D1298" t="str">
        <f t="shared" si="75"/>
        <v>245</v>
      </c>
      <c r="E1298" t="str">
        <f t="shared" si="76"/>
        <v>0018</v>
      </c>
      <c r="F1298" t="str">
        <f t="shared" si="77"/>
        <v>2.016</v>
      </c>
      <c r="G1298" t="str">
        <f t="shared" si="78"/>
        <v>4.4.90.52.00</v>
      </c>
      <c r="H1298" t="s">
        <v>1338</v>
      </c>
      <c r="I1298" t="str">
        <f t="shared" si="84"/>
        <v>14 - SECRETARIA DE ASSISTÊNCIA SOCIAL</v>
      </c>
      <c r="J1298" t="s">
        <v>355</v>
      </c>
      <c r="K1298" t="str">
        <f t="shared" si="79"/>
        <v>8-ASSISTÊNCIA SOCIAL</v>
      </c>
      <c r="L1298" t="str">
        <f t="shared" si="80"/>
        <v>245-SERVIÇOS SOCIOASSISTENCIAIS</v>
      </c>
      <c r="M1298" t="str">
        <f t="shared" si="81"/>
        <v>0018-Proteção Social e Garantia de Direitos​</v>
      </c>
      <c r="N1298" t="str">
        <f t="shared" si="82"/>
        <v xml:space="preserve">2.016-Manutenção de Equipamentos Públicos - Proteção Especial </v>
      </c>
      <c r="O1298" t="str">
        <f t="shared" si="83"/>
        <v>4.4.90.52.00-EQUIPAMENTOS E MATERIAL PERMANENTE</v>
      </c>
      <c r="R1298" s="25">
        <v>259775</v>
      </c>
      <c r="S1298" t="s">
        <v>1035</v>
      </c>
    </row>
    <row r="1299" spans="1:19" x14ac:dyDescent="0.25">
      <c r="A1299" t="str">
        <f t="shared" si="72"/>
        <v>15</v>
      </c>
      <c r="B1299" t="str">
        <f t="shared" si="73"/>
        <v>001</v>
      </c>
      <c r="C1299" t="str">
        <f t="shared" si="74"/>
        <v>04</v>
      </c>
      <c r="D1299" t="str">
        <f t="shared" si="75"/>
        <v>122</v>
      </c>
      <c r="E1299" t="str">
        <f t="shared" si="76"/>
        <v>0001</v>
      </c>
      <c r="F1299" t="str">
        <f t="shared" si="77"/>
        <v>2.006</v>
      </c>
      <c r="G1299" t="str">
        <f t="shared" si="78"/>
        <v>3.3.90.33.00</v>
      </c>
      <c r="H1299" t="s">
        <v>1339</v>
      </c>
      <c r="I1299" t="str">
        <f t="shared" si="84"/>
        <v>15 - SECRETARIA DA CULTURA</v>
      </c>
      <c r="J1299" t="s">
        <v>20</v>
      </c>
      <c r="K1299" t="str">
        <f t="shared" si="79"/>
        <v>4-ADMINISTRAÇÃO</v>
      </c>
      <c r="L1299" t="str">
        <f t="shared" si="80"/>
        <v>122-ADMINISTRAÇÃO GERAL</v>
      </c>
      <c r="M1299" t="str">
        <f t="shared" si="81"/>
        <v>0001-Administração e Coordenação Geral​</v>
      </c>
      <c r="N1299" t="str">
        <f t="shared" si="82"/>
        <v xml:space="preserve">2.006-Representações Oficiais </v>
      </c>
      <c r="O1299" t="str">
        <f t="shared" si="83"/>
        <v>3.3.90.33.00-PASSAGENS E DESPESAS COM LOCOMOÇÃO</v>
      </c>
      <c r="R1299" s="25">
        <v>1</v>
      </c>
      <c r="S1299" t="s">
        <v>1035</v>
      </c>
    </row>
    <row r="1300" spans="1:19" x14ac:dyDescent="0.25">
      <c r="A1300" t="str">
        <f t="shared" si="72"/>
        <v>15</v>
      </c>
      <c r="B1300" t="str">
        <f t="shared" si="73"/>
        <v>001</v>
      </c>
      <c r="C1300" t="str">
        <f t="shared" si="74"/>
        <v>04</v>
      </c>
      <c r="D1300" t="str">
        <f t="shared" si="75"/>
        <v>122</v>
      </c>
      <c r="E1300" t="str">
        <f t="shared" si="76"/>
        <v>0001</v>
      </c>
      <c r="F1300" t="str">
        <f t="shared" si="77"/>
        <v>2.006</v>
      </c>
      <c r="G1300" t="str">
        <f t="shared" si="78"/>
        <v>3.3.90.39.00</v>
      </c>
      <c r="H1300" t="s">
        <v>1340</v>
      </c>
      <c r="I1300" t="str">
        <f t="shared" si="84"/>
        <v>15 - SECRETARIA DA CULTURA</v>
      </c>
      <c r="J1300" t="s">
        <v>20</v>
      </c>
      <c r="K1300" t="str">
        <f t="shared" si="79"/>
        <v>4-ADMINISTRAÇÃO</v>
      </c>
      <c r="L1300" t="str">
        <f t="shared" si="80"/>
        <v>122-ADMINISTRAÇÃO GERAL</v>
      </c>
      <c r="M1300" t="str">
        <f t="shared" si="81"/>
        <v>0001-Administração e Coordenação Geral​</v>
      </c>
      <c r="N1300" t="str">
        <f t="shared" si="82"/>
        <v xml:space="preserve">2.006-Representações Oficiais </v>
      </c>
      <c r="O1300" t="str">
        <f t="shared" si="83"/>
        <v>3.3.90.39.00-OUTROS SERVIÇOS DE TERCEIROS - PESSOA JURÍDICA</v>
      </c>
      <c r="R1300" s="25">
        <v>1</v>
      </c>
      <c r="S1300" t="s">
        <v>1035</v>
      </c>
    </row>
    <row r="1301" spans="1:19" x14ac:dyDescent="0.25">
      <c r="A1301" t="str">
        <f t="shared" si="72"/>
        <v>15</v>
      </c>
      <c r="B1301" t="str">
        <f t="shared" si="73"/>
        <v>001</v>
      </c>
      <c r="C1301" t="str">
        <f t="shared" si="74"/>
        <v>04</v>
      </c>
      <c r="D1301" t="str">
        <f t="shared" si="75"/>
        <v>128</v>
      </c>
      <c r="E1301" t="str">
        <f t="shared" si="76"/>
        <v>0002</v>
      </c>
      <c r="F1301" t="str">
        <f t="shared" si="77"/>
        <v>2.003</v>
      </c>
      <c r="G1301" t="str">
        <f t="shared" si="78"/>
        <v>3.3.90.36.00</v>
      </c>
      <c r="H1301" t="s">
        <v>1341</v>
      </c>
      <c r="I1301" t="str">
        <f t="shared" si="84"/>
        <v>15 - SECRETARIA DA CULTURA</v>
      </c>
      <c r="J1301" t="s">
        <v>20</v>
      </c>
      <c r="K1301" t="str">
        <f t="shared" si="79"/>
        <v>4-ADMINISTRAÇÃO</v>
      </c>
      <c r="L1301" t="str">
        <f t="shared" si="80"/>
        <v>128-FORMAÇÃO DE RECURSOS HUMANOS</v>
      </c>
      <c r="M1301" t="str">
        <f t="shared" si="81"/>
        <v>0002-Governo Inteligente, Aberto e Inovador​</v>
      </c>
      <c r="N1301" t="str">
        <f t="shared" si="82"/>
        <v>2.003-Qualificação de Servidores e Processos Institucionais</v>
      </c>
      <c r="O1301" t="str">
        <f t="shared" si="83"/>
        <v>3.3.90.36.00-OUTROS SERVIÇOS DE TERCEIROS - PESSOA FÍSICA</v>
      </c>
      <c r="R1301" s="25">
        <v>1</v>
      </c>
      <c r="S1301" t="s">
        <v>1035</v>
      </c>
    </row>
    <row r="1302" spans="1:19" x14ac:dyDescent="0.25">
      <c r="A1302" t="str">
        <f t="shared" si="72"/>
        <v>15</v>
      </c>
      <c r="B1302" t="str">
        <f t="shared" si="73"/>
        <v>001</v>
      </c>
      <c r="C1302" t="str">
        <f t="shared" si="74"/>
        <v>04</v>
      </c>
      <c r="D1302" t="str">
        <f t="shared" si="75"/>
        <v>128</v>
      </c>
      <c r="E1302" t="str">
        <f t="shared" si="76"/>
        <v>0002</v>
      </c>
      <c r="F1302" t="str">
        <f t="shared" si="77"/>
        <v>2.003</v>
      </c>
      <c r="G1302" t="str">
        <f t="shared" si="78"/>
        <v>3.3.90.39.00</v>
      </c>
      <c r="H1302" t="s">
        <v>1342</v>
      </c>
      <c r="I1302" t="str">
        <f t="shared" si="84"/>
        <v>15 - SECRETARIA DA CULTURA</v>
      </c>
      <c r="J1302" t="s">
        <v>20</v>
      </c>
      <c r="K1302" t="str">
        <f t="shared" si="79"/>
        <v>4-ADMINISTRAÇÃO</v>
      </c>
      <c r="L1302" t="str">
        <f t="shared" si="80"/>
        <v>128-FORMAÇÃO DE RECURSOS HUMANOS</v>
      </c>
      <c r="M1302" t="str">
        <f t="shared" si="81"/>
        <v>0002-Governo Inteligente, Aberto e Inovador​</v>
      </c>
      <c r="N1302" t="str">
        <f t="shared" si="82"/>
        <v>2.003-Qualificação de Servidores e Processos Institucionais</v>
      </c>
      <c r="O1302" t="str">
        <f t="shared" si="83"/>
        <v>3.3.90.39.00-OUTROS SERVIÇOS DE TERCEIROS - PESSOA JURÍDICA</v>
      </c>
      <c r="R1302" s="25">
        <v>1</v>
      </c>
      <c r="S1302" t="s">
        <v>1035</v>
      </c>
    </row>
    <row r="1303" spans="1:19" x14ac:dyDescent="0.25">
      <c r="A1303" t="str">
        <f t="shared" si="72"/>
        <v>15</v>
      </c>
      <c r="B1303" t="str">
        <f t="shared" si="73"/>
        <v>001</v>
      </c>
      <c r="C1303" t="str">
        <f t="shared" si="74"/>
        <v>04</v>
      </c>
      <c r="D1303" t="str">
        <f t="shared" si="75"/>
        <v>131</v>
      </c>
      <c r="E1303" t="str">
        <f t="shared" si="76"/>
        <v>0002</v>
      </c>
      <c r="F1303" t="str">
        <f t="shared" si="77"/>
        <v>2.005</v>
      </c>
      <c r="G1303" t="str">
        <f t="shared" si="78"/>
        <v>3.3.50.39.00</v>
      </c>
      <c r="H1303" t="s">
        <v>1343</v>
      </c>
      <c r="I1303" t="str">
        <f t="shared" si="84"/>
        <v>15 - SECRETARIA DA CULTURA</v>
      </c>
      <c r="J1303" t="s">
        <v>20</v>
      </c>
      <c r="K1303" t="str">
        <f t="shared" si="79"/>
        <v>4-ADMINISTRAÇÃO</v>
      </c>
      <c r="L1303" t="str">
        <f t="shared" si="80"/>
        <v>131-COMUNICAÇÃO SOCIAL</v>
      </c>
      <c r="M1303" t="str">
        <f t="shared" si="81"/>
        <v>0002-Governo Inteligente, Aberto e Inovador​</v>
      </c>
      <c r="N1303" t="str">
        <f t="shared" si="82"/>
        <v xml:space="preserve">2.005-Promoção de Eventos, Comunicação e Participação Social </v>
      </c>
      <c r="O1303" t="str">
        <f t="shared" si="83"/>
        <v>3.3.50.39.00-OUTROS SERVIÇOS DE TERCEIROS - PESSOA JURÍDICA</v>
      </c>
      <c r="R1303" s="25">
        <v>0</v>
      </c>
      <c r="S1303" t="s">
        <v>1035</v>
      </c>
    </row>
    <row r="1304" spans="1:19" x14ac:dyDescent="0.25">
      <c r="A1304" t="str">
        <f t="shared" si="72"/>
        <v>15</v>
      </c>
      <c r="B1304" t="str">
        <f t="shared" si="73"/>
        <v>001</v>
      </c>
      <c r="C1304" t="str">
        <f t="shared" si="74"/>
        <v>04</v>
      </c>
      <c r="D1304" t="str">
        <f t="shared" si="75"/>
        <v>131</v>
      </c>
      <c r="E1304" t="str">
        <f t="shared" si="76"/>
        <v>0002</v>
      </c>
      <c r="F1304" t="str">
        <f t="shared" si="77"/>
        <v>2.005</v>
      </c>
      <c r="G1304" t="str">
        <f t="shared" si="78"/>
        <v>3.3.90.30.00</v>
      </c>
      <c r="H1304" t="s">
        <v>1344</v>
      </c>
      <c r="I1304" t="str">
        <f t="shared" si="84"/>
        <v>15 - SECRETARIA DA CULTURA</v>
      </c>
      <c r="J1304" t="s">
        <v>20</v>
      </c>
      <c r="K1304" t="str">
        <f t="shared" si="79"/>
        <v>4-ADMINISTRAÇÃO</v>
      </c>
      <c r="L1304" t="str">
        <f t="shared" si="80"/>
        <v>131-COMUNICAÇÃO SOCIAL</v>
      </c>
      <c r="M1304" t="str">
        <f t="shared" si="81"/>
        <v>0002-Governo Inteligente, Aberto e Inovador​</v>
      </c>
      <c r="N1304" t="str">
        <f t="shared" si="82"/>
        <v xml:space="preserve">2.005-Promoção de Eventos, Comunicação e Participação Social </v>
      </c>
      <c r="O1304" t="str">
        <f t="shared" si="83"/>
        <v>3.3.90.30.00-MATERIAL DE CONSUMO</v>
      </c>
      <c r="R1304" s="25">
        <v>311730</v>
      </c>
      <c r="S1304" t="s">
        <v>1035</v>
      </c>
    </row>
    <row r="1305" spans="1:19" x14ac:dyDescent="0.25">
      <c r="A1305" t="str">
        <f t="shared" si="72"/>
        <v>15</v>
      </c>
      <c r="B1305" t="str">
        <f t="shared" si="73"/>
        <v>001</v>
      </c>
      <c r="C1305" t="str">
        <f t="shared" si="74"/>
        <v>04</v>
      </c>
      <c r="D1305" t="str">
        <f t="shared" si="75"/>
        <v>131</v>
      </c>
      <c r="E1305" t="str">
        <f t="shared" si="76"/>
        <v>0002</v>
      </c>
      <c r="F1305" t="str">
        <f t="shared" si="77"/>
        <v>2.005</v>
      </c>
      <c r="G1305" t="str">
        <f t="shared" si="78"/>
        <v>3.3.90.39.00</v>
      </c>
      <c r="H1305" t="s">
        <v>1345</v>
      </c>
      <c r="I1305" t="str">
        <f t="shared" si="84"/>
        <v>15 - SECRETARIA DA CULTURA</v>
      </c>
      <c r="J1305" t="s">
        <v>20</v>
      </c>
      <c r="K1305" t="str">
        <f t="shared" si="79"/>
        <v>4-ADMINISTRAÇÃO</v>
      </c>
      <c r="L1305" t="str">
        <f t="shared" si="80"/>
        <v>131-COMUNICAÇÃO SOCIAL</v>
      </c>
      <c r="M1305" t="str">
        <f t="shared" si="81"/>
        <v>0002-Governo Inteligente, Aberto e Inovador​</v>
      </c>
      <c r="N1305" t="str">
        <f t="shared" si="82"/>
        <v xml:space="preserve">2.005-Promoção de Eventos, Comunicação e Participação Social </v>
      </c>
      <c r="O1305" t="str">
        <f t="shared" si="83"/>
        <v>3.3.90.39.00-OUTROS SERVIÇOS DE TERCEIROS - PESSOA JURÍDICA</v>
      </c>
      <c r="R1305" s="25">
        <v>979845.9299999997</v>
      </c>
      <c r="S1305" t="s">
        <v>1035</v>
      </c>
    </row>
    <row r="1306" spans="1:19" x14ac:dyDescent="0.25">
      <c r="A1306" t="str">
        <f t="shared" si="72"/>
        <v>15</v>
      </c>
      <c r="B1306" t="str">
        <f t="shared" si="73"/>
        <v>001</v>
      </c>
      <c r="C1306" t="str">
        <f t="shared" si="74"/>
        <v>13</v>
      </c>
      <c r="D1306" t="str">
        <f t="shared" si="75"/>
        <v>334</v>
      </c>
      <c r="E1306" t="str">
        <f t="shared" si="76"/>
        <v>0009</v>
      </c>
      <c r="F1306" t="str">
        <f t="shared" si="77"/>
        <v>2.033</v>
      </c>
      <c r="G1306" t="str">
        <f t="shared" si="78"/>
        <v>3.3.90.30.00</v>
      </c>
      <c r="H1306" t="s">
        <v>1346</v>
      </c>
      <c r="I1306" t="str">
        <f t="shared" si="84"/>
        <v>15 - SECRETARIA DA CULTURA</v>
      </c>
      <c r="J1306" t="s">
        <v>20</v>
      </c>
      <c r="K1306" t="str">
        <f t="shared" si="79"/>
        <v>13-CULTURA</v>
      </c>
      <c r="L1306" t="str">
        <f t="shared" si="80"/>
        <v>334-FOMENTO AO TRABALHO</v>
      </c>
      <c r="M1306" t="str">
        <f t="shared" si="81"/>
        <v>0009-Cultura, Economia Criativa e Patrimônio Histórico​</v>
      </c>
      <c r="N1306" t="str">
        <f t="shared" si="82"/>
        <v xml:space="preserve">2.033-Fortalecimento da Economia Criativa e Solidária </v>
      </c>
      <c r="O1306" t="str">
        <f t="shared" si="83"/>
        <v>3.3.90.30.00-MATERIAL DE CONSUMO</v>
      </c>
      <c r="R1306" s="25">
        <v>48639.231899999999</v>
      </c>
      <c r="S1306" t="s">
        <v>1035</v>
      </c>
    </row>
    <row r="1307" spans="1:19" x14ac:dyDescent="0.25">
      <c r="A1307" t="str">
        <f t="shared" si="72"/>
        <v>15</v>
      </c>
      <c r="B1307" t="str">
        <f t="shared" si="73"/>
        <v>001</v>
      </c>
      <c r="C1307" t="str">
        <f t="shared" si="74"/>
        <v>13</v>
      </c>
      <c r="D1307" t="str">
        <f t="shared" si="75"/>
        <v>391</v>
      </c>
      <c r="E1307" t="str">
        <f t="shared" si="76"/>
        <v>0009</v>
      </c>
      <c r="F1307" t="str">
        <f t="shared" si="77"/>
        <v>2.029</v>
      </c>
      <c r="G1307" t="str">
        <f t="shared" si="78"/>
        <v>3.3.50.43.00</v>
      </c>
      <c r="H1307" t="s">
        <v>1347</v>
      </c>
      <c r="I1307" t="str">
        <f t="shared" si="84"/>
        <v>15 - SECRETARIA DA CULTURA</v>
      </c>
      <c r="J1307" t="s">
        <v>20</v>
      </c>
      <c r="K1307" t="str">
        <f t="shared" si="79"/>
        <v>13-CULTURA</v>
      </c>
      <c r="L1307" t="str">
        <f t="shared" si="80"/>
        <v>391-PATRIMÔNIO HISTÓRICO, ARTÍSTICO E ARQUEOLÓGICO</v>
      </c>
      <c r="M1307" t="str">
        <f t="shared" si="81"/>
        <v>0009-Cultura, Economia Criativa e Patrimônio Histórico​</v>
      </c>
      <c r="N1307" t="str">
        <f t="shared" si="82"/>
        <v>2.029-Valorização do Patrimônio Histórico-Cultural</v>
      </c>
      <c r="O1307" t="str">
        <f>G1307</f>
        <v>3.3.50.43.00</v>
      </c>
      <c r="R1307" s="25">
        <v>1</v>
      </c>
      <c r="S1307" t="s">
        <v>1035</v>
      </c>
    </row>
    <row r="1308" spans="1:19" x14ac:dyDescent="0.25">
      <c r="A1308" t="str">
        <f t="shared" si="72"/>
        <v>15</v>
      </c>
      <c r="B1308" t="str">
        <f t="shared" si="73"/>
        <v>001</v>
      </c>
      <c r="C1308" t="str">
        <f t="shared" si="74"/>
        <v>13</v>
      </c>
      <c r="D1308" t="str">
        <f t="shared" si="75"/>
        <v>391</v>
      </c>
      <c r="E1308" t="str">
        <f t="shared" si="76"/>
        <v>0009</v>
      </c>
      <c r="F1308" t="str">
        <f t="shared" si="77"/>
        <v>2.029</v>
      </c>
      <c r="G1308" t="str">
        <f t="shared" si="78"/>
        <v>3.3.90.39.00</v>
      </c>
      <c r="H1308" t="s">
        <v>1348</v>
      </c>
      <c r="I1308" t="str">
        <f t="shared" si="84"/>
        <v>15 - SECRETARIA DA CULTURA</v>
      </c>
      <c r="J1308" t="s">
        <v>20</v>
      </c>
      <c r="K1308" t="str">
        <f t="shared" si="79"/>
        <v>13-CULTURA</v>
      </c>
      <c r="L1308" t="str">
        <f t="shared" si="80"/>
        <v>391-PATRIMÔNIO HISTÓRICO, ARTÍSTICO E ARQUEOLÓGICO</v>
      </c>
      <c r="M1308" t="str">
        <f t="shared" si="81"/>
        <v>0009-Cultura, Economia Criativa e Patrimônio Histórico​</v>
      </c>
      <c r="N1308" t="str">
        <f t="shared" si="82"/>
        <v>2.029-Valorização do Patrimônio Histórico-Cultural</v>
      </c>
      <c r="O1308" t="str">
        <f t="shared" si="83"/>
        <v>3.3.90.39.00-OUTROS SERVIÇOS DE TERCEIROS - PESSOA JURÍDICA</v>
      </c>
      <c r="R1308" s="25">
        <v>4548.1062000000093</v>
      </c>
      <c r="S1308" t="s">
        <v>1035</v>
      </c>
    </row>
    <row r="1309" spans="1:19" x14ac:dyDescent="0.25">
      <c r="A1309" t="str">
        <f t="shared" si="72"/>
        <v>15</v>
      </c>
      <c r="B1309" t="str">
        <f t="shared" si="73"/>
        <v>001</v>
      </c>
      <c r="C1309" t="str">
        <f t="shared" si="74"/>
        <v>13</v>
      </c>
      <c r="D1309" t="str">
        <f t="shared" si="75"/>
        <v>392</v>
      </c>
      <c r="E1309" t="str">
        <f t="shared" si="76"/>
        <v>0009</v>
      </c>
      <c r="F1309" t="str">
        <f t="shared" si="77"/>
        <v>2.011</v>
      </c>
      <c r="G1309" t="str">
        <f t="shared" si="78"/>
        <v>3.3.90.30.00</v>
      </c>
      <c r="H1309" t="s">
        <v>1349</v>
      </c>
      <c r="I1309" t="str">
        <f t="shared" si="84"/>
        <v>15 - SECRETARIA DA CULTURA</v>
      </c>
      <c r="J1309" t="s">
        <v>20</v>
      </c>
      <c r="K1309" t="str">
        <f t="shared" si="79"/>
        <v>13-CULTURA</v>
      </c>
      <c r="L1309" t="str">
        <f t="shared" si="80"/>
        <v>392-DIFUSÃO CULTURAL</v>
      </c>
      <c r="M1309" t="str">
        <f t="shared" si="81"/>
        <v>0009-Cultura, Economia Criativa e Patrimônio Histórico​</v>
      </c>
      <c r="N1309" t="str">
        <f t="shared" si="82"/>
        <v xml:space="preserve">2.011-Manutenção de Equipamentos Públicos </v>
      </c>
      <c r="O1309" t="str">
        <f t="shared" si="83"/>
        <v>3.3.90.30.00-MATERIAL DE CONSUMO</v>
      </c>
      <c r="R1309" s="25">
        <v>94558.1</v>
      </c>
      <c r="S1309" t="s">
        <v>1035</v>
      </c>
    </row>
    <row r="1310" spans="1:19" x14ac:dyDescent="0.25">
      <c r="A1310" t="str">
        <f t="shared" si="72"/>
        <v>15</v>
      </c>
      <c r="B1310" t="str">
        <f t="shared" si="73"/>
        <v>001</v>
      </c>
      <c r="C1310" t="str">
        <f t="shared" si="74"/>
        <v>13</v>
      </c>
      <c r="D1310" t="str">
        <f t="shared" si="75"/>
        <v>392</v>
      </c>
      <c r="E1310" t="str">
        <f t="shared" si="76"/>
        <v>0009</v>
      </c>
      <c r="F1310" t="str">
        <f t="shared" si="77"/>
        <v>2.011</v>
      </c>
      <c r="G1310" t="str">
        <f t="shared" si="78"/>
        <v>3.3.90.39.00</v>
      </c>
      <c r="H1310" t="s">
        <v>1350</v>
      </c>
      <c r="I1310" t="str">
        <f t="shared" si="84"/>
        <v>15 - SECRETARIA DA CULTURA</v>
      </c>
      <c r="J1310" t="s">
        <v>20</v>
      </c>
      <c r="K1310" t="str">
        <f t="shared" si="79"/>
        <v>13-CULTURA</v>
      </c>
      <c r="L1310" t="str">
        <f t="shared" si="80"/>
        <v>392-DIFUSÃO CULTURAL</v>
      </c>
      <c r="M1310" t="str">
        <f t="shared" si="81"/>
        <v>0009-Cultura, Economia Criativa e Patrimônio Histórico​</v>
      </c>
      <c r="N1310" t="str">
        <f t="shared" si="82"/>
        <v xml:space="preserve">2.011-Manutenção de Equipamentos Públicos </v>
      </c>
      <c r="O1310" t="str">
        <f t="shared" si="83"/>
        <v>3.3.90.39.00-OUTROS SERVIÇOS DE TERCEIROS - PESSOA JURÍDICA</v>
      </c>
      <c r="R1310" s="25">
        <v>113463.3</v>
      </c>
      <c r="S1310" t="s">
        <v>1035</v>
      </c>
    </row>
    <row r="1311" spans="1:19" x14ac:dyDescent="0.25">
      <c r="A1311" t="str">
        <f t="shared" si="72"/>
        <v>15</v>
      </c>
      <c r="B1311" t="str">
        <f t="shared" si="73"/>
        <v>001</v>
      </c>
      <c r="C1311" t="str">
        <f t="shared" si="74"/>
        <v>13</v>
      </c>
      <c r="D1311" t="str">
        <f t="shared" si="75"/>
        <v>392</v>
      </c>
      <c r="E1311" t="str">
        <f t="shared" si="76"/>
        <v>0009</v>
      </c>
      <c r="F1311" t="str">
        <f t="shared" si="77"/>
        <v>2.023</v>
      </c>
      <c r="G1311" t="str">
        <f t="shared" si="78"/>
        <v>3.3.50.39.00</v>
      </c>
      <c r="H1311" t="s">
        <v>1351</v>
      </c>
      <c r="I1311" t="str">
        <f t="shared" si="84"/>
        <v>15 - SECRETARIA DA CULTURA</v>
      </c>
      <c r="J1311" t="s">
        <v>20</v>
      </c>
      <c r="K1311" t="str">
        <f t="shared" si="79"/>
        <v>13-CULTURA</v>
      </c>
      <c r="L1311" t="str">
        <f t="shared" si="80"/>
        <v>392-DIFUSÃO CULTURAL</v>
      </c>
      <c r="M1311" t="str">
        <f t="shared" si="81"/>
        <v>0009-Cultura, Economia Criativa e Patrimônio Histórico​</v>
      </c>
      <c r="N1311" t="str">
        <f t="shared" si="82"/>
        <v xml:space="preserve">2.023-Gestão Compartilhada de Equipamentos Públicos </v>
      </c>
      <c r="O1311" t="str">
        <f t="shared" si="83"/>
        <v>3.3.50.39.00-OUTROS SERVIÇOS DE TERCEIROS - PESSOA JURÍDICA</v>
      </c>
      <c r="R1311" s="25">
        <v>8934520.6199999992</v>
      </c>
      <c r="S1311" t="s">
        <v>1035</v>
      </c>
    </row>
    <row r="1312" spans="1:19" x14ac:dyDescent="0.25">
      <c r="A1312" t="str">
        <f t="shared" si="72"/>
        <v>15</v>
      </c>
      <c r="B1312" t="str">
        <f t="shared" si="73"/>
        <v>001</v>
      </c>
      <c r="C1312" t="str">
        <f t="shared" si="74"/>
        <v>13</v>
      </c>
      <c r="D1312" t="str">
        <f t="shared" si="75"/>
        <v>392</v>
      </c>
      <c r="E1312" t="str">
        <f t="shared" si="76"/>
        <v>0009</v>
      </c>
      <c r="F1312" t="str">
        <f t="shared" si="77"/>
        <v>2.023</v>
      </c>
      <c r="G1312" t="str">
        <f t="shared" si="78"/>
        <v>4.4.50.51.00</v>
      </c>
      <c r="H1312" t="s">
        <v>1352</v>
      </c>
      <c r="I1312" t="str">
        <f t="shared" si="84"/>
        <v>15 - SECRETARIA DA CULTURA</v>
      </c>
      <c r="J1312" t="s">
        <v>20</v>
      </c>
      <c r="K1312" t="str">
        <f t="shared" si="79"/>
        <v>13-CULTURA</v>
      </c>
      <c r="L1312" t="str">
        <f t="shared" si="80"/>
        <v>392-DIFUSÃO CULTURAL</v>
      </c>
      <c r="M1312" t="str">
        <f t="shared" si="81"/>
        <v>0009-Cultura, Economia Criativa e Patrimônio Histórico​</v>
      </c>
      <c r="N1312" t="str">
        <f t="shared" si="82"/>
        <v xml:space="preserve">2.023-Gestão Compartilhada de Equipamentos Públicos </v>
      </c>
      <c r="O1312" t="str">
        <f t="shared" si="83"/>
        <v>4.4.50.51.00-OBRAS E INSTALAÇÕES</v>
      </c>
      <c r="R1312" s="25">
        <v>2679.07</v>
      </c>
      <c r="S1312" t="s">
        <v>1035</v>
      </c>
    </row>
    <row r="1313" spans="1:19" x14ac:dyDescent="0.25">
      <c r="A1313" t="str">
        <f t="shared" si="72"/>
        <v>15</v>
      </c>
      <c r="B1313" t="str">
        <f t="shared" si="73"/>
        <v>001</v>
      </c>
      <c r="C1313" t="str">
        <f t="shared" si="74"/>
        <v>13</v>
      </c>
      <c r="D1313" t="str">
        <f t="shared" si="75"/>
        <v>392</v>
      </c>
      <c r="E1313" t="str">
        <f t="shared" si="76"/>
        <v>0009</v>
      </c>
      <c r="F1313" t="str">
        <f t="shared" si="77"/>
        <v>2.023</v>
      </c>
      <c r="G1313" t="str">
        <f t="shared" si="78"/>
        <v>4.4.50.52.00</v>
      </c>
      <c r="H1313" t="s">
        <v>1353</v>
      </c>
      <c r="I1313" t="str">
        <f t="shared" si="84"/>
        <v>15 - SECRETARIA DA CULTURA</v>
      </c>
      <c r="J1313" t="s">
        <v>20</v>
      </c>
      <c r="K1313" t="str">
        <f t="shared" si="79"/>
        <v>13-CULTURA</v>
      </c>
      <c r="L1313" t="str">
        <f t="shared" si="80"/>
        <v>392-DIFUSÃO CULTURAL</v>
      </c>
      <c r="M1313" t="str">
        <f t="shared" si="81"/>
        <v>0009-Cultura, Economia Criativa e Patrimônio Histórico​</v>
      </c>
      <c r="N1313" t="str">
        <f t="shared" si="82"/>
        <v xml:space="preserve">2.023-Gestão Compartilhada de Equipamentos Públicos </v>
      </c>
      <c r="O1313" t="str">
        <f t="shared" si="83"/>
        <v>4.4.50.52.00-EQUIPAMENTOS E MATERIAL PERMANENTE</v>
      </c>
      <c r="R1313" s="25">
        <v>162696.95000000001</v>
      </c>
      <c r="S1313" t="s">
        <v>1035</v>
      </c>
    </row>
    <row r="1314" spans="1:19" x14ac:dyDescent="0.25">
      <c r="A1314" t="str">
        <f t="shared" si="72"/>
        <v>15</v>
      </c>
      <c r="B1314" t="str">
        <f t="shared" si="73"/>
        <v>001</v>
      </c>
      <c r="C1314" t="str">
        <f t="shared" si="74"/>
        <v>13</v>
      </c>
      <c r="D1314" t="str">
        <f t="shared" si="75"/>
        <v>392</v>
      </c>
      <c r="E1314" t="str">
        <f t="shared" si="76"/>
        <v>0009</v>
      </c>
      <c r="F1314" t="str">
        <f t="shared" si="77"/>
        <v>2.028</v>
      </c>
      <c r="G1314" t="str">
        <f t="shared" si="78"/>
        <v>3.3.50.39.00</v>
      </c>
      <c r="H1314" t="s">
        <v>1354</v>
      </c>
      <c r="I1314" t="str">
        <f t="shared" si="84"/>
        <v>15 - SECRETARIA DA CULTURA</v>
      </c>
      <c r="J1314" t="s">
        <v>20</v>
      </c>
      <c r="K1314" t="str">
        <f t="shared" si="79"/>
        <v>13-CULTURA</v>
      </c>
      <c r="L1314" t="str">
        <f t="shared" si="80"/>
        <v>392-DIFUSÃO CULTURAL</v>
      </c>
      <c r="M1314" t="str">
        <f t="shared" si="81"/>
        <v>0009-Cultura, Economia Criativa e Patrimônio Histórico​</v>
      </c>
      <c r="N1314" t="str">
        <f t="shared" si="82"/>
        <v>2.028-Disseminação de Atividades Culturais e Esportivas Decentralizadas</v>
      </c>
      <c r="O1314" t="str">
        <f t="shared" si="83"/>
        <v>3.3.50.39.00-OUTROS SERVIÇOS DE TERCEIROS - PESSOA JURÍDICA</v>
      </c>
      <c r="R1314" s="25">
        <v>0</v>
      </c>
      <c r="S1314" t="s">
        <v>1035</v>
      </c>
    </row>
    <row r="1315" spans="1:19" x14ac:dyDescent="0.25">
      <c r="A1315" t="str">
        <f t="shared" ref="A1315:A1378" si="85">LEFT(H1315,2)</f>
        <v>15</v>
      </c>
      <c r="B1315" t="str">
        <f t="shared" ref="B1315:B1378" si="86">MID(H1315,4,3)</f>
        <v>001</v>
      </c>
      <c r="C1315" t="str">
        <f t="shared" ref="C1315:C1378" si="87">MID(H1315,8,2)</f>
        <v>13</v>
      </c>
      <c r="D1315" t="str">
        <f t="shared" ref="D1315:D1378" si="88">MID(H1315,11,3)</f>
        <v>392</v>
      </c>
      <c r="E1315" t="str">
        <f t="shared" ref="E1315:E1378" si="89">MID(H1315,15,4)</f>
        <v>0009</v>
      </c>
      <c r="F1315" t="str">
        <f t="shared" ref="F1315:F1378" si="90">MID(H1315,20,5)</f>
        <v>2.028</v>
      </c>
      <c r="G1315" t="str">
        <f t="shared" ref="G1315:G1378" si="91">MID(H1315,26,12)</f>
        <v>3.3.90.36.00</v>
      </c>
      <c r="H1315" t="s">
        <v>1355</v>
      </c>
      <c r="I1315" t="str">
        <f t="shared" si="84"/>
        <v>15 - SECRETARIA DA CULTURA</v>
      </c>
      <c r="J1315" t="s">
        <v>20</v>
      </c>
      <c r="K1315" t="str">
        <f t="shared" ref="K1315:K1378" si="92">VLOOKUP(C1315,$C$1:$O$994,9,0)</f>
        <v>13-CULTURA</v>
      </c>
      <c r="L1315" t="str">
        <f t="shared" ref="L1315:L1378" si="93">VLOOKUP(D1315,$D$1:$O$994,9,0)</f>
        <v>392-DIFUSÃO CULTURAL</v>
      </c>
      <c r="M1315" t="str">
        <f t="shared" ref="M1315:M1378" si="94">VLOOKUP(E1315,$E$1:$O$994,9,0)</f>
        <v>0009-Cultura, Economia Criativa e Patrimônio Histórico​</v>
      </c>
      <c r="N1315" t="str">
        <f t="shared" ref="N1315:N1378" si="95">VLOOKUP(F1315,$F$1:$O$994,9,0)</f>
        <v>2.028-Disseminação de Atividades Culturais e Esportivas Decentralizadas</v>
      </c>
      <c r="O1315" t="str">
        <f t="shared" ref="O1315:O1378" si="96">VLOOKUP(G1315,$G$1:$O$994,9,0)</f>
        <v>3.3.90.36.00-OUTROS SERVIÇOS DE TERCEIROS - PESSOA FÍSICA</v>
      </c>
      <c r="R1315" s="25">
        <v>677103.8</v>
      </c>
      <c r="S1315" t="s">
        <v>1035</v>
      </c>
    </row>
    <row r="1316" spans="1:19" x14ac:dyDescent="0.25">
      <c r="A1316" t="str">
        <f t="shared" si="85"/>
        <v>15</v>
      </c>
      <c r="B1316" t="str">
        <f t="shared" si="86"/>
        <v>001</v>
      </c>
      <c r="C1316" t="str">
        <f t="shared" si="87"/>
        <v>13</v>
      </c>
      <c r="D1316" t="str">
        <f t="shared" si="88"/>
        <v>392</v>
      </c>
      <c r="E1316" t="str">
        <f t="shared" si="89"/>
        <v>0009</v>
      </c>
      <c r="F1316" t="str">
        <f t="shared" si="90"/>
        <v>2.028</v>
      </c>
      <c r="G1316" t="str">
        <f t="shared" si="91"/>
        <v>3.3.90.39.00</v>
      </c>
      <c r="H1316" t="s">
        <v>1356</v>
      </c>
      <c r="I1316" t="str">
        <f t="shared" si="84"/>
        <v>15 - SECRETARIA DA CULTURA</v>
      </c>
      <c r="J1316" t="s">
        <v>20</v>
      </c>
      <c r="K1316" t="str">
        <f t="shared" si="92"/>
        <v>13-CULTURA</v>
      </c>
      <c r="L1316" t="str">
        <f t="shared" si="93"/>
        <v>392-DIFUSÃO CULTURAL</v>
      </c>
      <c r="M1316" t="str">
        <f t="shared" si="94"/>
        <v>0009-Cultura, Economia Criativa e Patrimônio Histórico​</v>
      </c>
      <c r="N1316" t="str">
        <f t="shared" si="95"/>
        <v>2.028-Disseminação de Atividades Culturais e Esportivas Decentralizadas</v>
      </c>
      <c r="O1316" t="str">
        <f t="shared" si="96"/>
        <v>3.3.90.39.00-OUTROS SERVIÇOS DE TERCEIROS - PESSOA JURÍDICA</v>
      </c>
      <c r="R1316" s="25">
        <v>224391</v>
      </c>
      <c r="S1316" t="s">
        <v>1035</v>
      </c>
    </row>
    <row r="1317" spans="1:19" x14ac:dyDescent="0.25">
      <c r="A1317" t="str">
        <f t="shared" si="85"/>
        <v>15</v>
      </c>
      <c r="B1317" t="str">
        <f t="shared" si="86"/>
        <v>002</v>
      </c>
      <c r="C1317" t="str">
        <f t="shared" si="87"/>
        <v>13</v>
      </c>
      <c r="D1317" t="str">
        <f t="shared" si="88"/>
        <v>391</v>
      </c>
      <c r="E1317" t="str">
        <f t="shared" si="89"/>
        <v>0009</v>
      </c>
      <c r="F1317" t="str">
        <f t="shared" si="90"/>
        <v>2.029</v>
      </c>
      <c r="G1317" t="str">
        <f t="shared" si="91"/>
        <v>3.3.90.39.00</v>
      </c>
      <c r="H1317" t="s">
        <v>1357</v>
      </c>
      <c r="I1317" t="str">
        <f t="shared" si="84"/>
        <v>15 - SECRETARIA DA CULTURA</v>
      </c>
      <c r="J1317" t="s">
        <v>775</v>
      </c>
      <c r="K1317" t="str">
        <f t="shared" si="92"/>
        <v>13-CULTURA</v>
      </c>
      <c r="L1317" t="str">
        <f t="shared" si="93"/>
        <v>391-PATRIMÔNIO HISTÓRICO, ARTÍSTICO E ARQUEOLÓGICO</v>
      </c>
      <c r="M1317" t="str">
        <f t="shared" si="94"/>
        <v>0009-Cultura, Economia Criativa e Patrimônio Histórico​</v>
      </c>
      <c r="N1317" t="str">
        <f t="shared" si="95"/>
        <v>2.029-Valorização do Patrimônio Histórico-Cultural</v>
      </c>
      <c r="O1317" t="str">
        <f t="shared" si="96"/>
        <v>3.3.90.39.00-OUTROS SERVIÇOS DE TERCEIROS - PESSOA JURÍDICA</v>
      </c>
      <c r="R1317" s="25">
        <v>176964.96</v>
      </c>
      <c r="S1317" t="s">
        <v>1035</v>
      </c>
    </row>
    <row r="1318" spans="1:19" x14ac:dyDescent="0.25">
      <c r="A1318" t="str">
        <f t="shared" si="85"/>
        <v>15</v>
      </c>
      <c r="B1318" t="str">
        <f t="shared" si="86"/>
        <v>002</v>
      </c>
      <c r="C1318" t="str">
        <f t="shared" si="87"/>
        <v>13</v>
      </c>
      <c r="D1318" t="str">
        <f t="shared" si="88"/>
        <v>392</v>
      </c>
      <c r="E1318" t="str">
        <f t="shared" si="89"/>
        <v>0009</v>
      </c>
      <c r="F1318" t="str">
        <f t="shared" si="90"/>
        <v>2.011</v>
      </c>
      <c r="G1318" t="str">
        <f t="shared" si="91"/>
        <v>3.3.90.30.00</v>
      </c>
      <c r="H1318" t="s">
        <v>1358</v>
      </c>
      <c r="I1318" t="str">
        <f t="shared" si="84"/>
        <v>15 - SECRETARIA DA CULTURA</v>
      </c>
      <c r="J1318" t="s">
        <v>775</v>
      </c>
      <c r="K1318" t="str">
        <f t="shared" si="92"/>
        <v>13-CULTURA</v>
      </c>
      <c r="L1318" t="str">
        <f t="shared" si="93"/>
        <v>392-DIFUSÃO CULTURAL</v>
      </c>
      <c r="M1318" t="str">
        <f t="shared" si="94"/>
        <v>0009-Cultura, Economia Criativa e Patrimônio Histórico​</v>
      </c>
      <c r="N1318" t="str">
        <f t="shared" si="95"/>
        <v xml:space="preserve">2.011-Manutenção de Equipamentos Públicos </v>
      </c>
      <c r="O1318" t="str">
        <f t="shared" si="96"/>
        <v>3.3.90.30.00-MATERIAL DE CONSUMO</v>
      </c>
      <c r="R1318" s="25">
        <v>4156.3999999999996</v>
      </c>
      <c r="S1318" t="s">
        <v>1035</v>
      </c>
    </row>
    <row r="1319" spans="1:19" x14ac:dyDescent="0.25">
      <c r="A1319" t="str">
        <f t="shared" si="85"/>
        <v>15</v>
      </c>
      <c r="B1319" t="str">
        <f t="shared" si="86"/>
        <v>002</v>
      </c>
      <c r="C1319" t="str">
        <f t="shared" si="87"/>
        <v>13</v>
      </c>
      <c r="D1319" t="str">
        <f t="shared" si="88"/>
        <v>392</v>
      </c>
      <c r="E1319" t="str">
        <f t="shared" si="89"/>
        <v>0009</v>
      </c>
      <c r="F1319" t="str">
        <f t="shared" si="90"/>
        <v>2.028</v>
      </c>
      <c r="G1319" t="str">
        <f t="shared" si="91"/>
        <v>3.3.90.36.00</v>
      </c>
      <c r="H1319" t="s">
        <v>1359</v>
      </c>
      <c r="I1319" t="str">
        <f t="shared" si="84"/>
        <v>15 - SECRETARIA DA CULTURA</v>
      </c>
      <c r="J1319" t="s">
        <v>775</v>
      </c>
      <c r="K1319" t="str">
        <f t="shared" si="92"/>
        <v>13-CULTURA</v>
      </c>
      <c r="L1319" t="str">
        <f t="shared" si="93"/>
        <v>392-DIFUSÃO CULTURAL</v>
      </c>
      <c r="M1319" t="str">
        <f t="shared" si="94"/>
        <v>0009-Cultura, Economia Criativa e Patrimônio Histórico​</v>
      </c>
      <c r="N1319" t="str">
        <f t="shared" si="95"/>
        <v>2.028-Disseminação de Atividades Culturais e Esportivas Decentralizadas</v>
      </c>
      <c r="O1319" t="str">
        <f t="shared" si="96"/>
        <v>3.3.90.36.00-OUTROS SERVIÇOS DE TERCEIROS - PESSOA FÍSICA</v>
      </c>
      <c r="R1319" s="25">
        <v>555341.76089999999</v>
      </c>
      <c r="S1319" t="s">
        <v>1035</v>
      </c>
    </row>
    <row r="1320" spans="1:19" x14ac:dyDescent="0.25">
      <c r="A1320" t="str">
        <f t="shared" si="85"/>
        <v>15</v>
      </c>
      <c r="B1320" t="str">
        <f t="shared" si="86"/>
        <v>002</v>
      </c>
      <c r="C1320" t="str">
        <f t="shared" si="87"/>
        <v>13</v>
      </c>
      <c r="D1320" t="str">
        <f t="shared" si="88"/>
        <v>392</v>
      </c>
      <c r="E1320" t="str">
        <f t="shared" si="89"/>
        <v>0009</v>
      </c>
      <c r="F1320" t="str">
        <f t="shared" si="90"/>
        <v>2.028</v>
      </c>
      <c r="G1320" t="str">
        <f t="shared" si="91"/>
        <v>3.3.90.39.00</v>
      </c>
      <c r="H1320" t="s">
        <v>1360</v>
      </c>
      <c r="I1320" t="str">
        <f t="shared" si="84"/>
        <v>15 - SECRETARIA DA CULTURA</v>
      </c>
      <c r="J1320" t="s">
        <v>775</v>
      </c>
      <c r="K1320" t="str">
        <f t="shared" si="92"/>
        <v>13-CULTURA</v>
      </c>
      <c r="L1320" t="str">
        <f t="shared" si="93"/>
        <v>392-DIFUSÃO CULTURAL</v>
      </c>
      <c r="M1320" t="str">
        <f t="shared" si="94"/>
        <v>0009-Cultura, Economia Criativa e Patrimônio Histórico​</v>
      </c>
      <c r="N1320" t="str">
        <f t="shared" si="95"/>
        <v>2.028-Disseminação de Atividades Culturais e Esportivas Decentralizadas</v>
      </c>
      <c r="O1320" t="str">
        <f t="shared" si="96"/>
        <v>3.3.90.39.00-OUTROS SERVIÇOS DE TERCEIROS - PESSOA JURÍDICA</v>
      </c>
      <c r="R1320" s="25">
        <v>1</v>
      </c>
      <c r="S1320" t="s">
        <v>1035</v>
      </c>
    </row>
    <row r="1321" spans="1:19" x14ac:dyDescent="0.25">
      <c r="A1321" t="str">
        <f t="shared" si="85"/>
        <v>16</v>
      </c>
      <c r="B1321" t="str">
        <f t="shared" si="86"/>
        <v>001</v>
      </c>
      <c r="C1321" t="str">
        <f t="shared" si="87"/>
        <v>04</v>
      </c>
      <c r="D1321" t="str">
        <f t="shared" si="88"/>
        <v>122</v>
      </c>
      <c r="E1321" t="str">
        <f t="shared" si="89"/>
        <v>0001</v>
      </c>
      <c r="F1321" t="str">
        <f t="shared" si="90"/>
        <v>2.006</v>
      </c>
      <c r="G1321" t="str">
        <f t="shared" si="91"/>
        <v>3.3.90.36.00</v>
      </c>
      <c r="H1321" t="s">
        <v>1361</v>
      </c>
      <c r="I1321" t="str">
        <f t="shared" si="84"/>
        <v>16 - SECRETARIA DE TECNOLOGIA, INOVAÇÃO E DESENVOLVIMENTO ECONÔMICO</v>
      </c>
      <c r="J1321" t="s">
        <v>20</v>
      </c>
      <c r="K1321" t="str">
        <f t="shared" si="92"/>
        <v>4-ADMINISTRAÇÃO</v>
      </c>
      <c r="L1321" t="str">
        <f t="shared" si="93"/>
        <v>122-ADMINISTRAÇÃO GERAL</v>
      </c>
      <c r="M1321" t="str">
        <f t="shared" si="94"/>
        <v>0001-Administração e Coordenação Geral​</v>
      </c>
      <c r="N1321" t="str">
        <f t="shared" si="95"/>
        <v xml:space="preserve">2.006-Representações Oficiais </v>
      </c>
      <c r="O1321" t="str">
        <f t="shared" si="96"/>
        <v>3.3.90.36.00-OUTROS SERVIÇOS DE TERCEIROS - PESSOA FÍSICA</v>
      </c>
      <c r="R1321" s="25">
        <v>1</v>
      </c>
      <c r="S1321" t="s">
        <v>1035</v>
      </c>
    </row>
    <row r="1322" spans="1:19" x14ac:dyDescent="0.25">
      <c r="A1322" t="str">
        <f t="shared" si="85"/>
        <v>16</v>
      </c>
      <c r="B1322" t="str">
        <f t="shared" si="86"/>
        <v>001</v>
      </c>
      <c r="C1322" t="str">
        <f t="shared" si="87"/>
        <v>04</v>
      </c>
      <c r="D1322" t="str">
        <f t="shared" si="88"/>
        <v>122</v>
      </c>
      <c r="E1322" t="str">
        <f t="shared" si="89"/>
        <v>0001</v>
      </c>
      <c r="F1322" t="str">
        <f t="shared" si="90"/>
        <v>2.006</v>
      </c>
      <c r="G1322" t="str">
        <f t="shared" si="91"/>
        <v>3.3.90.39.00</v>
      </c>
      <c r="H1322" t="s">
        <v>1362</v>
      </c>
      <c r="I1322" t="str">
        <f t="shared" si="84"/>
        <v>16 - SECRETARIA DE TECNOLOGIA, INOVAÇÃO E DESENVOLVIMENTO ECONÔMICO</v>
      </c>
      <c r="J1322" t="s">
        <v>20</v>
      </c>
      <c r="K1322" t="str">
        <f t="shared" si="92"/>
        <v>4-ADMINISTRAÇÃO</v>
      </c>
      <c r="L1322" t="str">
        <f t="shared" si="93"/>
        <v>122-ADMINISTRAÇÃO GERAL</v>
      </c>
      <c r="M1322" t="str">
        <f t="shared" si="94"/>
        <v>0001-Administração e Coordenação Geral​</v>
      </c>
      <c r="N1322" t="str">
        <f t="shared" si="95"/>
        <v xml:space="preserve">2.006-Representações Oficiais </v>
      </c>
      <c r="O1322" t="str">
        <f t="shared" si="96"/>
        <v>3.3.90.39.00-OUTROS SERVIÇOS DE TERCEIROS - PESSOA JURÍDICA</v>
      </c>
      <c r="R1322" s="25">
        <v>1</v>
      </c>
      <c r="S1322" t="s">
        <v>1035</v>
      </c>
    </row>
    <row r="1323" spans="1:19" x14ac:dyDescent="0.25">
      <c r="A1323" t="str">
        <f t="shared" si="85"/>
        <v>16</v>
      </c>
      <c r="B1323" t="str">
        <f t="shared" si="86"/>
        <v>001</v>
      </c>
      <c r="C1323" t="str">
        <f t="shared" si="87"/>
        <v>04</v>
      </c>
      <c r="D1323" t="str">
        <f t="shared" si="88"/>
        <v>128</v>
      </c>
      <c r="E1323" t="str">
        <f t="shared" si="89"/>
        <v>0002</v>
      </c>
      <c r="F1323" t="str">
        <f t="shared" si="90"/>
        <v>2.003</v>
      </c>
      <c r="G1323" t="str">
        <f t="shared" si="91"/>
        <v>3.3.90.36.00</v>
      </c>
      <c r="H1323" t="s">
        <v>1363</v>
      </c>
      <c r="I1323" t="str">
        <f t="shared" si="84"/>
        <v>16 - SECRETARIA DE TECNOLOGIA, INOVAÇÃO E DESENVOLVIMENTO ECONÔMICO</v>
      </c>
      <c r="J1323" t="s">
        <v>20</v>
      </c>
      <c r="K1323" t="str">
        <f t="shared" si="92"/>
        <v>4-ADMINISTRAÇÃO</v>
      </c>
      <c r="L1323" t="str">
        <f t="shared" si="93"/>
        <v>128-FORMAÇÃO DE RECURSOS HUMANOS</v>
      </c>
      <c r="M1323" t="str">
        <f t="shared" si="94"/>
        <v>0002-Governo Inteligente, Aberto e Inovador​</v>
      </c>
      <c r="N1323" t="str">
        <f t="shared" si="95"/>
        <v>2.003-Qualificação de Servidores e Processos Institucionais</v>
      </c>
      <c r="O1323" t="str">
        <f t="shared" si="96"/>
        <v>3.3.90.36.00-OUTROS SERVIÇOS DE TERCEIROS - PESSOA FÍSICA</v>
      </c>
      <c r="R1323" s="25">
        <v>1</v>
      </c>
      <c r="S1323" t="s">
        <v>1035</v>
      </c>
    </row>
    <row r="1324" spans="1:19" x14ac:dyDescent="0.25">
      <c r="A1324" t="str">
        <f t="shared" si="85"/>
        <v>16</v>
      </c>
      <c r="B1324" t="str">
        <f t="shared" si="86"/>
        <v>001</v>
      </c>
      <c r="C1324" t="str">
        <f t="shared" si="87"/>
        <v>04</v>
      </c>
      <c r="D1324" t="str">
        <f t="shared" si="88"/>
        <v>128</v>
      </c>
      <c r="E1324" t="str">
        <f t="shared" si="89"/>
        <v>0002</v>
      </c>
      <c r="F1324" t="str">
        <f t="shared" si="90"/>
        <v>2.003</v>
      </c>
      <c r="G1324" t="str">
        <f t="shared" si="91"/>
        <v>3.3.90.39.00</v>
      </c>
      <c r="H1324" t="s">
        <v>1364</v>
      </c>
      <c r="I1324" t="str">
        <f t="shared" si="84"/>
        <v>16 - SECRETARIA DE TECNOLOGIA, INOVAÇÃO E DESENVOLVIMENTO ECONÔMICO</v>
      </c>
      <c r="J1324" t="s">
        <v>20</v>
      </c>
      <c r="K1324" t="str">
        <f t="shared" si="92"/>
        <v>4-ADMINISTRAÇÃO</v>
      </c>
      <c r="L1324" t="str">
        <f t="shared" si="93"/>
        <v>128-FORMAÇÃO DE RECURSOS HUMANOS</v>
      </c>
      <c r="M1324" t="str">
        <f t="shared" si="94"/>
        <v>0002-Governo Inteligente, Aberto e Inovador​</v>
      </c>
      <c r="N1324" t="str">
        <f t="shared" si="95"/>
        <v>2.003-Qualificação de Servidores e Processos Institucionais</v>
      </c>
      <c r="O1324" t="str">
        <f t="shared" si="96"/>
        <v>3.3.90.39.00-OUTROS SERVIÇOS DE TERCEIROS - PESSOA JURÍDICA</v>
      </c>
      <c r="R1324" s="25">
        <v>1</v>
      </c>
      <c r="S1324" t="s">
        <v>1035</v>
      </c>
    </row>
    <row r="1325" spans="1:19" x14ac:dyDescent="0.25">
      <c r="A1325" t="str">
        <f t="shared" si="85"/>
        <v>16</v>
      </c>
      <c r="B1325" t="str">
        <f t="shared" si="86"/>
        <v>001</v>
      </c>
      <c r="C1325" t="str">
        <f t="shared" si="87"/>
        <v>04</v>
      </c>
      <c r="D1325" t="str">
        <f t="shared" si="88"/>
        <v>131</v>
      </c>
      <c r="E1325" t="str">
        <f t="shared" si="89"/>
        <v>0002</v>
      </c>
      <c r="F1325" t="str">
        <f t="shared" si="90"/>
        <v>2.005</v>
      </c>
      <c r="G1325" t="str">
        <f t="shared" si="91"/>
        <v>3.3.90.30.00</v>
      </c>
      <c r="H1325" t="s">
        <v>1365</v>
      </c>
      <c r="I1325" t="str">
        <f t="shared" si="84"/>
        <v>16 - SECRETARIA DE TECNOLOGIA, INOVAÇÃO E DESENVOLVIMENTO ECONÔMICO</v>
      </c>
      <c r="J1325" t="s">
        <v>20</v>
      </c>
      <c r="K1325" t="str">
        <f t="shared" si="92"/>
        <v>4-ADMINISTRAÇÃO</v>
      </c>
      <c r="L1325" t="str">
        <f t="shared" si="93"/>
        <v>131-COMUNICAÇÃO SOCIAL</v>
      </c>
      <c r="M1325" t="str">
        <f t="shared" si="94"/>
        <v>0002-Governo Inteligente, Aberto e Inovador​</v>
      </c>
      <c r="N1325" t="str">
        <f t="shared" si="95"/>
        <v xml:space="preserve">2.005-Promoção de Eventos, Comunicação e Participação Social </v>
      </c>
      <c r="O1325" t="str">
        <f t="shared" si="96"/>
        <v>3.3.90.30.00-MATERIAL DE CONSUMO</v>
      </c>
      <c r="R1325" s="25">
        <v>1</v>
      </c>
      <c r="S1325" t="s">
        <v>1035</v>
      </c>
    </row>
    <row r="1326" spans="1:19" x14ac:dyDescent="0.25">
      <c r="A1326" t="str">
        <f t="shared" si="85"/>
        <v>16</v>
      </c>
      <c r="B1326" t="str">
        <f t="shared" si="86"/>
        <v>001</v>
      </c>
      <c r="C1326" t="str">
        <f t="shared" si="87"/>
        <v>04</v>
      </c>
      <c r="D1326" t="str">
        <f t="shared" si="88"/>
        <v>131</v>
      </c>
      <c r="E1326" t="str">
        <f t="shared" si="89"/>
        <v>0002</v>
      </c>
      <c r="F1326" t="str">
        <f t="shared" si="90"/>
        <v>2.005</v>
      </c>
      <c r="G1326" t="str">
        <f t="shared" si="91"/>
        <v>3.3.90.39.00</v>
      </c>
      <c r="H1326" t="s">
        <v>1366</v>
      </c>
      <c r="I1326" t="str">
        <f t="shared" si="84"/>
        <v>16 - SECRETARIA DE TECNOLOGIA, INOVAÇÃO E DESENVOLVIMENTO ECONÔMICO</v>
      </c>
      <c r="J1326" t="s">
        <v>20</v>
      </c>
      <c r="K1326" t="str">
        <f t="shared" si="92"/>
        <v>4-ADMINISTRAÇÃO</v>
      </c>
      <c r="L1326" t="str">
        <f t="shared" si="93"/>
        <v>131-COMUNICAÇÃO SOCIAL</v>
      </c>
      <c r="M1326" t="str">
        <f t="shared" si="94"/>
        <v>0002-Governo Inteligente, Aberto e Inovador​</v>
      </c>
      <c r="N1326" t="str">
        <f t="shared" si="95"/>
        <v xml:space="preserve">2.005-Promoção de Eventos, Comunicação e Participação Social </v>
      </c>
      <c r="O1326" t="str">
        <f t="shared" si="96"/>
        <v>3.3.90.39.00-OUTROS SERVIÇOS DE TERCEIROS - PESSOA JURÍDICA</v>
      </c>
      <c r="R1326" s="25">
        <v>12261.340899999999</v>
      </c>
      <c r="S1326" t="s">
        <v>1035</v>
      </c>
    </row>
    <row r="1327" spans="1:19" x14ac:dyDescent="0.25">
      <c r="A1327" t="str">
        <f t="shared" si="85"/>
        <v>16</v>
      </c>
      <c r="B1327" t="str">
        <f t="shared" si="86"/>
        <v>001</v>
      </c>
      <c r="C1327" t="str">
        <f t="shared" si="87"/>
        <v>23</v>
      </c>
      <c r="D1327" t="str">
        <f t="shared" si="88"/>
        <v>334</v>
      </c>
      <c r="E1327" t="str">
        <f t="shared" si="89"/>
        <v>0008</v>
      </c>
      <c r="F1327" t="str">
        <f t="shared" si="90"/>
        <v>2.011</v>
      </c>
      <c r="G1327" t="str">
        <f t="shared" si="91"/>
        <v>3.3.90.30.00</v>
      </c>
      <c r="H1327" t="s">
        <v>1367</v>
      </c>
      <c r="I1327" t="str">
        <f t="shared" si="84"/>
        <v>16 - SECRETARIA DE TECNOLOGIA, INOVAÇÃO E DESENVOLVIMENTO ECONÔMICO</v>
      </c>
      <c r="J1327" t="s">
        <v>20</v>
      </c>
      <c r="K1327" t="str">
        <f t="shared" si="92"/>
        <v>23-COMÉRCIO E SERVIÇOS</v>
      </c>
      <c r="L1327" t="str">
        <f t="shared" si="93"/>
        <v>334-FOMENTO AO TRABALHO</v>
      </c>
      <c r="M1327" t="str">
        <f t="shared" si="94"/>
        <v>0008-Empreendedorismo, Negócios e Turismo​</v>
      </c>
      <c r="N1327" t="str">
        <f t="shared" si="95"/>
        <v xml:space="preserve">2.011-Manutenção de Equipamentos Públicos </v>
      </c>
      <c r="O1327" t="str">
        <f t="shared" si="96"/>
        <v>3.3.90.30.00-MATERIAL DE CONSUMO</v>
      </c>
      <c r="R1327" s="25">
        <v>41564</v>
      </c>
      <c r="S1327" t="s">
        <v>1035</v>
      </c>
    </row>
    <row r="1328" spans="1:19" x14ac:dyDescent="0.25">
      <c r="A1328" t="str">
        <f t="shared" si="85"/>
        <v>16</v>
      </c>
      <c r="B1328" t="str">
        <f t="shared" si="86"/>
        <v>001</v>
      </c>
      <c r="C1328" t="str">
        <f t="shared" si="87"/>
        <v>23</v>
      </c>
      <c r="D1328" t="str">
        <f t="shared" si="88"/>
        <v>334</v>
      </c>
      <c r="E1328" t="str">
        <f t="shared" si="89"/>
        <v>0008</v>
      </c>
      <c r="F1328" t="str">
        <f t="shared" si="90"/>
        <v>2.011</v>
      </c>
      <c r="G1328" t="str">
        <f t="shared" si="91"/>
        <v>3.3.90.31.00</v>
      </c>
      <c r="H1328" t="s">
        <v>1368</v>
      </c>
      <c r="I1328" t="str">
        <f t="shared" si="84"/>
        <v>16 - SECRETARIA DE TECNOLOGIA, INOVAÇÃO E DESENVOLVIMENTO ECONÔMICO</v>
      </c>
      <c r="J1328" t="s">
        <v>20</v>
      </c>
      <c r="K1328" t="str">
        <f t="shared" si="92"/>
        <v>23-COMÉRCIO E SERVIÇOS</v>
      </c>
      <c r="L1328" t="str">
        <f t="shared" si="93"/>
        <v>334-FOMENTO AO TRABALHO</v>
      </c>
      <c r="M1328" t="str">
        <f t="shared" si="94"/>
        <v>0008-Empreendedorismo, Negócios e Turismo​</v>
      </c>
      <c r="N1328" t="str">
        <f t="shared" si="95"/>
        <v xml:space="preserve">2.011-Manutenção de Equipamentos Públicos </v>
      </c>
      <c r="O1328" t="str">
        <f t="shared" si="96"/>
        <v>3.3.90.31.00-PREMIAÇÕES CULTURAIS, ARTÍSTICAS, CIENTÍFICAS, DESPORTIVAS E OUTRAS</v>
      </c>
      <c r="R1328" s="25">
        <v>103910</v>
      </c>
      <c r="S1328" t="s">
        <v>1035</v>
      </c>
    </row>
    <row r="1329" spans="1:19" x14ac:dyDescent="0.25">
      <c r="A1329" t="str">
        <f t="shared" si="85"/>
        <v>16</v>
      </c>
      <c r="B1329" t="str">
        <f t="shared" si="86"/>
        <v>001</v>
      </c>
      <c r="C1329" t="str">
        <f t="shared" si="87"/>
        <v>23</v>
      </c>
      <c r="D1329" t="str">
        <f t="shared" si="88"/>
        <v>334</v>
      </c>
      <c r="E1329" t="str">
        <f t="shared" si="89"/>
        <v>0008</v>
      </c>
      <c r="F1329" t="str">
        <f t="shared" si="90"/>
        <v>2.011</v>
      </c>
      <c r="G1329" t="str">
        <f t="shared" si="91"/>
        <v>3.3.90.39.00</v>
      </c>
      <c r="H1329" t="s">
        <v>1369</v>
      </c>
      <c r="I1329" t="str">
        <f t="shared" ref="I1329:I1390" si="97">VLOOKUP(A1329,$A$1:$O$994,9,0)</f>
        <v>16 - SECRETARIA DE TECNOLOGIA, INOVAÇÃO E DESENVOLVIMENTO ECONÔMICO</v>
      </c>
      <c r="J1329" t="s">
        <v>20</v>
      </c>
      <c r="K1329" t="str">
        <f t="shared" si="92"/>
        <v>23-COMÉRCIO E SERVIÇOS</v>
      </c>
      <c r="L1329" t="str">
        <f t="shared" si="93"/>
        <v>334-FOMENTO AO TRABALHO</v>
      </c>
      <c r="M1329" t="str">
        <f t="shared" si="94"/>
        <v>0008-Empreendedorismo, Negócios e Turismo​</v>
      </c>
      <c r="N1329" t="str">
        <f t="shared" si="95"/>
        <v xml:space="preserve">2.011-Manutenção de Equipamentos Públicos </v>
      </c>
      <c r="O1329" t="str">
        <f t="shared" si="96"/>
        <v>3.3.90.39.00-OUTROS SERVIÇOS DE TERCEIROS - PESSOA JURÍDICA</v>
      </c>
      <c r="R1329" s="25">
        <v>26372.358</v>
      </c>
      <c r="S1329" t="s">
        <v>1035</v>
      </c>
    </row>
    <row r="1330" spans="1:19" x14ac:dyDescent="0.25">
      <c r="A1330" t="str">
        <f t="shared" si="85"/>
        <v>17</v>
      </c>
      <c r="B1330" t="str">
        <f t="shared" si="86"/>
        <v>001</v>
      </c>
      <c r="C1330" t="str">
        <f t="shared" si="87"/>
        <v>04</v>
      </c>
      <c r="D1330" t="str">
        <f t="shared" si="88"/>
        <v>122</v>
      </c>
      <c r="E1330" t="str">
        <f t="shared" si="89"/>
        <v>0001</v>
      </c>
      <c r="F1330" t="str">
        <f t="shared" si="90"/>
        <v>2.006</v>
      </c>
      <c r="G1330" t="str">
        <f t="shared" si="91"/>
        <v>3.3.90.33.00</v>
      </c>
      <c r="H1330" t="s">
        <v>1370</v>
      </c>
      <c r="I1330" t="str">
        <f t="shared" si="97"/>
        <v>17 - SECRETARIA DE MEIO AMBIENTE E RECURSOS HÍDRICOS</v>
      </c>
      <c r="J1330" t="s">
        <v>20</v>
      </c>
      <c r="K1330" t="str">
        <f t="shared" si="92"/>
        <v>4-ADMINISTRAÇÃO</v>
      </c>
      <c r="L1330" t="str">
        <f t="shared" si="93"/>
        <v>122-ADMINISTRAÇÃO GERAL</v>
      </c>
      <c r="M1330" t="str">
        <f t="shared" si="94"/>
        <v>0001-Administração e Coordenação Geral​</v>
      </c>
      <c r="N1330" t="str">
        <f t="shared" si="95"/>
        <v xml:space="preserve">2.006-Representações Oficiais </v>
      </c>
      <c r="O1330" t="str">
        <f t="shared" si="96"/>
        <v>3.3.90.33.00-PASSAGENS E DESPESAS COM LOCOMOÇÃO</v>
      </c>
      <c r="R1330" s="25">
        <v>1</v>
      </c>
      <c r="S1330" t="s">
        <v>1035</v>
      </c>
    </row>
    <row r="1331" spans="1:19" x14ac:dyDescent="0.25">
      <c r="A1331" t="str">
        <f t="shared" si="85"/>
        <v>17</v>
      </c>
      <c r="B1331" t="str">
        <f t="shared" si="86"/>
        <v>001</v>
      </c>
      <c r="C1331" t="str">
        <f t="shared" si="87"/>
        <v>04</v>
      </c>
      <c r="D1331" t="str">
        <f t="shared" si="88"/>
        <v>122</v>
      </c>
      <c r="E1331" t="str">
        <f t="shared" si="89"/>
        <v>0001</v>
      </c>
      <c r="F1331" t="str">
        <f t="shared" si="90"/>
        <v>2.006</v>
      </c>
      <c r="G1331" t="str">
        <f t="shared" si="91"/>
        <v>3.3.90.39.00</v>
      </c>
      <c r="H1331" t="s">
        <v>1371</v>
      </c>
      <c r="I1331" t="str">
        <f t="shared" si="97"/>
        <v>17 - SECRETARIA DE MEIO AMBIENTE E RECURSOS HÍDRICOS</v>
      </c>
      <c r="J1331" t="s">
        <v>20</v>
      </c>
      <c r="K1331" t="str">
        <f t="shared" si="92"/>
        <v>4-ADMINISTRAÇÃO</v>
      </c>
      <c r="L1331" t="str">
        <f t="shared" si="93"/>
        <v>122-ADMINISTRAÇÃO GERAL</v>
      </c>
      <c r="M1331" t="str">
        <f t="shared" si="94"/>
        <v>0001-Administração e Coordenação Geral​</v>
      </c>
      <c r="N1331" t="str">
        <f t="shared" si="95"/>
        <v xml:space="preserve">2.006-Representações Oficiais </v>
      </c>
      <c r="O1331" t="str">
        <f t="shared" si="96"/>
        <v>3.3.90.39.00-OUTROS SERVIÇOS DE TERCEIROS - PESSOA JURÍDICA</v>
      </c>
      <c r="R1331" s="25">
        <v>1</v>
      </c>
      <c r="S1331" t="s">
        <v>1035</v>
      </c>
    </row>
    <row r="1332" spans="1:19" x14ac:dyDescent="0.25">
      <c r="A1332" t="str">
        <f t="shared" si="85"/>
        <v>17</v>
      </c>
      <c r="B1332" t="str">
        <f t="shared" si="86"/>
        <v>001</v>
      </c>
      <c r="C1332" t="str">
        <f t="shared" si="87"/>
        <v>04</v>
      </c>
      <c r="D1332" t="str">
        <f t="shared" si="88"/>
        <v>128</v>
      </c>
      <c r="E1332" t="str">
        <f t="shared" si="89"/>
        <v>0002</v>
      </c>
      <c r="F1332" t="str">
        <f t="shared" si="90"/>
        <v>2.003</v>
      </c>
      <c r="G1332" t="str">
        <f t="shared" si="91"/>
        <v>3.3.90.36.00</v>
      </c>
      <c r="H1332" t="s">
        <v>1372</v>
      </c>
      <c r="I1332" t="str">
        <f t="shared" si="97"/>
        <v>17 - SECRETARIA DE MEIO AMBIENTE E RECURSOS HÍDRICOS</v>
      </c>
      <c r="J1332" t="s">
        <v>20</v>
      </c>
      <c r="K1332" t="str">
        <f t="shared" si="92"/>
        <v>4-ADMINISTRAÇÃO</v>
      </c>
      <c r="L1332" t="str">
        <f t="shared" si="93"/>
        <v>128-FORMAÇÃO DE RECURSOS HUMANOS</v>
      </c>
      <c r="M1332" t="str">
        <f t="shared" si="94"/>
        <v>0002-Governo Inteligente, Aberto e Inovador​</v>
      </c>
      <c r="N1332" t="str">
        <f t="shared" si="95"/>
        <v>2.003-Qualificação de Servidores e Processos Institucionais</v>
      </c>
      <c r="O1332" t="str">
        <f t="shared" si="96"/>
        <v>3.3.90.36.00-OUTROS SERVIÇOS DE TERCEIROS - PESSOA FÍSICA</v>
      </c>
      <c r="R1332" s="25">
        <v>1</v>
      </c>
      <c r="S1332" t="s">
        <v>1035</v>
      </c>
    </row>
    <row r="1333" spans="1:19" x14ac:dyDescent="0.25">
      <c r="A1333" t="str">
        <f t="shared" si="85"/>
        <v>17</v>
      </c>
      <c r="B1333" t="str">
        <f t="shared" si="86"/>
        <v>001</v>
      </c>
      <c r="C1333" t="str">
        <f t="shared" si="87"/>
        <v>04</v>
      </c>
      <c r="D1333" t="str">
        <f t="shared" si="88"/>
        <v>128</v>
      </c>
      <c r="E1333" t="str">
        <f t="shared" si="89"/>
        <v>0002</v>
      </c>
      <c r="F1333" t="str">
        <f t="shared" si="90"/>
        <v>2.003</v>
      </c>
      <c r="G1333" t="str">
        <f t="shared" si="91"/>
        <v>3.3.90.39.00</v>
      </c>
      <c r="H1333" t="s">
        <v>1373</v>
      </c>
      <c r="I1333" t="str">
        <f t="shared" si="97"/>
        <v>17 - SECRETARIA DE MEIO AMBIENTE E RECURSOS HÍDRICOS</v>
      </c>
      <c r="J1333" t="s">
        <v>20</v>
      </c>
      <c r="K1333" t="str">
        <f t="shared" si="92"/>
        <v>4-ADMINISTRAÇÃO</v>
      </c>
      <c r="L1333" t="str">
        <f t="shared" si="93"/>
        <v>128-FORMAÇÃO DE RECURSOS HUMANOS</v>
      </c>
      <c r="M1333" t="str">
        <f t="shared" si="94"/>
        <v>0002-Governo Inteligente, Aberto e Inovador​</v>
      </c>
      <c r="N1333" t="str">
        <f t="shared" si="95"/>
        <v>2.003-Qualificação de Servidores e Processos Institucionais</v>
      </c>
      <c r="O1333" t="str">
        <f t="shared" si="96"/>
        <v>3.3.90.39.00-OUTROS SERVIÇOS DE TERCEIROS - PESSOA JURÍDICA</v>
      </c>
      <c r="R1333" s="25">
        <v>1</v>
      </c>
      <c r="S1333" t="s">
        <v>1035</v>
      </c>
    </row>
    <row r="1334" spans="1:19" x14ac:dyDescent="0.25">
      <c r="A1334" t="str">
        <f t="shared" si="85"/>
        <v>17</v>
      </c>
      <c r="B1334" t="str">
        <f t="shared" si="86"/>
        <v>001</v>
      </c>
      <c r="C1334" t="str">
        <f t="shared" si="87"/>
        <v>04</v>
      </c>
      <c r="D1334" t="str">
        <f t="shared" si="88"/>
        <v>131</v>
      </c>
      <c r="E1334" t="str">
        <f t="shared" si="89"/>
        <v>0002</v>
      </c>
      <c r="F1334" t="str">
        <f t="shared" si="90"/>
        <v>2.005</v>
      </c>
      <c r="G1334" t="str">
        <f t="shared" si="91"/>
        <v>3.3.90.30.00</v>
      </c>
      <c r="H1334" t="s">
        <v>1374</v>
      </c>
      <c r="I1334" t="str">
        <f t="shared" si="97"/>
        <v>17 - SECRETARIA DE MEIO AMBIENTE E RECURSOS HÍDRICOS</v>
      </c>
      <c r="J1334" t="s">
        <v>20</v>
      </c>
      <c r="K1334" t="str">
        <f t="shared" si="92"/>
        <v>4-ADMINISTRAÇÃO</v>
      </c>
      <c r="L1334" t="str">
        <f t="shared" si="93"/>
        <v>131-COMUNICAÇÃO SOCIAL</v>
      </c>
      <c r="M1334" t="str">
        <f t="shared" si="94"/>
        <v>0002-Governo Inteligente, Aberto e Inovador​</v>
      </c>
      <c r="N1334" t="str">
        <f t="shared" si="95"/>
        <v xml:space="preserve">2.005-Promoção de Eventos, Comunicação e Participação Social </v>
      </c>
      <c r="O1334" t="str">
        <f t="shared" si="96"/>
        <v>3.3.90.30.00-MATERIAL DE CONSUMO</v>
      </c>
      <c r="R1334" s="25">
        <v>51955</v>
      </c>
      <c r="S1334" t="s">
        <v>1035</v>
      </c>
    </row>
    <row r="1335" spans="1:19" x14ac:dyDescent="0.25">
      <c r="A1335" t="str">
        <f t="shared" si="85"/>
        <v>17</v>
      </c>
      <c r="B1335" t="str">
        <f t="shared" si="86"/>
        <v>001</v>
      </c>
      <c r="C1335" t="str">
        <f t="shared" si="87"/>
        <v>04</v>
      </c>
      <c r="D1335" t="str">
        <f t="shared" si="88"/>
        <v>131</v>
      </c>
      <c r="E1335" t="str">
        <f t="shared" si="89"/>
        <v>0002</v>
      </c>
      <c r="F1335" t="str">
        <f t="shared" si="90"/>
        <v>2.005</v>
      </c>
      <c r="G1335" t="str">
        <f t="shared" si="91"/>
        <v>3.3.90.39.00</v>
      </c>
      <c r="H1335" t="s">
        <v>1375</v>
      </c>
      <c r="I1335" t="str">
        <f t="shared" si="97"/>
        <v>17 - SECRETARIA DE MEIO AMBIENTE E RECURSOS HÍDRICOS</v>
      </c>
      <c r="J1335" t="s">
        <v>20</v>
      </c>
      <c r="K1335" t="str">
        <f t="shared" si="92"/>
        <v>4-ADMINISTRAÇÃO</v>
      </c>
      <c r="L1335" t="str">
        <f t="shared" si="93"/>
        <v>131-COMUNICAÇÃO SOCIAL</v>
      </c>
      <c r="M1335" t="str">
        <f t="shared" si="94"/>
        <v>0002-Governo Inteligente, Aberto e Inovador​</v>
      </c>
      <c r="N1335" t="str">
        <f t="shared" si="95"/>
        <v xml:space="preserve">2.005-Promoção de Eventos, Comunicação e Participação Social </v>
      </c>
      <c r="O1335" t="str">
        <f t="shared" si="96"/>
        <v>3.3.90.39.00-OUTROS SERVIÇOS DE TERCEIROS - PESSOA JURÍDICA</v>
      </c>
      <c r="R1335" s="25">
        <v>101956</v>
      </c>
      <c r="S1335" t="s">
        <v>1035</v>
      </c>
    </row>
    <row r="1336" spans="1:19" x14ac:dyDescent="0.25">
      <c r="A1336" t="str">
        <f t="shared" si="85"/>
        <v>17</v>
      </c>
      <c r="B1336" t="str">
        <f t="shared" si="86"/>
        <v>001</v>
      </c>
      <c r="C1336" t="str">
        <f t="shared" si="87"/>
        <v>18</v>
      </c>
      <c r="D1336" t="str">
        <f t="shared" si="88"/>
        <v>422</v>
      </c>
      <c r="E1336" t="str">
        <f t="shared" si="89"/>
        <v>0007</v>
      </c>
      <c r="F1336" t="str">
        <f t="shared" si="90"/>
        <v>2.021</v>
      </c>
      <c r="G1336" t="str">
        <f t="shared" si="91"/>
        <v>3.3.90.30.00</v>
      </c>
      <c r="H1336" t="s">
        <v>1376</v>
      </c>
      <c r="I1336" t="str">
        <f t="shared" si="97"/>
        <v>17 - SECRETARIA DE MEIO AMBIENTE E RECURSOS HÍDRICOS</v>
      </c>
      <c r="J1336" t="s">
        <v>20</v>
      </c>
      <c r="K1336" t="str">
        <f t="shared" si="92"/>
        <v>18-GESTÃO AMBIENTAL</v>
      </c>
      <c r="L1336" t="str">
        <f t="shared" si="93"/>
        <v>422-DIREITOS INDIVIDUAIS, COLETIVOS E DIFUSOS</v>
      </c>
      <c r="M1336" t="str">
        <f t="shared" si="94"/>
        <v>0007-Meio Ambiente, Sustentabilidade e Bem-Estar Animal​</v>
      </c>
      <c r="N1336" t="str">
        <f t="shared" si="95"/>
        <v>2.021-Educação Cidadã</v>
      </c>
      <c r="O1336" t="str">
        <f t="shared" si="96"/>
        <v>3.3.90.30.00-MATERIAL DE CONSUMO</v>
      </c>
      <c r="R1336" s="25">
        <v>10390.9609</v>
      </c>
      <c r="S1336" t="s">
        <v>1035</v>
      </c>
    </row>
    <row r="1337" spans="1:19" x14ac:dyDescent="0.25">
      <c r="A1337" t="str">
        <f t="shared" si="85"/>
        <v>17</v>
      </c>
      <c r="B1337" t="str">
        <f t="shared" si="86"/>
        <v>001</v>
      </c>
      <c r="C1337" t="str">
        <f t="shared" si="87"/>
        <v>18</v>
      </c>
      <c r="D1337" t="str">
        <f t="shared" si="88"/>
        <v>422</v>
      </c>
      <c r="E1337" t="str">
        <f t="shared" si="89"/>
        <v>0007</v>
      </c>
      <c r="F1337" t="str">
        <f t="shared" si="90"/>
        <v>2.021</v>
      </c>
      <c r="G1337" t="str">
        <f t="shared" si="91"/>
        <v>3.3.90.39.00</v>
      </c>
      <c r="H1337" t="s">
        <v>1377</v>
      </c>
      <c r="I1337" t="str">
        <f t="shared" si="97"/>
        <v>17 - SECRETARIA DE MEIO AMBIENTE E RECURSOS HÍDRICOS</v>
      </c>
      <c r="J1337" t="s">
        <v>20</v>
      </c>
      <c r="K1337" t="str">
        <f t="shared" si="92"/>
        <v>18-GESTÃO AMBIENTAL</v>
      </c>
      <c r="L1337" t="str">
        <f t="shared" si="93"/>
        <v>422-DIREITOS INDIVIDUAIS, COLETIVOS E DIFUSOS</v>
      </c>
      <c r="M1337" t="str">
        <f t="shared" si="94"/>
        <v>0007-Meio Ambiente, Sustentabilidade e Bem-Estar Animal​</v>
      </c>
      <c r="N1337" t="str">
        <f t="shared" si="95"/>
        <v>2.021-Educação Cidadã</v>
      </c>
      <c r="O1337" t="str">
        <f t="shared" si="96"/>
        <v>3.3.90.39.00-OUTROS SERVIÇOS DE TERCEIROS - PESSOA JURÍDICA</v>
      </c>
      <c r="R1337" s="25">
        <v>31173.960899999998</v>
      </c>
      <c r="S1337" t="s">
        <v>1035</v>
      </c>
    </row>
    <row r="1338" spans="1:19" x14ac:dyDescent="0.25">
      <c r="A1338" t="str">
        <f t="shared" si="85"/>
        <v>17</v>
      </c>
      <c r="B1338" t="str">
        <f t="shared" si="86"/>
        <v>001</v>
      </c>
      <c r="C1338" t="str">
        <f t="shared" si="87"/>
        <v>18</v>
      </c>
      <c r="D1338" t="str">
        <f t="shared" si="88"/>
        <v>541</v>
      </c>
      <c r="E1338" t="str">
        <f t="shared" si="89"/>
        <v>0007</v>
      </c>
      <c r="F1338" t="str">
        <f t="shared" si="90"/>
        <v>2.011</v>
      </c>
      <c r="G1338" t="str">
        <f t="shared" si="91"/>
        <v>3.3.50.39.00</v>
      </c>
      <c r="H1338" t="s">
        <v>1378</v>
      </c>
      <c r="I1338" t="str">
        <f t="shared" si="97"/>
        <v>17 - SECRETARIA DE MEIO AMBIENTE E RECURSOS HÍDRICOS</v>
      </c>
      <c r="J1338" t="s">
        <v>20</v>
      </c>
      <c r="K1338" t="str">
        <f t="shared" si="92"/>
        <v>18-GESTÃO AMBIENTAL</v>
      </c>
      <c r="L1338" t="str">
        <f t="shared" si="93"/>
        <v>541-PRESERVAÇÃO E CONSERVAÇÃO AMBIENTAL</v>
      </c>
      <c r="M1338" t="str">
        <f t="shared" si="94"/>
        <v>0007-Meio Ambiente, Sustentabilidade e Bem-Estar Animal​</v>
      </c>
      <c r="N1338" t="str">
        <f t="shared" si="95"/>
        <v xml:space="preserve">2.011-Manutenção de Equipamentos Públicos </v>
      </c>
      <c r="O1338" t="str">
        <f t="shared" si="96"/>
        <v>3.3.50.39.00-OUTROS SERVIÇOS DE TERCEIROS - PESSOA JURÍDICA</v>
      </c>
      <c r="R1338" s="25">
        <v>0</v>
      </c>
      <c r="S1338" t="s">
        <v>1035</v>
      </c>
    </row>
    <row r="1339" spans="1:19" x14ac:dyDescent="0.25">
      <c r="A1339" t="str">
        <f t="shared" si="85"/>
        <v>17</v>
      </c>
      <c r="B1339" t="str">
        <f t="shared" si="86"/>
        <v>001</v>
      </c>
      <c r="C1339" t="str">
        <f t="shared" si="87"/>
        <v>18</v>
      </c>
      <c r="D1339" t="str">
        <f t="shared" si="88"/>
        <v>541</v>
      </c>
      <c r="E1339" t="str">
        <f t="shared" si="89"/>
        <v>0007</v>
      </c>
      <c r="F1339" t="str">
        <f t="shared" si="90"/>
        <v>2.011</v>
      </c>
      <c r="G1339" t="str">
        <f t="shared" si="91"/>
        <v>3.3.50.85.00</v>
      </c>
      <c r="H1339" t="s">
        <v>1379</v>
      </c>
      <c r="I1339" t="str">
        <f t="shared" si="97"/>
        <v>17 - SECRETARIA DE MEIO AMBIENTE E RECURSOS HÍDRICOS</v>
      </c>
      <c r="J1339" t="s">
        <v>20</v>
      </c>
      <c r="K1339" t="str">
        <f t="shared" si="92"/>
        <v>18-GESTÃO AMBIENTAL</v>
      </c>
      <c r="L1339" t="str">
        <f t="shared" si="93"/>
        <v>541-PRESERVAÇÃO E CONSERVAÇÃO AMBIENTAL</v>
      </c>
      <c r="M1339" t="str">
        <f t="shared" si="94"/>
        <v>0007-Meio Ambiente, Sustentabilidade e Bem-Estar Animal​</v>
      </c>
      <c r="N1339" t="str">
        <f t="shared" si="95"/>
        <v xml:space="preserve">2.011-Manutenção de Equipamentos Públicos </v>
      </c>
      <c r="O1339" t="str">
        <f t="shared" si="96"/>
        <v>3.3.50.85.00-CONTRATO DE GESTÃO</v>
      </c>
      <c r="R1339" s="25">
        <v>8028989.0999999996</v>
      </c>
      <c r="S1339" t="s">
        <v>1035</v>
      </c>
    </row>
    <row r="1340" spans="1:19" x14ac:dyDescent="0.25">
      <c r="A1340" t="str">
        <f t="shared" si="85"/>
        <v>17</v>
      </c>
      <c r="B1340" t="str">
        <f t="shared" si="86"/>
        <v>001</v>
      </c>
      <c r="C1340" t="str">
        <f t="shared" si="87"/>
        <v>18</v>
      </c>
      <c r="D1340" t="str">
        <f t="shared" si="88"/>
        <v>541</v>
      </c>
      <c r="E1340" t="str">
        <f t="shared" si="89"/>
        <v>0007</v>
      </c>
      <c r="F1340" t="str">
        <f t="shared" si="90"/>
        <v>2.011</v>
      </c>
      <c r="G1340" t="str">
        <f t="shared" si="91"/>
        <v>3.3.90.30.00</v>
      </c>
      <c r="H1340" t="s">
        <v>1380</v>
      </c>
      <c r="I1340" t="str">
        <f t="shared" si="97"/>
        <v>17 - SECRETARIA DE MEIO AMBIENTE E RECURSOS HÍDRICOS</v>
      </c>
      <c r="J1340" t="s">
        <v>20</v>
      </c>
      <c r="K1340" t="str">
        <f t="shared" si="92"/>
        <v>18-GESTÃO AMBIENTAL</v>
      </c>
      <c r="L1340" t="str">
        <f t="shared" si="93"/>
        <v>541-PRESERVAÇÃO E CONSERVAÇÃO AMBIENTAL</v>
      </c>
      <c r="M1340" t="str">
        <f t="shared" si="94"/>
        <v>0007-Meio Ambiente, Sustentabilidade e Bem-Estar Animal​</v>
      </c>
      <c r="N1340" t="str">
        <f t="shared" si="95"/>
        <v xml:space="preserve">2.011-Manutenção de Equipamentos Públicos </v>
      </c>
      <c r="O1340" t="str">
        <f t="shared" si="96"/>
        <v>3.3.90.30.00-MATERIAL DE CONSUMO</v>
      </c>
      <c r="R1340" s="25">
        <v>644242</v>
      </c>
      <c r="S1340" t="s">
        <v>1035</v>
      </c>
    </row>
    <row r="1341" spans="1:19" x14ac:dyDescent="0.25">
      <c r="A1341" t="str">
        <f t="shared" si="85"/>
        <v>17</v>
      </c>
      <c r="B1341" t="str">
        <f t="shared" si="86"/>
        <v>001</v>
      </c>
      <c r="C1341" t="str">
        <f t="shared" si="87"/>
        <v>18</v>
      </c>
      <c r="D1341" t="str">
        <f t="shared" si="88"/>
        <v>541</v>
      </c>
      <c r="E1341" t="str">
        <f t="shared" si="89"/>
        <v>0007</v>
      </c>
      <c r="F1341" t="str">
        <f t="shared" si="90"/>
        <v>2.011</v>
      </c>
      <c r="G1341" t="str">
        <f t="shared" si="91"/>
        <v>3.3.90.39.00</v>
      </c>
      <c r="H1341" t="s">
        <v>1381</v>
      </c>
      <c r="I1341" t="str">
        <f t="shared" si="97"/>
        <v>17 - SECRETARIA DE MEIO AMBIENTE E RECURSOS HÍDRICOS</v>
      </c>
      <c r="J1341" t="s">
        <v>20</v>
      </c>
      <c r="K1341" t="str">
        <f t="shared" si="92"/>
        <v>18-GESTÃO AMBIENTAL</v>
      </c>
      <c r="L1341" t="str">
        <f t="shared" si="93"/>
        <v>541-PRESERVAÇÃO E CONSERVAÇÃO AMBIENTAL</v>
      </c>
      <c r="M1341" t="str">
        <f t="shared" si="94"/>
        <v>0007-Meio Ambiente, Sustentabilidade e Bem-Estar Animal​</v>
      </c>
      <c r="N1341" t="str">
        <f t="shared" si="95"/>
        <v xml:space="preserve">2.011-Manutenção de Equipamentos Públicos </v>
      </c>
      <c r="O1341" t="str">
        <f t="shared" si="96"/>
        <v>3.3.90.39.00-OUTROS SERVIÇOS DE TERCEIROS - PESSOA JURÍDICA</v>
      </c>
      <c r="R1341" s="25">
        <v>4909140.5</v>
      </c>
      <c r="S1341" t="s">
        <v>1035</v>
      </c>
    </row>
    <row r="1342" spans="1:19" x14ac:dyDescent="0.25">
      <c r="A1342" t="str">
        <f t="shared" si="85"/>
        <v>17</v>
      </c>
      <c r="B1342" t="str">
        <f t="shared" si="86"/>
        <v>001</v>
      </c>
      <c r="C1342" t="str">
        <f t="shared" si="87"/>
        <v>18</v>
      </c>
      <c r="D1342" t="str">
        <f t="shared" si="88"/>
        <v>541</v>
      </c>
      <c r="E1342" t="str">
        <f t="shared" si="89"/>
        <v>0007</v>
      </c>
      <c r="F1342" t="str">
        <f t="shared" si="90"/>
        <v>2.011</v>
      </c>
      <c r="G1342" t="str">
        <f t="shared" si="91"/>
        <v>3.3.90.93.00</v>
      </c>
      <c r="H1342" t="s">
        <v>1382</v>
      </c>
      <c r="I1342" t="str">
        <f t="shared" si="97"/>
        <v>17 - SECRETARIA DE MEIO AMBIENTE E RECURSOS HÍDRICOS</v>
      </c>
      <c r="J1342" t="s">
        <v>20</v>
      </c>
      <c r="K1342" t="str">
        <f t="shared" si="92"/>
        <v>18-GESTÃO AMBIENTAL</v>
      </c>
      <c r="L1342" t="str">
        <f t="shared" si="93"/>
        <v>541-PRESERVAÇÃO E CONSERVAÇÃO AMBIENTAL</v>
      </c>
      <c r="M1342" t="str">
        <f t="shared" si="94"/>
        <v>0007-Meio Ambiente, Sustentabilidade e Bem-Estar Animal​</v>
      </c>
      <c r="N1342" t="str">
        <f t="shared" si="95"/>
        <v xml:space="preserve">2.011-Manutenção de Equipamentos Públicos </v>
      </c>
      <c r="O1342" t="str">
        <f t="shared" si="96"/>
        <v>3.3.90.93.00-INDENIZAÇÕES E RESTITUIÇÕES</v>
      </c>
      <c r="R1342" s="25">
        <v>62346</v>
      </c>
      <c r="S1342" t="s">
        <v>1035</v>
      </c>
    </row>
    <row r="1343" spans="1:19" x14ac:dyDescent="0.25">
      <c r="A1343" t="str">
        <f t="shared" si="85"/>
        <v>17</v>
      </c>
      <c r="B1343" t="str">
        <f t="shared" si="86"/>
        <v>001</v>
      </c>
      <c r="C1343" t="str">
        <f t="shared" si="87"/>
        <v>18</v>
      </c>
      <c r="D1343" t="str">
        <f t="shared" si="88"/>
        <v>541</v>
      </c>
      <c r="E1343" t="str">
        <f t="shared" si="89"/>
        <v>0007</v>
      </c>
      <c r="F1343" t="str">
        <f t="shared" si="90"/>
        <v>2.011</v>
      </c>
      <c r="G1343" t="str">
        <f t="shared" si="91"/>
        <v>4.4.90.52.00</v>
      </c>
      <c r="H1343" t="s">
        <v>1383</v>
      </c>
      <c r="I1343" t="str">
        <f t="shared" si="97"/>
        <v>17 - SECRETARIA DE MEIO AMBIENTE E RECURSOS HÍDRICOS</v>
      </c>
      <c r="J1343" t="s">
        <v>20</v>
      </c>
      <c r="K1343" t="str">
        <f t="shared" si="92"/>
        <v>18-GESTÃO AMBIENTAL</v>
      </c>
      <c r="L1343" t="str">
        <f t="shared" si="93"/>
        <v>541-PRESERVAÇÃO E CONSERVAÇÃO AMBIENTAL</v>
      </c>
      <c r="M1343" t="str">
        <f t="shared" si="94"/>
        <v>0007-Meio Ambiente, Sustentabilidade e Bem-Estar Animal​</v>
      </c>
      <c r="N1343" t="str">
        <f t="shared" si="95"/>
        <v xml:space="preserve">2.011-Manutenção de Equipamentos Públicos </v>
      </c>
      <c r="O1343" t="str">
        <f t="shared" si="96"/>
        <v>4.4.90.52.00-EQUIPAMENTOS E MATERIAL PERMANENTE</v>
      </c>
      <c r="R1343" s="25">
        <v>33251.199999999997</v>
      </c>
      <c r="S1343" t="s">
        <v>1035</v>
      </c>
    </row>
    <row r="1344" spans="1:19" x14ac:dyDescent="0.25">
      <c r="A1344" t="str">
        <f t="shared" si="85"/>
        <v>17</v>
      </c>
      <c r="B1344" t="str">
        <f t="shared" si="86"/>
        <v>003</v>
      </c>
      <c r="C1344" t="str">
        <f t="shared" si="87"/>
        <v>18</v>
      </c>
      <c r="D1344" t="str">
        <f t="shared" si="88"/>
        <v>422</v>
      </c>
      <c r="E1344" t="str">
        <f t="shared" si="89"/>
        <v>0007</v>
      </c>
      <c r="F1344" t="str">
        <f t="shared" si="90"/>
        <v>2.021</v>
      </c>
      <c r="G1344" t="str">
        <f t="shared" si="91"/>
        <v>3.3.90.35.00</v>
      </c>
      <c r="H1344" t="s">
        <v>1384</v>
      </c>
      <c r="I1344" t="str">
        <f t="shared" si="97"/>
        <v>17 - SECRETARIA DE MEIO AMBIENTE E RECURSOS HÍDRICOS</v>
      </c>
      <c r="J1344" t="s">
        <v>768</v>
      </c>
      <c r="K1344" t="str">
        <f t="shared" si="92"/>
        <v>18-GESTÃO AMBIENTAL</v>
      </c>
      <c r="L1344" t="str">
        <f t="shared" si="93"/>
        <v>422-DIREITOS INDIVIDUAIS, COLETIVOS E DIFUSOS</v>
      </c>
      <c r="M1344" t="str">
        <f t="shared" si="94"/>
        <v>0007-Meio Ambiente, Sustentabilidade e Bem-Estar Animal​</v>
      </c>
      <c r="N1344" t="str">
        <f t="shared" si="95"/>
        <v>2.021-Educação Cidadã</v>
      </c>
      <c r="O1344" t="str">
        <f t="shared" si="96"/>
        <v>3.3.90.35.00-SERVIÇOS DE CONSULTORIA</v>
      </c>
      <c r="R1344" s="25">
        <v>1</v>
      </c>
      <c r="S1344" t="s">
        <v>1035</v>
      </c>
    </row>
    <row r="1345" spans="1:19" x14ac:dyDescent="0.25">
      <c r="A1345" t="str">
        <f t="shared" si="85"/>
        <v>18</v>
      </c>
      <c r="B1345" t="str">
        <f t="shared" si="86"/>
        <v>001</v>
      </c>
      <c r="C1345" t="str">
        <f t="shared" si="87"/>
        <v>04</v>
      </c>
      <c r="D1345" t="str">
        <f t="shared" si="88"/>
        <v>122</v>
      </c>
      <c r="E1345" t="str">
        <f t="shared" si="89"/>
        <v>0001</v>
      </c>
      <c r="F1345" t="str">
        <f t="shared" si="90"/>
        <v>2.011</v>
      </c>
      <c r="G1345" t="str">
        <f t="shared" si="91"/>
        <v>3.3.90.39.00</v>
      </c>
      <c r="H1345" t="s">
        <v>1385</v>
      </c>
      <c r="I1345" t="s">
        <v>789</v>
      </c>
      <c r="J1345" t="s">
        <v>20</v>
      </c>
      <c r="K1345" t="str">
        <f t="shared" si="92"/>
        <v>4-ADMINISTRAÇÃO</v>
      </c>
      <c r="L1345" t="str">
        <f t="shared" si="93"/>
        <v>122-ADMINISTRAÇÃO GERAL</v>
      </c>
      <c r="M1345" t="str">
        <f t="shared" si="94"/>
        <v>0001-Administração e Coordenação Geral​</v>
      </c>
      <c r="N1345" t="str">
        <f t="shared" si="95"/>
        <v xml:space="preserve">2.011-Manutenção de Equipamentos Públicos </v>
      </c>
      <c r="O1345" t="str">
        <f t="shared" si="96"/>
        <v>3.3.90.39.00-OUTROS SERVIÇOS DE TERCEIROS - PESSOA JURÍDICA</v>
      </c>
      <c r="R1345" s="25">
        <v>5598002</v>
      </c>
      <c r="S1345" t="s">
        <v>1035</v>
      </c>
    </row>
    <row r="1346" spans="1:19" x14ac:dyDescent="0.25">
      <c r="A1346" t="str">
        <f t="shared" si="85"/>
        <v>18</v>
      </c>
      <c r="B1346" t="str">
        <f t="shared" si="86"/>
        <v>001</v>
      </c>
      <c r="C1346" t="str">
        <f t="shared" si="87"/>
        <v>04</v>
      </c>
      <c r="D1346" t="str">
        <f t="shared" si="88"/>
        <v>122</v>
      </c>
      <c r="E1346" t="str">
        <f t="shared" si="89"/>
        <v>0001</v>
      </c>
      <c r="F1346" t="str">
        <f t="shared" si="90"/>
        <v>2.011</v>
      </c>
      <c r="G1346" t="str">
        <f t="shared" si="91"/>
        <v>3.3.90.93.00</v>
      </c>
      <c r="H1346" t="s">
        <v>1386</v>
      </c>
      <c r="I1346" t="s">
        <v>789</v>
      </c>
      <c r="J1346" t="s">
        <v>20</v>
      </c>
      <c r="K1346" t="str">
        <f t="shared" si="92"/>
        <v>4-ADMINISTRAÇÃO</v>
      </c>
      <c r="L1346" t="str">
        <f t="shared" si="93"/>
        <v>122-ADMINISTRAÇÃO GERAL</v>
      </c>
      <c r="M1346" t="str">
        <f t="shared" si="94"/>
        <v>0001-Administração e Coordenação Geral​</v>
      </c>
      <c r="N1346" t="str">
        <f t="shared" si="95"/>
        <v xml:space="preserve">2.011-Manutenção de Equipamentos Públicos </v>
      </c>
      <c r="O1346" t="str">
        <f t="shared" si="96"/>
        <v>3.3.90.93.00-INDENIZAÇÕES E RESTITUIÇÕES</v>
      </c>
      <c r="R1346" s="25">
        <v>1558650</v>
      </c>
      <c r="S1346" t="s">
        <v>1035</v>
      </c>
    </row>
    <row r="1347" spans="1:19" x14ac:dyDescent="0.25">
      <c r="A1347" t="str">
        <f t="shared" si="85"/>
        <v>18</v>
      </c>
      <c r="B1347" t="str">
        <f t="shared" si="86"/>
        <v>001</v>
      </c>
      <c r="C1347" t="str">
        <f t="shared" si="87"/>
        <v>04</v>
      </c>
      <c r="D1347" t="str">
        <f t="shared" si="88"/>
        <v>453</v>
      </c>
      <c r="E1347" t="str">
        <f t="shared" si="89"/>
        <v>0013</v>
      </c>
      <c r="F1347" t="str">
        <f t="shared" si="90"/>
        <v>2.010</v>
      </c>
      <c r="G1347" t="str">
        <f t="shared" si="91"/>
        <v>3.3.90.93.00</v>
      </c>
      <c r="H1347" t="s">
        <v>1387</v>
      </c>
      <c r="I1347" t="s">
        <v>789</v>
      </c>
      <c r="J1347" t="s">
        <v>20</v>
      </c>
      <c r="K1347" t="str">
        <f t="shared" si="92"/>
        <v>4-ADMINISTRAÇÃO</v>
      </c>
      <c r="L1347" t="str">
        <f t="shared" si="93"/>
        <v>453-TRANSPORTES COLETIVOS URBANOS</v>
      </c>
      <c r="M1347" t="str">
        <f t="shared" si="94"/>
        <v>0013-Mobilidade Urbana e Infraestrutura Viária​</v>
      </c>
      <c r="N1347" t="str">
        <f t="shared" si="95"/>
        <v xml:space="preserve">2.010-Manutenção do Transporte Coletivo </v>
      </c>
      <c r="O1347" t="str">
        <f t="shared" si="96"/>
        <v>3.3.90.93.00-INDENIZAÇÕES E RESTITUIÇÕES</v>
      </c>
      <c r="R1347" s="25">
        <v>45414279.851516001</v>
      </c>
      <c r="S1347" t="s">
        <v>1035</v>
      </c>
    </row>
    <row r="1348" spans="1:19" x14ac:dyDescent="0.25">
      <c r="A1348" t="str">
        <f t="shared" si="85"/>
        <v>18</v>
      </c>
      <c r="B1348" t="str">
        <f t="shared" si="86"/>
        <v>002</v>
      </c>
      <c r="C1348" t="str">
        <f t="shared" si="87"/>
        <v>04</v>
      </c>
      <c r="D1348" t="str">
        <f t="shared" si="88"/>
        <v>122</v>
      </c>
      <c r="E1348" t="str">
        <f t="shared" si="89"/>
        <v>0001</v>
      </c>
      <c r="F1348" t="str">
        <f t="shared" si="90"/>
        <v>2.009</v>
      </c>
      <c r="G1348" t="str">
        <f t="shared" si="91"/>
        <v>3.3.90.36.00</v>
      </c>
      <c r="H1348" t="s">
        <v>1388</v>
      </c>
      <c r="I1348" t="str">
        <f t="shared" si="97"/>
        <v>18 - ENCARGOS/ADMINISTRAÇÃO</v>
      </c>
      <c r="J1348" t="s">
        <v>775</v>
      </c>
      <c r="K1348" t="str">
        <f t="shared" si="92"/>
        <v>4-ADMINISTRAÇÃO</v>
      </c>
      <c r="L1348" t="str">
        <f t="shared" si="93"/>
        <v>122-ADMINISTRAÇÃO GERAL</v>
      </c>
      <c r="M1348" t="str">
        <f t="shared" si="94"/>
        <v>0001-Administração e Coordenação Geral​</v>
      </c>
      <c r="N1348" t="str">
        <f t="shared" si="95"/>
        <v>2.009-Locação de Imóveis</v>
      </c>
      <c r="O1348" t="str">
        <f t="shared" si="96"/>
        <v>3.3.90.36.00-OUTROS SERVIÇOS DE TERCEIROS - PESSOA FÍSICA</v>
      </c>
      <c r="R1348" s="25">
        <v>7570917.5999999996</v>
      </c>
      <c r="S1348" t="s">
        <v>1035</v>
      </c>
    </row>
    <row r="1349" spans="1:19" x14ac:dyDescent="0.25">
      <c r="A1349" t="str">
        <f t="shared" si="85"/>
        <v>18</v>
      </c>
      <c r="B1349" t="str">
        <f t="shared" si="86"/>
        <v>002</v>
      </c>
      <c r="C1349" t="str">
        <f t="shared" si="87"/>
        <v>04</v>
      </c>
      <c r="D1349" t="str">
        <f t="shared" si="88"/>
        <v>122</v>
      </c>
      <c r="E1349" t="str">
        <f t="shared" si="89"/>
        <v>0001</v>
      </c>
      <c r="F1349" t="str">
        <f t="shared" si="90"/>
        <v>2.009</v>
      </c>
      <c r="G1349" t="str">
        <f t="shared" si="91"/>
        <v>3.3.90.39.00</v>
      </c>
      <c r="H1349" t="s">
        <v>1389</v>
      </c>
      <c r="I1349" t="str">
        <f t="shared" si="97"/>
        <v>18 - ENCARGOS/ADMINISTRAÇÃO</v>
      </c>
      <c r="J1349" t="s">
        <v>775</v>
      </c>
      <c r="K1349" t="str">
        <f t="shared" si="92"/>
        <v>4-ADMINISTRAÇÃO</v>
      </c>
      <c r="L1349" t="str">
        <f t="shared" si="93"/>
        <v>122-ADMINISTRAÇÃO GERAL</v>
      </c>
      <c r="M1349" t="str">
        <f t="shared" si="94"/>
        <v>0001-Administração e Coordenação Geral​</v>
      </c>
      <c r="N1349" t="str">
        <f t="shared" si="95"/>
        <v>2.009-Locação de Imóveis</v>
      </c>
      <c r="O1349" t="str">
        <f t="shared" si="96"/>
        <v>3.3.90.39.00-OUTROS SERVIÇOS DE TERCEIROS - PESSOA JURÍDICA</v>
      </c>
      <c r="R1349" s="25">
        <v>15714539.440000001</v>
      </c>
      <c r="S1349" t="s">
        <v>1035</v>
      </c>
    </row>
    <row r="1350" spans="1:19" x14ac:dyDescent="0.25">
      <c r="A1350" t="str">
        <f t="shared" si="85"/>
        <v>18</v>
      </c>
      <c r="B1350" t="str">
        <f t="shared" si="86"/>
        <v>002</v>
      </c>
      <c r="C1350" t="str">
        <f t="shared" si="87"/>
        <v>04</v>
      </c>
      <c r="D1350" t="str">
        <f t="shared" si="88"/>
        <v>122</v>
      </c>
      <c r="E1350" t="str">
        <f t="shared" si="89"/>
        <v>0001</v>
      </c>
      <c r="F1350" t="str">
        <f t="shared" si="90"/>
        <v>2.009</v>
      </c>
      <c r="G1350" t="str">
        <f t="shared" si="91"/>
        <v>3.3.90.93.00</v>
      </c>
      <c r="H1350" t="s">
        <v>1390</v>
      </c>
      <c r="I1350" t="str">
        <f t="shared" si="97"/>
        <v>18 - ENCARGOS/ADMINISTRAÇÃO</v>
      </c>
      <c r="J1350" t="s">
        <v>775</v>
      </c>
      <c r="K1350" t="str">
        <f t="shared" si="92"/>
        <v>4-ADMINISTRAÇÃO</v>
      </c>
      <c r="L1350" t="str">
        <f t="shared" si="93"/>
        <v>122-ADMINISTRAÇÃO GERAL</v>
      </c>
      <c r="M1350" t="str">
        <f t="shared" si="94"/>
        <v>0001-Administração e Coordenação Geral​</v>
      </c>
      <c r="N1350" t="str">
        <f t="shared" si="95"/>
        <v>2.009-Locação de Imóveis</v>
      </c>
      <c r="O1350" t="str">
        <f t="shared" si="96"/>
        <v>3.3.90.93.00-INDENIZAÇÕES E RESTITUIÇÕES</v>
      </c>
      <c r="R1350" s="25">
        <v>100000</v>
      </c>
      <c r="S1350" t="s">
        <v>1035</v>
      </c>
    </row>
    <row r="1351" spans="1:19" x14ac:dyDescent="0.25">
      <c r="A1351" t="str">
        <f t="shared" si="85"/>
        <v>18</v>
      </c>
      <c r="B1351" t="str">
        <f t="shared" si="86"/>
        <v>002</v>
      </c>
      <c r="C1351" t="str">
        <f t="shared" si="87"/>
        <v>04</v>
      </c>
      <c r="D1351" t="str">
        <f t="shared" si="88"/>
        <v>122</v>
      </c>
      <c r="E1351" t="str">
        <f t="shared" si="89"/>
        <v>0001</v>
      </c>
      <c r="F1351" t="str">
        <f t="shared" si="90"/>
        <v>2.011</v>
      </c>
      <c r="G1351" t="str">
        <f t="shared" si="91"/>
        <v>3.3.90.39.00</v>
      </c>
      <c r="H1351" t="s">
        <v>1391</v>
      </c>
      <c r="I1351" t="str">
        <f t="shared" si="97"/>
        <v>18 - ENCARGOS/ADMINISTRAÇÃO</v>
      </c>
      <c r="J1351" t="s">
        <v>775</v>
      </c>
      <c r="K1351" t="str">
        <f t="shared" si="92"/>
        <v>4-ADMINISTRAÇÃO</v>
      </c>
      <c r="L1351" t="str">
        <f t="shared" si="93"/>
        <v>122-ADMINISTRAÇÃO GERAL</v>
      </c>
      <c r="M1351" t="str">
        <f t="shared" si="94"/>
        <v>0001-Administração e Coordenação Geral​</v>
      </c>
      <c r="N1351" t="str">
        <f t="shared" si="95"/>
        <v xml:space="preserve">2.011-Manutenção de Equipamentos Públicos </v>
      </c>
      <c r="O1351" t="str">
        <f t="shared" si="96"/>
        <v>3.3.90.39.00-OUTROS SERVIÇOS DE TERCEIROS - PESSOA JURÍDICA</v>
      </c>
      <c r="R1351" s="25">
        <v>11469391.6753</v>
      </c>
      <c r="S1351" t="s">
        <v>1035</v>
      </c>
    </row>
    <row r="1352" spans="1:19" x14ac:dyDescent="0.25">
      <c r="A1352" t="str">
        <f t="shared" si="85"/>
        <v>18</v>
      </c>
      <c r="B1352" t="str">
        <f t="shared" si="86"/>
        <v>002</v>
      </c>
      <c r="C1352" t="str">
        <f t="shared" si="87"/>
        <v>04</v>
      </c>
      <c r="D1352" t="str">
        <f t="shared" si="88"/>
        <v>122</v>
      </c>
      <c r="E1352" t="str">
        <f t="shared" si="89"/>
        <v>0001</v>
      </c>
      <c r="F1352" t="str">
        <f t="shared" si="90"/>
        <v>2.011</v>
      </c>
      <c r="G1352" t="str">
        <f t="shared" si="91"/>
        <v>3.3.90.40.00</v>
      </c>
      <c r="H1352" t="s">
        <v>1392</v>
      </c>
      <c r="I1352" t="str">
        <f t="shared" si="97"/>
        <v>18 - ENCARGOS/ADMINISTRAÇÃO</v>
      </c>
      <c r="J1352" t="s">
        <v>775</v>
      </c>
      <c r="K1352" t="str">
        <f t="shared" si="92"/>
        <v>4-ADMINISTRAÇÃO</v>
      </c>
      <c r="L1352" t="str">
        <f t="shared" si="93"/>
        <v>122-ADMINISTRAÇÃO GERAL</v>
      </c>
      <c r="M1352" t="str">
        <f t="shared" si="94"/>
        <v>0001-Administração e Coordenação Geral​</v>
      </c>
      <c r="N1352" t="str">
        <f t="shared" si="95"/>
        <v xml:space="preserve">2.011-Manutenção de Equipamentos Públicos </v>
      </c>
      <c r="O1352" t="str">
        <f t="shared" si="96"/>
        <v>3.3.90.40.00-SERVIÇOS DE TECNOLOGIA DA INFORMAÇÃO E COMUNICAÇÃO - PESSOA JURÍDICA</v>
      </c>
      <c r="R1352" s="25">
        <v>4943460.96</v>
      </c>
      <c r="S1352" t="s">
        <v>1035</v>
      </c>
    </row>
    <row r="1353" spans="1:19" x14ac:dyDescent="0.25">
      <c r="A1353" t="str">
        <f t="shared" si="85"/>
        <v>18</v>
      </c>
      <c r="B1353" t="str">
        <f t="shared" si="86"/>
        <v>002</v>
      </c>
      <c r="C1353" t="str">
        <f t="shared" si="87"/>
        <v>04</v>
      </c>
      <c r="D1353" t="str">
        <f t="shared" si="88"/>
        <v>122</v>
      </c>
      <c r="E1353" t="str">
        <f t="shared" si="89"/>
        <v>0001</v>
      </c>
      <c r="F1353" t="str">
        <f t="shared" si="90"/>
        <v>2.011</v>
      </c>
      <c r="G1353" t="str">
        <f t="shared" si="91"/>
        <v>3.3.91.39.00</v>
      </c>
      <c r="H1353" t="s">
        <v>1393</v>
      </c>
      <c r="I1353" t="str">
        <f t="shared" si="97"/>
        <v>18 - ENCARGOS/ADMINISTRAÇÃO</v>
      </c>
      <c r="J1353" t="s">
        <v>775</v>
      </c>
      <c r="K1353" t="str">
        <f t="shared" si="92"/>
        <v>4-ADMINISTRAÇÃO</v>
      </c>
      <c r="L1353" t="str">
        <f t="shared" si="93"/>
        <v>122-ADMINISTRAÇÃO GERAL</v>
      </c>
      <c r="M1353" t="str">
        <f t="shared" si="94"/>
        <v>0001-Administração e Coordenação Geral​</v>
      </c>
      <c r="N1353" t="str">
        <f t="shared" si="95"/>
        <v xml:space="preserve">2.011-Manutenção de Equipamentos Públicos </v>
      </c>
      <c r="O1353" t="str">
        <f>G1353</f>
        <v>3.3.91.39.00</v>
      </c>
      <c r="R1353" s="25">
        <v>1</v>
      </c>
      <c r="S1353" t="s">
        <v>1035</v>
      </c>
    </row>
    <row r="1354" spans="1:19" x14ac:dyDescent="0.25">
      <c r="A1354" t="str">
        <f t="shared" si="85"/>
        <v>18</v>
      </c>
      <c r="B1354" t="str">
        <f t="shared" si="86"/>
        <v>002</v>
      </c>
      <c r="C1354" t="str">
        <f t="shared" si="87"/>
        <v>04</v>
      </c>
      <c r="D1354" t="str">
        <f t="shared" si="88"/>
        <v>126</v>
      </c>
      <c r="E1354" t="str">
        <f t="shared" si="89"/>
        <v>0002</v>
      </c>
      <c r="F1354" t="str">
        <f t="shared" si="90"/>
        <v>2.007</v>
      </c>
      <c r="G1354" t="str">
        <f t="shared" si="91"/>
        <v>3.3.90.40.00</v>
      </c>
      <c r="H1354" t="s">
        <v>1394</v>
      </c>
      <c r="I1354" t="str">
        <f t="shared" si="97"/>
        <v>18 - ENCARGOS/ADMINISTRAÇÃO</v>
      </c>
      <c r="J1354" t="s">
        <v>775</v>
      </c>
      <c r="K1354" t="str">
        <f t="shared" si="92"/>
        <v>4-ADMINISTRAÇÃO</v>
      </c>
      <c r="L1354" t="str">
        <f t="shared" si="93"/>
        <v>126-TECNOLOGIA DA INFORMATIZAÇÃO</v>
      </c>
      <c r="M1354" t="str">
        <f t="shared" si="94"/>
        <v>0002-Governo Inteligente, Aberto e Inovador​</v>
      </c>
      <c r="N1354" t="str">
        <f t="shared" si="95"/>
        <v>2.007-Ampliação e Manutenção de Sistemas de Inteligência, Fiscalização e Tecnologia</v>
      </c>
      <c r="O1354" t="str">
        <f t="shared" si="96"/>
        <v>3.3.90.40.00-SERVIÇOS DE TECNOLOGIA DA INFORMAÇÃO E COMUNICAÇÃO - PESSOA JURÍDICA</v>
      </c>
      <c r="R1354" s="25">
        <v>8106306</v>
      </c>
      <c r="S1354" t="s">
        <v>1035</v>
      </c>
    </row>
    <row r="1355" spans="1:19" x14ac:dyDescent="0.25">
      <c r="A1355" t="str">
        <f t="shared" si="85"/>
        <v>18</v>
      </c>
      <c r="B1355" t="str">
        <f t="shared" si="86"/>
        <v>002</v>
      </c>
      <c r="C1355" t="str">
        <f t="shared" si="87"/>
        <v>04</v>
      </c>
      <c r="D1355" t="str">
        <f t="shared" si="88"/>
        <v>128</v>
      </c>
      <c r="E1355" t="str">
        <f t="shared" si="89"/>
        <v>0001</v>
      </c>
      <c r="F1355" t="str">
        <f t="shared" si="90"/>
        <v>2.008</v>
      </c>
      <c r="G1355" t="str">
        <f t="shared" si="91"/>
        <v>3.3.90.39.00</v>
      </c>
      <c r="H1355" t="s">
        <v>1395</v>
      </c>
      <c r="I1355" t="str">
        <f t="shared" si="97"/>
        <v>18 - ENCARGOS/ADMINISTRAÇÃO</v>
      </c>
      <c r="J1355" t="s">
        <v>775</v>
      </c>
      <c r="K1355" t="str">
        <f t="shared" si="92"/>
        <v>4-ADMINISTRAÇÃO</v>
      </c>
      <c r="L1355" t="str">
        <f t="shared" si="93"/>
        <v>128-FORMAÇÃO DE RECURSOS HUMANOS</v>
      </c>
      <c r="M1355" t="str">
        <f t="shared" si="94"/>
        <v>0001-Administração e Coordenação Geral​</v>
      </c>
      <c r="N1355" t="str">
        <f t="shared" si="95"/>
        <v>2.008-Estágio e Aprendizagem</v>
      </c>
      <c r="O1355" t="str">
        <f t="shared" si="96"/>
        <v>3.3.90.39.00-OUTROS SERVIÇOS DE TERCEIROS - PESSOA JURÍDICA</v>
      </c>
      <c r="R1355" s="25">
        <v>998693.92</v>
      </c>
      <c r="S1355" t="s">
        <v>1035</v>
      </c>
    </row>
    <row r="1356" spans="1:19" x14ac:dyDescent="0.25">
      <c r="A1356" t="str">
        <f t="shared" si="85"/>
        <v>18</v>
      </c>
      <c r="B1356" t="str">
        <f t="shared" si="86"/>
        <v>002</v>
      </c>
      <c r="C1356" t="str">
        <f t="shared" si="87"/>
        <v>04</v>
      </c>
      <c r="D1356" t="str">
        <f t="shared" si="88"/>
        <v>128</v>
      </c>
      <c r="E1356" t="str">
        <f t="shared" si="89"/>
        <v>0001</v>
      </c>
      <c r="F1356" t="str">
        <f t="shared" si="90"/>
        <v>2.008</v>
      </c>
      <c r="G1356" t="str">
        <f t="shared" si="91"/>
        <v>3.3.90.48.00</v>
      </c>
      <c r="H1356" t="s">
        <v>1396</v>
      </c>
      <c r="I1356" t="str">
        <f t="shared" si="97"/>
        <v>18 - ENCARGOS/ADMINISTRAÇÃO</v>
      </c>
      <c r="J1356" t="s">
        <v>775</v>
      </c>
      <c r="K1356" t="str">
        <f t="shared" si="92"/>
        <v>4-ADMINISTRAÇÃO</v>
      </c>
      <c r="L1356" t="str">
        <f t="shared" si="93"/>
        <v>128-FORMAÇÃO DE RECURSOS HUMANOS</v>
      </c>
      <c r="M1356" t="str">
        <f t="shared" si="94"/>
        <v>0001-Administração e Coordenação Geral​</v>
      </c>
      <c r="N1356" t="str">
        <f t="shared" si="95"/>
        <v>2.008-Estágio e Aprendizagem</v>
      </c>
      <c r="O1356" t="str">
        <f t="shared" si="96"/>
        <v>3.3.90.48.00 - OUTROS AUXILIOS FINANCEIROS A PESSOAS FISICAS</v>
      </c>
      <c r="R1356" s="25">
        <v>24120489.91</v>
      </c>
      <c r="S1356" t="s">
        <v>1035</v>
      </c>
    </row>
    <row r="1357" spans="1:19" x14ac:dyDescent="0.25">
      <c r="A1357" t="str">
        <f t="shared" si="85"/>
        <v>18</v>
      </c>
      <c r="B1357" t="str">
        <f t="shared" si="86"/>
        <v>003</v>
      </c>
      <c r="C1357" t="str">
        <f t="shared" si="87"/>
        <v>04</v>
      </c>
      <c r="D1357" t="str">
        <f t="shared" si="88"/>
        <v>126</v>
      </c>
      <c r="E1357" t="str">
        <f t="shared" si="89"/>
        <v>0002</v>
      </c>
      <c r="F1357" t="str">
        <f t="shared" si="90"/>
        <v>2.007</v>
      </c>
      <c r="G1357" t="str">
        <f t="shared" si="91"/>
        <v>3.3.90.30.00</v>
      </c>
      <c r="H1357" t="s">
        <v>1397</v>
      </c>
      <c r="I1357" t="s">
        <v>815</v>
      </c>
      <c r="J1357" t="s">
        <v>768</v>
      </c>
      <c r="K1357" t="str">
        <f t="shared" si="92"/>
        <v>4-ADMINISTRAÇÃO</v>
      </c>
      <c r="L1357" t="str">
        <f t="shared" si="93"/>
        <v>126-TECNOLOGIA DA INFORMATIZAÇÃO</v>
      </c>
      <c r="M1357" t="str">
        <f t="shared" si="94"/>
        <v>0002-Governo Inteligente, Aberto e Inovador​</v>
      </c>
      <c r="N1357" t="str">
        <f t="shared" si="95"/>
        <v>2.007-Ampliação e Manutenção de Sistemas de Inteligência, Fiscalização e Tecnologia</v>
      </c>
      <c r="O1357" t="str">
        <f t="shared" si="96"/>
        <v>3.3.90.30.00-MATERIAL DE CONSUMO</v>
      </c>
      <c r="R1357" s="25">
        <v>207820</v>
      </c>
      <c r="S1357" t="s">
        <v>1035</v>
      </c>
    </row>
    <row r="1358" spans="1:19" x14ac:dyDescent="0.25">
      <c r="A1358" t="str">
        <f t="shared" si="85"/>
        <v>18</v>
      </c>
      <c r="B1358" t="str">
        <f t="shared" si="86"/>
        <v>003</v>
      </c>
      <c r="C1358" t="str">
        <f t="shared" si="87"/>
        <v>04</v>
      </c>
      <c r="D1358" t="str">
        <f t="shared" si="88"/>
        <v>126</v>
      </c>
      <c r="E1358" t="str">
        <f t="shared" si="89"/>
        <v>0002</v>
      </c>
      <c r="F1358" t="str">
        <f t="shared" si="90"/>
        <v>2.007</v>
      </c>
      <c r="G1358" t="str">
        <f t="shared" si="91"/>
        <v>3.3.90.39.00</v>
      </c>
      <c r="H1358" t="s">
        <v>1398</v>
      </c>
      <c r="I1358" t="s">
        <v>815</v>
      </c>
      <c r="J1358" t="s">
        <v>768</v>
      </c>
      <c r="K1358" t="str">
        <f t="shared" si="92"/>
        <v>4-ADMINISTRAÇÃO</v>
      </c>
      <c r="L1358" t="str">
        <f t="shared" si="93"/>
        <v>126-TECNOLOGIA DA INFORMATIZAÇÃO</v>
      </c>
      <c r="M1358" t="str">
        <f t="shared" si="94"/>
        <v>0002-Governo Inteligente, Aberto e Inovador​</v>
      </c>
      <c r="N1358" t="str">
        <f t="shared" si="95"/>
        <v>2.007-Ampliação e Manutenção de Sistemas de Inteligência, Fiscalização e Tecnologia</v>
      </c>
      <c r="O1358" t="str">
        <f t="shared" si="96"/>
        <v>3.3.90.39.00-OUTROS SERVIÇOS DE TERCEIROS - PESSOA JURÍDICA</v>
      </c>
      <c r="R1358" s="25">
        <v>311730</v>
      </c>
      <c r="S1358" t="s">
        <v>1035</v>
      </c>
    </row>
    <row r="1359" spans="1:19" x14ac:dyDescent="0.25">
      <c r="A1359" t="str">
        <f t="shared" si="85"/>
        <v>18</v>
      </c>
      <c r="B1359" t="str">
        <f t="shared" si="86"/>
        <v>003</v>
      </c>
      <c r="C1359" t="str">
        <f t="shared" si="87"/>
        <v>04</v>
      </c>
      <c r="D1359" t="str">
        <f t="shared" si="88"/>
        <v>126</v>
      </c>
      <c r="E1359" t="str">
        <f t="shared" si="89"/>
        <v>0002</v>
      </c>
      <c r="F1359" t="str">
        <f t="shared" si="90"/>
        <v>2.007</v>
      </c>
      <c r="G1359" t="str">
        <f t="shared" si="91"/>
        <v>3.3.90.40.00</v>
      </c>
      <c r="H1359" t="s">
        <v>1399</v>
      </c>
      <c r="I1359" t="s">
        <v>815</v>
      </c>
      <c r="J1359" t="s">
        <v>768</v>
      </c>
      <c r="K1359" t="str">
        <f t="shared" si="92"/>
        <v>4-ADMINISTRAÇÃO</v>
      </c>
      <c r="L1359" t="str">
        <f t="shared" si="93"/>
        <v>126-TECNOLOGIA DA INFORMATIZAÇÃO</v>
      </c>
      <c r="M1359" t="str">
        <f t="shared" si="94"/>
        <v>0002-Governo Inteligente, Aberto e Inovador​</v>
      </c>
      <c r="N1359" t="str">
        <f t="shared" si="95"/>
        <v>2.007-Ampliação e Manutenção de Sistemas de Inteligência, Fiscalização e Tecnologia</v>
      </c>
      <c r="O1359" t="str">
        <f t="shared" si="96"/>
        <v>3.3.90.40.00-SERVIÇOS DE TECNOLOGIA DA INFORMAÇÃO E COMUNICAÇÃO - PESSOA JURÍDICA</v>
      </c>
      <c r="R1359" s="25">
        <v>96906225.609999999</v>
      </c>
      <c r="S1359" t="s">
        <v>1035</v>
      </c>
    </row>
    <row r="1360" spans="1:19" x14ac:dyDescent="0.25">
      <c r="A1360" t="str">
        <f t="shared" si="85"/>
        <v>18</v>
      </c>
      <c r="B1360" t="str">
        <f t="shared" si="86"/>
        <v>003</v>
      </c>
      <c r="C1360" t="str">
        <f t="shared" si="87"/>
        <v>04</v>
      </c>
      <c r="D1360" t="str">
        <f t="shared" si="88"/>
        <v>126</v>
      </c>
      <c r="E1360" t="str">
        <f t="shared" si="89"/>
        <v>0002</v>
      </c>
      <c r="F1360" t="str">
        <f t="shared" si="90"/>
        <v>2.007</v>
      </c>
      <c r="G1360" t="str">
        <f t="shared" si="91"/>
        <v>4.4.90.40.00</v>
      </c>
      <c r="H1360" t="s">
        <v>1400</v>
      </c>
      <c r="I1360" t="s">
        <v>815</v>
      </c>
      <c r="J1360" t="s">
        <v>768</v>
      </c>
      <c r="K1360" t="str">
        <f t="shared" si="92"/>
        <v>4-ADMINISTRAÇÃO</v>
      </c>
      <c r="L1360" t="str">
        <f t="shared" si="93"/>
        <v>126-TECNOLOGIA DA INFORMATIZAÇÃO</v>
      </c>
      <c r="M1360" t="str">
        <f t="shared" si="94"/>
        <v>0002-Governo Inteligente, Aberto e Inovador​</v>
      </c>
      <c r="N1360" t="str">
        <f t="shared" si="95"/>
        <v>2.007-Ampliação e Manutenção de Sistemas de Inteligência, Fiscalização e Tecnologia</v>
      </c>
      <c r="O1360" t="str">
        <f>G1360</f>
        <v>4.4.90.40.00</v>
      </c>
      <c r="R1360" s="25">
        <v>1</v>
      </c>
      <c r="S1360" t="s">
        <v>1035</v>
      </c>
    </row>
    <row r="1361" spans="1:19" x14ac:dyDescent="0.25">
      <c r="A1361" t="str">
        <f t="shared" si="85"/>
        <v>18</v>
      </c>
      <c r="B1361" t="str">
        <f t="shared" si="86"/>
        <v>003</v>
      </c>
      <c r="C1361" t="str">
        <f t="shared" si="87"/>
        <v>04</v>
      </c>
      <c r="D1361" t="str">
        <f t="shared" si="88"/>
        <v>126</v>
      </c>
      <c r="E1361" t="str">
        <f t="shared" si="89"/>
        <v>0002</v>
      </c>
      <c r="F1361" t="str">
        <f t="shared" si="90"/>
        <v>2.007</v>
      </c>
      <c r="G1361" t="str">
        <f t="shared" si="91"/>
        <v>4.4.90.52.00</v>
      </c>
      <c r="H1361" t="s">
        <v>1401</v>
      </c>
      <c r="I1361" t="s">
        <v>815</v>
      </c>
      <c r="J1361" t="s">
        <v>768</v>
      </c>
      <c r="K1361" t="str">
        <f t="shared" si="92"/>
        <v>4-ADMINISTRAÇÃO</v>
      </c>
      <c r="L1361" t="str">
        <f t="shared" si="93"/>
        <v>126-TECNOLOGIA DA INFORMATIZAÇÃO</v>
      </c>
      <c r="M1361" t="str">
        <f t="shared" si="94"/>
        <v>0002-Governo Inteligente, Aberto e Inovador​</v>
      </c>
      <c r="N1361" t="str">
        <f t="shared" si="95"/>
        <v>2.007-Ampliação e Manutenção de Sistemas de Inteligência, Fiscalização e Tecnologia</v>
      </c>
      <c r="O1361" t="str">
        <f t="shared" si="96"/>
        <v>4.4.90.52.00-EQUIPAMENTOS E MATERIAL PERMANENTE</v>
      </c>
      <c r="R1361" s="25">
        <v>2297631.9034000002</v>
      </c>
      <c r="S1361" t="s">
        <v>1035</v>
      </c>
    </row>
    <row r="1362" spans="1:19" x14ac:dyDescent="0.25">
      <c r="A1362" t="str">
        <f t="shared" si="85"/>
        <v>19</v>
      </c>
      <c r="B1362" t="str">
        <f t="shared" si="86"/>
        <v>001</v>
      </c>
      <c r="C1362" t="str">
        <f t="shared" si="87"/>
        <v>04</v>
      </c>
      <c r="D1362" t="str">
        <f t="shared" si="88"/>
        <v>122</v>
      </c>
      <c r="E1362" t="str">
        <f t="shared" si="89"/>
        <v>0001</v>
      </c>
      <c r="F1362" t="str">
        <f t="shared" si="90"/>
        <v>2.002</v>
      </c>
      <c r="G1362" t="str">
        <f t="shared" si="91"/>
        <v>3.3.90.39.00</v>
      </c>
      <c r="H1362" t="s">
        <v>1402</v>
      </c>
      <c r="I1362" t="str">
        <f t="shared" si="97"/>
        <v>19 - SECRETARIA DE TRANSPORTE E DA MOBILIDADE URBANA</v>
      </c>
      <c r="J1362" t="s">
        <v>20</v>
      </c>
      <c r="K1362" t="str">
        <f t="shared" si="92"/>
        <v>4-ADMINISTRAÇÃO</v>
      </c>
      <c r="L1362" t="str">
        <f t="shared" si="93"/>
        <v>122-ADMINISTRAÇÃO GERAL</v>
      </c>
      <c r="M1362" t="str">
        <f t="shared" si="94"/>
        <v>0001-Administração e Coordenação Geral​</v>
      </c>
      <c r="N1362" t="str">
        <f t="shared" si="95"/>
        <v xml:space="preserve">2.002-Abastecimento de Frota </v>
      </c>
      <c r="O1362" t="str">
        <f t="shared" si="96"/>
        <v>3.3.90.39.00-OUTROS SERVIÇOS DE TERCEIROS - PESSOA JURÍDICA</v>
      </c>
      <c r="R1362" s="25">
        <v>7960576.7000000002</v>
      </c>
      <c r="S1362" t="s">
        <v>1035</v>
      </c>
    </row>
    <row r="1363" spans="1:19" x14ac:dyDescent="0.25">
      <c r="A1363" t="str">
        <f t="shared" si="85"/>
        <v>19</v>
      </c>
      <c r="B1363" t="str">
        <f t="shared" si="86"/>
        <v>001</v>
      </c>
      <c r="C1363" t="str">
        <f t="shared" si="87"/>
        <v>04</v>
      </c>
      <c r="D1363" t="str">
        <f t="shared" si="88"/>
        <v>122</v>
      </c>
      <c r="E1363" t="str">
        <f t="shared" si="89"/>
        <v>0001</v>
      </c>
      <c r="F1363" t="str">
        <f t="shared" si="90"/>
        <v>2.006</v>
      </c>
      <c r="G1363" t="str">
        <f t="shared" si="91"/>
        <v>3.3.90.33.00</v>
      </c>
      <c r="H1363" t="s">
        <v>1403</v>
      </c>
      <c r="I1363" t="str">
        <f t="shared" si="97"/>
        <v>19 - SECRETARIA DE TRANSPORTE E DA MOBILIDADE URBANA</v>
      </c>
      <c r="J1363" t="s">
        <v>20</v>
      </c>
      <c r="K1363" t="str">
        <f t="shared" si="92"/>
        <v>4-ADMINISTRAÇÃO</v>
      </c>
      <c r="L1363" t="str">
        <f t="shared" si="93"/>
        <v>122-ADMINISTRAÇÃO GERAL</v>
      </c>
      <c r="M1363" t="str">
        <f t="shared" si="94"/>
        <v>0001-Administração e Coordenação Geral​</v>
      </c>
      <c r="N1363" t="str">
        <f t="shared" si="95"/>
        <v xml:space="preserve">2.006-Representações Oficiais </v>
      </c>
      <c r="O1363" t="str">
        <f t="shared" si="96"/>
        <v>3.3.90.33.00-PASSAGENS E DESPESAS COM LOCOMOÇÃO</v>
      </c>
      <c r="R1363" s="25">
        <v>1</v>
      </c>
      <c r="S1363" t="s">
        <v>1035</v>
      </c>
    </row>
    <row r="1364" spans="1:19" x14ac:dyDescent="0.25">
      <c r="A1364" t="str">
        <f t="shared" si="85"/>
        <v>19</v>
      </c>
      <c r="B1364" t="str">
        <f t="shared" si="86"/>
        <v>001</v>
      </c>
      <c r="C1364" t="str">
        <f t="shared" si="87"/>
        <v>04</v>
      </c>
      <c r="D1364" t="str">
        <f t="shared" si="88"/>
        <v>122</v>
      </c>
      <c r="E1364" t="str">
        <f t="shared" si="89"/>
        <v>0001</v>
      </c>
      <c r="F1364" t="str">
        <f t="shared" si="90"/>
        <v>2.006</v>
      </c>
      <c r="G1364" t="str">
        <f t="shared" si="91"/>
        <v>3.3.90.39.00</v>
      </c>
      <c r="H1364" t="s">
        <v>1404</v>
      </c>
      <c r="I1364" t="str">
        <f t="shared" si="97"/>
        <v>19 - SECRETARIA DE TRANSPORTE E DA MOBILIDADE URBANA</v>
      </c>
      <c r="J1364" t="s">
        <v>20</v>
      </c>
      <c r="K1364" t="str">
        <f t="shared" si="92"/>
        <v>4-ADMINISTRAÇÃO</v>
      </c>
      <c r="L1364" t="str">
        <f t="shared" si="93"/>
        <v>122-ADMINISTRAÇÃO GERAL</v>
      </c>
      <c r="M1364" t="str">
        <f t="shared" si="94"/>
        <v>0001-Administração e Coordenação Geral​</v>
      </c>
      <c r="N1364" t="str">
        <f t="shared" si="95"/>
        <v xml:space="preserve">2.006-Representações Oficiais </v>
      </c>
      <c r="O1364" t="str">
        <f t="shared" si="96"/>
        <v>3.3.90.39.00-OUTROS SERVIÇOS DE TERCEIROS - PESSOA JURÍDICA</v>
      </c>
      <c r="R1364" s="25">
        <v>1</v>
      </c>
      <c r="S1364" t="s">
        <v>1035</v>
      </c>
    </row>
    <row r="1365" spans="1:19" x14ac:dyDescent="0.25">
      <c r="A1365" t="str">
        <f t="shared" si="85"/>
        <v>19</v>
      </c>
      <c r="B1365" t="str">
        <f t="shared" si="86"/>
        <v>001</v>
      </c>
      <c r="C1365" t="str">
        <f t="shared" si="87"/>
        <v>04</v>
      </c>
      <c r="D1365" t="str">
        <f t="shared" si="88"/>
        <v>128</v>
      </c>
      <c r="E1365" t="str">
        <f t="shared" si="89"/>
        <v>0002</v>
      </c>
      <c r="F1365" t="str">
        <f t="shared" si="90"/>
        <v>2.003</v>
      </c>
      <c r="G1365" t="str">
        <f t="shared" si="91"/>
        <v>3.3.90.39.00</v>
      </c>
      <c r="H1365" t="s">
        <v>1405</v>
      </c>
      <c r="I1365" t="str">
        <f t="shared" si="97"/>
        <v>19 - SECRETARIA DE TRANSPORTE E DA MOBILIDADE URBANA</v>
      </c>
      <c r="J1365" t="s">
        <v>20</v>
      </c>
      <c r="K1365" t="str">
        <f t="shared" si="92"/>
        <v>4-ADMINISTRAÇÃO</v>
      </c>
      <c r="L1365" t="str">
        <f t="shared" si="93"/>
        <v>128-FORMAÇÃO DE RECURSOS HUMANOS</v>
      </c>
      <c r="M1365" t="str">
        <f t="shared" si="94"/>
        <v>0002-Governo Inteligente, Aberto e Inovador​</v>
      </c>
      <c r="N1365" t="str">
        <f t="shared" si="95"/>
        <v>2.003-Qualificação de Servidores e Processos Institucionais</v>
      </c>
      <c r="O1365" t="str">
        <f t="shared" si="96"/>
        <v>3.3.90.39.00-OUTROS SERVIÇOS DE TERCEIROS - PESSOA JURÍDICA</v>
      </c>
      <c r="R1365" s="25">
        <v>1</v>
      </c>
      <c r="S1365" t="s">
        <v>1035</v>
      </c>
    </row>
    <row r="1366" spans="1:19" x14ac:dyDescent="0.25">
      <c r="A1366" t="str">
        <f t="shared" si="85"/>
        <v>19</v>
      </c>
      <c r="B1366" t="str">
        <f t="shared" si="86"/>
        <v>001</v>
      </c>
      <c r="C1366" t="str">
        <f t="shared" si="87"/>
        <v>04</v>
      </c>
      <c r="D1366" t="str">
        <f t="shared" si="88"/>
        <v>131</v>
      </c>
      <c r="E1366" t="str">
        <f t="shared" si="89"/>
        <v>0002</v>
      </c>
      <c r="F1366" t="str">
        <f t="shared" si="90"/>
        <v>2.005</v>
      </c>
      <c r="G1366" t="str">
        <f t="shared" si="91"/>
        <v>3.3.90.30.00</v>
      </c>
      <c r="H1366" t="s">
        <v>1406</v>
      </c>
      <c r="I1366" t="str">
        <f t="shared" si="97"/>
        <v>19 - SECRETARIA DE TRANSPORTE E DA MOBILIDADE URBANA</v>
      </c>
      <c r="J1366" t="s">
        <v>20</v>
      </c>
      <c r="K1366" t="str">
        <f t="shared" si="92"/>
        <v>4-ADMINISTRAÇÃO</v>
      </c>
      <c r="L1366" t="str">
        <f t="shared" si="93"/>
        <v>131-COMUNICAÇÃO SOCIAL</v>
      </c>
      <c r="M1366" t="str">
        <f t="shared" si="94"/>
        <v>0002-Governo Inteligente, Aberto e Inovador​</v>
      </c>
      <c r="N1366" t="str">
        <f t="shared" si="95"/>
        <v xml:space="preserve">2.005-Promoção de Eventos, Comunicação e Participação Social </v>
      </c>
      <c r="O1366" t="str">
        <f t="shared" si="96"/>
        <v>3.3.90.30.00-MATERIAL DE CONSUMO</v>
      </c>
      <c r="R1366" s="25">
        <v>12988.75</v>
      </c>
      <c r="S1366" t="s">
        <v>1035</v>
      </c>
    </row>
    <row r="1367" spans="1:19" x14ac:dyDescent="0.25">
      <c r="A1367" t="str">
        <f t="shared" si="85"/>
        <v>19</v>
      </c>
      <c r="B1367" t="str">
        <f t="shared" si="86"/>
        <v>001</v>
      </c>
      <c r="C1367" t="str">
        <f t="shared" si="87"/>
        <v>04</v>
      </c>
      <c r="D1367" t="str">
        <f t="shared" si="88"/>
        <v>131</v>
      </c>
      <c r="E1367" t="str">
        <f t="shared" si="89"/>
        <v>0002</v>
      </c>
      <c r="F1367" t="str">
        <f t="shared" si="90"/>
        <v>2.005</v>
      </c>
      <c r="G1367" t="str">
        <f t="shared" si="91"/>
        <v>3.3.90.39.00</v>
      </c>
      <c r="H1367" t="s">
        <v>1407</v>
      </c>
      <c r="I1367" t="str">
        <f t="shared" si="97"/>
        <v>19 - SECRETARIA DE TRANSPORTE E DA MOBILIDADE URBANA</v>
      </c>
      <c r="J1367" t="s">
        <v>20</v>
      </c>
      <c r="K1367" t="str">
        <f t="shared" si="92"/>
        <v>4-ADMINISTRAÇÃO</v>
      </c>
      <c r="L1367" t="str">
        <f t="shared" si="93"/>
        <v>131-COMUNICAÇÃO SOCIAL</v>
      </c>
      <c r="M1367" t="str">
        <f t="shared" si="94"/>
        <v>0002-Governo Inteligente, Aberto e Inovador​</v>
      </c>
      <c r="N1367" t="str">
        <f t="shared" si="95"/>
        <v xml:space="preserve">2.005-Promoção de Eventos, Comunicação e Participação Social </v>
      </c>
      <c r="O1367" t="str">
        <f t="shared" si="96"/>
        <v>3.3.90.39.00-OUTROS SERVIÇOS DE TERCEIROS - PESSOA JURÍDICA</v>
      </c>
      <c r="R1367" s="25">
        <v>39486.800000000003</v>
      </c>
      <c r="S1367" t="s">
        <v>1035</v>
      </c>
    </row>
    <row r="1368" spans="1:19" x14ac:dyDescent="0.25">
      <c r="A1368" t="str">
        <f t="shared" si="85"/>
        <v>19</v>
      </c>
      <c r="B1368" t="str">
        <f t="shared" si="86"/>
        <v>001</v>
      </c>
      <c r="C1368" t="str">
        <f t="shared" si="87"/>
        <v>15</v>
      </c>
      <c r="D1368" t="str">
        <f t="shared" si="88"/>
        <v>126</v>
      </c>
      <c r="E1368" t="str">
        <f t="shared" si="89"/>
        <v>0013</v>
      </c>
      <c r="F1368" t="str">
        <f t="shared" si="90"/>
        <v>2.007</v>
      </c>
      <c r="G1368" t="str">
        <f t="shared" si="91"/>
        <v>3.3.90.39.00</v>
      </c>
      <c r="H1368" t="s">
        <v>1408</v>
      </c>
      <c r="I1368" t="str">
        <f t="shared" si="97"/>
        <v>19 - SECRETARIA DE TRANSPORTE E DA MOBILIDADE URBANA</v>
      </c>
      <c r="J1368" t="s">
        <v>20</v>
      </c>
      <c r="K1368" t="str">
        <f t="shared" si="92"/>
        <v>15-URBANISMO</v>
      </c>
      <c r="L1368" t="str">
        <f t="shared" si="93"/>
        <v>126-TECNOLOGIA DA INFORMATIZAÇÃO</v>
      </c>
      <c r="M1368" t="str">
        <f t="shared" si="94"/>
        <v>0013-Mobilidade Urbana e Infraestrutura Viária​</v>
      </c>
      <c r="N1368" t="str">
        <f t="shared" si="95"/>
        <v>2.007-Ampliação e Manutenção de Sistemas de Inteligência, Fiscalização e Tecnologia</v>
      </c>
      <c r="O1368" t="str">
        <f t="shared" si="96"/>
        <v>3.3.90.39.00-OUTROS SERVIÇOS DE TERCEIROS - PESSOA JURÍDICA</v>
      </c>
      <c r="R1368" s="25">
        <v>13287008.24</v>
      </c>
      <c r="S1368" t="s">
        <v>1035</v>
      </c>
    </row>
    <row r="1369" spans="1:19" x14ac:dyDescent="0.25">
      <c r="A1369" t="str">
        <f t="shared" si="85"/>
        <v>19</v>
      </c>
      <c r="B1369" t="str">
        <f t="shared" si="86"/>
        <v>001</v>
      </c>
      <c r="C1369" t="str">
        <f t="shared" si="87"/>
        <v>15</v>
      </c>
      <c r="D1369" t="str">
        <f t="shared" si="88"/>
        <v>422</v>
      </c>
      <c r="E1369" t="str">
        <f t="shared" si="89"/>
        <v>0013</v>
      </c>
      <c r="F1369" t="str">
        <f t="shared" si="90"/>
        <v>2.021</v>
      </c>
      <c r="G1369" t="str">
        <f t="shared" si="91"/>
        <v>3.3.90.30.00</v>
      </c>
      <c r="H1369" t="s">
        <v>1409</v>
      </c>
      <c r="I1369" t="str">
        <f t="shared" si="97"/>
        <v>19 - SECRETARIA DE TRANSPORTE E DA MOBILIDADE URBANA</v>
      </c>
      <c r="J1369" t="s">
        <v>20</v>
      </c>
      <c r="K1369" t="str">
        <f t="shared" si="92"/>
        <v>15-URBANISMO</v>
      </c>
      <c r="L1369" t="str">
        <f t="shared" si="93"/>
        <v>422-DIREITOS INDIVIDUAIS, COLETIVOS E DIFUSOS</v>
      </c>
      <c r="M1369" t="str">
        <f t="shared" si="94"/>
        <v>0013-Mobilidade Urbana e Infraestrutura Viária​</v>
      </c>
      <c r="N1369" t="str">
        <f t="shared" si="95"/>
        <v>2.021-Educação Cidadã</v>
      </c>
      <c r="O1369" t="str">
        <f t="shared" si="96"/>
        <v>3.3.90.30.00-MATERIAL DE CONSUMO</v>
      </c>
      <c r="R1369" s="25">
        <v>5195.5</v>
      </c>
      <c r="S1369" t="s">
        <v>1035</v>
      </c>
    </row>
    <row r="1370" spans="1:19" x14ac:dyDescent="0.25">
      <c r="A1370" t="str">
        <f t="shared" si="85"/>
        <v>19</v>
      </c>
      <c r="B1370" t="str">
        <f t="shared" si="86"/>
        <v>001</v>
      </c>
      <c r="C1370" t="str">
        <f t="shared" si="87"/>
        <v>15</v>
      </c>
      <c r="D1370" t="str">
        <f t="shared" si="88"/>
        <v>422</v>
      </c>
      <c r="E1370" t="str">
        <f t="shared" si="89"/>
        <v>0013</v>
      </c>
      <c r="F1370" t="str">
        <f t="shared" si="90"/>
        <v>2.021</v>
      </c>
      <c r="G1370" t="str">
        <f t="shared" si="91"/>
        <v>3.3.90.39.00</v>
      </c>
      <c r="H1370" t="s">
        <v>1410</v>
      </c>
      <c r="I1370" t="str">
        <f t="shared" si="97"/>
        <v>19 - SECRETARIA DE TRANSPORTE E DA MOBILIDADE URBANA</v>
      </c>
      <c r="J1370" t="s">
        <v>20</v>
      </c>
      <c r="K1370" t="str">
        <f t="shared" si="92"/>
        <v>15-URBANISMO</v>
      </c>
      <c r="L1370" t="str">
        <f t="shared" si="93"/>
        <v>422-DIREITOS INDIVIDUAIS, COLETIVOS E DIFUSOS</v>
      </c>
      <c r="M1370" t="str">
        <f t="shared" si="94"/>
        <v>0013-Mobilidade Urbana e Infraestrutura Viária​</v>
      </c>
      <c r="N1370" t="str">
        <f t="shared" si="95"/>
        <v>2.021-Educação Cidadã</v>
      </c>
      <c r="O1370" t="str">
        <f t="shared" si="96"/>
        <v>3.3.90.39.00-OUTROS SERVIÇOS DE TERCEIROS - PESSOA JURÍDICA</v>
      </c>
      <c r="R1370" s="25">
        <v>10391.9609</v>
      </c>
      <c r="S1370" t="s">
        <v>1035</v>
      </c>
    </row>
    <row r="1371" spans="1:19" x14ac:dyDescent="0.25">
      <c r="A1371" t="str">
        <f t="shared" si="85"/>
        <v>19</v>
      </c>
      <c r="B1371" t="str">
        <f t="shared" si="86"/>
        <v>001</v>
      </c>
      <c r="C1371" t="str">
        <f t="shared" si="87"/>
        <v>15</v>
      </c>
      <c r="D1371" t="str">
        <f t="shared" si="88"/>
        <v>451</v>
      </c>
      <c r="E1371" t="str">
        <f t="shared" si="89"/>
        <v>0013</v>
      </c>
      <c r="F1371" t="str">
        <f t="shared" si="90"/>
        <v>2.011</v>
      </c>
      <c r="G1371" t="str">
        <f t="shared" si="91"/>
        <v>3.3.90.30.00</v>
      </c>
      <c r="H1371" t="s">
        <v>1411</v>
      </c>
      <c r="I1371" t="str">
        <f t="shared" si="97"/>
        <v>19 - SECRETARIA DE TRANSPORTE E DA MOBILIDADE URBANA</v>
      </c>
      <c r="J1371" t="s">
        <v>20</v>
      </c>
      <c r="K1371" t="str">
        <f t="shared" si="92"/>
        <v>15-URBANISMO</v>
      </c>
      <c r="L1371" t="str">
        <f t="shared" si="93"/>
        <v>451-INFRA-ESTRUTURA URBANA</v>
      </c>
      <c r="M1371" t="str">
        <f t="shared" si="94"/>
        <v>0013-Mobilidade Urbana e Infraestrutura Viária​</v>
      </c>
      <c r="N1371" t="str">
        <f t="shared" si="95"/>
        <v xml:space="preserve">2.011-Manutenção de Equipamentos Públicos </v>
      </c>
      <c r="O1371" t="str">
        <f t="shared" si="96"/>
        <v>3.3.90.30.00-MATERIAL DE CONSUMO</v>
      </c>
      <c r="R1371" s="25">
        <v>52664.588000000003</v>
      </c>
      <c r="S1371" t="s">
        <v>1035</v>
      </c>
    </row>
    <row r="1372" spans="1:19" x14ac:dyDescent="0.25">
      <c r="A1372" t="str">
        <f t="shared" si="85"/>
        <v>19</v>
      </c>
      <c r="B1372" t="str">
        <f t="shared" si="86"/>
        <v>001</v>
      </c>
      <c r="C1372" t="str">
        <f t="shared" si="87"/>
        <v>15</v>
      </c>
      <c r="D1372" t="str">
        <f t="shared" si="88"/>
        <v>451</v>
      </c>
      <c r="E1372" t="str">
        <f t="shared" si="89"/>
        <v>0013</v>
      </c>
      <c r="F1372" t="str">
        <f t="shared" si="90"/>
        <v>2.011</v>
      </c>
      <c r="G1372" t="str">
        <f t="shared" si="91"/>
        <v>3.3.90.36.00</v>
      </c>
      <c r="H1372" t="s">
        <v>1412</v>
      </c>
      <c r="I1372" t="str">
        <f t="shared" si="97"/>
        <v>19 - SECRETARIA DE TRANSPORTE E DA MOBILIDADE URBANA</v>
      </c>
      <c r="J1372" t="s">
        <v>20</v>
      </c>
      <c r="K1372" t="str">
        <f t="shared" si="92"/>
        <v>15-URBANISMO</v>
      </c>
      <c r="L1372" t="str">
        <f t="shared" si="93"/>
        <v>451-INFRA-ESTRUTURA URBANA</v>
      </c>
      <c r="M1372" t="str">
        <f t="shared" si="94"/>
        <v>0013-Mobilidade Urbana e Infraestrutura Viária​</v>
      </c>
      <c r="N1372" t="str">
        <f t="shared" si="95"/>
        <v xml:space="preserve">2.011-Manutenção de Equipamentos Públicos </v>
      </c>
      <c r="O1372" t="str">
        <f t="shared" si="96"/>
        <v>3.3.90.36.00-OUTROS SERVIÇOS DE TERCEIROS - PESSOA FÍSICA</v>
      </c>
      <c r="R1372" s="25">
        <v>9601</v>
      </c>
      <c r="S1372" t="s">
        <v>1035</v>
      </c>
    </row>
    <row r="1373" spans="1:19" x14ac:dyDescent="0.25">
      <c r="A1373" t="str">
        <f t="shared" si="85"/>
        <v>19</v>
      </c>
      <c r="B1373" t="str">
        <f t="shared" si="86"/>
        <v>001</v>
      </c>
      <c r="C1373" t="str">
        <f t="shared" si="87"/>
        <v>15</v>
      </c>
      <c r="D1373" t="str">
        <f t="shared" si="88"/>
        <v>451</v>
      </c>
      <c r="E1373" t="str">
        <f t="shared" si="89"/>
        <v>0013</v>
      </c>
      <c r="F1373" t="str">
        <f t="shared" si="90"/>
        <v>2.011</v>
      </c>
      <c r="G1373" t="str">
        <f t="shared" si="91"/>
        <v>3.3.90.39.00</v>
      </c>
      <c r="H1373" t="s">
        <v>1413</v>
      </c>
      <c r="I1373" t="str">
        <f t="shared" si="97"/>
        <v>19 - SECRETARIA DE TRANSPORTE E DA MOBILIDADE URBANA</v>
      </c>
      <c r="J1373" t="s">
        <v>20</v>
      </c>
      <c r="K1373" t="str">
        <f t="shared" si="92"/>
        <v>15-URBANISMO</v>
      </c>
      <c r="L1373" t="str">
        <f t="shared" si="93"/>
        <v>451-INFRA-ESTRUTURA URBANA</v>
      </c>
      <c r="M1373" t="str">
        <f t="shared" si="94"/>
        <v>0013-Mobilidade Urbana e Infraestrutura Viária​</v>
      </c>
      <c r="N1373" t="str">
        <f t="shared" si="95"/>
        <v xml:space="preserve">2.011-Manutenção de Equipamentos Públicos </v>
      </c>
      <c r="O1373" t="str">
        <f t="shared" si="96"/>
        <v>3.3.90.39.00-OUTROS SERVIÇOS DE TERCEIROS - PESSOA JURÍDICA</v>
      </c>
      <c r="R1373" s="25">
        <v>877237.88</v>
      </c>
      <c r="S1373" t="s">
        <v>1035</v>
      </c>
    </row>
    <row r="1374" spans="1:19" x14ac:dyDescent="0.25">
      <c r="A1374" t="str">
        <f t="shared" si="85"/>
        <v>19</v>
      </c>
      <c r="B1374" t="str">
        <f t="shared" si="86"/>
        <v>001</v>
      </c>
      <c r="C1374" t="str">
        <f t="shared" si="87"/>
        <v>15</v>
      </c>
      <c r="D1374" t="str">
        <f t="shared" si="88"/>
        <v>451</v>
      </c>
      <c r="E1374" t="str">
        <f t="shared" si="89"/>
        <v>0013</v>
      </c>
      <c r="F1374" t="str">
        <f t="shared" si="90"/>
        <v>2.011</v>
      </c>
      <c r="G1374" t="str">
        <f t="shared" si="91"/>
        <v>4.4.90.52.00</v>
      </c>
      <c r="H1374" t="s">
        <v>1414</v>
      </c>
      <c r="I1374" t="str">
        <f t="shared" si="97"/>
        <v>19 - SECRETARIA DE TRANSPORTE E DA MOBILIDADE URBANA</v>
      </c>
      <c r="J1374" t="s">
        <v>20</v>
      </c>
      <c r="K1374" t="str">
        <f t="shared" si="92"/>
        <v>15-URBANISMO</v>
      </c>
      <c r="L1374" t="str">
        <f t="shared" si="93"/>
        <v>451-INFRA-ESTRUTURA URBANA</v>
      </c>
      <c r="M1374" t="str">
        <f t="shared" si="94"/>
        <v>0013-Mobilidade Urbana e Infraestrutura Viária​</v>
      </c>
      <c r="N1374" t="str">
        <f t="shared" si="95"/>
        <v xml:space="preserve">2.011-Manutenção de Equipamentos Públicos </v>
      </c>
      <c r="O1374" t="str">
        <f t="shared" si="96"/>
        <v>4.4.90.52.00-EQUIPAMENTOS E MATERIAL PERMANENTE</v>
      </c>
      <c r="R1374" s="25">
        <v>21198.679100000001</v>
      </c>
      <c r="S1374" t="s">
        <v>1035</v>
      </c>
    </row>
    <row r="1375" spans="1:19" x14ac:dyDescent="0.25">
      <c r="A1375" t="str">
        <f t="shared" si="85"/>
        <v>19</v>
      </c>
      <c r="B1375" t="str">
        <f t="shared" si="86"/>
        <v>001</v>
      </c>
      <c r="C1375" t="str">
        <f t="shared" si="87"/>
        <v>15</v>
      </c>
      <c r="D1375" t="str">
        <f t="shared" si="88"/>
        <v>451</v>
      </c>
      <c r="E1375" t="str">
        <f t="shared" si="89"/>
        <v>0013</v>
      </c>
      <c r="F1375" t="str">
        <f t="shared" si="90"/>
        <v>2.034</v>
      </c>
      <c r="G1375" t="str">
        <f t="shared" si="91"/>
        <v>3.3.90.39.00</v>
      </c>
      <c r="H1375" t="s">
        <v>1415</v>
      </c>
      <c r="I1375" t="str">
        <f t="shared" si="97"/>
        <v>19 - SECRETARIA DE TRANSPORTE E DA MOBILIDADE URBANA</v>
      </c>
      <c r="J1375" t="s">
        <v>20</v>
      </c>
      <c r="K1375" t="str">
        <f t="shared" si="92"/>
        <v>15-URBANISMO</v>
      </c>
      <c r="L1375" t="str">
        <f t="shared" si="93"/>
        <v>451-INFRA-ESTRUTURA URBANA</v>
      </c>
      <c r="M1375" t="str">
        <f t="shared" si="94"/>
        <v>0013-Mobilidade Urbana e Infraestrutura Viária​</v>
      </c>
      <c r="N1375" t="str">
        <f t="shared" si="95"/>
        <v>2.034-Manutenção da Infraestrutura Viária</v>
      </c>
      <c r="O1375" t="str">
        <f t="shared" si="96"/>
        <v>3.3.90.39.00-OUTROS SERVIÇOS DE TERCEIROS - PESSOA JURÍDICA</v>
      </c>
      <c r="R1375" s="25">
        <v>22168876.800000001</v>
      </c>
      <c r="S1375" t="s">
        <v>1035</v>
      </c>
    </row>
    <row r="1376" spans="1:19" x14ac:dyDescent="0.25">
      <c r="A1376" t="str">
        <f t="shared" si="85"/>
        <v>19</v>
      </c>
      <c r="B1376" t="str">
        <f t="shared" si="86"/>
        <v>001</v>
      </c>
      <c r="C1376" t="str">
        <f t="shared" si="87"/>
        <v>15</v>
      </c>
      <c r="D1376" t="str">
        <f t="shared" si="88"/>
        <v>451</v>
      </c>
      <c r="E1376" t="str">
        <f t="shared" si="89"/>
        <v>0013</v>
      </c>
      <c r="F1376" t="str">
        <f t="shared" si="90"/>
        <v>2.036</v>
      </c>
      <c r="G1376" t="str">
        <f t="shared" si="91"/>
        <v>3.3.90.39.00</v>
      </c>
      <c r="H1376" t="s">
        <v>1416</v>
      </c>
      <c r="I1376" t="str">
        <f t="shared" si="97"/>
        <v>19 - SECRETARIA DE TRANSPORTE E DA MOBILIDADE URBANA</v>
      </c>
      <c r="J1376" t="s">
        <v>20</v>
      </c>
      <c r="K1376" t="str">
        <f t="shared" si="92"/>
        <v>15-URBANISMO</v>
      </c>
      <c r="L1376" t="str">
        <f t="shared" si="93"/>
        <v>451-INFRA-ESTRUTURA URBANA</v>
      </c>
      <c r="M1376" t="str">
        <f t="shared" si="94"/>
        <v>0013-Mobilidade Urbana e Infraestrutura Viária​</v>
      </c>
      <c r="N1376" t="str">
        <f>F1376</f>
        <v>2.036</v>
      </c>
      <c r="O1376" t="str">
        <f t="shared" si="96"/>
        <v>3.3.90.39.00-OUTROS SERVIÇOS DE TERCEIROS - PESSOA JURÍDICA</v>
      </c>
      <c r="R1376" s="25">
        <v>1440000</v>
      </c>
      <c r="S1376" t="s">
        <v>1035</v>
      </c>
    </row>
    <row r="1377" spans="1:19" x14ac:dyDescent="0.25">
      <c r="A1377" t="str">
        <f t="shared" si="85"/>
        <v>19</v>
      </c>
      <c r="B1377" t="str">
        <f t="shared" si="86"/>
        <v>001</v>
      </c>
      <c r="C1377" t="str">
        <f t="shared" si="87"/>
        <v>15</v>
      </c>
      <c r="D1377" t="str">
        <f t="shared" si="88"/>
        <v>453</v>
      </c>
      <c r="E1377" t="str">
        <f t="shared" si="89"/>
        <v>0013</v>
      </c>
      <c r="F1377" t="str">
        <f t="shared" si="90"/>
        <v>2.010</v>
      </c>
      <c r="G1377" t="str">
        <f t="shared" si="91"/>
        <v>3.3.90.39.00</v>
      </c>
      <c r="H1377" t="s">
        <v>1417</v>
      </c>
      <c r="I1377" t="str">
        <f t="shared" si="97"/>
        <v>19 - SECRETARIA DE TRANSPORTE E DA MOBILIDADE URBANA</v>
      </c>
      <c r="J1377" t="s">
        <v>20</v>
      </c>
      <c r="K1377" t="str">
        <f t="shared" si="92"/>
        <v>15-URBANISMO</v>
      </c>
      <c r="L1377" t="str">
        <f t="shared" si="93"/>
        <v>453-TRANSPORTES COLETIVOS URBANOS</v>
      </c>
      <c r="M1377" t="str">
        <f t="shared" si="94"/>
        <v>0013-Mobilidade Urbana e Infraestrutura Viária​</v>
      </c>
      <c r="N1377" t="str">
        <f t="shared" si="95"/>
        <v xml:space="preserve">2.010-Manutenção do Transporte Coletivo </v>
      </c>
      <c r="O1377" t="str">
        <f t="shared" si="96"/>
        <v>3.3.90.39.00-OUTROS SERVIÇOS DE TERCEIROS - PESSOA JURÍDICA</v>
      </c>
      <c r="R1377" s="25">
        <v>2805085.45</v>
      </c>
      <c r="S1377" t="s">
        <v>1035</v>
      </c>
    </row>
    <row r="1378" spans="1:19" x14ac:dyDescent="0.25">
      <c r="A1378" t="str">
        <f t="shared" si="85"/>
        <v>19</v>
      </c>
      <c r="B1378" t="str">
        <f t="shared" si="86"/>
        <v>005</v>
      </c>
      <c r="C1378" t="str">
        <f t="shared" si="87"/>
        <v>04</v>
      </c>
      <c r="D1378" t="str">
        <f t="shared" si="88"/>
        <v>122</v>
      </c>
      <c r="E1378" t="str">
        <f t="shared" si="89"/>
        <v>0001</v>
      </c>
      <c r="F1378" t="str">
        <f t="shared" si="90"/>
        <v>2.002</v>
      </c>
      <c r="G1378" t="str">
        <f t="shared" si="91"/>
        <v>3.3.90.39.00</v>
      </c>
      <c r="H1378" t="s">
        <v>1418</v>
      </c>
      <c r="I1378" t="str">
        <f t="shared" si="97"/>
        <v>19 - SECRETARIA DE TRANSPORTE E DA MOBILIDADE URBANA</v>
      </c>
      <c r="J1378" t="s">
        <v>619</v>
      </c>
      <c r="K1378" t="str">
        <f t="shared" si="92"/>
        <v>4-ADMINISTRAÇÃO</v>
      </c>
      <c r="L1378" t="str">
        <f t="shared" si="93"/>
        <v>122-ADMINISTRAÇÃO GERAL</v>
      </c>
      <c r="M1378" t="str">
        <f t="shared" si="94"/>
        <v>0001-Administração e Coordenação Geral​</v>
      </c>
      <c r="N1378" t="str">
        <f t="shared" si="95"/>
        <v xml:space="preserve">2.002-Abastecimento de Frota </v>
      </c>
      <c r="O1378" t="str">
        <f t="shared" si="96"/>
        <v>3.3.90.39.00-OUTROS SERVIÇOS DE TERCEIROS - PESSOA JURÍDICA</v>
      </c>
      <c r="R1378" s="25">
        <v>1</v>
      </c>
      <c r="S1378" t="s">
        <v>1035</v>
      </c>
    </row>
    <row r="1379" spans="1:19" x14ac:dyDescent="0.25">
      <c r="A1379" t="str">
        <f t="shared" ref="A1379:A1442" si="98">LEFT(H1379,2)</f>
        <v>19</v>
      </c>
      <c r="B1379" t="str">
        <f t="shared" ref="B1379:B1442" si="99">MID(H1379,4,3)</f>
        <v>005</v>
      </c>
      <c r="C1379" t="str">
        <f t="shared" ref="C1379:C1442" si="100">MID(H1379,8,2)</f>
        <v>15</v>
      </c>
      <c r="D1379" t="str">
        <f t="shared" ref="D1379:D1442" si="101">MID(H1379,11,3)</f>
        <v>126</v>
      </c>
      <c r="E1379" t="str">
        <f t="shared" ref="E1379:E1442" si="102">MID(H1379,15,4)</f>
        <v>0013</v>
      </c>
      <c r="F1379" t="str">
        <f t="shared" ref="F1379:F1442" si="103">MID(H1379,20,5)</f>
        <v>2.007</v>
      </c>
      <c r="G1379" t="str">
        <f t="shared" ref="G1379:G1442" si="104">MID(H1379,26,12)</f>
        <v>3.3.90.39.00</v>
      </c>
      <c r="H1379" t="s">
        <v>1419</v>
      </c>
      <c r="I1379" t="str">
        <f t="shared" si="97"/>
        <v>19 - SECRETARIA DE TRANSPORTE E DA MOBILIDADE URBANA</v>
      </c>
      <c r="J1379" t="s">
        <v>619</v>
      </c>
      <c r="K1379" t="str">
        <f t="shared" ref="K1379:K1442" si="105">VLOOKUP(C1379,$C$1:$O$994,9,0)</f>
        <v>15-URBANISMO</v>
      </c>
      <c r="L1379" t="str">
        <f t="shared" ref="L1379:L1442" si="106">VLOOKUP(D1379,$D$1:$O$994,9,0)</f>
        <v>126-TECNOLOGIA DA INFORMATIZAÇÃO</v>
      </c>
      <c r="M1379" t="str">
        <f t="shared" ref="M1379:M1442" si="107">VLOOKUP(E1379,$E$1:$O$994,9,0)</f>
        <v>0013-Mobilidade Urbana e Infraestrutura Viária​</v>
      </c>
      <c r="N1379" t="str">
        <f t="shared" ref="N1379:N1442" si="108">VLOOKUP(F1379,$F$1:$O$994,9,0)</f>
        <v>2.007-Ampliação e Manutenção de Sistemas de Inteligência, Fiscalização e Tecnologia</v>
      </c>
      <c r="O1379" t="str">
        <f t="shared" ref="O1379:O1442" si="109">VLOOKUP(G1379,$G$1:$O$994,9,0)</f>
        <v>3.3.90.39.00-OUTROS SERVIÇOS DE TERCEIROS - PESSOA JURÍDICA</v>
      </c>
      <c r="R1379" s="25">
        <v>17709710.859999999</v>
      </c>
      <c r="S1379" t="s">
        <v>1035</v>
      </c>
    </row>
    <row r="1380" spans="1:19" x14ac:dyDescent="0.25">
      <c r="A1380" t="str">
        <f t="shared" si="98"/>
        <v>19</v>
      </c>
      <c r="B1380" t="str">
        <f t="shared" si="99"/>
        <v>005</v>
      </c>
      <c r="C1380" t="str">
        <f t="shared" si="100"/>
        <v>15</v>
      </c>
      <c r="D1380" t="str">
        <f t="shared" si="101"/>
        <v>451</v>
      </c>
      <c r="E1380" t="str">
        <f t="shared" si="102"/>
        <v>0013</v>
      </c>
      <c r="F1380" t="str">
        <f t="shared" si="103"/>
        <v>2.011</v>
      </c>
      <c r="G1380" t="str">
        <f t="shared" si="104"/>
        <v>3.3.90.39.00</v>
      </c>
      <c r="H1380" t="s">
        <v>1420</v>
      </c>
      <c r="I1380" t="str">
        <f t="shared" si="97"/>
        <v>19 - SECRETARIA DE TRANSPORTE E DA MOBILIDADE URBANA</v>
      </c>
      <c r="J1380" t="s">
        <v>619</v>
      </c>
      <c r="K1380" t="str">
        <f t="shared" si="105"/>
        <v>15-URBANISMO</v>
      </c>
      <c r="L1380" t="str">
        <f t="shared" si="106"/>
        <v>451-INFRA-ESTRUTURA URBANA</v>
      </c>
      <c r="M1380" t="str">
        <f t="shared" si="107"/>
        <v>0013-Mobilidade Urbana e Infraestrutura Viária​</v>
      </c>
      <c r="N1380" t="str">
        <f t="shared" si="108"/>
        <v xml:space="preserve">2.011-Manutenção de Equipamentos Públicos </v>
      </c>
      <c r="O1380" t="str">
        <f t="shared" si="109"/>
        <v>3.3.90.39.00-OUTROS SERVIÇOS DE TERCEIROS - PESSOA JURÍDICA</v>
      </c>
      <c r="R1380" s="25">
        <v>160000</v>
      </c>
      <c r="S1380" t="s">
        <v>1035</v>
      </c>
    </row>
    <row r="1381" spans="1:19" x14ac:dyDescent="0.25">
      <c r="A1381" t="str">
        <f t="shared" si="98"/>
        <v>19</v>
      </c>
      <c r="B1381" t="str">
        <f t="shared" si="99"/>
        <v>005</v>
      </c>
      <c r="C1381" t="str">
        <f t="shared" si="100"/>
        <v>15</v>
      </c>
      <c r="D1381" t="str">
        <f t="shared" si="101"/>
        <v>451</v>
      </c>
      <c r="E1381" t="str">
        <f t="shared" si="102"/>
        <v>0013</v>
      </c>
      <c r="F1381" t="str">
        <f t="shared" si="103"/>
        <v>2.034</v>
      </c>
      <c r="G1381" t="str">
        <f t="shared" si="104"/>
        <v>3.3.90.39.00</v>
      </c>
      <c r="H1381" t="s">
        <v>1421</v>
      </c>
      <c r="I1381" t="str">
        <f t="shared" si="97"/>
        <v>19 - SECRETARIA DE TRANSPORTE E DA MOBILIDADE URBANA</v>
      </c>
      <c r="J1381" t="s">
        <v>619</v>
      </c>
      <c r="K1381" t="str">
        <f t="shared" si="105"/>
        <v>15-URBANISMO</v>
      </c>
      <c r="L1381" t="str">
        <f t="shared" si="106"/>
        <v>451-INFRA-ESTRUTURA URBANA</v>
      </c>
      <c r="M1381" t="str">
        <f t="shared" si="107"/>
        <v>0013-Mobilidade Urbana e Infraestrutura Viária​</v>
      </c>
      <c r="N1381" t="str">
        <f t="shared" si="108"/>
        <v>2.034-Manutenção da Infraestrutura Viária</v>
      </c>
      <c r="O1381" t="str">
        <f t="shared" si="109"/>
        <v>3.3.90.39.00-OUTROS SERVIÇOS DE TERCEIROS - PESSOA JURÍDICA</v>
      </c>
      <c r="R1381" s="25">
        <v>7300000</v>
      </c>
      <c r="S1381" t="s">
        <v>1035</v>
      </c>
    </row>
    <row r="1382" spans="1:19" x14ac:dyDescent="0.25">
      <c r="A1382" t="str">
        <f t="shared" si="98"/>
        <v>20</v>
      </c>
      <c r="B1382" t="str">
        <f t="shared" si="99"/>
        <v>001</v>
      </c>
      <c r="C1382" t="str">
        <f t="shared" si="100"/>
        <v>04</v>
      </c>
      <c r="D1382" t="str">
        <f t="shared" si="101"/>
        <v>122</v>
      </c>
      <c r="E1382" t="str">
        <f t="shared" si="102"/>
        <v>0001</v>
      </c>
      <c r="F1382" t="str">
        <f t="shared" si="103"/>
        <v>2.006</v>
      </c>
      <c r="G1382" t="str">
        <f t="shared" si="104"/>
        <v>3.3.90.33.00</v>
      </c>
      <c r="H1382" t="s">
        <v>1422</v>
      </c>
      <c r="I1382" t="str">
        <f t="shared" si="97"/>
        <v>20 - SECRETARIA DE SEGURANÇA E CONTROLE URBANO</v>
      </c>
      <c r="J1382" t="s">
        <v>20</v>
      </c>
      <c r="K1382" t="str">
        <f t="shared" si="105"/>
        <v>4-ADMINISTRAÇÃO</v>
      </c>
      <c r="L1382" t="str">
        <f t="shared" si="106"/>
        <v>122-ADMINISTRAÇÃO GERAL</v>
      </c>
      <c r="M1382" t="str">
        <f t="shared" si="107"/>
        <v>0001-Administração e Coordenação Geral​</v>
      </c>
      <c r="N1382" t="str">
        <f t="shared" si="108"/>
        <v xml:space="preserve">2.006-Representações Oficiais </v>
      </c>
      <c r="O1382" t="str">
        <f t="shared" si="109"/>
        <v>3.3.90.33.00-PASSAGENS E DESPESAS COM LOCOMOÇÃO</v>
      </c>
      <c r="R1382" s="25">
        <v>1</v>
      </c>
      <c r="S1382" t="s">
        <v>1035</v>
      </c>
    </row>
    <row r="1383" spans="1:19" x14ac:dyDescent="0.25">
      <c r="A1383" t="str">
        <f t="shared" si="98"/>
        <v>20</v>
      </c>
      <c r="B1383" t="str">
        <f t="shared" si="99"/>
        <v>001</v>
      </c>
      <c r="C1383" t="str">
        <f t="shared" si="100"/>
        <v>04</v>
      </c>
      <c r="D1383" t="str">
        <f t="shared" si="101"/>
        <v>122</v>
      </c>
      <c r="E1383" t="str">
        <f t="shared" si="102"/>
        <v>0001</v>
      </c>
      <c r="F1383" t="str">
        <f t="shared" si="103"/>
        <v>2.006</v>
      </c>
      <c r="G1383" t="str">
        <f t="shared" si="104"/>
        <v>3.3.90.39.00</v>
      </c>
      <c r="H1383" t="s">
        <v>1423</v>
      </c>
      <c r="I1383" t="str">
        <f t="shared" si="97"/>
        <v>20 - SECRETARIA DE SEGURANÇA E CONTROLE URBANO</v>
      </c>
      <c r="J1383" t="s">
        <v>20</v>
      </c>
      <c r="K1383" t="str">
        <f t="shared" si="105"/>
        <v>4-ADMINISTRAÇÃO</v>
      </c>
      <c r="L1383" t="str">
        <f t="shared" si="106"/>
        <v>122-ADMINISTRAÇÃO GERAL</v>
      </c>
      <c r="M1383" t="str">
        <f t="shared" si="107"/>
        <v>0001-Administração e Coordenação Geral​</v>
      </c>
      <c r="N1383" t="str">
        <f t="shared" si="108"/>
        <v xml:space="preserve">2.006-Representações Oficiais </v>
      </c>
      <c r="O1383" t="str">
        <f t="shared" si="109"/>
        <v>3.3.90.39.00-OUTROS SERVIÇOS DE TERCEIROS - PESSOA JURÍDICA</v>
      </c>
      <c r="R1383" s="25">
        <v>1</v>
      </c>
      <c r="S1383" t="s">
        <v>1035</v>
      </c>
    </row>
    <row r="1384" spans="1:19" x14ac:dyDescent="0.25">
      <c r="A1384" t="str">
        <f t="shared" si="98"/>
        <v>20</v>
      </c>
      <c r="B1384" t="str">
        <f t="shared" si="99"/>
        <v>001</v>
      </c>
      <c r="C1384" t="str">
        <f t="shared" si="100"/>
        <v>04</v>
      </c>
      <c r="D1384" t="str">
        <f t="shared" si="101"/>
        <v>128</v>
      </c>
      <c r="E1384" t="str">
        <f t="shared" si="102"/>
        <v>0002</v>
      </c>
      <c r="F1384" t="str">
        <f t="shared" si="103"/>
        <v>2.003</v>
      </c>
      <c r="G1384" t="str">
        <f t="shared" si="104"/>
        <v>3.3.90.39.00</v>
      </c>
      <c r="H1384" t="s">
        <v>1424</v>
      </c>
      <c r="I1384" t="str">
        <f t="shared" si="97"/>
        <v>20 - SECRETARIA DE SEGURANÇA E CONTROLE URBANO</v>
      </c>
      <c r="J1384" t="s">
        <v>20</v>
      </c>
      <c r="K1384" t="str">
        <f t="shared" si="105"/>
        <v>4-ADMINISTRAÇÃO</v>
      </c>
      <c r="L1384" t="str">
        <f t="shared" si="106"/>
        <v>128-FORMAÇÃO DE RECURSOS HUMANOS</v>
      </c>
      <c r="M1384" t="str">
        <f t="shared" si="107"/>
        <v>0002-Governo Inteligente, Aberto e Inovador​</v>
      </c>
      <c r="N1384" t="str">
        <f t="shared" si="108"/>
        <v>2.003-Qualificação de Servidores e Processos Institucionais</v>
      </c>
      <c r="O1384" t="str">
        <f t="shared" si="109"/>
        <v>3.3.90.39.00-OUTROS SERVIÇOS DE TERCEIROS - PESSOA JURÍDICA</v>
      </c>
      <c r="R1384" s="25">
        <v>1</v>
      </c>
      <c r="S1384" t="s">
        <v>1035</v>
      </c>
    </row>
    <row r="1385" spans="1:19" x14ac:dyDescent="0.25">
      <c r="A1385" t="str">
        <f t="shared" si="98"/>
        <v>20</v>
      </c>
      <c r="B1385" t="str">
        <f t="shared" si="99"/>
        <v>001</v>
      </c>
      <c r="C1385" t="str">
        <f t="shared" si="100"/>
        <v>04</v>
      </c>
      <c r="D1385" t="str">
        <f t="shared" si="101"/>
        <v>131</v>
      </c>
      <c r="E1385" t="str">
        <f t="shared" si="102"/>
        <v>0002</v>
      </c>
      <c r="F1385" t="str">
        <f t="shared" si="103"/>
        <v>2.005</v>
      </c>
      <c r="G1385" t="str">
        <f t="shared" si="104"/>
        <v>3.3.90.30.00</v>
      </c>
      <c r="H1385" t="s">
        <v>1425</v>
      </c>
      <c r="I1385" t="str">
        <f t="shared" si="97"/>
        <v>20 - SECRETARIA DE SEGURANÇA E CONTROLE URBANO</v>
      </c>
      <c r="J1385" t="s">
        <v>20</v>
      </c>
      <c r="K1385" t="str">
        <f t="shared" si="105"/>
        <v>4-ADMINISTRAÇÃO</v>
      </c>
      <c r="L1385" t="str">
        <f t="shared" si="106"/>
        <v>131-COMUNICAÇÃO SOCIAL</v>
      </c>
      <c r="M1385" t="str">
        <f t="shared" si="107"/>
        <v>0002-Governo Inteligente, Aberto e Inovador​</v>
      </c>
      <c r="N1385" t="str">
        <f t="shared" si="108"/>
        <v xml:space="preserve">2.005-Promoção de Eventos, Comunicação e Participação Social </v>
      </c>
      <c r="O1385" t="str">
        <f t="shared" si="109"/>
        <v>3.3.90.30.00-MATERIAL DE CONSUMO</v>
      </c>
      <c r="R1385" s="25">
        <v>1</v>
      </c>
      <c r="S1385" t="s">
        <v>1035</v>
      </c>
    </row>
    <row r="1386" spans="1:19" x14ac:dyDescent="0.25">
      <c r="A1386" t="str">
        <f t="shared" si="98"/>
        <v>20</v>
      </c>
      <c r="B1386" t="str">
        <f t="shared" si="99"/>
        <v>001</v>
      </c>
      <c r="C1386" t="str">
        <f t="shared" si="100"/>
        <v>04</v>
      </c>
      <c r="D1386" t="str">
        <f t="shared" si="101"/>
        <v>131</v>
      </c>
      <c r="E1386" t="str">
        <f t="shared" si="102"/>
        <v>0002</v>
      </c>
      <c r="F1386" t="str">
        <f t="shared" si="103"/>
        <v>2.005</v>
      </c>
      <c r="G1386" t="str">
        <f t="shared" si="104"/>
        <v>3.3.90.39.00</v>
      </c>
      <c r="H1386" t="s">
        <v>1426</v>
      </c>
      <c r="I1386" t="str">
        <f t="shared" si="97"/>
        <v>20 - SECRETARIA DE SEGURANÇA E CONTROLE URBANO</v>
      </c>
      <c r="J1386" t="s">
        <v>20</v>
      </c>
      <c r="K1386" t="str">
        <f t="shared" si="105"/>
        <v>4-ADMINISTRAÇÃO</v>
      </c>
      <c r="L1386" t="str">
        <f t="shared" si="106"/>
        <v>131-COMUNICAÇÃO SOCIAL</v>
      </c>
      <c r="M1386" t="str">
        <f t="shared" si="107"/>
        <v>0002-Governo Inteligente, Aberto e Inovador​</v>
      </c>
      <c r="N1386" t="str">
        <f t="shared" si="108"/>
        <v xml:space="preserve">2.005-Promoção de Eventos, Comunicação e Participação Social </v>
      </c>
      <c r="O1386" t="str">
        <f t="shared" si="109"/>
        <v>3.3.90.39.00-OUTROS SERVIÇOS DE TERCEIROS - PESSOA JURÍDICA</v>
      </c>
      <c r="R1386" s="25">
        <v>2</v>
      </c>
      <c r="S1386" t="s">
        <v>1035</v>
      </c>
    </row>
    <row r="1387" spans="1:19" x14ac:dyDescent="0.25">
      <c r="A1387" t="str">
        <f t="shared" si="98"/>
        <v>20</v>
      </c>
      <c r="B1387" t="str">
        <f t="shared" si="99"/>
        <v>001</v>
      </c>
      <c r="C1387" t="str">
        <f t="shared" si="100"/>
        <v>06</v>
      </c>
      <c r="D1387" t="str">
        <f t="shared" si="101"/>
        <v>126</v>
      </c>
      <c r="E1387" t="str">
        <f t="shared" si="102"/>
        <v>0006</v>
      </c>
      <c r="F1387" t="str">
        <f t="shared" si="103"/>
        <v>2.007</v>
      </c>
      <c r="G1387" t="str">
        <f t="shared" si="104"/>
        <v>3.3.90.39.00</v>
      </c>
      <c r="H1387" t="s">
        <v>1427</v>
      </c>
      <c r="I1387" t="str">
        <f t="shared" si="97"/>
        <v>20 - SECRETARIA DE SEGURANÇA E CONTROLE URBANO</v>
      </c>
      <c r="J1387" t="s">
        <v>20</v>
      </c>
      <c r="K1387" t="str">
        <f t="shared" si="105"/>
        <v>6-SEGURANÇA PÚBLICA</v>
      </c>
      <c r="L1387" t="str">
        <f t="shared" si="106"/>
        <v>126-TECNOLOGIA DA INFORMATIZAÇÃO</v>
      </c>
      <c r="M1387" t="str">
        <f t="shared" si="107"/>
        <v>0006-Segurança Pública e Fiscalização Inteligente​</v>
      </c>
      <c r="N1387" t="str">
        <f t="shared" si="108"/>
        <v>2.007-Ampliação e Manutenção de Sistemas de Inteligência, Fiscalização e Tecnologia</v>
      </c>
      <c r="O1387" t="str">
        <f t="shared" si="109"/>
        <v>3.3.90.39.00-OUTROS SERVIÇOS DE TERCEIROS - PESSOA JURÍDICA</v>
      </c>
      <c r="R1387" s="25">
        <v>32343397.300000001</v>
      </c>
      <c r="S1387" t="s">
        <v>1035</v>
      </c>
    </row>
    <row r="1388" spans="1:19" x14ac:dyDescent="0.25">
      <c r="A1388" t="str">
        <f t="shared" si="98"/>
        <v>20</v>
      </c>
      <c r="B1388" t="str">
        <f t="shared" si="99"/>
        <v>001</v>
      </c>
      <c r="C1388" t="str">
        <f t="shared" si="100"/>
        <v>06</v>
      </c>
      <c r="D1388" t="str">
        <f t="shared" si="101"/>
        <v>181</v>
      </c>
      <c r="E1388" t="str">
        <f t="shared" si="102"/>
        <v>0006</v>
      </c>
      <c r="F1388" t="str">
        <f t="shared" si="103"/>
        <v>2.011</v>
      </c>
      <c r="G1388" t="str">
        <f t="shared" si="104"/>
        <v>3.3.90.30.00</v>
      </c>
      <c r="H1388" t="s">
        <v>1428</v>
      </c>
      <c r="I1388" t="str">
        <f t="shared" si="97"/>
        <v>20 - SECRETARIA DE SEGURANÇA E CONTROLE URBANO</v>
      </c>
      <c r="J1388" t="s">
        <v>20</v>
      </c>
      <c r="K1388" t="str">
        <f t="shared" si="105"/>
        <v>6-SEGURANÇA PÚBLICA</v>
      </c>
      <c r="L1388" t="str">
        <f t="shared" si="106"/>
        <v>181-POLICIAMENTO</v>
      </c>
      <c r="M1388" t="str">
        <f t="shared" si="107"/>
        <v>0006-Segurança Pública e Fiscalização Inteligente​</v>
      </c>
      <c r="N1388" t="str">
        <f t="shared" si="108"/>
        <v xml:space="preserve">2.011-Manutenção de Equipamentos Públicos </v>
      </c>
      <c r="O1388" t="str">
        <f t="shared" si="109"/>
        <v>3.3.90.30.00-MATERIAL DE CONSUMO</v>
      </c>
      <c r="R1388" s="25">
        <v>879566.97699999996</v>
      </c>
      <c r="S1388" t="s">
        <v>1035</v>
      </c>
    </row>
    <row r="1389" spans="1:19" x14ac:dyDescent="0.25">
      <c r="A1389" t="str">
        <f t="shared" si="98"/>
        <v>20</v>
      </c>
      <c r="B1389" t="str">
        <f t="shared" si="99"/>
        <v>001</v>
      </c>
      <c r="C1389" t="str">
        <f t="shared" si="100"/>
        <v>06</v>
      </c>
      <c r="D1389" t="str">
        <f t="shared" si="101"/>
        <v>181</v>
      </c>
      <c r="E1389" t="str">
        <f t="shared" si="102"/>
        <v>0006</v>
      </c>
      <c r="F1389" t="str">
        <f t="shared" si="103"/>
        <v>2.011</v>
      </c>
      <c r="G1389" t="str">
        <f t="shared" si="104"/>
        <v>3.3.90.39.00</v>
      </c>
      <c r="H1389" t="s">
        <v>1429</v>
      </c>
      <c r="I1389" t="str">
        <f t="shared" si="97"/>
        <v>20 - SECRETARIA DE SEGURANÇA E CONTROLE URBANO</v>
      </c>
      <c r="J1389" t="s">
        <v>20</v>
      </c>
      <c r="K1389" t="str">
        <f t="shared" si="105"/>
        <v>6-SEGURANÇA PÚBLICA</v>
      </c>
      <c r="L1389" t="str">
        <f t="shared" si="106"/>
        <v>181-POLICIAMENTO</v>
      </c>
      <c r="M1389" t="str">
        <f t="shared" si="107"/>
        <v>0006-Segurança Pública e Fiscalização Inteligente​</v>
      </c>
      <c r="N1389" t="str">
        <f t="shared" si="108"/>
        <v xml:space="preserve">2.011-Manutenção de Equipamentos Públicos </v>
      </c>
      <c r="O1389" t="str">
        <f t="shared" si="109"/>
        <v>3.3.90.39.00-OUTROS SERVIÇOS DE TERCEIROS - PESSOA JURÍDICA</v>
      </c>
      <c r="R1389" s="25">
        <v>3868577.3174000001</v>
      </c>
      <c r="S1389" t="s">
        <v>1035</v>
      </c>
    </row>
    <row r="1390" spans="1:19" x14ac:dyDescent="0.25">
      <c r="A1390" t="str">
        <f t="shared" si="98"/>
        <v>20</v>
      </c>
      <c r="B1390" t="str">
        <f t="shared" si="99"/>
        <v>001</v>
      </c>
      <c r="C1390" t="str">
        <f t="shared" si="100"/>
        <v>06</v>
      </c>
      <c r="D1390" t="str">
        <f t="shared" si="101"/>
        <v>181</v>
      </c>
      <c r="E1390" t="str">
        <f t="shared" si="102"/>
        <v>0006</v>
      </c>
      <c r="F1390" t="str">
        <f t="shared" si="103"/>
        <v>2.011</v>
      </c>
      <c r="G1390" t="str">
        <f t="shared" si="104"/>
        <v>4.4.90.52.00</v>
      </c>
      <c r="H1390" t="s">
        <v>1430</v>
      </c>
      <c r="I1390" t="str">
        <f t="shared" si="97"/>
        <v>20 - SECRETARIA DE SEGURANÇA E CONTROLE URBANO</v>
      </c>
      <c r="J1390" t="s">
        <v>20</v>
      </c>
      <c r="K1390" t="str">
        <f t="shared" si="105"/>
        <v>6-SEGURANÇA PÚBLICA</v>
      </c>
      <c r="L1390" t="str">
        <f t="shared" si="106"/>
        <v>181-POLICIAMENTO</v>
      </c>
      <c r="M1390" t="str">
        <f t="shared" si="107"/>
        <v>0006-Segurança Pública e Fiscalização Inteligente​</v>
      </c>
      <c r="N1390" t="str">
        <f t="shared" si="108"/>
        <v xml:space="preserve">2.011-Manutenção de Equipamentos Públicos </v>
      </c>
      <c r="O1390" t="str">
        <f t="shared" si="109"/>
        <v>4.4.90.52.00-EQUIPAMENTOS E MATERIAL PERMANENTE</v>
      </c>
      <c r="R1390" s="25">
        <v>159608.29999999999</v>
      </c>
      <c r="S1390" t="s">
        <v>1035</v>
      </c>
    </row>
    <row r="1391" spans="1:19" x14ac:dyDescent="0.25">
      <c r="A1391" t="str">
        <f t="shared" si="98"/>
        <v>21</v>
      </c>
      <c r="B1391" t="str">
        <f t="shared" si="99"/>
        <v>001</v>
      </c>
      <c r="C1391" t="str">
        <f t="shared" si="100"/>
        <v>09</v>
      </c>
      <c r="D1391" t="str">
        <f t="shared" si="101"/>
        <v>272</v>
      </c>
      <c r="E1391" t="str">
        <f t="shared" si="102"/>
        <v>0001</v>
      </c>
      <c r="F1391" t="str">
        <f t="shared" si="103"/>
        <v>2.011</v>
      </c>
      <c r="G1391" t="str">
        <f t="shared" si="104"/>
        <v>3.3.90.14.00</v>
      </c>
      <c r="H1391" t="s">
        <v>1431</v>
      </c>
      <c r="I1391" t="s">
        <v>1432</v>
      </c>
      <c r="J1391" t="s">
        <v>20</v>
      </c>
      <c r="K1391" t="str">
        <f t="shared" ref="K1391:K1410" si="110">C1391</f>
        <v>09</v>
      </c>
      <c r="L1391" t="str">
        <f t="shared" ref="L1391:L1410" si="111">D1391</f>
        <v>272</v>
      </c>
      <c r="M1391" t="str">
        <f t="shared" si="107"/>
        <v>0001-Administração e Coordenação Geral​</v>
      </c>
      <c r="N1391" t="str">
        <f t="shared" si="108"/>
        <v xml:space="preserve">2.011-Manutenção de Equipamentos Públicos </v>
      </c>
      <c r="O1391" t="str">
        <f>G1391</f>
        <v>3.3.90.14.00</v>
      </c>
      <c r="R1391" s="25">
        <v>70000</v>
      </c>
      <c r="S1391" t="s">
        <v>1035</v>
      </c>
    </row>
    <row r="1392" spans="1:19" x14ac:dyDescent="0.25">
      <c r="A1392" t="str">
        <f t="shared" si="98"/>
        <v>21</v>
      </c>
      <c r="B1392" t="str">
        <f t="shared" si="99"/>
        <v>001</v>
      </c>
      <c r="C1392" t="str">
        <f t="shared" si="100"/>
        <v>09</v>
      </c>
      <c r="D1392" t="str">
        <f t="shared" si="101"/>
        <v>272</v>
      </c>
      <c r="E1392" t="str">
        <f t="shared" si="102"/>
        <v>0001</v>
      </c>
      <c r="F1392" t="str">
        <f t="shared" si="103"/>
        <v>2.011</v>
      </c>
      <c r="G1392" t="str">
        <f t="shared" si="104"/>
        <v>3.3.90.30.00</v>
      </c>
      <c r="H1392" t="s">
        <v>1433</v>
      </c>
      <c r="I1392" t="s">
        <v>1432</v>
      </c>
      <c r="J1392" t="s">
        <v>20</v>
      </c>
      <c r="K1392" t="str">
        <f t="shared" si="110"/>
        <v>09</v>
      </c>
      <c r="L1392" t="str">
        <f t="shared" si="111"/>
        <v>272</v>
      </c>
      <c r="M1392" t="str">
        <f t="shared" si="107"/>
        <v>0001-Administração e Coordenação Geral​</v>
      </c>
      <c r="N1392" t="str">
        <f t="shared" si="108"/>
        <v xml:space="preserve">2.011-Manutenção de Equipamentos Públicos </v>
      </c>
      <c r="O1392" t="str">
        <f t="shared" si="109"/>
        <v>3.3.90.30.00-MATERIAL DE CONSUMO</v>
      </c>
      <c r="R1392" s="25">
        <v>300000</v>
      </c>
      <c r="S1392" t="s">
        <v>1035</v>
      </c>
    </row>
    <row r="1393" spans="1:19" x14ac:dyDescent="0.25">
      <c r="A1393" t="str">
        <f t="shared" si="98"/>
        <v>21</v>
      </c>
      <c r="B1393" t="str">
        <f t="shared" si="99"/>
        <v>001</v>
      </c>
      <c r="C1393" t="str">
        <f t="shared" si="100"/>
        <v>09</v>
      </c>
      <c r="D1393" t="str">
        <f t="shared" si="101"/>
        <v>272</v>
      </c>
      <c r="E1393" t="str">
        <f t="shared" si="102"/>
        <v>0001</v>
      </c>
      <c r="F1393" t="str">
        <f t="shared" si="103"/>
        <v>2.011</v>
      </c>
      <c r="G1393" t="str">
        <f t="shared" si="104"/>
        <v>3.3.90.33.00</v>
      </c>
      <c r="H1393" t="s">
        <v>1434</v>
      </c>
      <c r="I1393" t="s">
        <v>1432</v>
      </c>
      <c r="J1393" t="s">
        <v>20</v>
      </c>
      <c r="K1393" t="str">
        <f t="shared" si="110"/>
        <v>09</v>
      </c>
      <c r="L1393" t="str">
        <f t="shared" si="111"/>
        <v>272</v>
      </c>
      <c r="M1393" t="str">
        <f t="shared" si="107"/>
        <v>0001-Administração e Coordenação Geral​</v>
      </c>
      <c r="N1393" t="str">
        <f t="shared" si="108"/>
        <v xml:space="preserve">2.011-Manutenção de Equipamentos Públicos </v>
      </c>
      <c r="O1393" t="str">
        <f t="shared" si="109"/>
        <v>3.3.90.33.00-PASSAGENS E DESPESAS COM LOCOMOÇÃO</v>
      </c>
      <c r="R1393" s="25">
        <v>20000</v>
      </c>
      <c r="S1393" t="s">
        <v>1035</v>
      </c>
    </row>
    <row r="1394" spans="1:19" x14ac:dyDescent="0.25">
      <c r="A1394" t="str">
        <f t="shared" si="98"/>
        <v>21</v>
      </c>
      <c r="B1394" t="str">
        <f t="shared" si="99"/>
        <v>001</v>
      </c>
      <c r="C1394" t="str">
        <f t="shared" si="100"/>
        <v>09</v>
      </c>
      <c r="D1394" t="str">
        <f t="shared" si="101"/>
        <v>272</v>
      </c>
      <c r="E1394" t="str">
        <f t="shared" si="102"/>
        <v>0001</v>
      </c>
      <c r="F1394" t="str">
        <f t="shared" si="103"/>
        <v>2.011</v>
      </c>
      <c r="G1394" t="str">
        <f t="shared" si="104"/>
        <v>3.3.90.35.00</v>
      </c>
      <c r="H1394" t="s">
        <v>1435</v>
      </c>
      <c r="I1394" t="s">
        <v>1432</v>
      </c>
      <c r="J1394" t="s">
        <v>20</v>
      </c>
      <c r="K1394" t="str">
        <f t="shared" si="110"/>
        <v>09</v>
      </c>
      <c r="L1394" t="str">
        <f t="shared" si="111"/>
        <v>272</v>
      </c>
      <c r="M1394" t="str">
        <f t="shared" si="107"/>
        <v>0001-Administração e Coordenação Geral​</v>
      </c>
      <c r="N1394" t="str">
        <f t="shared" si="108"/>
        <v xml:space="preserve">2.011-Manutenção de Equipamentos Públicos </v>
      </c>
      <c r="O1394" t="str">
        <f t="shared" si="109"/>
        <v>3.3.90.35.00-SERVIÇOS DE CONSULTORIA</v>
      </c>
      <c r="R1394" s="25">
        <v>890000</v>
      </c>
      <c r="S1394" t="s">
        <v>1035</v>
      </c>
    </row>
    <row r="1395" spans="1:19" x14ac:dyDescent="0.25">
      <c r="A1395" t="str">
        <f t="shared" si="98"/>
        <v>21</v>
      </c>
      <c r="B1395" t="str">
        <f t="shared" si="99"/>
        <v>001</v>
      </c>
      <c r="C1395" t="str">
        <f t="shared" si="100"/>
        <v>09</v>
      </c>
      <c r="D1395" t="str">
        <f t="shared" si="101"/>
        <v>272</v>
      </c>
      <c r="E1395" t="str">
        <f t="shared" si="102"/>
        <v>0001</v>
      </c>
      <c r="F1395" t="str">
        <f t="shared" si="103"/>
        <v>2.011</v>
      </c>
      <c r="G1395" t="str">
        <f t="shared" si="104"/>
        <v>3.3.90.36.00</v>
      </c>
      <c r="H1395" t="s">
        <v>1436</v>
      </c>
      <c r="I1395" t="s">
        <v>1432</v>
      </c>
      <c r="J1395" t="s">
        <v>20</v>
      </c>
      <c r="K1395" t="str">
        <f t="shared" si="110"/>
        <v>09</v>
      </c>
      <c r="L1395" t="str">
        <f t="shared" si="111"/>
        <v>272</v>
      </c>
      <c r="M1395" t="str">
        <f t="shared" si="107"/>
        <v>0001-Administração e Coordenação Geral​</v>
      </c>
      <c r="N1395" t="str">
        <f t="shared" si="108"/>
        <v xml:space="preserve">2.011-Manutenção de Equipamentos Públicos </v>
      </c>
      <c r="O1395" t="str">
        <f t="shared" si="109"/>
        <v>3.3.90.36.00-OUTROS SERVIÇOS DE TERCEIROS - PESSOA FÍSICA</v>
      </c>
      <c r="R1395" s="25">
        <v>100000</v>
      </c>
      <c r="S1395" t="s">
        <v>1035</v>
      </c>
    </row>
    <row r="1396" spans="1:19" x14ac:dyDescent="0.25">
      <c r="A1396" t="str">
        <f t="shared" si="98"/>
        <v>21</v>
      </c>
      <c r="B1396" t="str">
        <f t="shared" si="99"/>
        <v>001</v>
      </c>
      <c r="C1396" t="str">
        <f t="shared" si="100"/>
        <v>09</v>
      </c>
      <c r="D1396" t="str">
        <f t="shared" si="101"/>
        <v>272</v>
      </c>
      <c r="E1396" t="str">
        <f t="shared" si="102"/>
        <v>0001</v>
      </c>
      <c r="F1396" t="str">
        <f t="shared" si="103"/>
        <v>2.011</v>
      </c>
      <c r="G1396" t="str">
        <f t="shared" si="104"/>
        <v>3.3.90.39.00</v>
      </c>
      <c r="H1396" t="s">
        <v>1437</v>
      </c>
      <c r="I1396" t="s">
        <v>1432</v>
      </c>
      <c r="J1396" t="s">
        <v>20</v>
      </c>
      <c r="K1396" t="str">
        <f t="shared" si="110"/>
        <v>09</v>
      </c>
      <c r="L1396" t="str">
        <f t="shared" si="111"/>
        <v>272</v>
      </c>
      <c r="M1396" t="str">
        <f t="shared" si="107"/>
        <v>0001-Administração e Coordenação Geral​</v>
      </c>
      <c r="N1396" t="str">
        <f t="shared" si="108"/>
        <v xml:space="preserve">2.011-Manutenção de Equipamentos Públicos </v>
      </c>
      <c r="O1396" t="str">
        <f t="shared" si="109"/>
        <v>3.3.90.39.00-OUTROS SERVIÇOS DE TERCEIROS - PESSOA JURÍDICA</v>
      </c>
      <c r="R1396" s="25">
        <v>7560000</v>
      </c>
      <c r="S1396" t="s">
        <v>1035</v>
      </c>
    </row>
    <row r="1397" spans="1:19" x14ac:dyDescent="0.25">
      <c r="A1397" t="str">
        <f t="shared" si="98"/>
        <v>21</v>
      </c>
      <c r="B1397" t="str">
        <f t="shared" si="99"/>
        <v>001</v>
      </c>
      <c r="C1397" t="str">
        <f t="shared" si="100"/>
        <v>09</v>
      </c>
      <c r="D1397" t="str">
        <f t="shared" si="101"/>
        <v>272</v>
      </c>
      <c r="E1397" t="str">
        <f t="shared" si="102"/>
        <v>0001</v>
      </c>
      <c r="F1397" t="str">
        <f t="shared" si="103"/>
        <v>2.011</v>
      </c>
      <c r="G1397" t="str">
        <f t="shared" si="104"/>
        <v>3.3.90.40.00</v>
      </c>
      <c r="H1397" t="s">
        <v>1438</v>
      </c>
      <c r="I1397" t="s">
        <v>1432</v>
      </c>
      <c r="J1397" t="s">
        <v>20</v>
      </c>
      <c r="K1397" t="str">
        <f t="shared" si="110"/>
        <v>09</v>
      </c>
      <c r="L1397" t="str">
        <f t="shared" si="111"/>
        <v>272</v>
      </c>
      <c r="M1397" t="str">
        <f t="shared" si="107"/>
        <v>0001-Administração e Coordenação Geral​</v>
      </c>
      <c r="N1397" t="str">
        <f t="shared" si="108"/>
        <v xml:space="preserve">2.011-Manutenção de Equipamentos Públicos </v>
      </c>
      <c r="O1397" t="str">
        <f t="shared" si="109"/>
        <v>3.3.90.40.00-SERVIÇOS DE TECNOLOGIA DA INFORMAÇÃO E COMUNICAÇÃO - PESSOA JURÍDICA</v>
      </c>
      <c r="R1397" s="25">
        <v>6000000</v>
      </c>
      <c r="S1397" t="s">
        <v>1035</v>
      </c>
    </row>
    <row r="1398" spans="1:19" x14ac:dyDescent="0.25">
      <c r="A1398" t="str">
        <f t="shared" si="98"/>
        <v>21</v>
      </c>
      <c r="B1398" t="str">
        <f t="shared" si="99"/>
        <v>001</v>
      </c>
      <c r="C1398" t="str">
        <f t="shared" si="100"/>
        <v>09</v>
      </c>
      <c r="D1398" t="str">
        <f t="shared" si="101"/>
        <v>272</v>
      </c>
      <c r="E1398" t="str">
        <f t="shared" si="102"/>
        <v>0001</v>
      </c>
      <c r="F1398" t="str">
        <f t="shared" si="103"/>
        <v>2.011</v>
      </c>
      <c r="G1398" t="str">
        <f t="shared" si="104"/>
        <v>3.3.90.92.00</v>
      </c>
      <c r="H1398" t="s">
        <v>1439</v>
      </c>
      <c r="I1398" t="s">
        <v>1432</v>
      </c>
      <c r="J1398" t="s">
        <v>20</v>
      </c>
      <c r="K1398" t="str">
        <f t="shared" si="110"/>
        <v>09</v>
      </c>
      <c r="L1398" t="str">
        <f t="shared" si="111"/>
        <v>272</v>
      </c>
      <c r="M1398" t="str">
        <f t="shared" si="107"/>
        <v>0001-Administração e Coordenação Geral​</v>
      </c>
      <c r="N1398" t="str">
        <f t="shared" si="108"/>
        <v xml:space="preserve">2.011-Manutenção de Equipamentos Públicos </v>
      </c>
      <c r="O1398" t="str">
        <f t="shared" si="109"/>
        <v>3.3.90.92.00-DESPESAS DE EXERCÍCIOS ANTERIORES</v>
      </c>
      <c r="R1398" s="25">
        <v>1000</v>
      </c>
      <c r="S1398" t="s">
        <v>1035</v>
      </c>
    </row>
    <row r="1399" spans="1:19" x14ac:dyDescent="0.25">
      <c r="A1399" t="str">
        <f t="shared" si="98"/>
        <v>21</v>
      </c>
      <c r="B1399" t="str">
        <f t="shared" si="99"/>
        <v>001</v>
      </c>
      <c r="C1399" t="str">
        <f t="shared" si="100"/>
        <v>09</v>
      </c>
      <c r="D1399" t="str">
        <f t="shared" si="101"/>
        <v>272</v>
      </c>
      <c r="E1399" t="str">
        <f t="shared" si="102"/>
        <v>0001</v>
      </c>
      <c r="F1399" t="str">
        <f t="shared" si="103"/>
        <v>2.011</v>
      </c>
      <c r="G1399" t="str">
        <f t="shared" si="104"/>
        <v>4.4.90.52.00</v>
      </c>
      <c r="H1399" t="s">
        <v>1440</v>
      </c>
      <c r="I1399" t="s">
        <v>1432</v>
      </c>
      <c r="J1399" t="s">
        <v>20</v>
      </c>
      <c r="K1399" t="str">
        <f t="shared" si="110"/>
        <v>09</v>
      </c>
      <c r="L1399" t="str">
        <f t="shared" si="111"/>
        <v>272</v>
      </c>
      <c r="M1399" t="str">
        <f t="shared" si="107"/>
        <v>0001-Administração e Coordenação Geral​</v>
      </c>
      <c r="N1399" t="str">
        <f t="shared" si="108"/>
        <v xml:space="preserve">2.011-Manutenção de Equipamentos Públicos </v>
      </c>
      <c r="O1399" t="str">
        <f t="shared" si="109"/>
        <v>4.4.90.52.00-EQUIPAMENTOS E MATERIAL PERMANENTE</v>
      </c>
      <c r="R1399" s="25">
        <v>500000</v>
      </c>
      <c r="S1399" t="s">
        <v>1035</v>
      </c>
    </row>
    <row r="1400" spans="1:19" x14ac:dyDescent="0.25">
      <c r="A1400" t="str">
        <f t="shared" si="98"/>
        <v>21</v>
      </c>
      <c r="B1400" t="str">
        <f t="shared" si="99"/>
        <v>001</v>
      </c>
      <c r="C1400" t="str">
        <f t="shared" si="100"/>
        <v>09</v>
      </c>
      <c r="D1400" t="str">
        <f t="shared" si="101"/>
        <v>272</v>
      </c>
      <c r="E1400" t="str">
        <f t="shared" si="102"/>
        <v>0002</v>
      </c>
      <c r="F1400" t="str">
        <f t="shared" si="103"/>
        <v>2.003</v>
      </c>
      <c r="G1400" t="str">
        <f t="shared" si="104"/>
        <v>3.3.90.14.00</v>
      </c>
      <c r="H1400" t="s">
        <v>1441</v>
      </c>
      <c r="I1400" t="s">
        <v>1432</v>
      </c>
      <c r="J1400" t="s">
        <v>20</v>
      </c>
      <c r="K1400" t="str">
        <f t="shared" si="110"/>
        <v>09</v>
      </c>
      <c r="L1400" t="str">
        <f t="shared" si="111"/>
        <v>272</v>
      </c>
      <c r="M1400" t="str">
        <f t="shared" si="107"/>
        <v>0002-Governo Inteligente, Aberto e Inovador​</v>
      </c>
      <c r="N1400" t="str">
        <f t="shared" si="108"/>
        <v>2.003-Qualificação de Servidores e Processos Institucionais</v>
      </c>
      <c r="O1400" t="str">
        <f>G1400</f>
        <v>3.3.90.14.00</v>
      </c>
      <c r="R1400" s="25">
        <v>20000</v>
      </c>
      <c r="S1400" t="s">
        <v>1035</v>
      </c>
    </row>
    <row r="1401" spans="1:19" x14ac:dyDescent="0.25">
      <c r="A1401" t="str">
        <f t="shared" si="98"/>
        <v>21</v>
      </c>
      <c r="B1401" t="str">
        <f t="shared" si="99"/>
        <v>001</v>
      </c>
      <c r="C1401" t="str">
        <f t="shared" si="100"/>
        <v>09</v>
      </c>
      <c r="D1401" t="str">
        <f t="shared" si="101"/>
        <v>272</v>
      </c>
      <c r="E1401" t="str">
        <f t="shared" si="102"/>
        <v>0002</v>
      </c>
      <c r="F1401" t="str">
        <f t="shared" si="103"/>
        <v>2.003</v>
      </c>
      <c r="G1401" t="str">
        <f t="shared" si="104"/>
        <v>3.3.90.39.00</v>
      </c>
      <c r="H1401" t="s">
        <v>1442</v>
      </c>
      <c r="I1401" t="s">
        <v>1432</v>
      </c>
      <c r="J1401" t="s">
        <v>20</v>
      </c>
      <c r="K1401" t="str">
        <f t="shared" si="110"/>
        <v>09</v>
      </c>
      <c r="L1401" t="str">
        <f t="shared" si="111"/>
        <v>272</v>
      </c>
      <c r="M1401" t="str">
        <f t="shared" si="107"/>
        <v>0002-Governo Inteligente, Aberto e Inovador​</v>
      </c>
      <c r="N1401" t="str">
        <f t="shared" si="108"/>
        <v>2.003-Qualificação de Servidores e Processos Institucionais</v>
      </c>
      <c r="O1401" t="str">
        <f t="shared" si="109"/>
        <v>3.3.90.39.00-OUTROS SERVIÇOS DE TERCEIROS - PESSOA JURÍDICA</v>
      </c>
      <c r="R1401" s="25">
        <v>300000</v>
      </c>
      <c r="S1401" t="s">
        <v>1035</v>
      </c>
    </row>
    <row r="1402" spans="1:19" x14ac:dyDescent="0.25">
      <c r="A1402" t="str">
        <f t="shared" si="98"/>
        <v>21</v>
      </c>
      <c r="B1402" t="str">
        <f t="shared" si="99"/>
        <v>001</v>
      </c>
      <c r="C1402" t="str">
        <f t="shared" si="100"/>
        <v>09</v>
      </c>
      <c r="D1402" t="str">
        <f t="shared" si="101"/>
        <v>272</v>
      </c>
      <c r="E1402" t="str">
        <f t="shared" si="102"/>
        <v>0002</v>
      </c>
      <c r="F1402" t="str">
        <f t="shared" si="103"/>
        <v>2.003</v>
      </c>
      <c r="G1402" t="str">
        <f t="shared" si="104"/>
        <v>3.3.90.93.00</v>
      </c>
      <c r="H1402" t="s">
        <v>1443</v>
      </c>
      <c r="I1402" t="s">
        <v>1432</v>
      </c>
      <c r="J1402" t="s">
        <v>20</v>
      </c>
      <c r="K1402" t="str">
        <f t="shared" si="110"/>
        <v>09</v>
      </c>
      <c r="L1402" t="str">
        <f t="shared" si="111"/>
        <v>272</v>
      </c>
      <c r="M1402" t="str">
        <f t="shared" si="107"/>
        <v>0002-Governo Inteligente, Aberto e Inovador​</v>
      </c>
      <c r="N1402" t="str">
        <f t="shared" si="108"/>
        <v>2.003-Qualificação de Servidores e Processos Institucionais</v>
      </c>
      <c r="O1402" t="str">
        <f t="shared" si="109"/>
        <v>3.3.90.93.00-INDENIZAÇÕES E RESTITUIÇÕES</v>
      </c>
      <c r="R1402" s="25">
        <v>15000</v>
      </c>
      <c r="S1402" t="s">
        <v>1035</v>
      </c>
    </row>
    <row r="1403" spans="1:19" x14ac:dyDescent="0.25">
      <c r="A1403" t="str">
        <f t="shared" si="98"/>
        <v>21</v>
      </c>
      <c r="B1403" t="str">
        <f t="shared" si="99"/>
        <v>003</v>
      </c>
      <c r="C1403" t="str">
        <f t="shared" si="100"/>
        <v>09</v>
      </c>
      <c r="D1403" t="str">
        <f t="shared" si="101"/>
        <v>272</v>
      </c>
      <c r="E1403" t="str">
        <f t="shared" si="102"/>
        <v>0020</v>
      </c>
      <c r="F1403" t="str">
        <f t="shared" si="103"/>
        <v>2.043</v>
      </c>
      <c r="G1403" t="str">
        <f t="shared" si="104"/>
        <v>3.1.90.01.00</v>
      </c>
      <c r="H1403" t="s">
        <v>1444</v>
      </c>
      <c r="I1403" t="s">
        <v>1432</v>
      </c>
      <c r="J1403" t="s">
        <v>768</v>
      </c>
      <c r="K1403" t="str">
        <f t="shared" si="110"/>
        <v>09</v>
      </c>
      <c r="L1403" t="str">
        <f t="shared" si="111"/>
        <v>272</v>
      </c>
      <c r="M1403" t="str">
        <f t="shared" ref="M1403:O1405" si="112">E1403</f>
        <v>0020</v>
      </c>
      <c r="N1403" t="str">
        <f t="shared" si="112"/>
        <v>2.043</v>
      </c>
      <c r="O1403" t="str">
        <f t="shared" si="112"/>
        <v>3.1.90.01.00</v>
      </c>
      <c r="R1403" s="25">
        <v>270000000</v>
      </c>
      <c r="S1403" t="s">
        <v>1035</v>
      </c>
    </row>
    <row r="1404" spans="1:19" x14ac:dyDescent="0.25">
      <c r="A1404" t="str">
        <f t="shared" si="98"/>
        <v>21</v>
      </c>
      <c r="B1404" t="str">
        <f t="shared" si="99"/>
        <v>003</v>
      </c>
      <c r="C1404" t="str">
        <f t="shared" si="100"/>
        <v>09</v>
      </c>
      <c r="D1404" t="str">
        <f t="shared" si="101"/>
        <v>272</v>
      </c>
      <c r="E1404" t="str">
        <f t="shared" si="102"/>
        <v>0020</v>
      </c>
      <c r="F1404" t="str">
        <f t="shared" si="103"/>
        <v>2.043</v>
      </c>
      <c r="G1404" t="str">
        <f t="shared" si="104"/>
        <v>3.1.90.03.00</v>
      </c>
      <c r="H1404" t="s">
        <v>1445</v>
      </c>
      <c r="I1404" t="s">
        <v>1432</v>
      </c>
      <c r="J1404" t="s">
        <v>768</v>
      </c>
      <c r="K1404" t="str">
        <f t="shared" si="110"/>
        <v>09</v>
      </c>
      <c r="L1404" t="str">
        <f t="shared" si="111"/>
        <v>272</v>
      </c>
      <c r="M1404" t="str">
        <f t="shared" si="112"/>
        <v>0020</v>
      </c>
      <c r="N1404" t="str">
        <f t="shared" si="112"/>
        <v>2.043</v>
      </c>
      <c r="O1404" t="str">
        <f t="shared" si="112"/>
        <v>3.1.90.03.00</v>
      </c>
      <c r="R1404" s="25">
        <v>7500000</v>
      </c>
      <c r="S1404" t="s">
        <v>1035</v>
      </c>
    </row>
    <row r="1405" spans="1:19" x14ac:dyDescent="0.25">
      <c r="A1405" t="str">
        <f t="shared" si="98"/>
        <v>21</v>
      </c>
      <c r="B1405" t="str">
        <f t="shared" si="99"/>
        <v>003</v>
      </c>
      <c r="C1405" t="str">
        <f t="shared" si="100"/>
        <v>09</v>
      </c>
      <c r="D1405" t="str">
        <f t="shared" si="101"/>
        <v>272</v>
      </c>
      <c r="E1405" t="str">
        <f t="shared" si="102"/>
        <v>0020</v>
      </c>
      <c r="F1405" t="str">
        <f t="shared" si="103"/>
        <v>2.043</v>
      </c>
      <c r="G1405" t="str">
        <f t="shared" si="104"/>
        <v>3.1.90.91.00</v>
      </c>
      <c r="H1405" t="s">
        <v>1446</v>
      </c>
      <c r="I1405" t="s">
        <v>1432</v>
      </c>
      <c r="J1405" t="s">
        <v>768</v>
      </c>
      <c r="K1405" t="str">
        <f t="shared" si="110"/>
        <v>09</v>
      </c>
      <c r="L1405" t="str">
        <f t="shared" si="111"/>
        <v>272</v>
      </c>
      <c r="M1405" t="str">
        <f t="shared" si="112"/>
        <v>0020</v>
      </c>
      <c r="N1405" t="str">
        <f t="shared" si="112"/>
        <v>2.043</v>
      </c>
      <c r="O1405" t="str">
        <f t="shared" si="112"/>
        <v>3.1.90.91.00</v>
      </c>
      <c r="R1405" s="25">
        <v>1000000</v>
      </c>
      <c r="S1405" t="s">
        <v>1035</v>
      </c>
    </row>
    <row r="1406" spans="1:19" x14ac:dyDescent="0.25">
      <c r="A1406" t="str">
        <f t="shared" si="98"/>
        <v>21</v>
      </c>
      <c r="B1406" t="str">
        <f t="shared" si="99"/>
        <v>003</v>
      </c>
      <c r="C1406" t="str">
        <f t="shared" si="100"/>
        <v>09</v>
      </c>
      <c r="D1406" t="str">
        <f t="shared" si="101"/>
        <v>272</v>
      </c>
      <c r="E1406" t="str">
        <f t="shared" si="102"/>
        <v>0020</v>
      </c>
      <c r="F1406" t="str">
        <f t="shared" si="103"/>
        <v>2.043</v>
      </c>
      <c r="G1406" t="str">
        <f t="shared" si="104"/>
        <v>3.3.90.93.00</v>
      </c>
      <c r="H1406" t="s">
        <v>1447</v>
      </c>
      <c r="I1406" t="s">
        <v>1432</v>
      </c>
      <c r="J1406" t="s">
        <v>768</v>
      </c>
      <c r="K1406" t="str">
        <f t="shared" si="110"/>
        <v>09</v>
      </c>
      <c r="L1406" t="str">
        <f t="shared" si="111"/>
        <v>272</v>
      </c>
      <c r="M1406" t="str">
        <f t="shared" ref="M1406:N1410" si="113">E1406</f>
        <v>0020</v>
      </c>
      <c r="N1406" t="str">
        <f t="shared" si="113"/>
        <v>2.043</v>
      </c>
      <c r="O1406" t="str">
        <f t="shared" si="109"/>
        <v>3.3.90.93.00-INDENIZAÇÕES E RESTITUIÇÕES</v>
      </c>
      <c r="R1406" s="25">
        <v>1000000</v>
      </c>
      <c r="S1406" t="s">
        <v>1035</v>
      </c>
    </row>
    <row r="1407" spans="1:19" x14ac:dyDescent="0.25">
      <c r="A1407" t="str">
        <f t="shared" si="98"/>
        <v>21</v>
      </c>
      <c r="B1407" t="str">
        <f t="shared" si="99"/>
        <v>005</v>
      </c>
      <c r="C1407" t="str">
        <f t="shared" si="100"/>
        <v>09</v>
      </c>
      <c r="D1407" t="str">
        <f t="shared" si="101"/>
        <v>272</v>
      </c>
      <c r="E1407" t="str">
        <f t="shared" si="102"/>
        <v>0020</v>
      </c>
      <c r="F1407" t="str">
        <f t="shared" si="103"/>
        <v>2.043</v>
      </c>
      <c r="G1407" t="str">
        <f t="shared" si="104"/>
        <v>3.1.90.01.00</v>
      </c>
      <c r="H1407" t="s">
        <v>1448</v>
      </c>
      <c r="I1407" t="s">
        <v>1432</v>
      </c>
      <c r="J1407" t="s">
        <v>619</v>
      </c>
      <c r="K1407" t="str">
        <f t="shared" si="110"/>
        <v>09</v>
      </c>
      <c r="L1407" t="str">
        <f t="shared" si="111"/>
        <v>272</v>
      </c>
      <c r="M1407" t="str">
        <f t="shared" si="113"/>
        <v>0020</v>
      </c>
      <c r="N1407" t="str">
        <f t="shared" si="113"/>
        <v>2.043</v>
      </c>
      <c r="O1407" t="str">
        <f>G1407</f>
        <v>3.1.90.01.00</v>
      </c>
      <c r="R1407" s="25">
        <v>150000000</v>
      </c>
      <c r="S1407" t="s">
        <v>1035</v>
      </c>
    </row>
    <row r="1408" spans="1:19" x14ac:dyDescent="0.25">
      <c r="A1408" t="str">
        <f t="shared" si="98"/>
        <v>21</v>
      </c>
      <c r="B1408" t="str">
        <f t="shared" si="99"/>
        <v>005</v>
      </c>
      <c r="C1408" t="str">
        <f t="shared" si="100"/>
        <v>09</v>
      </c>
      <c r="D1408" t="str">
        <f t="shared" si="101"/>
        <v>272</v>
      </c>
      <c r="E1408" t="str">
        <f t="shared" si="102"/>
        <v>0020</v>
      </c>
      <c r="F1408" t="str">
        <f t="shared" si="103"/>
        <v>2.043</v>
      </c>
      <c r="G1408" t="str">
        <f t="shared" si="104"/>
        <v>3.1.90.03.00</v>
      </c>
      <c r="H1408" t="s">
        <v>1449</v>
      </c>
      <c r="I1408" t="s">
        <v>1432</v>
      </c>
      <c r="J1408" t="s">
        <v>619</v>
      </c>
      <c r="K1408" t="str">
        <f t="shared" si="110"/>
        <v>09</v>
      </c>
      <c r="L1408" t="str">
        <f t="shared" si="111"/>
        <v>272</v>
      </c>
      <c r="M1408" t="str">
        <f t="shared" si="113"/>
        <v>0020</v>
      </c>
      <c r="N1408" t="str">
        <f t="shared" si="113"/>
        <v>2.043</v>
      </c>
      <c r="O1408" t="str">
        <f>G1408</f>
        <v>3.1.90.03.00</v>
      </c>
      <c r="R1408" s="25">
        <v>70000000</v>
      </c>
      <c r="S1408" t="s">
        <v>1035</v>
      </c>
    </row>
    <row r="1409" spans="1:19" x14ac:dyDescent="0.25">
      <c r="A1409" t="str">
        <f t="shared" si="98"/>
        <v>21</v>
      </c>
      <c r="B1409" t="str">
        <f t="shared" si="99"/>
        <v>005</v>
      </c>
      <c r="C1409" t="str">
        <f t="shared" si="100"/>
        <v>09</v>
      </c>
      <c r="D1409" t="str">
        <f t="shared" si="101"/>
        <v>272</v>
      </c>
      <c r="E1409" t="str">
        <f t="shared" si="102"/>
        <v>0020</v>
      </c>
      <c r="F1409" t="str">
        <f t="shared" si="103"/>
        <v>2.043</v>
      </c>
      <c r="G1409" t="str">
        <f t="shared" si="104"/>
        <v>3.1.90.91.00</v>
      </c>
      <c r="H1409" t="s">
        <v>1450</v>
      </c>
      <c r="I1409" t="s">
        <v>1432</v>
      </c>
      <c r="J1409" t="s">
        <v>619</v>
      </c>
      <c r="K1409" t="str">
        <f t="shared" si="110"/>
        <v>09</v>
      </c>
      <c r="L1409" t="str">
        <f t="shared" si="111"/>
        <v>272</v>
      </c>
      <c r="M1409" t="str">
        <f t="shared" si="113"/>
        <v>0020</v>
      </c>
      <c r="N1409" t="str">
        <f t="shared" si="113"/>
        <v>2.043</v>
      </c>
      <c r="O1409" t="str">
        <f>G1409</f>
        <v>3.1.90.91.00</v>
      </c>
      <c r="R1409" s="25">
        <v>1000000</v>
      </c>
      <c r="S1409" t="s">
        <v>1035</v>
      </c>
    </row>
    <row r="1410" spans="1:19" x14ac:dyDescent="0.25">
      <c r="A1410" t="str">
        <f t="shared" si="98"/>
        <v>21</v>
      </c>
      <c r="B1410" t="str">
        <f t="shared" si="99"/>
        <v>005</v>
      </c>
      <c r="C1410" t="str">
        <f t="shared" si="100"/>
        <v>09</v>
      </c>
      <c r="D1410" t="str">
        <f t="shared" si="101"/>
        <v>272</v>
      </c>
      <c r="E1410" t="str">
        <f t="shared" si="102"/>
        <v>0020</v>
      </c>
      <c r="F1410" t="str">
        <f t="shared" si="103"/>
        <v>2.043</v>
      </c>
      <c r="G1410" t="str">
        <f t="shared" si="104"/>
        <v>3.3.90.93.00</v>
      </c>
      <c r="H1410" t="s">
        <v>1451</v>
      </c>
      <c r="I1410" t="s">
        <v>1432</v>
      </c>
      <c r="J1410" t="s">
        <v>619</v>
      </c>
      <c r="K1410" t="str">
        <f t="shared" si="110"/>
        <v>09</v>
      </c>
      <c r="L1410" t="str">
        <f t="shared" si="111"/>
        <v>272</v>
      </c>
      <c r="M1410" t="str">
        <f t="shared" si="113"/>
        <v>0020</v>
      </c>
      <c r="N1410" t="str">
        <f t="shared" si="113"/>
        <v>2.043</v>
      </c>
      <c r="O1410" t="str">
        <f t="shared" si="109"/>
        <v>3.3.90.93.00-INDENIZAÇÕES E RESTITUIÇÕES</v>
      </c>
      <c r="R1410" s="25">
        <v>1000000</v>
      </c>
      <c r="S1410" t="s">
        <v>1035</v>
      </c>
    </row>
    <row r="1411" spans="1:19" x14ac:dyDescent="0.25">
      <c r="A1411" t="str">
        <f t="shared" si="98"/>
        <v>21</v>
      </c>
      <c r="B1411" t="str">
        <f t="shared" si="99"/>
        <v>006</v>
      </c>
      <c r="C1411" t="str">
        <f t="shared" si="100"/>
        <v>04</v>
      </c>
      <c r="D1411" t="str">
        <f t="shared" si="101"/>
        <v>241</v>
      </c>
      <c r="E1411" t="str">
        <f t="shared" si="102"/>
        <v>0018</v>
      </c>
      <c r="F1411" t="str">
        <f t="shared" si="103"/>
        <v>2.044</v>
      </c>
      <c r="G1411" t="str">
        <f t="shared" si="104"/>
        <v>3.3.90.48.00</v>
      </c>
      <c r="H1411" t="s">
        <v>1452</v>
      </c>
      <c r="I1411" t="s">
        <v>1432</v>
      </c>
      <c r="J1411" t="s">
        <v>348</v>
      </c>
      <c r="K1411" t="str">
        <f t="shared" si="105"/>
        <v>4-ADMINISTRAÇÃO</v>
      </c>
      <c r="L1411" t="str">
        <f t="shared" si="106"/>
        <v>241-ASSISTÊNCIA AO IDOSO ASSISTÊNCIA À PESSOA IDOSA</v>
      </c>
      <c r="M1411" t="str">
        <f t="shared" si="107"/>
        <v>0018-Proteção Social e Garantia de Direitos​</v>
      </c>
      <c r="N1411" t="str">
        <f>F1411</f>
        <v>2.044</v>
      </c>
      <c r="O1411" t="str">
        <f t="shared" si="109"/>
        <v>3.3.90.48.00 - OUTROS AUXILIOS FINANCEIROS A PESSOAS FISICAS</v>
      </c>
      <c r="R1411" s="25">
        <v>45000000</v>
      </c>
      <c r="S1411" t="s">
        <v>1035</v>
      </c>
    </row>
    <row r="1412" spans="1:19" x14ac:dyDescent="0.25">
      <c r="A1412" t="str">
        <f t="shared" si="98"/>
        <v>22</v>
      </c>
      <c r="B1412" t="str">
        <f t="shared" si="99"/>
        <v>001</v>
      </c>
      <c r="C1412" t="str">
        <f t="shared" si="100"/>
        <v>04</v>
      </c>
      <c r="D1412" t="str">
        <f t="shared" si="101"/>
        <v>122</v>
      </c>
      <c r="E1412" t="str">
        <f t="shared" si="102"/>
        <v>0001</v>
      </c>
      <c r="F1412" t="str">
        <f t="shared" si="103"/>
        <v>2.011</v>
      </c>
      <c r="G1412" t="str">
        <f t="shared" si="104"/>
        <v>3.3.90.37.00</v>
      </c>
      <c r="H1412" t="s">
        <v>1453</v>
      </c>
      <c r="I1412" t="s">
        <v>1454</v>
      </c>
      <c r="J1412" t="s">
        <v>20</v>
      </c>
      <c r="K1412" t="str">
        <f t="shared" si="105"/>
        <v>4-ADMINISTRAÇÃO</v>
      </c>
      <c r="L1412" t="str">
        <f t="shared" si="106"/>
        <v>122-ADMINISTRAÇÃO GERAL</v>
      </c>
      <c r="M1412" t="str">
        <f t="shared" si="107"/>
        <v>0001-Administração e Coordenação Geral​</v>
      </c>
      <c r="N1412" t="str">
        <f t="shared" si="108"/>
        <v xml:space="preserve">2.011-Manutenção de Equipamentos Públicos </v>
      </c>
      <c r="O1412" t="str">
        <f>G1412</f>
        <v>3.3.90.37.00</v>
      </c>
      <c r="R1412" s="25">
        <v>1760000</v>
      </c>
      <c r="S1412" t="s">
        <v>1035</v>
      </c>
    </row>
    <row r="1413" spans="1:19" x14ac:dyDescent="0.25">
      <c r="A1413" t="str">
        <f t="shared" si="98"/>
        <v>22</v>
      </c>
      <c r="B1413" t="str">
        <f t="shared" si="99"/>
        <v>001</v>
      </c>
      <c r="C1413" t="str">
        <f t="shared" si="100"/>
        <v>04</v>
      </c>
      <c r="D1413" t="str">
        <f t="shared" si="101"/>
        <v>122</v>
      </c>
      <c r="E1413" t="str">
        <f t="shared" si="102"/>
        <v>0001</v>
      </c>
      <c r="F1413" t="str">
        <f t="shared" si="103"/>
        <v>2.011</v>
      </c>
      <c r="G1413" t="str">
        <f t="shared" si="104"/>
        <v>4.4.90.93.00</v>
      </c>
      <c r="H1413" t="s">
        <v>1455</v>
      </c>
      <c r="I1413" t="s">
        <v>1454</v>
      </c>
      <c r="J1413" t="s">
        <v>20</v>
      </c>
      <c r="K1413" t="str">
        <f t="shared" si="105"/>
        <v>4-ADMINISTRAÇÃO</v>
      </c>
      <c r="L1413" t="str">
        <f t="shared" si="106"/>
        <v>122-ADMINISTRAÇÃO GERAL</v>
      </c>
      <c r="M1413" t="str">
        <f t="shared" si="107"/>
        <v>0001-Administração e Coordenação Geral​</v>
      </c>
      <c r="N1413" t="str">
        <f t="shared" si="108"/>
        <v xml:space="preserve">2.011-Manutenção de Equipamentos Públicos </v>
      </c>
      <c r="O1413" t="str">
        <f>G1413</f>
        <v>4.4.90.93.00</v>
      </c>
      <c r="R1413" s="25">
        <v>1505396</v>
      </c>
      <c r="S1413" t="s">
        <v>1035</v>
      </c>
    </row>
    <row r="1414" spans="1:19" x14ac:dyDescent="0.25">
      <c r="A1414" t="str">
        <f t="shared" si="98"/>
        <v>22</v>
      </c>
      <c r="B1414" t="str">
        <f t="shared" si="99"/>
        <v>001</v>
      </c>
      <c r="C1414" t="str">
        <f t="shared" si="100"/>
        <v>04</v>
      </c>
      <c r="D1414" t="str">
        <f t="shared" si="101"/>
        <v>126</v>
      </c>
      <c r="E1414" t="str">
        <f t="shared" si="102"/>
        <v>0002</v>
      </c>
      <c r="F1414" t="str">
        <f t="shared" si="103"/>
        <v>2.007</v>
      </c>
      <c r="G1414" t="str">
        <f t="shared" si="104"/>
        <v>3.3.90.40.00</v>
      </c>
      <c r="H1414" t="s">
        <v>1456</v>
      </c>
      <c r="I1414" t="s">
        <v>1454</v>
      </c>
      <c r="J1414" t="s">
        <v>20</v>
      </c>
      <c r="K1414" t="str">
        <f t="shared" si="105"/>
        <v>4-ADMINISTRAÇÃO</v>
      </c>
      <c r="L1414" t="str">
        <f t="shared" si="106"/>
        <v>126-TECNOLOGIA DA INFORMATIZAÇÃO</v>
      </c>
      <c r="M1414" t="str">
        <f t="shared" si="107"/>
        <v>0002-Governo Inteligente, Aberto e Inovador​</v>
      </c>
      <c r="N1414" t="str">
        <f t="shared" si="108"/>
        <v>2.007-Ampliação e Manutenção de Sistemas de Inteligência, Fiscalização e Tecnologia</v>
      </c>
      <c r="O1414" t="str">
        <f t="shared" si="109"/>
        <v>3.3.90.40.00-SERVIÇOS DE TECNOLOGIA DA INFORMAÇÃO E COMUNICAÇÃO - PESSOA JURÍDICA</v>
      </c>
      <c r="R1414" s="25">
        <v>141204</v>
      </c>
      <c r="S1414" t="s">
        <v>1035</v>
      </c>
    </row>
    <row r="1415" spans="1:19" x14ac:dyDescent="0.25">
      <c r="A1415" t="str">
        <f t="shared" si="98"/>
        <v>22</v>
      </c>
      <c r="B1415" t="str">
        <f t="shared" si="99"/>
        <v>001</v>
      </c>
      <c r="C1415" t="str">
        <f t="shared" si="100"/>
        <v>04</v>
      </c>
      <c r="D1415" t="str">
        <f t="shared" si="101"/>
        <v>128</v>
      </c>
      <c r="E1415" t="str">
        <f t="shared" si="102"/>
        <v>0001</v>
      </c>
      <c r="F1415" t="str">
        <f t="shared" si="103"/>
        <v>2.008</v>
      </c>
      <c r="G1415" t="str">
        <f t="shared" si="104"/>
        <v>3.3.90.36.00</v>
      </c>
      <c r="H1415" t="s">
        <v>1457</v>
      </c>
      <c r="I1415" t="s">
        <v>1454</v>
      </c>
      <c r="J1415" t="s">
        <v>20</v>
      </c>
      <c r="K1415" t="str">
        <f t="shared" si="105"/>
        <v>4-ADMINISTRAÇÃO</v>
      </c>
      <c r="L1415" t="str">
        <f t="shared" si="106"/>
        <v>128-FORMAÇÃO DE RECURSOS HUMANOS</v>
      </c>
      <c r="M1415" t="str">
        <f t="shared" si="107"/>
        <v>0001-Administração e Coordenação Geral​</v>
      </c>
      <c r="N1415" t="str">
        <f t="shared" si="108"/>
        <v>2.008-Estágio e Aprendizagem</v>
      </c>
      <c r="O1415" t="str">
        <f t="shared" si="109"/>
        <v>3.3.90.36.00-OUTROS SERVIÇOS DE TERCEIROS - PESSOA FÍSICA</v>
      </c>
      <c r="R1415" s="25">
        <v>100000</v>
      </c>
      <c r="S1415" t="s">
        <v>1035</v>
      </c>
    </row>
    <row r="1416" spans="1:19" x14ac:dyDescent="0.25">
      <c r="A1416" t="str">
        <f t="shared" si="98"/>
        <v>22</v>
      </c>
      <c r="B1416" t="str">
        <f t="shared" si="99"/>
        <v>001</v>
      </c>
      <c r="C1416" t="str">
        <f t="shared" si="100"/>
        <v>04</v>
      </c>
      <c r="D1416" t="str">
        <f t="shared" si="101"/>
        <v>128</v>
      </c>
      <c r="E1416" t="str">
        <f t="shared" si="102"/>
        <v>0002</v>
      </c>
      <c r="F1416" t="str">
        <f t="shared" si="103"/>
        <v>2.003</v>
      </c>
      <c r="G1416" t="str">
        <f t="shared" si="104"/>
        <v>3.3.90.39.00</v>
      </c>
      <c r="H1416" t="s">
        <v>1458</v>
      </c>
      <c r="I1416" t="s">
        <v>1454</v>
      </c>
      <c r="J1416" t="s">
        <v>20</v>
      </c>
      <c r="K1416" t="str">
        <f t="shared" si="105"/>
        <v>4-ADMINISTRAÇÃO</v>
      </c>
      <c r="L1416" t="str">
        <f t="shared" si="106"/>
        <v>128-FORMAÇÃO DE RECURSOS HUMANOS</v>
      </c>
      <c r="M1416" t="str">
        <f t="shared" si="107"/>
        <v>0002-Governo Inteligente, Aberto e Inovador​</v>
      </c>
      <c r="N1416" t="str">
        <f t="shared" si="108"/>
        <v>2.003-Qualificação de Servidores e Processos Institucionais</v>
      </c>
      <c r="O1416" t="str">
        <f t="shared" si="109"/>
        <v>3.3.90.39.00-OUTROS SERVIÇOS DE TERCEIROS - PESSOA JURÍDICA</v>
      </c>
      <c r="R1416" s="25">
        <v>800000</v>
      </c>
      <c r="S1416" t="s">
        <v>1035</v>
      </c>
    </row>
    <row r="1417" spans="1:19" x14ac:dyDescent="0.25">
      <c r="A1417" t="str">
        <f t="shared" si="98"/>
        <v>22</v>
      </c>
      <c r="B1417" t="str">
        <f t="shared" si="99"/>
        <v>002</v>
      </c>
      <c r="C1417" t="str">
        <f t="shared" si="100"/>
        <v>04</v>
      </c>
      <c r="D1417" t="str">
        <f t="shared" si="101"/>
        <v>361</v>
      </c>
      <c r="E1417" t="str">
        <f t="shared" si="102"/>
        <v>0002</v>
      </c>
      <c r="F1417" t="str">
        <f t="shared" si="103"/>
        <v>2.003</v>
      </c>
      <c r="G1417" t="str">
        <f t="shared" si="104"/>
        <v>3.3.90.39.00</v>
      </c>
      <c r="H1417" t="s">
        <v>1459</v>
      </c>
      <c r="I1417" t="s">
        <v>1454</v>
      </c>
      <c r="J1417" t="s">
        <v>775</v>
      </c>
      <c r="K1417" t="str">
        <f t="shared" si="105"/>
        <v>4-ADMINISTRAÇÃO</v>
      </c>
      <c r="L1417" t="str">
        <f t="shared" si="106"/>
        <v>361-ENSINO FUNDAMENTAL</v>
      </c>
      <c r="M1417" t="str">
        <f t="shared" si="107"/>
        <v>0002-Governo Inteligente, Aberto e Inovador​</v>
      </c>
      <c r="N1417" t="str">
        <f t="shared" si="108"/>
        <v>2.003-Qualificação de Servidores e Processos Institucionais</v>
      </c>
      <c r="O1417" t="str">
        <f t="shared" si="109"/>
        <v>3.3.90.39.00-OUTROS SERVIÇOS DE TERCEIROS - PESSOA JURÍDICA</v>
      </c>
      <c r="R1417" s="25">
        <v>367500</v>
      </c>
      <c r="S1417" t="s">
        <v>1035</v>
      </c>
    </row>
    <row r="1418" spans="1:19" x14ac:dyDescent="0.25">
      <c r="A1418" t="str">
        <f t="shared" si="98"/>
        <v>22</v>
      </c>
      <c r="B1418" t="str">
        <f t="shared" si="99"/>
        <v>002</v>
      </c>
      <c r="C1418" t="str">
        <f t="shared" si="100"/>
        <v>12</v>
      </c>
      <c r="D1418" t="str">
        <f t="shared" si="101"/>
        <v>122</v>
      </c>
      <c r="E1418" t="str">
        <f t="shared" si="102"/>
        <v>0001</v>
      </c>
      <c r="F1418" t="str">
        <f t="shared" si="103"/>
        <v>2.011</v>
      </c>
      <c r="G1418" t="str">
        <f t="shared" si="104"/>
        <v>3.3.90.30.00</v>
      </c>
      <c r="H1418" t="s">
        <v>1460</v>
      </c>
      <c r="I1418" t="s">
        <v>1454</v>
      </c>
      <c r="J1418" t="s">
        <v>775</v>
      </c>
      <c r="K1418" t="str">
        <f t="shared" si="105"/>
        <v>12-EDUCAÇÃO</v>
      </c>
      <c r="L1418" t="str">
        <f t="shared" si="106"/>
        <v>122-ADMINISTRAÇÃO GERAL</v>
      </c>
      <c r="M1418" t="str">
        <f t="shared" si="107"/>
        <v>0001-Administração e Coordenação Geral​</v>
      </c>
      <c r="N1418" t="str">
        <f t="shared" si="108"/>
        <v xml:space="preserve">2.011-Manutenção de Equipamentos Públicos </v>
      </c>
      <c r="O1418" t="str">
        <f t="shared" si="109"/>
        <v>3.3.90.30.00-MATERIAL DE CONSUMO</v>
      </c>
      <c r="R1418" s="25">
        <v>210000</v>
      </c>
      <c r="S1418" t="s">
        <v>1035</v>
      </c>
    </row>
    <row r="1419" spans="1:19" x14ac:dyDescent="0.25">
      <c r="A1419" t="str">
        <f t="shared" si="98"/>
        <v>22</v>
      </c>
      <c r="B1419" t="str">
        <f t="shared" si="99"/>
        <v>002</v>
      </c>
      <c r="C1419" t="str">
        <f t="shared" si="100"/>
        <v>12</v>
      </c>
      <c r="D1419" t="str">
        <f t="shared" si="101"/>
        <v>126</v>
      </c>
      <c r="E1419" t="str">
        <f t="shared" si="102"/>
        <v>0002</v>
      </c>
      <c r="F1419" t="str">
        <f t="shared" si="103"/>
        <v>2.007</v>
      </c>
      <c r="G1419" t="str">
        <f t="shared" si="104"/>
        <v>3.3.90.40.00</v>
      </c>
      <c r="H1419" t="s">
        <v>1461</v>
      </c>
      <c r="I1419" t="s">
        <v>1454</v>
      </c>
      <c r="J1419" t="s">
        <v>775</v>
      </c>
      <c r="K1419" t="str">
        <f t="shared" si="105"/>
        <v>12-EDUCAÇÃO</v>
      </c>
      <c r="L1419" t="str">
        <f t="shared" si="106"/>
        <v>126-TECNOLOGIA DA INFORMATIZAÇÃO</v>
      </c>
      <c r="M1419" t="str">
        <f t="shared" si="107"/>
        <v>0002-Governo Inteligente, Aberto e Inovador​</v>
      </c>
      <c r="N1419" t="str">
        <f t="shared" si="108"/>
        <v>2.007-Ampliação e Manutenção de Sistemas de Inteligência, Fiscalização e Tecnologia</v>
      </c>
      <c r="O1419" t="str">
        <f t="shared" si="109"/>
        <v>3.3.90.40.00-SERVIÇOS DE TECNOLOGIA DA INFORMAÇÃO E COMUNICAÇÃO - PESSOA JURÍDICA</v>
      </c>
      <c r="R1419" s="25">
        <v>5918.85</v>
      </c>
      <c r="S1419" t="s">
        <v>1035</v>
      </c>
    </row>
    <row r="1420" spans="1:19" x14ac:dyDescent="0.25">
      <c r="A1420" t="str">
        <f t="shared" si="98"/>
        <v>22</v>
      </c>
      <c r="B1420" t="str">
        <f t="shared" si="99"/>
        <v>002</v>
      </c>
      <c r="C1420" t="str">
        <f t="shared" si="100"/>
        <v>12</v>
      </c>
      <c r="D1420" t="str">
        <f t="shared" si="101"/>
        <v>361</v>
      </c>
      <c r="E1420" t="str">
        <f t="shared" si="102"/>
        <v>0001</v>
      </c>
      <c r="F1420" t="str">
        <f t="shared" si="103"/>
        <v>2.008</v>
      </c>
      <c r="G1420" t="str">
        <f t="shared" si="104"/>
        <v>3.3.90.36.00</v>
      </c>
      <c r="H1420" t="s">
        <v>1462</v>
      </c>
      <c r="I1420" t="s">
        <v>1454</v>
      </c>
      <c r="J1420" t="s">
        <v>775</v>
      </c>
      <c r="K1420" t="str">
        <f t="shared" si="105"/>
        <v>12-EDUCAÇÃO</v>
      </c>
      <c r="L1420" t="str">
        <f t="shared" si="106"/>
        <v>361-ENSINO FUNDAMENTAL</v>
      </c>
      <c r="M1420" t="str">
        <f t="shared" si="107"/>
        <v>0001-Administração e Coordenação Geral​</v>
      </c>
      <c r="N1420" t="str">
        <f t="shared" si="108"/>
        <v>2.008-Estágio e Aprendizagem</v>
      </c>
      <c r="O1420" t="str">
        <f t="shared" si="109"/>
        <v>3.3.90.36.00-OUTROS SERVIÇOS DE TERCEIROS - PESSOA FÍSICA</v>
      </c>
      <c r="R1420" s="25">
        <v>105000</v>
      </c>
      <c r="S1420" t="s">
        <v>1035</v>
      </c>
    </row>
    <row r="1421" spans="1:19" x14ac:dyDescent="0.25">
      <c r="A1421" t="str">
        <f t="shared" si="98"/>
        <v>22</v>
      </c>
      <c r="B1421" t="str">
        <f t="shared" si="99"/>
        <v>002</v>
      </c>
      <c r="C1421" t="str">
        <f t="shared" si="100"/>
        <v>12</v>
      </c>
      <c r="D1421" t="str">
        <f t="shared" si="101"/>
        <v>361</v>
      </c>
      <c r="E1421" t="str">
        <f t="shared" si="102"/>
        <v>0016</v>
      </c>
      <c r="F1421" t="str">
        <f t="shared" si="103"/>
        <v>2.011</v>
      </c>
      <c r="G1421" t="str">
        <f t="shared" si="104"/>
        <v>3.3.90.47.00</v>
      </c>
      <c r="H1421" t="s">
        <v>1463</v>
      </c>
      <c r="I1421" t="s">
        <v>1454</v>
      </c>
      <c r="J1421" t="s">
        <v>775</v>
      </c>
      <c r="K1421" t="str">
        <f t="shared" si="105"/>
        <v>12-EDUCAÇÃO</v>
      </c>
      <c r="L1421" t="str">
        <f t="shared" si="106"/>
        <v>361-ENSINO FUNDAMENTAL</v>
      </c>
      <c r="M1421" t="str">
        <f t="shared" si="107"/>
        <v>0016-Escola para Todos​</v>
      </c>
      <c r="N1421" t="str">
        <f t="shared" si="108"/>
        <v xml:space="preserve">2.011-Manutenção de Equipamentos Públicos </v>
      </c>
      <c r="O1421" t="str">
        <f>G1421</f>
        <v>3.3.90.47.00</v>
      </c>
      <c r="R1421" s="25">
        <v>178530.45</v>
      </c>
      <c r="S1421" t="s">
        <v>1035</v>
      </c>
    </row>
    <row r="1422" spans="1:19" x14ac:dyDescent="0.25">
      <c r="A1422" t="str">
        <f t="shared" si="98"/>
        <v>22</v>
      </c>
      <c r="B1422" t="str">
        <f t="shared" si="99"/>
        <v>002</v>
      </c>
      <c r="C1422" t="str">
        <f t="shared" si="100"/>
        <v>12</v>
      </c>
      <c r="D1422" t="str">
        <f t="shared" si="101"/>
        <v>361</v>
      </c>
      <c r="E1422" t="str">
        <f t="shared" si="102"/>
        <v>0016</v>
      </c>
      <c r="F1422" t="str">
        <f t="shared" si="103"/>
        <v>2.020</v>
      </c>
      <c r="G1422" t="str">
        <f t="shared" si="104"/>
        <v>4.4.90.52.00</v>
      </c>
      <c r="H1422" t="s">
        <v>1464</v>
      </c>
      <c r="I1422" t="s">
        <v>1454</v>
      </c>
      <c r="J1422" t="s">
        <v>775</v>
      </c>
      <c r="K1422" t="str">
        <f t="shared" si="105"/>
        <v>12-EDUCAÇÃO</v>
      </c>
      <c r="L1422" t="str">
        <f t="shared" si="106"/>
        <v>361-ENSINO FUNDAMENTAL</v>
      </c>
      <c r="M1422" t="str">
        <f t="shared" si="107"/>
        <v>0016-Escola para Todos​</v>
      </c>
      <c r="N1422" t="str">
        <f t="shared" si="108"/>
        <v xml:space="preserve">2.020-Transporte de Alunos </v>
      </c>
      <c r="O1422" t="str">
        <f t="shared" si="109"/>
        <v>4.4.90.52.00-EQUIPAMENTOS E MATERIAL PERMANENTE</v>
      </c>
      <c r="R1422" s="25">
        <v>105000</v>
      </c>
      <c r="S1422" t="s">
        <v>1035</v>
      </c>
    </row>
    <row r="1423" spans="1:19" x14ac:dyDescent="0.25">
      <c r="A1423" t="str">
        <f t="shared" si="98"/>
        <v>22</v>
      </c>
      <c r="B1423" t="str">
        <f t="shared" si="99"/>
        <v>004</v>
      </c>
      <c r="C1423" t="str">
        <f t="shared" si="100"/>
        <v>04</v>
      </c>
      <c r="D1423" t="str">
        <f t="shared" si="101"/>
        <v>362</v>
      </c>
      <c r="E1423" t="str">
        <f t="shared" si="102"/>
        <v>0002</v>
      </c>
      <c r="F1423" t="str">
        <f t="shared" si="103"/>
        <v>2.003</v>
      </c>
      <c r="G1423" t="str">
        <f t="shared" si="104"/>
        <v>3.3.90.39.00</v>
      </c>
      <c r="H1423" t="s">
        <v>1465</v>
      </c>
      <c r="I1423" t="s">
        <v>1454</v>
      </c>
      <c r="J1423" t="s">
        <v>2210</v>
      </c>
      <c r="K1423" t="str">
        <f t="shared" si="105"/>
        <v>4-ADMINISTRAÇÃO</v>
      </c>
      <c r="L1423" t="str">
        <f>D1423</f>
        <v>362</v>
      </c>
      <c r="M1423" t="str">
        <f t="shared" si="107"/>
        <v>0002-Governo Inteligente, Aberto e Inovador​</v>
      </c>
      <c r="N1423" t="str">
        <f t="shared" si="108"/>
        <v>2.003-Qualificação de Servidores e Processos Institucionais</v>
      </c>
      <c r="O1423" t="str">
        <f t="shared" si="109"/>
        <v>3.3.90.39.00-OUTROS SERVIÇOS DE TERCEIROS - PESSOA JURÍDICA</v>
      </c>
      <c r="R1423" s="25">
        <v>300000</v>
      </c>
      <c r="S1423" t="s">
        <v>1035</v>
      </c>
    </row>
    <row r="1424" spans="1:19" x14ac:dyDescent="0.25">
      <c r="A1424" t="str">
        <f t="shared" si="98"/>
        <v>22</v>
      </c>
      <c r="B1424" t="str">
        <f t="shared" si="99"/>
        <v>004</v>
      </c>
      <c r="C1424" t="str">
        <f t="shared" si="100"/>
        <v>12</v>
      </c>
      <c r="D1424" t="str">
        <f t="shared" si="101"/>
        <v>122</v>
      </c>
      <c r="E1424" t="str">
        <f t="shared" si="102"/>
        <v>0001</v>
      </c>
      <c r="F1424" t="str">
        <f t="shared" si="103"/>
        <v>2.011</v>
      </c>
      <c r="G1424" t="str">
        <f t="shared" si="104"/>
        <v>3.3.90.30.00</v>
      </c>
      <c r="H1424" t="s">
        <v>1466</v>
      </c>
      <c r="I1424" t="s">
        <v>1454</v>
      </c>
      <c r="J1424" t="s">
        <v>2210</v>
      </c>
      <c r="K1424" t="str">
        <f t="shared" si="105"/>
        <v>12-EDUCAÇÃO</v>
      </c>
      <c r="L1424" t="str">
        <f t="shared" si="106"/>
        <v>122-ADMINISTRAÇÃO GERAL</v>
      </c>
      <c r="M1424" t="str">
        <f t="shared" si="107"/>
        <v>0001-Administração e Coordenação Geral​</v>
      </c>
      <c r="N1424" t="str">
        <f t="shared" si="108"/>
        <v xml:space="preserve">2.011-Manutenção de Equipamentos Públicos </v>
      </c>
      <c r="O1424" t="str">
        <f t="shared" si="109"/>
        <v>3.3.90.30.00-MATERIAL DE CONSUMO</v>
      </c>
      <c r="R1424" s="25">
        <v>200000</v>
      </c>
      <c r="S1424" t="s">
        <v>1035</v>
      </c>
    </row>
    <row r="1425" spans="1:19" x14ac:dyDescent="0.25">
      <c r="A1425" t="str">
        <f t="shared" si="98"/>
        <v>22</v>
      </c>
      <c r="B1425" t="str">
        <f t="shared" si="99"/>
        <v>004</v>
      </c>
      <c r="C1425" t="str">
        <f t="shared" si="100"/>
        <v>12</v>
      </c>
      <c r="D1425" t="str">
        <f t="shared" si="101"/>
        <v>126</v>
      </c>
      <c r="E1425" t="str">
        <f t="shared" si="102"/>
        <v>0002</v>
      </c>
      <c r="F1425" t="str">
        <f t="shared" si="103"/>
        <v>2.007</v>
      </c>
      <c r="G1425" t="str">
        <f t="shared" si="104"/>
        <v>3.3.90.40.00</v>
      </c>
      <c r="H1425" t="s">
        <v>1467</v>
      </c>
      <c r="I1425" t="s">
        <v>1454</v>
      </c>
      <c r="J1425" t="s">
        <v>2210</v>
      </c>
      <c r="K1425" t="str">
        <f t="shared" si="105"/>
        <v>12-EDUCAÇÃO</v>
      </c>
      <c r="L1425" t="str">
        <f t="shared" si="106"/>
        <v>126-TECNOLOGIA DA INFORMATIZAÇÃO</v>
      </c>
      <c r="M1425" t="str">
        <f t="shared" si="107"/>
        <v>0002-Governo Inteligente, Aberto e Inovador​</v>
      </c>
      <c r="N1425" t="str">
        <f t="shared" si="108"/>
        <v>2.007-Ampliação e Manutenção de Sistemas de Inteligência, Fiscalização e Tecnologia</v>
      </c>
      <c r="O1425" t="str">
        <f t="shared" si="109"/>
        <v>3.3.90.40.00-SERVIÇOS DE TECNOLOGIA DA INFORMAÇÃO E COMUNICAÇÃO - PESSOA JURÍDICA</v>
      </c>
      <c r="R1425" s="25">
        <v>5918.85</v>
      </c>
      <c r="S1425" t="s">
        <v>1035</v>
      </c>
    </row>
    <row r="1426" spans="1:19" x14ac:dyDescent="0.25">
      <c r="A1426" t="str">
        <f t="shared" si="98"/>
        <v>22</v>
      </c>
      <c r="B1426" t="str">
        <f t="shared" si="99"/>
        <v>004</v>
      </c>
      <c r="C1426" t="str">
        <f t="shared" si="100"/>
        <v>12</v>
      </c>
      <c r="D1426" t="str">
        <f t="shared" si="101"/>
        <v>362</v>
      </c>
      <c r="E1426" t="str">
        <f t="shared" si="102"/>
        <v>0001</v>
      </c>
      <c r="F1426" t="str">
        <f t="shared" si="103"/>
        <v>2.008</v>
      </c>
      <c r="G1426" t="str">
        <f t="shared" si="104"/>
        <v>3.3.90.36.00</v>
      </c>
      <c r="H1426" t="s">
        <v>1468</v>
      </c>
      <c r="I1426" t="s">
        <v>1454</v>
      </c>
      <c r="J1426" t="s">
        <v>2210</v>
      </c>
      <c r="K1426" t="str">
        <f t="shared" si="105"/>
        <v>12-EDUCAÇÃO</v>
      </c>
      <c r="L1426" t="str">
        <f>D1426</f>
        <v>362</v>
      </c>
      <c r="M1426" t="str">
        <f t="shared" si="107"/>
        <v>0001-Administração e Coordenação Geral​</v>
      </c>
      <c r="N1426" t="str">
        <f t="shared" si="108"/>
        <v>2.008-Estágio e Aprendizagem</v>
      </c>
      <c r="O1426" t="str">
        <f t="shared" si="109"/>
        <v>3.3.90.36.00-OUTROS SERVIÇOS DE TERCEIROS - PESSOA FÍSICA</v>
      </c>
      <c r="R1426" s="25">
        <v>12210.45</v>
      </c>
      <c r="S1426" t="s">
        <v>1035</v>
      </c>
    </row>
    <row r="1427" spans="1:19" x14ac:dyDescent="0.25">
      <c r="A1427" t="str">
        <f t="shared" si="98"/>
        <v>22</v>
      </c>
      <c r="B1427" t="str">
        <f t="shared" si="99"/>
        <v>004</v>
      </c>
      <c r="C1427" t="str">
        <f t="shared" si="100"/>
        <v>12</v>
      </c>
      <c r="D1427" t="str">
        <f t="shared" si="101"/>
        <v>362</v>
      </c>
      <c r="E1427" t="str">
        <f t="shared" si="102"/>
        <v>0001</v>
      </c>
      <c r="F1427" t="str">
        <f t="shared" si="103"/>
        <v>2.011</v>
      </c>
      <c r="G1427" t="str">
        <f t="shared" si="104"/>
        <v>3.3.90.30.00</v>
      </c>
      <c r="H1427" t="s">
        <v>1469</v>
      </c>
      <c r="I1427" t="s">
        <v>1454</v>
      </c>
      <c r="J1427" t="s">
        <v>2210</v>
      </c>
      <c r="K1427" t="str">
        <f t="shared" si="105"/>
        <v>12-EDUCAÇÃO</v>
      </c>
      <c r="L1427" t="str">
        <f>D1427</f>
        <v>362</v>
      </c>
      <c r="M1427" t="str">
        <f t="shared" si="107"/>
        <v>0001-Administração e Coordenação Geral​</v>
      </c>
      <c r="N1427" t="str">
        <f t="shared" si="108"/>
        <v xml:space="preserve">2.011-Manutenção de Equipamentos Públicos </v>
      </c>
      <c r="O1427" t="str">
        <f t="shared" si="109"/>
        <v>3.3.90.30.00-MATERIAL DE CONSUMO</v>
      </c>
      <c r="R1427" s="25">
        <v>210000</v>
      </c>
      <c r="S1427" t="s">
        <v>1035</v>
      </c>
    </row>
    <row r="1428" spans="1:19" x14ac:dyDescent="0.25">
      <c r="A1428" t="str">
        <f t="shared" si="98"/>
        <v>22</v>
      </c>
      <c r="B1428" t="str">
        <f t="shared" si="99"/>
        <v>004</v>
      </c>
      <c r="C1428" t="str">
        <f t="shared" si="100"/>
        <v>12</v>
      </c>
      <c r="D1428" t="str">
        <f t="shared" si="101"/>
        <v>362</v>
      </c>
      <c r="E1428" t="str">
        <f t="shared" si="102"/>
        <v>0016</v>
      </c>
      <c r="F1428" t="str">
        <f t="shared" si="103"/>
        <v>2.020</v>
      </c>
      <c r="G1428" t="str">
        <f t="shared" si="104"/>
        <v>4.4.90.52.00</v>
      </c>
      <c r="H1428" t="s">
        <v>1470</v>
      </c>
      <c r="I1428" t="s">
        <v>1454</v>
      </c>
      <c r="J1428" t="s">
        <v>2210</v>
      </c>
      <c r="K1428" t="str">
        <f t="shared" si="105"/>
        <v>12-EDUCAÇÃO</v>
      </c>
      <c r="L1428" t="str">
        <f>D1428</f>
        <v>362</v>
      </c>
      <c r="M1428" t="str">
        <f t="shared" si="107"/>
        <v>0016-Escola para Todos​</v>
      </c>
      <c r="N1428" t="str">
        <f t="shared" si="108"/>
        <v xml:space="preserve">2.020-Transporte de Alunos </v>
      </c>
      <c r="O1428" t="str">
        <f t="shared" si="109"/>
        <v>4.4.90.52.00-EQUIPAMENTOS E MATERIAL PERMANENTE</v>
      </c>
      <c r="R1428" s="25">
        <v>262500</v>
      </c>
      <c r="S1428" t="s">
        <v>1035</v>
      </c>
    </row>
    <row r="1429" spans="1:19" x14ac:dyDescent="0.25">
      <c r="A1429" t="str">
        <f t="shared" si="98"/>
        <v>22</v>
      </c>
      <c r="B1429" t="str">
        <f t="shared" si="99"/>
        <v>006</v>
      </c>
      <c r="C1429" t="str">
        <f t="shared" si="100"/>
        <v>12</v>
      </c>
      <c r="D1429" t="str">
        <f t="shared" si="101"/>
        <v>364</v>
      </c>
      <c r="E1429" t="str">
        <f t="shared" si="102"/>
        <v>0001</v>
      </c>
      <c r="F1429" t="str">
        <f t="shared" si="103"/>
        <v>2.011</v>
      </c>
      <c r="G1429" t="str">
        <f t="shared" si="104"/>
        <v>3.3.90.39.00</v>
      </c>
      <c r="H1429" t="s">
        <v>1471</v>
      </c>
      <c r="I1429" t="s">
        <v>1454</v>
      </c>
      <c r="J1429" t="s">
        <v>348</v>
      </c>
      <c r="K1429" t="str">
        <f t="shared" si="105"/>
        <v>12-EDUCAÇÃO</v>
      </c>
      <c r="L1429" t="str">
        <f t="shared" si="106"/>
        <v>364-ENSINO SUPERIOR</v>
      </c>
      <c r="M1429" t="str">
        <f t="shared" si="107"/>
        <v>0001-Administração e Coordenação Geral​</v>
      </c>
      <c r="N1429" t="str">
        <f t="shared" si="108"/>
        <v xml:space="preserve">2.011-Manutenção de Equipamentos Públicos </v>
      </c>
      <c r="O1429" t="str">
        <f t="shared" si="109"/>
        <v>3.3.90.39.00-OUTROS SERVIÇOS DE TERCEIROS - PESSOA JURÍDICA</v>
      </c>
      <c r="R1429" s="25">
        <v>1080.45</v>
      </c>
      <c r="S1429" t="s">
        <v>1035</v>
      </c>
    </row>
    <row r="1430" spans="1:19" x14ac:dyDescent="0.25">
      <c r="A1430" t="str">
        <f t="shared" si="98"/>
        <v>22</v>
      </c>
      <c r="B1430" t="str">
        <f t="shared" si="99"/>
        <v>007</v>
      </c>
      <c r="C1430" t="str">
        <f t="shared" si="100"/>
        <v>04</v>
      </c>
      <c r="D1430" t="str">
        <f t="shared" si="101"/>
        <v>128</v>
      </c>
      <c r="E1430" t="str">
        <f t="shared" si="102"/>
        <v>0002</v>
      </c>
      <c r="F1430" t="str">
        <f t="shared" si="103"/>
        <v>2.003</v>
      </c>
      <c r="G1430" t="str">
        <f t="shared" si="104"/>
        <v>3.3.90.39.00</v>
      </c>
      <c r="H1430" t="s">
        <v>1472</v>
      </c>
      <c r="I1430" t="s">
        <v>1454</v>
      </c>
      <c r="J1430" t="s">
        <v>660</v>
      </c>
      <c r="K1430" t="str">
        <f t="shared" si="105"/>
        <v>4-ADMINISTRAÇÃO</v>
      </c>
      <c r="L1430" t="str">
        <f t="shared" si="106"/>
        <v>128-FORMAÇÃO DE RECURSOS HUMANOS</v>
      </c>
      <c r="M1430" t="str">
        <f t="shared" si="107"/>
        <v>0002-Governo Inteligente, Aberto e Inovador​</v>
      </c>
      <c r="N1430" t="str">
        <f t="shared" si="108"/>
        <v>2.003-Qualificação de Servidores e Processos Institucionais</v>
      </c>
      <c r="O1430" t="str">
        <f t="shared" si="109"/>
        <v>3.3.90.39.00-OUTROS SERVIÇOS DE TERCEIROS - PESSOA JURÍDICA</v>
      </c>
      <c r="R1430" s="25">
        <v>1076.25</v>
      </c>
      <c r="S1430" t="s">
        <v>1035</v>
      </c>
    </row>
    <row r="1431" spans="1:19" x14ac:dyDescent="0.25">
      <c r="A1431" t="str">
        <f t="shared" si="98"/>
        <v>22</v>
      </c>
      <c r="B1431" t="str">
        <f t="shared" si="99"/>
        <v>007</v>
      </c>
      <c r="C1431" t="str">
        <f t="shared" si="100"/>
        <v>13</v>
      </c>
      <c r="D1431" t="str">
        <f t="shared" si="101"/>
        <v>126</v>
      </c>
      <c r="E1431" t="str">
        <f t="shared" si="102"/>
        <v>0002</v>
      </c>
      <c r="F1431" t="str">
        <f t="shared" si="103"/>
        <v>2.007</v>
      </c>
      <c r="G1431" t="str">
        <f t="shared" si="104"/>
        <v>3.3.90.40.00</v>
      </c>
      <c r="H1431" t="s">
        <v>1473</v>
      </c>
      <c r="I1431" t="s">
        <v>1454</v>
      </c>
      <c r="J1431" t="s">
        <v>660</v>
      </c>
      <c r="K1431" t="str">
        <f t="shared" si="105"/>
        <v>13-CULTURA</v>
      </c>
      <c r="L1431" t="str">
        <f t="shared" si="106"/>
        <v>126-TECNOLOGIA DA INFORMATIZAÇÃO</v>
      </c>
      <c r="M1431" t="str">
        <f t="shared" si="107"/>
        <v>0002-Governo Inteligente, Aberto e Inovador​</v>
      </c>
      <c r="N1431" t="str">
        <f t="shared" si="108"/>
        <v>2.007-Ampliação e Manutenção de Sistemas de Inteligência, Fiscalização e Tecnologia</v>
      </c>
      <c r="O1431" t="str">
        <f t="shared" si="109"/>
        <v>3.3.90.40.00-SERVIÇOS DE TECNOLOGIA DA INFORMAÇÃO E COMUNICAÇÃO - PESSOA JURÍDICA</v>
      </c>
      <c r="R1431" s="25">
        <v>5918.85</v>
      </c>
      <c r="S1431" t="s">
        <v>1035</v>
      </c>
    </row>
    <row r="1432" spans="1:19" x14ac:dyDescent="0.25">
      <c r="A1432" t="str">
        <f t="shared" si="98"/>
        <v>22</v>
      </c>
      <c r="B1432" t="str">
        <f t="shared" si="99"/>
        <v>007</v>
      </c>
      <c r="C1432" t="str">
        <f t="shared" si="100"/>
        <v>13</v>
      </c>
      <c r="D1432" t="str">
        <f t="shared" si="101"/>
        <v>128</v>
      </c>
      <c r="E1432" t="str">
        <f t="shared" si="102"/>
        <v>0001</v>
      </c>
      <c r="F1432" t="str">
        <f t="shared" si="103"/>
        <v>2.008</v>
      </c>
      <c r="G1432" t="str">
        <f t="shared" si="104"/>
        <v>3.3.90.36.00</v>
      </c>
      <c r="H1432" t="s">
        <v>1474</v>
      </c>
      <c r="I1432" t="s">
        <v>1454</v>
      </c>
      <c r="J1432" t="s">
        <v>660</v>
      </c>
      <c r="K1432" t="str">
        <f t="shared" si="105"/>
        <v>13-CULTURA</v>
      </c>
      <c r="L1432" t="str">
        <f t="shared" si="106"/>
        <v>128-FORMAÇÃO DE RECURSOS HUMANOS</v>
      </c>
      <c r="M1432" t="str">
        <f t="shared" si="107"/>
        <v>0001-Administração e Coordenação Geral​</v>
      </c>
      <c r="N1432" t="str">
        <f t="shared" si="108"/>
        <v>2.008-Estágio e Aprendizagem</v>
      </c>
      <c r="O1432" t="str">
        <f t="shared" si="109"/>
        <v>3.3.90.36.00-OUTROS SERVIÇOS DE TERCEIROS - PESSOA FÍSICA</v>
      </c>
      <c r="R1432" s="25">
        <v>12210.45</v>
      </c>
      <c r="S1432" t="s">
        <v>1035</v>
      </c>
    </row>
    <row r="1433" spans="1:19" x14ac:dyDescent="0.25">
      <c r="A1433" t="str">
        <f t="shared" si="98"/>
        <v>22</v>
      </c>
      <c r="B1433" t="str">
        <f t="shared" si="99"/>
        <v>007</v>
      </c>
      <c r="C1433" t="str">
        <f t="shared" si="100"/>
        <v>13</v>
      </c>
      <c r="D1433" t="str">
        <f t="shared" si="101"/>
        <v>392</v>
      </c>
      <c r="E1433" t="str">
        <f t="shared" si="102"/>
        <v>0009</v>
      </c>
      <c r="F1433" t="str">
        <f t="shared" si="103"/>
        <v>2.011</v>
      </c>
      <c r="G1433" t="str">
        <f t="shared" si="104"/>
        <v>3.3.90.92.00</v>
      </c>
      <c r="H1433" t="s">
        <v>1475</v>
      </c>
      <c r="I1433" t="s">
        <v>1454</v>
      </c>
      <c r="J1433" t="s">
        <v>660</v>
      </c>
      <c r="K1433" t="str">
        <f t="shared" si="105"/>
        <v>13-CULTURA</v>
      </c>
      <c r="L1433" t="str">
        <f t="shared" si="106"/>
        <v>392-DIFUSÃO CULTURAL</v>
      </c>
      <c r="M1433" t="str">
        <f t="shared" si="107"/>
        <v>0009-Cultura, Economia Criativa e Patrimônio Histórico​</v>
      </c>
      <c r="N1433" t="str">
        <f t="shared" si="108"/>
        <v xml:space="preserve">2.011-Manutenção de Equipamentos Públicos </v>
      </c>
      <c r="O1433" t="str">
        <f t="shared" si="109"/>
        <v>3.3.90.92.00-DESPESAS DE EXERCÍCIOS ANTERIORES</v>
      </c>
      <c r="R1433" s="25">
        <v>0</v>
      </c>
      <c r="S1433" t="s">
        <v>1035</v>
      </c>
    </row>
    <row r="1434" spans="1:19" x14ac:dyDescent="0.25">
      <c r="A1434" t="str">
        <f t="shared" si="98"/>
        <v>22</v>
      </c>
      <c r="B1434" t="str">
        <f t="shared" si="99"/>
        <v>008</v>
      </c>
      <c r="C1434" t="str">
        <f t="shared" si="100"/>
        <v>12</v>
      </c>
      <c r="D1434" t="str">
        <f t="shared" si="101"/>
        <v>365</v>
      </c>
      <c r="E1434" t="str">
        <f t="shared" si="102"/>
        <v>0001</v>
      </c>
      <c r="F1434" t="str">
        <f t="shared" si="103"/>
        <v>2.008</v>
      </c>
      <c r="G1434" t="str">
        <f t="shared" si="104"/>
        <v>3.3.90.36.00</v>
      </c>
      <c r="H1434" t="s">
        <v>1476</v>
      </c>
      <c r="I1434" t="s">
        <v>1454</v>
      </c>
      <c r="J1434" t="s">
        <v>355</v>
      </c>
      <c r="K1434" t="str">
        <f t="shared" si="105"/>
        <v>12-EDUCAÇÃO</v>
      </c>
      <c r="L1434" t="str">
        <f t="shared" si="106"/>
        <v>365-EDUCAÇÃO INFANTIL</v>
      </c>
      <c r="M1434" t="str">
        <f t="shared" si="107"/>
        <v>0001-Administração e Coordenação Geral​</v>
      </c>
      <c r="N1434" t="str">
        <f t="shared" si="108"/>
        <v>2.008-Estágio e Aprendizagem</v>
      </c>
      <c r="O1434" t="str">
        <f t="shared" si="109"/>
        <v>3.3.90.36.00-OUTROS SERVIÇOS DE TERCEIROS - PESSOA FÍSICA</v>
      </c>
      <c r="R1434" s="25">
        <v>1.0499999999992724</v>
      </c>
      <c r="S1434" t="s">
        <v>1035</v>
      </c>
    </row>
    <row r="1435" spans="1:19" x14ac:dyDescent="0.25">
      <c r="A1435" t="str">
        <f t="shared" si="98"/>
        <v>22</v>
      </c>
      <c r="B1435" t="str">
        <f t="shared" si="99"/>
        <v>016</v>
      </c>
      <c r="C1435" t="str">
        <f t="shared" si="100"/>
        <v>12</v>
      </c>
      <c r="D1435" t="str">
        <f t="shared" si="101"/>
        <v>126</v>
      </c>
      <c r="E1435" t="str">
        <f t="shared" si="102"/>
        <v>0002</v>
      </c>
      <c r="F1435" t="str">
        <f t="shared" si="103"/>
        <v>2.007</v>
      </c>
      <c r="G1435" t="str">
        <f t="shared" si="104"/>
        <v>3.3.90.40.00</v>
      </c>
      <c r="H1435" t="s">
        <v>1477</v>
      </c>
      <c r="I1435" t="s">
        <v>1454</v>
      </c>
      <c r="J1435" t="s">
        <v>2212</v>
      </c>
      <c r="K1435" t="str">
        <f t="shared" si="105"/>
        <v>12-EDUCAÇÃO</v>
      </c>
      <c r="L1435" t="str">
        <f t="shared" si="106"/>
        <v>126-TECNOLOGIA DA INFORMATIZAÇÃO</v>
      </c>
      <c r="M1435" t="str">
        <f t="shared" si="107"/>
        <v>0002-Governo Inteligente, Aberto e Inovador​</v>
      </c>
      <c r="N1435" t="str">
        <f t="shared" si="108"/>
        <v>2.007-Ampliação e Manutenção de Sistemas de Inteligência, Fiscalização e Tecnologia</v>
      </c>
      <c r="O1435" t="str">
        <f t="shared" si="109"/>
        <v>3.3.90.40.00-SERVIÇOS DE TECNOLOGIA DA INFORMAÇÃO E COMUNICAÇÃO - PESSOA JURÍDICA</v>
      </c>
      <c r="R1435" s="25">
        <v>210</v>
      </c>
      <c r="S1435" t="s">
        <v>1035</v>
      </c>
    </row>
    <row r="1436" spans="1:19" x14ac:dyDescent="0.25">
      <c r="A1436" t="str">
        <f t="shared" si="98"/>
        <v>22</v>
      </c>
      <c r="B1436" t="str">
        <f t="shared" si="99"/>
        <v>016</v>
      </c>
      <c r="C1436" t="str">
        <f t="shared" si="100"/>
        <v>12</v>
      </c>
      <c r="D1436" t="str">
        <f t="shared" si="101"/>
        <v>365</v>
      </c>
      <c r="E1436" t="str">
        <f t="shared" si="102"/>
        <v>0001</v>
      </c>
      <c r="F1436" t="str">
        <f t="shared" si="103"/>
        <v>2.008</v>
      </c>
      <c r="G1436" t="str">
        <f t="shared" si="104"/>
        <v>3.3.90.36.00</v>
      </c>
      <c r="H1436" t="s">
        <v>1478</v>
      </c>
      <c r="I1436" t="s">
        <v>1454</v>
      </c>
      <c r="J1436" t="s">
        <v>2212</v>
      </c>
      <c r="K1436" t="str">
        <f t="shared" si="105"/>
        <v>12-EDUCAÇÃO</v>
      </c>
      <c r="L1436" t="str">
        <f t="shared" si="106"/>
        <v>365-EDUCAÇÃO INFANTIL</v>
      </c>
      <c r="M1436" t="str">
        <f t="shared" si="107"/>
        <v>0001-Administração e Coordenação Geral​</v>
      </c>
      <c r="N1436" t="str">
        <f t="shared" si="108"/>
        <v>2.008-Estágio e Aprendizagem</v>
      </c>
      <c r="O1436" t="str">
        <f t="shared" si="109"/>
        <v>3.3.90.36.00-OUTROS SERVIÇOS DE TERCEIROS - PESSOA FÍSICA</v>
      </c>
      <c r="R1436" s="25">
        <v>31122</v>
      </c>
      <c r="S1436" t="s">
        <v>1035</v>
      </c>
    </row>
    <row r="1437" spans="1:19" x14ac:dyDescent="0.25">
      <c r="A1437" t="str">
        <f t="shared" si="98"/>
        <v>22</v>
      </c>
      <c r="B1437" t="str">
        <f t="shared" si="99"/>
        <v>016</v>
      </c>
      <c r="C1437" t="str">
        <f t="shared" si="100"/>
        <v>12</v>
      </c>
      <c r="D1437" t="str">
        <f t="shared" si="101"/>
        <v>365</v>
      </c>
      <c r="E1437" t="str">
        <f t="shared" si="102"/>
        <v>0002</v>
      </c>
      <c r="F1437" t="str">
        <f t="shared" si="103"/>
        <v>2.003</v>
      </c>
      <c r="G1437" t="str">
        <f t="shared" si="104"/>
        <v>3.3.90.39.00</v>
      </c>
      <c r="H1437" t="s">
        <v>1479</v>
      </c>
      <c r="I1437" t="s">
        <v>1454</v>
      </c>
      <c r="J1437" t="s">
        <v>2212</v>
      </c>
      <c r="K1437" t="str">
        <f t="shared" si="105"/>
        <v>12-EDUCAÇÃO</v>
      </c>
      <c r="L1437" t="str">
        <f t="shared" si="106"/>
        <v>365-EDUCAÇÃO INFANTIL</v>
      </c>
      <c r="M1437" t="str">
        <f t="shared" si="107"/>
        <v>0002-Governo Inteligente, Aberto e Inovador​</v>
      </c>
      <c r="N1437" t="str">
        <f t="shared" si="108"/>
        <v>2.003-Qualificação de Servidores e Processos Institucionais</v>
      </c>
      <c r="O1437" t="str">
        <f t="shared" si="109"/>
        <v>3.3.90.39.00-OUTROS SERVIÇOS DE TERCEIROS - PESSOA JURÍDICA</v>
      </c>
      <c r="R1437" s="25">
        <v>21000</v>
      </c>
      <c r="S1437" t="s">
        <v>1035</v>
      </c>
    </row>
    <row r="1438" spans="1:19" x14ac:dyDescent="0.25">
      <c r="A1438" t="str">
        <f t="shared" si="98"/>
        <v>22</v>
      </c>
      <c r="B1438" t="str">
        <f t="shared" si="99"/>
        <v>016</v>
      </c>
      <c r="C1438" t="str">
        <f t="shared" si="100"/>
        <v>12</v>
      </c>
      <c r="D1438" t="str">
        <f t="shared" si="101"/>
        <v>365</v>
      </c>
      <c r="E1438" t="str">
        <f t="shared" si="102"/>
        <v>0016</v>
      </c>
      <c r="F1438" t="str">
        <f t="shared" si="103"/>
        <v>2.011</v>
      </c>
      <c r="G1438" t="str">
        <f t="shared" si="104"/>
        <v>3.3.90.33.00</v>
      </c>
      <c r="H1438" t="s">
        <v>1480</v>
      </c>
      <c r="I1438" t="s">
        <v>1454</v>
      </c>
      <c r="J1438" t="s">
        <v>2212</v>
      </c>
      <c r="K1438" t="str">
        <f t="shared" si="105"/>
        <v>12-EDUCAÇÃO</v>
      </c>
      <c r="L1438" t="str">
        <f t="shared" si="106"/>
        <v>365-EDUCAÇÃO INFANTIL</v>
      </c>
      <c r="M1438" t="str">
        <f t="shared" si="107"/>
        <v>0016-Escola para Todos​</v>
      </c>
      <c r="N1438" t="str">
        <f t="shared" si="108"/>
        <v xml:space="preserve">2.011-Manutenção de Equipamentos Públicos </v>
      </c>
      <c r="O1438" t="str">
        <f t="shared" si="109"/>
        <v>3.3.90.33.00-PASSAGENS E DESPESAS COM LOCOMOÇÃO</v>
      </c>
      <c r="R1438" s="25">
        <v>8400</v>
      </c>
      <c r="S1438" t="s">
        <v>1035</v>
      </c>
    </row>
    <row r="1439" spans="1:19" x14ac:dyDescent="0.25">
      <c r="A1439" t="str">
        <f t="shared" si="98"/>
        <v>22</v>
      </c>
      <c r="B1439" t="str">
        <f t="shared" si="99"/>
        <v>016</v>
      </c>
      <c r="C1439" t="str">
        <f t="shared" si="100"/>
        <v>12</v>
      </c>
      <c r="D1439" t="str">
        <f t="shared" si="101"/>
        <v>365</v>
      </c>
      <c r="E1439" t="str">
        <f t="shared" si="102"/>
        <v>0016</v>
      </c>
      <c r="F1439" t="str">
        <f t="shared" si="103"/>
        <v>2.011</v>
      </c>
      <c r="G1439" t="str">
        <f t="shared" si="104"/>
        <v>3.3.90.37.00</v>
      </c>
      <c r="H1439" t="s">
        <v>1481</v>
      </c>
      <c r="I1439" t="s">
        <v>1454</v>
      </c>
      <c r="J1439" t="s">
        <v>2212</v>
      </c>
      <c r="K1439" t="str">
        <f t="shared" si="105"/>
        <v>12-EDUCAÇÃO</v>
      </c>
      <c r="L1439" t="str">
        <f t="shared" si="106"/>
        <v>365-EDUCAÇÃO INFANTIL</v>
      </c>
      <c r="M1439" t="str">
        <f t="shared" si="107"/>
        <v>0016-Escola para Todos​</v>
      </c>
      <c r="N1439" t="str">
        <f t="shared" si="108"/>
        <v xml:space="preserve">2.011-Manutenção de Equipamentos Públicos </v>
      </c>
      <c r="O1439" t="str">
        <f>G1439</f>
        <v>3.3.90.37.00</v>
      </c>
      <c r="R1439" s="25">
        <v>210</v>
      </c>
      <c r="S1439" t="s">
        <v>1035</v>
      </c>
    </row>
    <row r="1440" spans="1:19" x14ac:dyDescent="0.25">
      <c r="A1440" t="str">
        <f t="shared" si="98"/>
        <v>22</v>
      </c>
      <c r="B1440" t="str">
        <f t="shared" si="99"/>
        <v>016</v>
      </c>
      <c r="C1440" t="str">
        <f t="shared" si="100"/>
        <v>12</v>
      </c>
      <c r="D1440" t="str">
        <f t="shared" si="101"/>
        <v>365</v>
      </c>
      <c r="E1440" t="str">
        <f t="shared" si="102"/>
        <v>0016</v>
      </c>
      <c r="F1440" t="str">
        <f t="shared" si="103"/>
        <v>2.017</v>
      </c>
      <c r="G1440" t="str">
        <f t="shared" si="104"/>
        <v>3.3.90.30.00</v>
      </c>
      <c r="H1440" t="s">
        <v>1482</v>
      </c>
      <c r="I1440" t="s">
        <v>1454</v>
      </c>
      <c r="J1440" t="s">
        <v>2212</v>
      </c>
      <c r="K1440" t="str">
        <f t="shared" si="105"/>
        <v>12-EDUCAÇÃO</v>
      </c>
      <c r="L1440" t="str">
        <f t="shared" si="106"/>
        <v>365-EDUCAÇÃO INFANTIL</v>
      </c>
      <c r="M1440" t="str">
        <f t="shared" si="107"/>
        <v>0016-Escola para Todos​</v>
      </c>
      <c r="N1440" t="str">
        <f t="shared" si="108"/>
        <v xml:space="preserve">2.017-Suporte ao Aluno </v>
      </c>
      <c r="O1440" t="str">
        <f t="shared" si="109"/>
        <v>3.3.90.30.00-MATERIAL DE CONSUMO</v>
      </c>
      <c r="R1440" s="25">
        <v>2100</v>
      </c>
      <c r="S1440" t="s">
        <v>1035</v>
      </c>
    </row>
    <row r="1441" spans="1:19" x14ac:dyDescent="0.25">
      <c r="A1441" t="str">
        <f t="shared" si="98"/>
        <v>22</v>
      </c>
      <c r="B1441" t="str">
        <f t="shared" si="99"/>
        <v>016</v>
      </c>
      <c r="C1441" t="str">
        <f t="shared" si="100"/>
        <v>12</v>
      </c>
      <c r="D1441" t="str">
        <f t="shared" si="101"/>
        <v>365</v>
      </c>
      <c r="E1441" t="str">
        <f t="shared" si="102"/>
        <v>0016</v>
      </c>
      <c r="F1441" t="str">
        <f t="shared" si="103"/>
        <v>2.020</v>
      </c>
      <c r="G1441" t="str">
        <f t="shared" si="104"/>
        <v>4.4.90.52.00</v>
      </c>
      <c r="H1441" t="s">
        <v>1483</v>
      </c>
      <c r="I1441" t="s">
        <v>1454</v>
      </c>
      <c r="J1441" t="s">
        <v>2212</v>
      </c>
      <c r="K1441" t="str">
        <f t="shared" si="105"/>
        <v>12-EDUCAÇÃO</v>
      </c>
      <c r="L1441" t="str">
        <f t="shared" si="106"/>
        <v>365-EDUCAÇÃO INFANTIL</v>
      </c>
      <c r="M1441" t="str">
        <f t="shared" si="107"/>
        <v>0016-Escola para Todos​</v>
      </c>
      <c r="N1441" t="str">
        <f t="shared" si="108"/>
        <v xml:space="preserve">2.020-Transporte de Alunos </v>
      </c>
      <c r="O1441" t="str">
        <f t="shared" si="109"/>
        <v>4.4.90.52.00-EQUIPAMENTOS E MATERIAL PERMANENTE</v>
      </c>
      <c r="R1441" s="25">
        <v>210</v>
      </c>
      <c r="S1441" t="s">
        <v>1035</v>
      </c>
    </row>
    <row r="1442" spans="1:19" x14ac:dyDescent="0.25">
      <c r="A1442" t="str">
        <f t="shared" si="98"/>
        <v>23</v>
      </c>
      <c r="B1442" t="str">
        <f t="shared" si="99"/>
        <v>001</v>
      </c>
      <c r="C1442" t="str">
        <f t="shared" si="100"/>
        <v>04</v>
      </c>
      <c r="D1442" t="str">
        <f t="shared" si="101"/>
        <v>122</v>
      </c>
      <c r="E1442" t="str">
        <f t="shared" si="102"/>
        <v>0001</v>
      </c>
      <c r="F1442" t="str">
        <f t="shared" si="103"/>
        <v>2.005</v>
      </c>
      <c r="G1442" t="str">
        <f t="shared" si="104"/>
        <v>3.3.90.30.00</v>
      </c>
      <c r="H1442" t="s">
        <v>1484</v>
      </c>
      <c r="I1442" t="str">
        <f t="shared" ref="I1442:I1484" si="114">VLOOKUP(A1442,$A$1:$O$994,9,0)</f>
        <v>23 - SECRETARIA DE COMUNICAÇÃO</v>
      </c>
      <c r="J1442" t="s">
        <v>20</v>
      </c>
      <c r="K1442" t="str">
        <f t="shared" si="105"/>
        <v>4-ADMINISTRAÇÃO</v>
      </c>
      <c r="L1442" t="str">
        <f t="shared" si="106"/>
        <v>122-ADMINISTRAÇÃO GERAL</v>
      </c>
      <c r="M1442" t="str">
        <f t="shared" si="107"/>
        <v>0001-Administração e Coordenação Geral​</v>
      </c>
      <c r="N1442" t="str">
        <f t="shared" si="108"/>
        <v xml:space="preserve">2.005-Promoção de Eventos, Comunicação e Participação Social </v>
      </c>
      <c r="O1442" t="str">
        <f t="shared" si="109"/>
        <v>3.3.90.30.00-MATERIAL DE CONSUMO</v>
      </c>
      <c r="R1442" s="25">
        <v>200000</v>
      </c>
      <c r="S1442" t="s">
        <v>1035</v>
      </c>
    </row>
    <row r="1443" spans="1:19" x14ac:dyDescent="0.25">
      <c r="A1443" t="str">
        <f t="shared" ref="A1443:A1506" si="115">LEFT(H1443,2)</f>
        <v>23</v>
      </c>
      <c r="B1443" t="str">
        <f t="shared" ref="B1443:B1506" si="116">MID(H1443,4,3)</f>
        <v>001</v>
      </c>
      <c r="C1443" t="str">
        <f t="shared" ref="C1443:C1506" si="117">MID(H1443,8,2)</f>
        <v>04</v>
      </c>
      <c r="D1443" t="str">
        <f t="shared" ref="D1443:D1506" si="118">MID(H1443,11,3)</f>
        <v>122</v>
      </c>
      <c r="E1443" t="str">
        <f t="shared" ref="E1443:E1506" si="119">MID(H1443,15,4)</f>
        <v>0001</v>
      </c>
      <c r="F1443" t="str">
        <f t="shared" ref="F1443:F1506" si="120">MID(H1443,20,5)</f>
        <v>2.005</v>
      </c>
      <c r="G1443" t="str">
        <f t="shared" ref="G1443:G1506" si="121">MID(H1443,26,12)</f>
        <v>3.3.90.39.00</v>
      </c>
      <c r="H1443" t="s">
        <v>1485</v>
      </c>
      <c r="I1443" t="str">
        <f t="shared" si="114"/>
        <v>23 - SECRETARIA DE COMUNICAÇÃO</v>
      </c>
      <c r="J1443" t="s">
        <v>20</v>
      </c>
      <c r="K1443" t="str">
        <f t="shared" ref="K1443:K1506" si="122">VLOOKUP(C1443,$C$1:$O$994,9,0)</f>
        <v>4-ADMINISTRAÇÃO</v>
      </c>
      <c r="L1443" t="str">
        <f t="shared" ref="L1443:L1506" si="123">VLOOKUP(D1443,$D$1:$O$994,9,0)</f>
        <v>122-ADMINISTRAÇÃO GERAL</v>
      </c>
      <c r="M1443" t="str">
        <f t="shared" ref="M1443:M1506" si="124">VLOOKUP(E1443,$E$1:$O$994,9,0)</f>
        <v>0001-Administração e Coordenação Geral​</v>
      </c>
      <c r="N1443" t="str">
        <f t="shared" ref="N1443:N1506" si="125">VLOOKUP(F1443,$F$1:$O$994,9,0)</f>
        <v xml:space="preserve">2.005-Promoção de Eventos, Comunicação e Participação Social </v>
      </c>
      <c r="O1443" t="str">
        <f t="shared" ref="O1443:O1506" si="126">VLOOKUP(G1443,$G$1:$O$994,9,0)</f>
        <v>3.3.90.39.00-OUTROS SERVIÇOS DE TERCEIROS - PESSOA JURÍDICA</v>
      </c>
      <c r="R1443" s="25">
        <v>28018000</v>
      </c>
      <c r="S1443" t="s">
        <v>1035</v>
      </c>
    </row>
    <row r="1444" spans="1:19" x14ac:dyDescent="0.25">
      <c r="A1444" t="str">
        <f t="shared" si="115"/>
        <v>23</v>
      </c>
      <c r="B1444" t="str">
        <f t="shared" si="116"/>
        <v>001</v>
      </c>
      <c r="C1444" t="str">
        <f t="shared" si="117"/>
        <v>04</v>
      </c>
      <c r="D1444" t="str">
        <f t="shared" si="118"/>
        <v>122</v>
      </c>
      <c r="E1444" t="str">
        <f t="shared" si="119"/>
        <v>0001</v>
      </c>
      <c r="F1444" t="str">
        <f t="shared" si="120"/>
        <v>2.006</v>
      </c>
      <c r="G1444" t="str">
        <f t="shared" si="121"/>
        <v>3.3.90.33.00</v>
      </c>
      <c r="H1444" t="s">
        <v>1486</v>
      </c>
      <c r="I1444" t="str">
        <f t="shared" si="114"/>
        <v>23 - SECRETARIA DE COMUNICAÇÃO</v>
      </c>
      <c r="J1444" t="s">
        <v>20</v>
      </c>
      <c r="K1444" t="str">
        <f t="shared" si="122"/>
        <v>4-ADMINISTRAÇÃO</v>
      </c>
      <c r="L1444" t="str">
        <f t="shared" si="123"/>
        <v>122-ADMINISTRAÇÃO GERAL</v>
      </c>
      <c r="M1444" t="str">
        <f t="shared" si="124"/>
        <v>0001-Administração e Coordenação Geral​</v>
      </c>
      <c r="N1444" t="str">
        <f t="shared" si="125"/>
        <v xml:space="preserve">2.006-Representações Oficiais </v>
      </c>
      <c r="O1444" t="str">
        <f t="shared" si="126"/>
        <v>3.3.90.33.00-PASSAGENS E DESPESAS COM LOCOMOÇÃO</v>
      </c>
      <c r="R1444" s="25">
        <v>1</v>
      </c>
      <c r="S1444" t="s">
        <v>1035</v>
      </c>
    </row>
    <row r="1445" spans="1:19" x14ac:dyDescent="0.25">
      <c r="A1445" t="str">
        <f t="shared" si="115"/>
        <v>23</v>
      </c>
      <c r="B1445" t="str">
        <f t="shared" si="116"/>
        <v>001</v>
      </c>
      <c r="C1445" t="str">
        <f t="shared" si="117"/>
        <v>04</v>
      </c>
      <c r="D1445" t="str">
        <f t="shared" si="118"/>
        <v>122</v>
      </c>
      <c r="E1445" t="str">
        <f t="shared" si="119"/>
        <v>0001</v>
      </c>
      <c r="F1445" t="str">
        <f t="shared" si="120"/>
        <v>2.006</v>
      </c>
      <c r="G1445" t="str">
        <f t="shared" si="121"/>
        <v>3.3.90.39.00</v>
      </c>
      <c r="H1445" t="s">
        <v>1487</v>
      </c>
      <c r="I1445" t="str">
        <f t="shared" si="114"/>
        <v>23 - SECRETARIA DE COMUNICAÇÃO</v>
      </c>
      <c r="J1445" t="s">
        <v>20</v>
      </c>
      <c r="K1445" t="str">
        <f t="shared" si="122"/>
        <v>4-ADMINISTRAÇÃO</v>
      </c>
      <c r="L1445" t="str">
        <f t="shared" si="123"/>
        <v>122-ADMINISTRAÇÃO GERAL</v>
      </c>
      <c r="M1445" t="str">
        <f t="shared" si="124"/>
        <v>0001-Administração e Coordenação Geral​</v>
      </c>
      <c r="N1445" t="str">
        <f t="shared" si="125"/>
        <v xml:space="preserve">2.006-Representações Oficiais </v>
      </c>
      <c r="O1445" t="str">
        <f t="shared" si="126"/>
        <v>3.3.90.39.00-OUTROS SERVIÇOS DE TERCEIROS - PESSOA JURÍDICA</v>
      </c>
      <c r="R1445" s="25">
        <v>1</v>
      </c>
      <c r="S1445" t="s">
        <v>1035</v>
      </c>
    </row>
    <row r="1446" spans="1:19" x14ac:dyDescent="0.25">
      <c r="A1446" t="str">
        <f t="shared" si="115"/>
        <v>23</v>
      </c>
      <c r="B1446" t="str">
        <f t="shared" si="116"/>
        <v>001</v>
      </c>
      <c r="C1446" t="str">
        <f t="shared" si="117"/>
        <v>04</v>
      </c>
      <c r="D1446" t="str">
        <f t="shared" si="118"/>
        <v>122</v>
      </c>
      <c r="E1446" t="str">
        <f t="shared" si="119"/>
        <v>0001</v>
      </c>
      <c r="F1446" t="str">
        <f t="shared" si="120"/>
        <v>2.011</v>
      </c>
      <c r="G1446" t="str">
        <f t="shared" si="121"/>
        <v>3.3.90.30.00</v>
      </c>
      <c r="H1446" t="s">
        <v>1488</v>
      </c>
      <c r="I1446" t="str">
        <f t="shared" si="114"/>
        <v>23 - SECRETARIA DE COMUNICAÇÃO</v>
      </c>
      <c r="J1446" t="s">
        <v>20</v>
      </c>
      <c r="K1446" t="str">
        <f t="shared" si="122"/>
        <v>4-ADMINISTRAÇÃO</v>
      </c>
      <c r="L1446" t="str">
        <f t="shared" si="123"/>
        <v>122-ADMINISTRAÇÃO GERAL</v>
      </c>
      <c r="M1446" t="str">
        <f t="shared" si="124"/>
        <v>0001-Administração e Coordenação Geral​</v>
      </c>
      <c r="N1446" t="str">
        <f t="shared" si="125"/>
        <v xml:space="preserve">2.011-Manutenção de Equipamentos Públicos </v>
      </c>
      <c r="O1446" t="str">
        <f t="shared" si="126"/>
        <v>3.3.90.30.00-MATERIAL DE CONSUMO</v>
      </c>
      <c r="R1446" s="25">
        <v>31173</v>
      </c>
      <c r="S1446" t="s">
        <v>1035</v>
      </c>
    </row>
    <row r="1447" spans="1:19" x14ac:dyDescent="0.25">
      <c r="A1447" t="str">
        <f t="shared" si="115"/>
        <v>23</v>
      </c>
      <c r="B1447" t="str">
        <f t="shared" si="116"/>
        <v>001</v>
      </c>
      <c r="C1447" t="str">
        <f t="shared" si="117"/>
        <v>04</v>
      </c>
      <c r="D1447" t="str">
        <f t="shared" si="118"/>
        <v>122</v>
      </c>
      <c r="E1447" t="str">
        <f t="shared" si="119"/>
        <v>0001</v>
      </c>
      <c r="F1447" t="str">
        <f t="shared" si="120"/>
        <v>2.011</v>
      </c>
      <c r="G1447" t="str">
        <f t="shared" si="121"/>
        <v>3.3.90.39.00</v>
      </c>
      <c r="H1447" t="s">
        <v>1489</v>
      </c>
      <c r="I1447" t="str">
        <f t="shared" si="114"/>
        <v>23 - SECRETARIA DE COMUNICAÇÃO</v>
      </c>
      <c r="J1447" t="s">
        <v>20</v>
      </c>
      <c r="K1447" t="str">
        <f t="shared" si="122"/>
        <v>4-ADMINISTRAÇÃO</v>
      </c>
      <c r="L1447" t="str">
        <f t="shared" si="123"/>
        <v>122-ADMINISTRAÇÃO GERAL</v>
      </c>
      <c r="M1447" t="str">
        <f t="shared" si="124"/>
        <v>0001-Administração e Coordenação Geral​</v>
      </c>
      <c r="N1447" t="str">
        <f t="shared" si="125"/>
        <v xml:space="preserve">2.011-Manutenção de Equipamentos Públicos </v>
      </c>
      <c r="O1447" t="str">
        <f t="shared" si="126"/>
        <v>3.3.90.39.00-OUTROS SERVIÇOS DE TERCEIROS - PESSOA JURÍDICA</v>
      </c>
      <c r="R1447" s="25">
        <v>404988</v>
      </c>
      <c r="S1447" t="s">
        <v>1035</v>
      </c>
    </row>
    <row r="1448" spans="1:19" x14ac:dyDescent="0.25">
      <c r="A1448" t="str">
        <f t="shared" si="115"/>
        <v>23</v>
      </c>
      <c r="B1448" t="str">
        <f t="shared" si="116"/>
        <v>001</v>
      </c>
      <c r="C1448" t="str">
        <f t="shared" si="117"/>
        <v>04</v>
      </c>
      <c r="D1448" t="str">
        <f t="shared" si="118"/>
        <v>128</v>
      </c>
      <c r="E1448" t="str">
        <f t="shared" si="119"/>
        <v>0002</v>
      </c>
      <c r="F1448" t="str">
        <f t="shared" si="120"/>
        <v>2.003</v>
      </c>
      <c r="G1448" t="str">
        <f t="shared" si="121"/>
        <v>3.3.90.39.00</v>
      </c>
      <c r="H1448" t="s">
        <v>1490</v>
      </c>
      <c r="I1448" t="str">
        <f t="shared" si="114"/>
        <v>23 - SECRETARIA DE COMUNICAÇÃO</v>
      </c>
      <c r="J1448" t="s">
        <v>20</v>
      </c>
      <c r="K1448" t="str">
        <f t="shared" si="122"/>
        <v>4-ADMINISTRAÇÃO</v>
      </c>
      <c r="L1448" t="str">
        <f t="shared" si="123"/>
        <v>128-FORMAÇÃO DE RECURSOS HUMANOS</v>
      </c>
      <c r="M1448" t="str">
        <f t="shared" si="124"/>
        <v>0002-Governo Inteligente, Aberto e Inovador​</v>
      </c>
      <c r="N1448" t="str">
        <f t="shared" si="125"/>
        <v>2.003-Qualificação de Servidores e Processos Institucionais</v>
      </c>
      <c r="O1448" t="str">
        <f t="shared" si="126"/>
        <v>3.3.90.39.00-OUTROS SERVIÇOS DE TERCEIROS - PESSOA JURÍDICA</v>
      </c>
      <c r="R1448" s="25">
        <v>1</v>
      </c>
      <c r="S1448" t="s">
        <v>1035</v>
      </c>
    </row>
    <row r="1449" spans="1:19" x14ac:dyDescent="0.25">
      <c r="A1449" t="str">
        <f t="shared" si="115"/>
        <v>23</v>
      </c>
      <c r="B1449" t="str">
        <f t="shared" si="116"/>
        <v>001</v>
      </c>
      <c r="C1449" t="str">
        <f t="shared" si="117"/>
        <v>04</v>
      </c>
      <c r="D1449" t="str">
        <f t="shared" si="118"/>
        <v>131</v>
      </c>
      <c r="E1449" t="str">
        <f t="shared" si="119"/>
        <v>0002</v>
      </c>
      <c r="F1449" t="str">
        <f t="shared" si="120"/>
        <v>2.005</v>
      </c>
      <c r="G1449" t="str">
        <f t="shared" si="121"/>
        <v>3.3.90.30.00</v>
      </c>
      <c r="H1449" t="s">
        <v>1491</v>
      </c>
      <c r="I1449" t="str">
        <f t="shared" si="114"/>
        <v>23 - SECRETARIA DE COMUNICAÇÃO</v>
      </c>
      <c r="J1449" t="s">
        <v>20</v>
      </c>
      <c r="K1449" t="str">
        <f t="shared" si="122"/>
        <v>4-ADMINISTRAÇÃO</v>
      </c>
      <c r="L1449" t="str">
        <f t="shared" si="123"/>
        <v>131-COMUNICAÇÃO SOCIAL</v>
      </c>
      <c r="M1449" t="str">
        <f t="shared" si="124"/>
        <v>0002-Governo Inteligente, Aberto e Inovador​</v>
      </c>
      <c r="N1449" t="str">
        <f t="shared" si="125"/>
        <v xml:space="preserve">2.005-Promoção de Eventos, Comunicação e Participação Social </v>
      </c>
      <c r="O1449" t="str">
        <f t="shared" si="126"/>
        <v>3.3.90.30.00-MATERIAL DE CONSUMO</v>
      </c>
      <c r="R1449" s="25">
        <v>238993</v>
      </c>
      <c r="S1449" t="s">
        <v>1035</v>
      </c>
    </row>
    <row r="1450" spans="1:19" x14ac:dyDescent="0.25">
      <c r="A1450" t="str">
        <f t="shared" si="115"/>
        <v>23</v>
      </c>
      <c r="B1450" t="str">
        <f t="shared" si="116"/>
        <v>001</v>
      </c>
      <c r="C1450" t="str">
        <f t="shared" si="117"/>
        <v>04</v>
      </c>
      <c r="D1450" t="str">
        <f t="shared" si="118"/>
        <v>131</v>
      </c>
      <c r="E1450" t="str">
        <f t="shared" si="119"/>
        <v>0002</v>
      </c>
      <c r="F1450" t="str">
        <f t="shared" si="120"/>
        <v>2.005</v>
      </c>
      <c r="G1450" t="str">
        <f t="shared" si="121"/>
        <v>3.3.90.39.00</v>
      </c>
      <c r="H1450" t="s">
        <v>1492</v>
      </c>
      <c r="I1450" t="str">
        <f t="shared" si="114"/>
        <v>23 - SECRETARIA DE COMUNICAÇÃO</v>
      </c>
      <c r="J1450" t="s">
        <v>20</v>
      </c>
      <c r="K1450" t="str">
        <f t="shared" si="122"/>
        <v>4-ADMINISTRAÇÃO</v>
      </c>
      <c r="L1450" t="str">
        <f t="shared" si="123"/>
        <v>131-COMUNICAÇÃO SOCIAL</v>
      </c>
      <c r="M1450" t="str">
        <f t="shared" si="124"/>
        <v>0002-Governo Inteligente, Aberto e Inovador​</v>
      </c>
      <c r="N1450" t="str">
        <f t="shared" si="125"/>
        <v xml:space="preserve">2.005-Promoção de Eventos, Comunicação e Participação Social </v>
      </c>
      <c r="O1450" t="str">
        <f t="shared" si="126"/>
        <v>3.3.90.39.00-OUTROS SERVIÇOS DE TERCEIROS - PESSOA JURÍDICA</v>
      </c>
      <c r="R1450" s="25">
        <v>9490947.9217999987</v>
      </c>
      <c r="S1450" t="s">
        <v>1035</v>
      </c>
    </row>
    <row r="1451" spans="1:19" x14ac:dyDescent="0.25">
      <c r="A1451" t="str">
        <f t="shared" si="115"/>
        <v>24</v>
      </c>
      <c r="B1451" t="str">
        <f t="shared" si="116"/>
        <v>001</v>
      </c>
      <c r="C1451" t="str">
        <f t="shared" si="117"/>
        <v>04</v>
      </c>
      <c r="D1451" t="str">
        <f t="shared" si="118"/>
        <v>122</v>
      </c>
      <c r="E1451" t="str">
        <f t="shared" si="119"/>
        <v>0001</v>
      </c>
      <c r="F1451" t="str">
        <f t="shared" si="120"/>
        <v>2.006</v>
      </c>
      <c r="G1451" t="str">
        <f t="shared" si="121"/>
        <v>3.3.90.33.00</v>
      </c>
      <c r="H1451" t="s">
        <v>1493</v>
      </c>
      <c r="I1451" t="str">
        <f t="shared" si="114"/>
        <v>24 - SECRETARIA DE PLANEJAMENTO E GESTÃO</v>
      </c>
      <c r="J1451" t="s">
        <v>20</v>
      </c>
      <c r="K1451" t="str">
        <f t="shared" si="122"/>
        <v>4-ADMINISTRAÇÃO</v>
      </c>
      <c r="L1451" t="str">
        <f t="shared" si="123"/>
        <v>122-ADMINISTRAÇÃO GERAL</v>
      </c>
      <c r="M1451" t="str">
        <f t="shared" si="124"/>
        <v>0001-Administração e Coordenação Geral​</v>
      </c>
      <c r="N1451" t="str">
        <f t="shared" si="125"/>
        <v xml:space="preserve">2.006-Representações Oficiais </v>
      </c>
      <c r="O1451" t="str">
        <f t="shared" si="126"/>
        <v>3.3.90.33.00-PASSAGENS E DESPESAS COM LOCOMOÇÃO</v>
      </c>
      <c r="R1451" s="25">
        <v>1</v>
      </c>
      <c r="S1451" t="s">
        <v>1035</v>
      </c>
    </row>
    <row r="1452" spans="1:19" x14ac:dyDescent="0.25">
      <c r="A1452" t="str">
        <f t="shared" si="115"/>
        <v>24</v>
      </c>
      <c r="B1452" t="str">
        <f t="shared" si="116"/>
        <v>001</v>
      </c>
      <c r="C1452" t="str">
        <f t="shared" si="117"/>
        <v>04</v>
      </c>
      <c r="D1452" t="str">
        <f t="shared" si="118"/>
        <v>122</v>
      </c>
      <c r="E1452" t="str">
        <f t="shared" si="119"/>
        <v>0001</v>
      </c>
      <c r="F1452" t="str">
        <f t="shared" si="120"/>
        <v>2.006</v>
      </c>
      <c r="G1452" t="str">
        <f t="shared" si="121"/>
        <v>3.3.90.39.00</v>
      </c>
      <c r="H1452" t="s">
        <v>1494</v>
      </c>
      <c r="I1452" t="str">
        <f t="shared" si="114"/>
        <v>24 - SECRETARIA DE PLANEJAMENTO E GESTÃO</v>
      </c>
      <c r="J1452" t="s">
        <v>20</v>
      </c>
      <c r="K1452" t="str">
        <f t="shared" si="122"/>
        <v>4-ADMINISTRAÇÃO</v>
      </c>
      <c r="L1452" t="str">
        <f t="shared" si="123"/>
        <v>122-ADMINISTRAÇÃO GERAL</v>
      </c>
      <c r="M1452" t="str">
        <f t="shared" si="124"/>
        <v>0001-Administração e Coordenação Geral​</v>
      </c>
      <c r="N1452" t="str">
        <f t="shared" si="125"/>
        <v xml:space="preserve">2.006-Representações Oficiais </v>
      </c>
      <c r="O1452" t="str">
        <f t="shared" si="126"/>
        <v>3.3.90.39.00-OUTROS SERVIÇOS DE TERCEIROS - PESSOA JURÍDICA</v>
      </c>
      <c r="R1452" s="25">
        <v>1</v>
      </c>
      <c r="S1452" t="s">
        <v>1035</v>
      </c>
    </row>
    <row r="1453" spans="1:19" x14ac:dyDescent="0.25">
      <c r="A1453" t="str">
        <f t="shared" si="115"/>
        <v>24</v>
      </c>
      <c r="B1453" t="str">
        <f t="shared" si="116"/>
        <v>001</v>
      </c>
      <c r="C1453" t="str">
        <f t="shared" si="117"/>
        <v>04</v>
      </c>
      <c r="D1453" t="str">
        <f t="shared" si="118"/>
        <v>122</v>
      </c>
      <c r="E1453" t="str">
        <f t="shared" si="119"/>
        <v>0001</v>
      </c>
      <c r="F1453" t="str">
        <f t="shared" si="120"/>
        <v>2.011</v>
      </c>
      <c r="G1453" t="str">
        <f t="shared" si="121"/>
        <v>3.3.90.30.00</v>
      </c>
      <c r="H1453" t="s">
        <v>1495</v>
      </c>
      <c r="I1453" t="str">
        <f t="shared" si="114"/>
        <v>24 - SECRETARIA DE PLANEJAMENTO E GESTÃO</v>
      </c>
      <c r="J1453" t="s">
        <v>20</v>
      </c>
      <c r="K1453" t="str">
        <f t="shared" si="122"/>
        <v>4-ADMINISTRAÇÃO</v>
      </c>
      <c r="L1453" t="str">
        <f t="shared" si="123"/>
        <v>122-ADMINISTRAÇÃO GERAL</v>
      </c>
      <c r="M1453" t="str">
        <f t="shared" si="124"/>
        <v>0001-Administração e Coordenação Geral​</v>
      </c>
      <c r="N1453" t="str">
        <f t="shared" si="125"/>
        <v xml:space="preserve">2.011-Manutenção de Equipamentos Públicos </v>
      </c>
      <c r="O1453" t="str">
        <f t="shared" si="126"/>
        <v>3.3.90.30.00-MATERIAL DE CONSUMO</v>
      </c>
      <c r="R1453" s="25">
        <v>103910</v>
      </c>
      <c r="S1453" t="s">
        <v>1035</v>
      </c>
    </row>
    <row r="1454" spans="1:19" x14ac:dyDescent="0.25">
      <c r="A1454" t="str">
        <f t="shared" si="115"/>
        <v>24</v>
      </c>
      <c r="B1454" t="str">
        <f t="shared" si="116"/>
        <v>001</v>
      </c>
      <c r="C1454" t="str">
        <f t="shared" si="117"/>
        <v>04</v>
      </c>
      <c r="D1454" t="str">
        <f t="shared" si="118"/>
        <v>122</v>
      </c>
      <c r="E1454" t="str">
        <f t="shared" si="119"/>
        <v>0001</v>
      </c>
      <c r="F1454" t="str">
        <f t="shared" si="120"/>
        <v>2.011</v>
      </c>
      <c r="G1454" t="str">
        <f t="shared" si="121"/>
        <v>3.3.90.39.00</v>
      </c>
      <c r="H1454" t="s">
        <v>1496</v>
      </c>
      <c r="I1454" t="str">
        <f t="shared" si="114"/>
        <v>24 - SECRETARIA DE PLANEJAMENTO E GESTÃO</v>
      </c>
      <c r="J1454" t="s">
        <v>20</v>
      </c>
      <c r="K1454" t="str">
        <f t="shared" si="122"/>
        <v>4-ADMINISTRAÇÃO</v>
      </c>
      <c r="L1454" t="str">
        <f t="shared" si="123"/>
        <v>122-ADMINISTRAÇÃO GERAL</v>
      </c>
      <c r="M1454" t="str">
        <f t="shared" si="124"/>
        <v>0001-Administração e Coordenação Geral​</v>
      </c>
      <c r="N1454" t="str">
        <f t="shared" si="125"/>
        <v xml:space="preserve">2.011-Manutenção de Equipamentos Públicos </v>
      </c>
      <c r="O1454" t="str">
        <f t="shared" si="126"/>
        <v>3.3.90.39.00-OUTROS SERVIÇOS DE TERCEIROS - PESSOA JURÍDICA</v>
      </c>
      <c r="R1454" s="25">
        <v>101898.2904</v>
      </c>
      <c r="S1454" t="s">
        <v>1035</v>
      </c>
    </row>
    <row r="1455" spans="1:19" x14ac:dyDescent="0.25">
      <c r="A1455" t="str">
        <f t="shared" si="115"/>
        <v>24</v>
      </c>
      <c r="B1455" t="str">
        <f t="shared" si="116"/>
        <v>001</v>
      </c>
      <c r="C1455" t="str">
        <f t="shared" si="117"/>
        <v>04</v>
      </c>
      <c r="D1455" t="str">
        <f t="shared" si="118"/>
        <v>122</v>
      </c>
      <c r="E1455" t="str">
        <f t="shared" si="119"/>
        <v>0001</v>
      </c>
      <c r="F1455" t="str">
        <f t="shared" si="120"/>
        <v>2.011</v>
      </c>
      <c r="G1455" t="str">
        <f t="shared" si="121"/>
        <v>4.4.90.51.00</v>
      </c>
      <c r="H1455" t="s">
        <v>1497</v>
      </c>
      <c r="I1455" t="str">
        <f t="shared" si="114"/>
        <v>24 - SECRETARIA DE PLANEJAMENTO E GESTÃO</v>
      </c>
      <c r="J1455" t="s">
        <v>20</v>
      </c>
      <c r="K1455" t="str">
        <f t="shared" si="122"/>
        <v>4-ADMINISTRAÇÃO</v>
      </c>
      <c r="L1455" t="str">
        <f t="shared" si="123"/>
        <v>122-ADMINISTRAÇÃO GERAL</v>
      </c>
      <c r="M1455" t="str">
        <f t="shared" si="124"/>
        <v>0001-Administração e Coordenação Geral​</v>
      </c>
      <c r="N1455" t="str">
        <f t="shared" si="125"/>
        <v xml:space="preserve">2.011-Manutenção de Equipamentos Públicos </v>
      </c>
      <c r="O1455" t="str">
        <f t="shared" si="126"/>
        <v>4.4.90.51.00-OBRAS E INSTALAÇÕES</v>
      </c>
      <c r="R1455" s="25">
        <v>0</v>
      </c>
      <c r="S1455" t="s">
        <v>1035</v>
      </c>
    </row>
    <row r="1456" spans="1:19" x14ac:dyDescent="0.25">
      <c r="A1456" t="str">
        <f t="shared" si="115"/>
        <v>24</v>
      </c>
      <c r="B1456" t="str">
        <f t="shared" si="116"/>
        <v>001</v>
      </c>
      <c r="C1456" t="str">
        <f t="shared" si="117"/>
        <v>04</v>
      </c>
      <c r="D1456" t="str">
        <f t="shared" si="118"/>
        <v>122</v>
      </c>
      <c r="E1456" t="str">
        <f t="shared" si="119"/>
        <v>0001</v>
      </c>
      <c r="F1456" t="str">
        <f t="shared" si="120"/>
        <v>2.011</v>
      </c>
      <c r="G1456" t="str">
        <f t="shared" si="121"/>
        <v>4.4.90.52.00</v>
      </c>
      <c r="H1456" t="s">
        <v>1498</v>
      </c>
      <c r="I1456" t="str">
        <f t="shared" si="114"/>
        <v>24 - SECRETARIA DE PLANEJAMENTO E GESTÃO</v>
      </c>
      <c r="J1456" t="s">
        <v>20</v>
      </c>
      <c r="K1456" t="str">
        <f t="shared" si="122"/>
        <v>4-ADMINISTRAÇÃO</v>
      </c>
      <c r="L1456" t="str">
        <f t="shared" si="123"/>
        <v>122-ADMINISTRAÇÃO GERAL</v>
      </c>
      <c r="M1456" t="str">
        <f t="shared" si="124"/>
        <v>0001-Administração e Coordenação Geral​</v>
      </c>
      <c r="N1456" t="str">
        <f t="shared" si="125"/>
        <v xml:space="preserve">2.011-Manutenção de Equipamentos Públicos </v>
      </c>
      <c r="O1456" t="str">
        <f t="shared" si="126"/>
        <v>4.4.90.52.00-EQUIPAMENTOS E MATERIAL PERMANENTE</v>
      </c>
      <c r="R1456" s="25">
        <v>62346</v>
      </c>
      <c r="S1456" t="s">
        <v>1035</v>
      </c>
    </row>
    <row r="1457" spans="1:19" x14ac:dyDescent="0.25">
      <c r="A1457" t="str">
        <f t="shared" si="115"/>
        <v>24</v>
      </c>
      <c r="B1457" t="str">
        <f t="shared" si="116"/>
        <v>001</v>
      </c>
      <c r="C1457" t="str">
        <f t="shared" si="117"/>
        <v>04</v>
      </c>
      <c r="D1457" t="str">
        <f t="shared" si="118"/>
        <v>126</v>
      </c>
      <c r="E1457" t="str">
        <f t="shared" si="119"/>
        <v>0002</v>
      </c>
      <c r="F1457" t="str">
        <f t="shared" si="120"/>
        <v>2.007</v>
      </c>
      <c r="G1457" t="str">
        <f t="shared" si="121"/>
        <v>3.3.90.40.00</v>
      </c>
      <c r="H1457" t="s">
        <v>1499</v>
      </c>
      <c r="I1457" t="str">
        <f t="shared" si="114"/>
        <v>24 - SECRETARIA DE PLANEJAMENTO E GESTÃO</v>
      </c>
      <c r="J1457" t="s">
        <v>20</v>
      </c>
      <c r="K1457" t="str">
        <f t="shared" si="122"/>
        <v>4-ADMINISTRAÇÃO</v>
      </c>
      <c r="L1457" t="str">
        <f t="shared" si="123"/>
        <v>126-TECNOLOGIA DA INFORMATIZAÇÃO</v>
      </c>
      <c r="M1457" t="str">
        <f t="shared" si="124"/>
        <v>0002-Governo Inteligente, Aberto e Inovador​</v>
      </c>
      <c r="N1457" t="str">
        <f t="shared" si="125"/>
        <v>2.007-Ampliação e Manutenção de Sistemas de Inteligência, Fiscalização e Tecnologia</v>
      </c>
      <c r="O1457" t="str">
        <f t="shared" si="126"/>
        <v>3.3.90.40.00-SERVIÇOS DE TECNOLOGIA DA INFORMAÇÃO E COMUNICAÇÃO - PESSOA JURÍDICA</v>
      </c>
      <c r="R1457" s="25">
        <v>20782</v>
      </c>
      <c r="S1457" t="s">
        <v>1035</v>
      </c>
    </row>
    <row r="1458" spans="1:19" x14ac:dyDescent="0.25">
      <c r="A1458" t="str">
        <f t="shared" si="115"/>
        <v>24</v>
      </c>
      <c r="B1458" t="str">
        <f t="shared" si="116"/>
        <v>001</v>
      </c>
      <c r="C1458" t="str">
        <f t="shared" si="117"/>
        <v>04</v>
      </c>
      <c r="D1458" t="str">
        <f t="shared" si="118"/>
        <v>128</v>
      </c>
      <c r="E1458" t="str">
        <f t="shared" si="119"/>
        <v>0002</v>
      </c>
      <c r="F1458" t="str">
        <f t="shared" si="120"/>
        <v>2.003</v>
      </c>
      <c r="G1458" t="str">
        <f t="shared" si="121"/>
        <v>3.3.90.30.00</v>
      </c>
      <c r="H1458" t="s">
        <v>1500</v>
      </c>
      <c r="I1458" t="str">
        <f t="shared" si="114"/>
        <v>24 - SECRETARIA DE PLANEJAMENTO E GESTÃO</v>
      </c>
      <c r="J1458" t="s">
        <v>20</v>
      </c>
      <c r="K1458" t="str">
        <f t="shared" si="122"/>
        <v>4-ADMINISTRAÇÃO</v>
      </c>
      <c r="L1458" t="str">
        <f t="shared" si="123"/>
        <v>128-FORMAÇÃO DE RECURSOS HUMANOS</v>
      </c>
      <c r="M1458" t="str">
        <f t="shared" si="124"/>
        <v>0002-Governo Inteligente, Aberto e Inovador​</v>
      </c>
      <c r="N1458" t="str">
        <f t="shared" si="125"/>
        <v>2.003-Qualificação de Servidores e Processos Institucionais</v>
      </c>
      <c r="O1458" t="str">
        <f t="shared" si="126"/>
        <v>3.3.90.30.00-MATERIAL DE CONSUMO</v>
      </c>
      <c r="R1458" s="25">
        <v>1</v>
      </c>
      <c r="S1458" t="s">
        <v>1035</v>
      </c>
    </row>
    <row r="1459" spans="1:19" x14ac:dyDescent="0.25">
      <c r="A1459" t="str">
        <f t="shared" si="115"/>
        <v>24</v>
      </c>
      <c r="B1459" t="str">
        <f t="shared" si="116"/>
        <v>001</v>
      </c>
      <c r="C1459" t="str">
        <f t="shared" si="117"/>
        <v>04</v>
      </c>
      <c r="D1459" t="str">
        <f t="shared" si="118"/>
        <v>128</v>
      </c>
      <c r="E1459" t="str">
        <f t="shared" si="119"/>
        <v>0002</v>
      </c>
      <c r="F1459" t="str">
        <f t="shared" si="120"/>
        <v>2.003</v>
      </c>
      <c r="G1459" t="str">
        <f t="shared" si="121"/>
        <v>3.3.90.36.00</v>
      </c>
      <c r="H1459" t="s">
        <v>1501</v>
      </c>
      <c r="I1459" t="str">
        <f t="shared" si="114"/>
        <v>24 - SECRETARIA DE PLANEJAMENTO E GESTÃO</v>
      </c>
      <c r="J1459" t="s">
        <v>20</v>
      </c>
      <c r="K1459" t="str">
        <f t="shared" si="122"/>
        <v>4-ADMINISTRAÇÃO</v>
      </c>
      <c r="L1459" t="str">
        <f t="shared" si="123"/>
        <v>128-FORMAÇÃO DE RECURSOS HUMANOS</v>
      </c>
      <c r="M1459" t="str">
        <f t="shared" si="124"/>
        <v>0002-Governo Inteligente, Aberto e Inovador​</v>
      </c>
      <c r="N1459" t="str">
        <f t="shared" si="125"/>
        <v>2.003-Qualificação de Servidores e Processos Institucionais</v>
      </c>
      <c r="O1459" t="str">
        <f t="shared" si="126"/>
        <v>3.3.90.36.00-OUTROS SERVIÇOS DE TERCEIROS - PESSOA FÍSICA</v>
      </c>
      <c r="R1459" s="25">
        <v>1</v>
      </c>
      <c r="S1459" t="s">
        <v>1035</v>
      </c>
    </row>
    <row r="1460" spans="1:19" x14ac:dyDescent="0.25">
      <c r="A1460" t="str">
        <f t="shared" si="115"/>
        <v>24</v>
      </c>
      <c r="B1460" t="str">
        <f t="shared" si="116"/>
        <v>001</v>
      </c>
      <c r="C1460" t="str">
        <f t="shared" si="117"/>
        <v>04</v>
      </c>
      <c r="D1460" t="str">
        <f t="shared" si="118"/>
        <v>128</v>
      </c>
      <c r="E1460" t="str">
        <f t="shared" si="119"/>
        <v>0002</v>
      </c>
      <c r="F1460" t="str">
        <f t="shared" si="120"/>
        <v>2.003</v>
      </c>
      <c r="G1460" t="str">
        <f t="shared" si="121"/>
        <v>3.3.90.39.00</v>
      </c>
      <c r="H1460" t="s">
        <v>1502</v>
      </c>
      <c r="I1460" t="str">
        <f t="shared" si="114"/>
        <v>24 - SECRETARIA DE PLANEJAMENTO E GESTÃO</v>
      </c>
      <c r="J1460" t="s">
        <v>20</v>
      </c>
      <c r="K1460" t="str">
        <f t="shared" si="122"/>
        <v>4-ADMINISTRAÇÃO</v>
      </c>
      <c r="L1460" t="str">
        <f t="shared" si="123"/>
        <v>128-FORMAÇÃO DE RECURSOS HUMANOS</v>
      </c>
      <c r="M1460" t="str">
        <f t="shared" si="124"/>
        <v>0002-Governo Inteligente, Aberto e Inovador​</v>
      </c>
      <c r="N1460" t="str">
        <f t="shared" si="125"/>
        <v>2.003-Qualificação de Servidores e Processos Institucionais</v>
      </c>
      <c r="O1460" t="str">
        <f t="shared" si="126"/>
        <v>3.3.90.39.00-OUTROS SERVIÇOS DE TERCEIROS - PESSOA JURÍDICA</v>
      </c>
      <c r="R1460" s="25">
        <v>3</v>
      </c>
      <c r="S1460" t="s">
        <v>1035</v>
      </c>
    </row>
    <row r="1461" spans="1:19" x14ac:dyDescent="0.25">
      <c r="A1461" t="str">
        <f t="shared" si="115"/>
        <v>24</v>
      </c>
      <c r="B1461" t="str">
        <f t="shared" si="116"/>
        <v>001</v>
      </c>
      <c r="C1461" t="str">
        <f t="shared" si="117"/>
        <v>04</v>
      </c>
      <c r="D1461" t="str">
        <f t="shared" si="118"/>
        <v>131</v>
      </c>
      <c r="E1461" t="str">
        <f t="shared" si="119"/>
        <v>0002</v>
      </c>
      <c r="F1461" t="str">
        <f t="shared" si="120"/>
        <v>2.005</v>
      </c>
      <c r="G1461" t="str">
        <f t="shared" si="121"/>
        <v>3.3.90.30.00</v>
      </c>
      <c r="H1461" t="s">
        <v>1503</v>
      </c>
      <c r="I1461" t="str">
        <f t="shared" si="114"/>
        <v>24 - SECRETARIA DE PLANEJAMENTO E GESTÃO</v>
      </c>
      <c r="J1461" t="s">
        <v>20</v>
      </c>
      <c r="K1461" t="str">
        <f t="shared" si="122"/>
        <v>4-ADMINISTRAÇÃO</v>
      </c>
      <c r="L1461" t="str">
        <f t="shared" si="123"/>
        <v>131-COMUNICAÇÃO SOCIAL</v>
      </c>
      <c r="M1461" t="str">
        <f t="shared" si="124"/>
        <v>0002-Governo Inteligente, Aberto e Inovador​</v>
      </c>
      <c r="N1461" t="str">
        <f t="shared" si="125"/>
        <v xml:space="preserve">2.005-Promoção de Eventos, Comunicação e Participação Social </v>
      </c>
      <c r="O1461" t="str">
        <f t="shared" si="126"/>
        <v>3.3.90.30.00-MATERIAL DE CONSUMO</v>
      </c>
      <c r="R1461" s="25">
        <v>259775</v>
      </c>
      <c r="S1461" t="s">
        <v>1035</v>
      </c>
    </row>
    <row r="1462" spans="1:19" x14ac:dyDescent="0.25">
      <c r="A1462" t="str">
        <f t="shared" si="115"/>
        <v>24</v>
      </c>
      <c r="B1462" t="str">
        <f t="shared" si="116"/>
        <v>001</v>
      </c>
      <c r="C1462" t="str">
        <f t="shared" si="117"/>
        <v>04</v>
      </c>
      <c r="D1462" t="str">
        <f t="shared" si="118"/>
        <v>131</v>
      </c>
      <c r="E1462" t="str">
        <f t="shared" si="119"/>
        <v>0002</v>
      </c>
      <c r="F1462" t="str">
        <f t="shared" si="120"/>
        <v>2.005</v>
      </c>
      <c r="G1462" t="str">
        <f t="shared" si="121"/>
        <v>3.3.90.31.00</v>
      </c>
      <c r="H1462" t="s">
        <v>1504</v>
      </c>
      <c r="I1462" t="str">
        <f t="shared" si="114"/>
        <v>24 - SECRETARIA DE PLANEJAMENTO E GESTÃO</v>
      </c>
      <c r="J1462" t="s">
        <v>20</v>
      </c>
      <c r="K1462" t="str">
        <f t="shared" si="122"/>
        <v>4-ADMINISTRAÇÃO</v>
      </c>
      <c r="L1462" t="str">
        <f t="shared" si="123"/>
        <v>131-COMUNICAÇÃO SOCIAL</v>
      </c>
      <c r="M1462" t="str">
        <f t="shared" si="124"/>
        <v>0002-Governo Inteligente, Aberto e Inovador​</v>
      </c>
      <c r="N1462" t="str">
        <f t="shared" si="125"/>
        <v xml:space="preserve">2.005-Promoção de Eventos, Comunicação e Participação Social </v>
      </c>
      <c r="O1462" t="str">
        <f t="shared" si="126"/>
        <v>3.3.90.31.00-PREMIAÇÕES CULTURAIS, ARTÍSTICAS, CIENTÍFICAS, DESPORTIVAS E OUTRAS</v>
      </c>
      <c r="R1462" s="25">
        <v>207820</v>
      </c>
      <c r="S1462" t="s">
        <v>1035</v>
      </c>
    </row>
    <row r="1463" spans="1:19" x14ac:dyDescent="0.25">
      <c r="A1463" t="str">
        <f t="shared" si="115"/>
        <v>24</v>
      </c>
      <c r="B1463" t="str">
        <f t="shared" si="116"/>
        <v>001</v>
      </c>
      <c r="C1463" t="str">
        <f t="shared" si="117"/>
        <v>04</v>
      </c>
      <c r="D1463" t="str">
        <f t="shared" si="118"/>
        <v>131</v>
      </c>
      <c r="E1463" t="str">
        <f t="shared" si="119"/>
        <v>0002</v>
      </c>
      <c r="F1463" t="str">
        <f t="shared" si="120"/>
        <v>2.005</v>
      </c>
      <c r="G1463" t="str">
        <f t="shared" si="121"/>
        <v>3.3.90.39.00</v>
      </c>
      <c r="H1463" t="s">
        <v>1505</v>
      </c>
      <c r="I1463" t="str">
        <f t="shared" si="114"/>
        <v>24 - SECRETARIA DE PLANEJAMENTO E GESTÃO</v>
      </c>
      <c r="J1463" t="s">
        <v>20</v>
      </c>
      <c r="K1463" t="str">
        <f t="shared" si="122"/>
        <v>4-ADMINISTRAÇÃO</v>
      </c>
      <c r="L1463" t="str">
        <f t="shared" si="123"/>
        <v>131-COMUNICAÇÃO SOCIAL</v>
      </c>
      <c r="M1463" t="str">
        <f t="shared" si="124"/>
        <v>0002-Governo Inteligente, Aberto e Inovador​</v>
      </c>
      <c r="N1463" t="str">
        <f t="shared" si="125"/>
        <v xml:space="preserve">2.005-Promoção de Eventos, Comunicação e Participação Social </v>
      </c>
      <c r="O1463" t="str">
        <f t="shared" si="126"/>
        <v>3.3.90.39.00-OUTROS SERVIÇOS DE TERCEIROS - PESSOA JURÍDICA</v>
      </c>
      <c r="R1463" s="25">
        <v>1204302</v>
      </c>
      <c r="S1463" t="s">
        <v>1035</v>
      </c>
    </row>
    <row r="1464" spans="1:19" x14ac:dyDescent="0.25">
      <c r="A1464" t="str">
        <f t="shared" si="115"/>
        <v>27</v>
      </c>
      <c r="B1464" t="str">
        <f t="shared" si="116"/>
        <v>001</v>
      </c>
      <c r="C1464" t="str">
        <f t="shared" si="117"/>
        <v>04</v>
      </c>
      <c r="D1464" t="str">
        <f t="shared" si="118"/>
        <v>122</v>
      </c>
      <c r="E1464" t="str">
        <f t="shared" si="119"/>
        <v>0001</v>
      </c>
      <c r="F1464" t="str">
        <f t="shared" si="120"/>
        <v>2.006</v>
      </c>
      <c r="G1464" t="str">
        <f t="shared" si="121"/>
        <v>3.3.90.33.00</v>
      </c>
      <c r="H1464" t="s">
        <v>1506</v>
      </c>
      <c r="I1464" t="str">
        <f t="shared" si="114"/>
        <v>27 - CONTROLADORIA GERAL DO MUNICÍPIO</v>
      </c>
      <c r="J1464" t="s">
        <v>20</v>
      </c>
      <c r="K1464" t="str">
        <f t="shared" si="122"/>
        <v>4-ADMINISTRAÇÃO</v>
      </c>
      <c r="L1464" t="str">
        <f t="shared" si="123"/>
        <v>122-ADMINISTRAÇÃO GERAL</v>
      </c>
      <c r="M1464" t="str">
        <f t="shared" si="124"/>
        <v>0001-Administração e Coordenação Geral​</v>
      </c>
      <c r="N1464" t="str">
        <f t="shared" si="125"/>
        <v xml:space="preserve">2.006-Representações Oficiais </v>
      </c>
      <c r="O1464" t="str">
        <f t="shared" si="126"/>
        <v>3.3.90.33.00-PASSAGENS E DESPESAS COM LOCOMOÇÃO</v>
      </c>
      <c r="R1464" s="25">
        <v>1</v>
      </c>
      <c r="S1464" t="s">
        <v>1035</v>
      </c>
    </row>
    <row r="1465" spans="1:19" x14ac:dyDescent="0.25">
      <c r="A1465" t="str">
        <f t="shared" si="115"/>
        <v>27</v>
      </c>
      <c r="B1465" t="str">
        <f t="shared" si="116"/>
        <v>001</v>
      </c>
      <c r="C1465" t="str">
        <f t="shared" si="117"/>
        <v>04</v>
      </c>
      <c r="D1465" t="str">
        <f t="shared" si="118"/>
        <v>122</v>
      </c>
      <c r="E1465" t="str">
        <f t="shared" si="119"/>
        <v>0001</v>
      </c>
      <c r="F1465" t="str">
        <f t="shared" si="120"/>
        <v>2.006</v>
      </c>
      <c r="G1465" t="str">
        <f t="shared" si="121"/>
        <v>3.3.90.39.00</v>
      </c>
      <c r="H1465" t="s">
        <v>1507</v>
      </c>
      <c r="I1465" t="str">
        <f t="shared" si="114"/>
        <v>27 - CONTROLADORIA GERAL DO MUNICÍPIO</v>
      </c>
      <c r="J1465" t="s">
        <v>20</v>
      </c>
      <c r="K1465" t="str">
        <f t="shared" si="122"/>
        <v>4-ADMINISTRAÇÃO</v>
      </c>
      <c r="L1465" t="str">
        <f t="shared" si="123"/>
        <v>122-ADMINISTRAÇÃO GERAL</v>
      </c>
      <c r="M1465" t="str">
        <f t="shared" si="124"/>
        <v>0001-Administração e Coordenação Geral​</v>
      </c>
      <c r="N1465" t="str">
        <f t="shared" si="125"/>
        <v xml:space="preserve">2.006-Representações Oficiais </v>
      </c>
      <c r="O1465" t="str">
        <f t="shared" si="126"/>
        <v>3.3.90.39.00-OUTROS SERVIÇOS DE TERCEIROS - PESSOA JURÍDICA</v>
      </c>
      <c r="R1465" s="25">
        <v>1</v>
      </c>
      <c r="S1465" t="s">
        <v>1035</v>
      </c>
    </row>
    <row r="1466" spans="1:19" x14ac:dyDescent="0.25">
      <c r="A1466" t="str">
        <f t="shared" si="115"/>
        <v>27</v>
      </c>
      <c r="B1466" t="str">
        <f t="shared" si="116"/>
        <v>001</v>
      </c>
      <c r="C1466" t="str">
        <f t="shared" si="117"/>
        <v>04</v>
      </c>
      <c r="D1466" t="str">
        <f t="shared" si="118"/>
        <v>122</v>
      </c>
      <c r="E1466" t="str">
        <f t="shared" si="119"/>
        <v>0001</v>
      </c>
      <c r="F1466" t="str">
        <f t="shared" si="120"/>
        <v>2.011</v>
      </c>
      <c r="G1466" t="str">
        <f t="shared" si="121"/>
        <v>3.3.90.30.00</v>
      </c>
      <c r="H1466" t="s">
        <v>1508</v>
      </c>
      <c r="I1466" t="str">
        <f t="shared" si="114"/>
        <v>27 - CONTROLADORIA GERAL DO MUNICÍPIO</v>
      </c>
      <c r="J1466" t="s">
        <v>20</v>
      </c>
      <c r="K1466" t="str">
        <f t="shared" si="122"/>
        <v>4-ADMINISTRAÇÃO</v>
      </c>
      <c r="L1466" t="str">
        <f t="shared" si="123"/>
        <v>122-ADMINISTRAÇÃO GERAL</v>
      </c>
      <c r="M1466" t="str">
        <f t="shared" si="124"/>
        <v>0001-Administração e Coordenação Geral​</v>
      </c>
      <c r="N1466" t="str">
        <f t="shared" si="125"/>
        <v xml:space="preserve">2.011-Manutenção de Equipamentos Públicos </v>
      </c>
      <c r="O1466" t="str">
        <f t="shared" si="126"/>
        <v>3.3.90.30.00-MATERIAL DE CONSUMO</v>
      </c>
      <c r="R1466" s="25">
        <v>57463.23</v>
      </c>
      <c r="S1466" t="s">
        <v>1035</v>
      </c>
    </row>
    <row r="1467" spans="1:19" x14ac:dyDescent="0.25">
      <c r="A1467" t="str">
        <f t="shared" si="115"/>
        <v>27</v>
      </c>
      <c r="B1467" t="str">
        <f t="shared" si="116"/>
        <v>001</v>
      </c>
      <c r="C1467" t="str">
        <f t="shared" si="117"/>
        <v>04</v>
      </c>
      <c r="D1467" t="str">
        <f t="shared" si="118"/>
        <v>122</v>
      </c>
      <c r="E1467" t="str">
        <f t="shared" si="119"/>
        <v>0001</v>
      </c>
      <c r="F1467" t="str">
        <f t="shared" si="120"/>
        <v>2.011</v>
      </c>
      <c r="G1467" t="str">
        <f t="shared" si="121"/>
        <v>3.3.90.39.00</v>
      </c>
      <c r="H1467" t="s">
        <v>1509</v>
      </c>
      <c r="I1467" t="str">
        <f t="shared" si="114"/>
        <v>27 - CONTROLADORIA GERAL DO MUNICÍPIO</v>
      </c>
      <c r="J1467" t="s">
        <v>20</v>
      </c>
      <c r="K1467" t="str">
        <f t="shared" si="122"/>
        <v>4-ADMINISTRAÇÃO</v>
      </c>
      <c r="L1467" t="str">
        <f t="shared" si="123"/>
        <v>122-ADMINISTRAÇÃO GERAL</v>
      </c>
      <c r="M1467" t="str">
        <f t="shared" si="124"/>
        <v>0001-Administração e Coordenação Geral​</v>
      </c>
      <c r="N1467" t="str">
        <f t="shared" si="125"/>
        <v xml:space="preserve">2.011-Manutenção de Equipamentos Públicos </v>
      </c>
      <c r="O1467" t="str">
        <f t="shared" si="126"/>
        <v>3.3.90.39.00-OUTROS SERVIÇOS DE TERCEIROS - PESSOA JURÍDICA</v>
      </c>
      <c r="R1467" s="25">
        <v>30785.64</v>
      </c>
      <c r="S1467" t="s">
        <v>1035</v>
      </c>
    </row>
    <row r="1468" spans="1:19" x14ac:dyDescent="0.25">
      <c r="A1468" t="str">
        <f t="shared" si="115"/>
        <v>27</v>
      </c>
      <c r="B1468" t="str">
        <f t="shared" si="116"/>
        <v>001</v>
      </c>
      <c r="C1468" t="str">
        <f t="shared" si="117"/>
        <v>04</v>
      </c>
      <c r="D1468" t="str">
        <f t="shared" si="118"/>
        <v>122</v>
      </c>
      <c r="E1468" t="str">
        <f t="shared" si="119"/>
        <v>0001</v>
      </c>
      <c r="F1468" t="str">
        <f t="shared" si="120"/>
        <v>2.011</v>
      </c>
      <c r="G1468" t="str">
        <f t="shared" si="121"/>
        <v>4.4.90.52.00</v>
      </c>
      <c r="H1468" t="s">
        <v>1510</v>
      </c>
      <c r="I1468" t="str">
        <f t="shared" si="114"/>
        <v>27 - CONTROLADORIA GERAL DO MUNICÍPIO</v>
      </c>
      <c r="J1468" t="s">
        <v>20</v>
      </c>
      <c r="K1468" t="str">
        <f t="shared" si="122"/>
        <v>4-ADMINISTRAÇÃO</v>
      </c>
      <c r="L1468" t="str">
        <f t="shared" si="123"/>
        <v>122-ADMINISTRAÇÃO GERAL</v>
      </c>
      <c r="M1468" t="str">
        <f t="shared" si="124"/>
        <v>0001-Administração e Coordenação Geral​</v>
      </c>
      <c r="N1468" t="str">
        <f t="shared" si="125"/>
        <v xml:space="preserve">2.011-Manutenção de Equipamentos Públicos </v>
      </c>
      <c r="O1468" t="str">
        <f t="shared" si="126"/>
        <v>4.4.90.52.00-EQUIPAMENTOS E MATERIAL PERMANENTE</v>
      </c>
      <c r="R1468" s="25">
        <v>68184.702900000004</v>
      </c>
      <c r="S1468" t="s">
        <v>1035</v>
      </c>
    </row>
    <row r="1469" spans="1:19" x14ac:dyDescent="0.25">
      <c r="A1469" t="str">
        <f t="shared" si="115"/>
        <v>27</v>
      </c>
      <c r="B1469" t="str">
        <f t="shared" si="116"/>
        <v>001</v>
      </c>
      <c r="C1469" t="str">
        <f t="shared" si="117"/>
        <v>04</v>
      </c>
      <c r="D1469" t="str">
        <f t="shared" si="118"/>
        <v>126</v>
      </c>
      <c r="E1469" t="str">
        <f t="shared" si="119"/>
        <v>0002</v>
      </c>
      <c r="F1469" t="str">
        <f t="shared" si="120"/>
        <v>2.007</v>
      </c>
      <c r="G1469" t="str">
        <f t="shared" si="121"/>
        <v>3.3.90.39.00</v>
      </c>
      <c r="H1469" t="s">
        <v>1511</v>
      </c>
      <c r="I1469" t="str">
        <f t="shared" si="114"/>
        <v>27 - CONTROLADORIA GERAL DO MUNICÍPIO</v>
      </c>
      <c r="J1469" t="s">
        <v>20</v>
      </c>
      <c r="K1469" t="str">
        <f t="shared" si="122"/>
        <v>4-ADMINISTRAÇÃO</v>
      </c>
      <c r="L1469" t="str">
        <f t="shared" si="123"/>
        <v>126-TECNOLOGIA DA INFORMATIZAÇÃO</v>
      </c>
      <c r="M1469" t="str">
        <f t="shared" si="124"/>
        <v>0002-Governo Inteligente, Aberto e Inovador​</v>
      </c>
      <c r="N1469" t="str">
        <f t="shared" si="125"/>
        <v>2.007-Ampliação e Manutenção de Sistemas de Inteligência, Fiscalização e Tecnologia</v>
      </c>
      <c r="O1469" t="str">
        <f t="shared" si="126"/>
        <v>3.3.90.39.00-OUTROS SERVIÇOS DE TERCEIROS - PESSOA JURÍDICA</v>
      </c>
      <c r="R1469" s="25">
        <v>3366.6840000000002</v>
      </c>
      <c r="S1469" t="s">
        <v>1035</v>
      </c>
    </row>
    <row r="1470" spans="1:19" x14ac:dyDescent="0.25">
      <c r="A1470" t="str">
        <f t="shared" si="115"/>
        <v>27</v>
      </c>
      <c r="B1470" t="str">
        <f t="shared" si="116"/>
        <v>001</v>
      </c>
      <c r="C1470" t="str">
        <f t="shared" si="117"/>
        <v>04</v>
      </c>
      <c r="D1470" t="str">
        <f t="shared" si="118"/>
        <v>126</v>
      </c>
      <c r="E1470" t="str">
        <f t="shared" si="119"/>
        <v>0002</v>
      </c>
      <c r="F1470" t="str">
        <f t="shared" si="120"/>
        <v>2.007</v>
      </c>
      <c r="G1470" t="str">
        <f t="shared" si="121"/>
        <v>3.3.90.40.00</v>
      </c>
      <c r="H1470" t="s">
        <v>1512</v>
      </c>
      <c r="I1470" t="str">
        <f t="shared" si="114"/>
        <v>27 - CONTROLADORIA GERAL DO MUNICÍPIO</v>
      </c>
      <c r="J1470" t="s">
        <v>20</v>
      </c>
      <c r="K1470" t="str">
        <f t="shared" si="122"/>
        <v>4-ADMINISTRAÇÃO</v>
      </c>
      <c r="L1470" t="str">
        <f t="shared" si="123"/>
        <v>126-TECNOLOGIA DA INFORMATIZAÇÃO</v>
      </c>
      <c r="M1470" t="str">
        <f t="shared" si="124"/>
        <v>0002-Governo Inteligente, Aberto e Inovador​</v>
      </c>
      <c r="N1470" t="str">
        <f t="shared" si="125"/>
        <v>2.007-Ampliação e Manutenção de Sistemas de Inteligência, Fiscalização e Tecnologia</v>
      </c>
      <c r="O1470" t="str">
        <f t="shared" si="126"/>
        <v>3.3.90.40.00-SERVIÇOS DE TECNOLOGIA DA INFORMAÇÃO E COMUNICAÇÃO - PESSOA JURÍDICA</v>
      </c>
      <c r="R1470" s="25">
        <v>3505660</v>
      </c>
      <c r="S1470" t="s">
        <v>1035</v>
      </c>
    </row>
    <row r="1471" spans="1:19" x14ac:dyDescent="0.25">
      <c r="A1471" t="str">
        <f t="shared" si="115"/>
        <v>27</v>
      </c>
      <c r="B1471" t="str">
        <f t="shared" si="116"/>
        <v>001</v>
      </c>
      <c r="C1471" t="str">
        <f t="shared" si="117"/>
        <v>04</v>
      </c>
      <c r="D1471" t="str">
        <f t="shared" si="118"/>
        <v>128</v>
      </c>
      <c r="E1471" t="str">
        <f t="shared" si="119"/>
        <v>0002</v>
      </c>
      <c r="F1471" t="str">
        <f t="shared" si="120"/>
        <v>2.003</v>
      </c>
      <c r="G1471" t="str">
        <f t="shared" si="121"/>
        <v>3.3.90.39.00</v>
      </c>
      <c r="H1471" t="s">
        <v>1513</v>
      </c>
      <c r="I1471" t="str">
        <f t="shared" si="114"/>
        <v>27 - CONTROLADORIA GERAL DO MUNICÍPIO</v>
      </c>
      <c r="J1471" t="s">
        <v>20</v>
      </c>
      <c r="K1471" t="str">
        <f t="shared" si="122"/>
        <v>4-ADMINISTRAÇÃO</v>
      </c>
      <c r="L1471" t="str">
        <f t="shared" si="123"/>
        <v>128-FORMAÇÃO DE RECURSOS HUMANOS</v>
      </c>
      <c r="M1471" t="str">
        <f t="shared" si="124"/>
        <v>0002-Governo Inteligente, Aberto e Inovador​</v>
      </c>
      <c r="N1471" t="str">
        <f t="shared" si="125"/>
        <v>2.003-Qualificação de Servidores e Processos Institucionais</v>
      </c>
      <c r="O1471" t="str">
        <f t="shared" si="126"/>
        <v>3.3.90.39.00-OUTROS SERVIÇOS DE TERCEIROS - PESSOA JURÍDICA</v>
      </c>
      <c r="R1471" s="25">
        <v>1</v>
      </c>
      <c r="S1471" t="s">
        <v>1035</v>
      </c>
    </row>
    <row r="1472" spans="1:19" x14ac:dyDescent="0.25">
      <c r="A1472" t="str">
        <f t="shared" si="115"/>
        <v>27</v>
      </c>
      <c r="B1472" t="str">
        <f t="shared" si="116"/>
        <v>001</v>
      </c>
      <c r="C1472" t="str">
        <f t="shared" si="117"/>
        <v>04</v>
      </c>
      <c r="D1472" t="str">
        <f t="shared" si="118"/>
        <v>131</v>
      </c>
      <c r="E1472" t="str">
        <f t="shared" si="119"/>
        <v>0002</v>
      </c>
      <c r="F1472" t="str">
        <f t="shared" si="120"/>
        <v>2.005</v>
      </c>
      <c r="G1472" t="str">
        <f t="shared" si="121"/>
        <v>3.3.90.39.00</v>
      </c>
      <c r="H1472" t="s">
        <v>1514</v>
      </c>
      <c r="I1472" t="str">
        <f t="shared" si="114"/>
        <v>27 - CONTROLADORIA GERAL DO MUNICÍPIO</v>
      </c>
      <c r="J1472" t="s">
        <v>20</v>
      </c>
      <c r="K1472" t="str">
        <f t="shared" si="122"/>
        <v>4-ADMINISTRAÇÃO</v>
      </c>
      <c r="L1472" t="str">
        <f t="shared" si="123"/>
        <v>131-COMUNICAÇÃO SOCIAL</v>
      </c>
      <c r="M1472" t="str">
        <f t="shared" si="124"/>
        <v>0002-Governo Inteligente, Aberto e Inovador​</v>
      </c>
      <c r="N1472" t="str">
        <f t="shared" si="125"/>
        <v xml:space="preserve">2.005-Promoção de Eventos, Comunicação e Participação Social </v>
      </c>
      <c r="O1472" t="str">
        <f t="shared" si="126"/>
        <v>3.3.90.39.00-OUTROS SERVIÇOS DE TERCEIROS - PESSOA JURÍDICA</v>
      </c>
      <c r="R1472" s="25">
        <v>28977.3426</v>
      </c>
      <c r="S1472" t="s">
        <v>1035</v>
      </c>
    </row>
    <row r="1473" spans="1:19" x14ac:dyDescent="0.25">
      <c r="A1473" t="str">
        <f t="shared" si="115"/>
        <v>28</v>
      </c>
      <c r="B1473" t="str">
        <f t="shared" si="116"/>
        <v>001</v>
      </c>
      <c r="C1473" t="str">
        <f t="shared" si="117"/>
        <v>04</v>
      </c>
      <c r="D1473" t="str">
        <f t="shared" si="118"/>
        <v>122</v>
      </c>
      <c r="E1473" t="str">
        <f t="shared" si="119"/>
        <v>0001</v>
      </c>
      <c r="F1473" t="str">
        <f t="shared" si="120"/>
        <v>2.006</v>
      </c>
      <c r="G1473" t="str">
        <f t="shared" si="121"/>
        <v>3.3.90.33.00</v>
      </c>
      <c r="H1473" t="s">
        <v>1515</v>
      </c>
      <c r="I1473" t="str">
        <f t="shared" si="114"/>
        <v>28 - SECRETARIA DE GOVERNO</v>
      </c>
      <c r="J1473" t="s">
        <v>20</v>
      </c>
      <c r="K1473" t="str">
        <f t="shared" si="122"/>
        <v>4-ADMINISTRAÇÃO</v>
      </c>
      <c r="L1473" t="str">
        <f t="shared" si="123"/>
        <v>122-ADMINISTRAÇÃO GERAL</v>
      </c>
      <c r="M1473" t="str">
        <f t="shared" si="124"/>
        <v>0001-Administração e Coordenação Geral​</v>
      </c>
      <c r="N1473" t="str">
        <f t="shared" si="125"/>
        <v xml:space="preserve">2.006-Representações Oficiais </v>
      </c>
      <c r="O1473" t="str">
        <f t="shared" si="126"/>
        <v>3.3.90.33.00-PASSAGENS E DESPESAS COM LOCOMOÇÃO</v>
      </c>
      <c r="R1473" s="25">
        <v>269997</v>
      </c>
      <c r="S1473" t="s">
        <v>1035</v>
      </c>
    </row>
    <row r="1474" spans="1:19" x14ac:dyDescent="0.25">
      <c r="A1474" t="str">
        <f t="shared" si="115"/>
        <v>28</v>
      </c>
      <c r="B1474" t="str">
        <f t="shared" si="116"/>
        <v>001</v>
      </c>
      <c r="C1474" t="str">
        <f t="shared" si="117"/>
        <v>04</v>
      </c>
      <c r="D1474" t="str">
        <f t="shared" si="118"/>
        <v>122</v>
      </c>
      <c r="E1474" t="str">
        <f t="shared" si="119"/>
        <v>0001</v>
      </c>
      <c r="F1474" t="str">
        <f t="shared" si="120"/>
        <v>2.006</v>
      </c>
      <c r="G1474" t="str">
        <f t="shared" si="121"/>
        <v>3.3.90.39.00</v>
      </c>
      <c r="H1474" t="s">
        <v>1516</v>
      </c>
      <c r="I1474" t="str">
        <f t="shared" si="114"/>
        <v>28 - SECRETARIA DE GOVERNO</v>
      </c>
      <c r="J1474" t="s">
        <v>20</v>
      </c>
      <c r="K1474" t="str">
        <f t="shared" si="122"/>
        <v>4-ADMINISTRAÇÃO</v>
      </c>
      <c r="L1474" t="str">
        <f t="shared" si="123"/>
        <v>122-ADMINISTRAÇÃO GERAL</v>
      </c>
      <c r="M1474" t="str">
        <f t="shared" si="124"/>
        <v>0001-Administração e Coordenação Geral​</v>
      </c>
      <c r="N1474" t="str">
        <f t="shared" si="125"/>
        <v xml:space="preserve">2.006-Representações Oficiais </v>
      </c>
      <c r="O1474" t="str">
        <f t="shared" si="126"/>
        <v>3.3.90.39.00-OUTROS SERVIÇOS DE TERCEIROS - PESSOA JURÍDICA</v>
      </c>
      <c r="R1474" s="25">
        <v>269997</v>
      </c>
      <c r="S1474" t="s">
        <v>1035</v>
      </c>
    </row>
    <row r="1475" spans="1:19" x14ac:dyDescent="0.25">
      <c r="A1475" t="str">
        <f t="shared" si="115"/>
        <v>28</v>
      </c>
      <c r="B1475" t="str">
        <f t="shared" si="116"/>
        <v>001</v>
      </c>
      <c r="C1475" t="str">
        <f t="shared" si="117"/>
        <v>04</v>
      </c>
      <c r="D1475" t="str">
        <f t="shared" si="118"/>
        <v>122</v>
      </c>
      <c r="E1475" t="str">
        <f t="shared" si="119"/>
        <v>0001</v>
      </c>
      <c r="F1475" t="str">
        <f t="shared" si="120"/>
        <v>2.011</v>
      </c>
      <c r="G1475" t="str">
        <f t="shared" si="121"/>
        <v>3.3.90.30.00</v>
      </c>
      <c r="H1475" t="s">
        <v>1517</v>
      </c>
      <c r="I1475" t="str">
        <f t="shared" si="114"/>
        <v>28 - SECRETARIA DE GOVERNO</v>
      </c>
      <c r="J1475" t="s">
        <v>20</v>
      </c>
      <c r="K1475" t="str">
        <f t="shared" si="122"/>
        <v>4-ADMINISTRAÇÃO</v>
      </c>
      <c r="L1475" t="str">
        <f t="shared" si="123"/>
        <v>122-ADMINISTRAÇÃO GERAL</v>
      </c>
      <c r="M1475" t="str">
        <f t="shared" si="124"/>
        <v>0001-Administração e Coordenação Geral​</v>
      </c>
      <c r="N1475" t="str">
        <f t="shared" si="125"/>
        <v xml:space="preserve">2.011-Manutenção de Equipamentos Públicos </v>
      </c>
      <c r="O1475" t="str">
        <f t="shared" si="126"/>
        <v>3.3.90.30.00-MATERIAL DE CONSUMO</v>
      </c>
      <c r="R1475" s="25">
        <v>353519</v>
      </c>
      <c r="S1475" t="s">
        <v>1035</v>
      </c>
    </row>
    <row r="1476" spans="1:19" x14ac:dyDescent="0.25">
      <c r="A1476" t="str">
        <f t="shared" si="115"/>
        <v>28</v>
      </c>
      <c r="B1476" t="str">
        <f t="shared" si="116"/>
        <v>001</v>
      </c>
      <c r="C1476" t="str">
        <f t="shared" si="117"/>
        <v>04</v>
      </c>
      <c r="D1476" t="str">
        <f t="shared" si="118"/>
        <v>122</v>
      </c>
      <c r="E1476" t="str">
        <f t="shared" si="119"/>
        <v>0001</v>
      </c>
      <c r="F1476" t="str">
        <f t="shared" si="120"/>
        <v>2.011</v>
      </c>
      <c r="G1476" t="str">
        <f t="shared" si="121"/>
        <v>3.3.90.39.00</v>
      </c>
      <c r="H1476" t="s">
        <v>1518</v>
      </c>
      <c r="I1476" t="str">
        <f t="shared" si="114"/>
        <v>28 - SECRETARIA DE GOVERNO</v>
      </c>
      <c r="J1476" t="s">
        <v>20</v>
      </c>
      <c r="K1476" t="str">
        <f t="shared" si="122"/>
        <v>4-ADMINISTRAÇÃO</v>
      </c>
      <c r="L1476" t="str">
        <f t="shared" si="123"/>
        <v>122-ADMINISTRAÇÃO GERAL</v>
      </c>
      <c r="M1476" t="str">
        <f t="shared" si="124"/>
        <v>0001-Administração e Coordenação Geral​</v>
      </c>
      <c r="N1476" t="str">
        <f t="shared" si="125"/>
        <v xml:space="preserve">2.011-Manutenção de Equipamentos Públicos </v>
      </c>
      <c r="O1476" t="str">
        <f t="shared" si="126"/>
        <v>3.3.90.39.00-OUTROS SERVIÇOS DE TERCEIROS - PESSOA JURÍDICA</v>
      </c>
      <c r="R1476" s="25">
        <v>357450.65</v>
      </c>
      <c r="S1476" t="s">
        <v>1035</v>
      </c>
    </row>
    <row r="1477" spans="1:19" x14ac:dyDescent="0.25">
      <c r="A1477" t="str">
        <f t="shared" si="115"/>
        <v>28</v>
      </c>
      <c r="B1477" t="str">
        <f t="shared" si="116"/>
        <v>001</v>
      </c>
      <c r="C1477" t="str">
        <f t="shared" si="117"/>
        <v>04</v>
      </c>
      <c r="D1477" t="str">
        <f t="shared" si="118"/>
        <v>126</v>
      </c>
      <c r="E1477" t="str">
        <f t="shared" si="119"/>
        <v>0002</v>
      </c>
      <c r="F1477" t="str">
        <f t="shared" si="120"/>
        <v>2.007</v>
      </c>
      <c r="G1477" t="str">
        <f t="shared" si="121"/>
        <v>3.3.90.39.00</v>
      </c>
      <c r="H1477" t="s">
        <v>1519</v>
      </c>
      <c r="I1477" t="str">
        <f t="shared" si="114"/>
        <v>28 - SECRETARIA DE GOVERNO</v>
      </c>
      <c r="J1477" t="s">
        <v>20</v>
      </c>
      <c r="K1477" t="str">
        <f t="shared" si="122"/>
        <v>4-ADMINISTRAÇÃO</v>
      </c>
      <c r="L1477" t="str">
        <f t="shared" si="123"/>
        <v>126-TECNOLOGIA DA INFORMATIZAÇÃO</v>
      </c>
      <c r="M1477" t="str">
        <f t="shared" si="124"/>
        <v>0002-Governo Inteligente, Aberto e Inovador​</v>
      </c>
      <c r="N1477" t="str">
        <f t="shared" si="125"/>
        <v>2.007-Ampliação e Manutenção de Sistemas de Inteligência, Fiscalização e Tecnologia</v>
      </c>
      <c r="O1477" t="str">
        <f t="shared" si="126"/>
        <v>3.3.90.39.00-OUTROS SERVIÇOS DE TERCEIROS - PESSOA JURÍDICA</v>
      </c>
      <c r="R1477" s="25">
        <v>1</v>
      </c>
      <c r="S1477" t="s">
        <v>1035</v>
      </c>
    </row>
    <row r="1478" spans="1:19" x14ac:dyDescent="0.25">
      <c r="A1478" t="str">
        <f t="shared" si="115"/>
        <v>28</v>
      </c>
      <c r="B1478" t="str">
        <f t="shared" si="116"/>
        <v>001</v>
      </c>
      <c r="C1478" t="str">
        <f t="shared" si="117"/>
        <v>04</v>
      </c>
      <c r="D1478" t="str">
        <f t="shared" si="118"/>
        <v>126</v>
      </c>
      <c r="E1478" t="str">
        <f t="shared" si="119"/>
        <v>0002</v>
      </c>
      <c r="F1478" t="str">
        <f t="shared" si="120"/>
        <v>2.007</v>
      </c>
      <c r="G1478" t="str">
        <f t="shared" si="121"/>
        <v>3.3.90.40.00</v>
      </c>
      <c r="H1478" t="s">
        <v>1520</v>
      </c>
      <c r="I1478" t="str">
        <f t="shared" si="114"/>
        <v>28 - SECRETARIA DE GOVERNO</v>
      </c>
      <c r="J1478" t="s">
        <v>20</v>
      </c>
      <c r="K1478" t="str">
        <f t="shared" si="122"/>
        <v>4-ADMINISTRAÇÃO</v>
      </c>
      <c r="L1478" t="str">
        <f t="shared" si="123"/>
        <v>126-TECNOLOGIA DA INFORMATIZAÇÃO</v>
      </c>
      <c r="M1478" t="str">
        <f t="shared" si="124"/>
        <v>0002-Governo Inteligente, Aberto e Inovador​</v>
      </c>
      <c r="N1478" t="str">
        <f t="shared" si="125"/>
        <v>2.007-Ampliação e Manutenção de Sistemas de Inteligência, Fiscalização e Tecnologia</v>
      </c>
      <c r="O1478" t="str">
        <f t="shared" si="126"/>
        <v>3.3.90.40.00-SERVIÇOS DE TECNOLOGIA DA INFORMAÇÃO E COMUNICAÇÃO - PESSOA JURÍDICA</v>
      </c>
      <c r="R1478" s="25">
        <v>1679599</v>
      </c>
      <c r="S1478" t="s">
        <v>1035</v>
      </c>
    </row>
    <row r="1479" spans="1:19" x14ac:dyDescent="0.25">
      <c r="A1479" t="str">
        <f t="shared" si="115"/>
        <v>28</v>
      </c>
      <c r="B1479" t="str">
        <f t="shared" si="116"/>
        <v>001</v>
      </c>
      <c r="C1479" t="str">
        <f t="shared" si="117"/>
        <v>04</v>
      </c>
      <c r="D1479" t="str">
        <f t="shared" si="118"/>
        <v>128</v>
      </c>
      <c r="E1479" t="str">
        <f t="shared" si="119"/>
        <v>0002</v>
      </c>
      <c r="F1479" t="str">
        <f t="shared" si="120"/>
        <v>2.003</v>
      </c>
      <c r="G1479" t="str">
        <f t="shared" si="121"/>
        <v>3.3.90.36.00</v>
      </c>
      <c r="H1479" t="s">
        <v>1521</v>
      </c>
      <c r="I1479" t="str">
        <f t="shared" si="114"/>
        <v>28 - SECRETARIA DE GOVERNO</v>
      </c>
      <c r="J1479" t="s">
        <v>20</v>
      </c>
      <c r="K1479" t="str">
        <f t="shared" si="122"/>
        <v>4-ADMINISTRAÇÃO</v>
      </c>
      <c r="L1479" t="str">
        <f t="shared" si="123"/>
        <v>128-FORMAÇÃO DE RECURSOS HUMANOS</v>
      </c>
      <c r="M1479" t="str">
        <f t="shared" si="124"/>
        <v>0002-Governo Inteligente, Aberto e Inovador​</v>
      </c>
      <c r="N1479" t="str">
        <f t="shared" si="125"/>
        <v>2.003-Qualificação de Servidores e Processos Institucionais</v>
      </c>
      <c r="O1479" t="str">
        <f t="shared" si="126"/>
        <v>3.3.90.36.00-OUTROS SERVIÇOS DE TERCEIROS - PESSOA FÍSICA</v>
      </c>
      <c r="R1479" s="25">
        <v>1</v>
      </c>
      <c r="S1479" t="s">
        <v>1035</v>
      </c>
    </row>
    <row r="1480" spans="1:19" x14ac:dyDescent="0.25">
      <c r="A1480" t="str">
        <f t="shared" si="115"/>
        <v>28</v>
      </c>
      <c r="B1480" t="str">
        <f t="shared" si="116"/>
        <v>001</v>
      </c>
      <c r="C1480" t="str">
        <f t="shared" si="117"/>
        <v>04</v>
      </c>
      <c r="D1480" t="str">
        <f t="shared" si="118"/>
        <v>128</v>
      </c>
      <c r="E1480" t="str">
        <f t="shared" si="119"/>
        <v>0002</v>
      </c>
      <c r="F1480" t="str">
        <f t="shared" si="120"/>
        <v>2.003</v>
      </c>
      <c r="G1480" t="str">
        <f t="shared" si="121"/>
        <v>3.3.90.39.00</v>
      </c>
      <c r="H1480" t="s">
        <v>1522</v>
      </c>
      <c r="I1480" t="str">
        <f t="shared" si="114"/>
        <v>28 - SECRETARIA DE GOVERNO</v>
      </c>
      <c r="J1480" t="s">
        <v>20</v>
      </c>
      <c r="K1480" t="str">
        <f t="shared" si="122"/>
        <v>4-ADMINISTRAÇÃO</v>
      </c>
      <c r="L1480" t="str">
        <f t="shared" si="123"/>
        <v>128-FORMAÇÃO DE RECURSOS HUMANOS</v>
      </c>
      <c r="M1480" t="str">
        <f t="shared" si="124"/>
        <v>0002-Governo Inteligente, Aberto e Inovador​</v>
      </c>
      <c r="N1480" t="str">
        <f t="shared" si="125"/>
        <v>2.003-Qualificação de Servidores e Processos Institucionais</v>
      </c>
      <c r="O1480" t="str">
        <f t="shared" si="126"/>
        <v>3.3.90.39.00-OUTROS SERVIÇOS DE TERCEIROS - PESSOA JURÍDICA</v>
      </c>
      <c r="R1480" s="25">
        <v>1</v>
      </c>
      <c r="S1480" t="s">
        <v>1035</v>
      </c>
    </row>
    <row r="1481" spans="1:19" x14ac:dyDescent="0.25">
      <c r="A1481" t="str">
        <f t="shared" si="115"/>
        <v>28</v>
      </c>
      <c r="B1481" t="str">
        <f t="shared" si="116"/>
        <v>001</v>
      </c>
      <c r="C1481" t="str">
        <f t="shared" si="117"/>
        <v>04</v>
      </c>
      <c r="D1481" t="str">
        <f t="shared" si="118"/>
        <v>131</v>
      </c>
      <c r="E1481" t="str">
        <f t="shared" si="119"/>
        <v>0002</v>
      </c>
      <c r="F1481" t="str">
        <f t="shared" si="120"/>
        <v>2.005</v>
      </c>
      <c r="G1481" t="str">
        <f t="shared" si="121"/>
        <v>3.3.90.30.00</v>
      </c>
      <c r="H1481" t="s">
        <v>1523</v>
      </c>
      <c r="I1481" t="str">
        <f t="shared" si="114"/>
        <v>28 - SECRETARIA DE GOVERNO</v>
      </c>
      <c r="J1481" t="s">
        <v>20</v>
      </c>
      <c r="K1481" t="str">
        <f t="shared" si="122"/>
        <v>4-ADMINISTRAÇÃO</v>
      </c>
      <c r="L1481" t="str">
        <f t="shared" si="123"/>
        <v>131-COMUNICAÇÃO SOCIAL</v>
      </c>
      <c r="M1481" t="str">
        <f t="shared" si="124"/>
        <v>0002-Governo Inteligente, Aberto e Inovador​</v>
      </c>
      <c r="N1481" t="str">
        <f t="shared" si="125"/>
        <v xml:space="preserve">2.005-Promoção de Eventos, Comunicação e Participação Social </v>
      </c>
      <c r="O1481" t="str">
        <f t="shared" si="126"/>
        <v>3.3.90.30.00-MATERIAL DE CONSUMO</v>
      </c>
      <c r="R1481" s="25">
        <v>519.54999999999995</v>
      </c>
      <c r="S1481" t="s">
        <v>1035</v>
      </c>
    </row>
    <row r="1482" spans="1:19" x14ac:dyDescent="0.25">
      <c r="A1482" t="str">
        <f t="shared" si="115"/>
        <v>28</v>
      </c>
      <c r="B1482" t="str">
        <f t="shared" si="116"/>
        <v>001</v>
      </c>
      <c r="C1482" t="str">
        <f t="shared" si="117"/>
        <v>04</v>
      </c>
      <c r="D1482" t="str">
        <f t="shared" si="118"/>
        <v>131</v>
      </c>
      <c r="E1482" t="str">
        <f t="shared" si="119"/>
        <v>0002</v>
      </c>
      <c r="F1482" t="str">
        <f t="shared" si="120"/>
        <v>2.005</v>
      </c>
      <c r="G1482" t="str">
        <f t="shared" si="121"/>
        <v>3.3.90.39.00</v>
      </c>
      <c r="H1482" t="s">
        <v>1524</v>
      </c>
      <c r="I1482" t="str">
        <f t="shared" si="114"/>
        <v>28 - SECRETARIA DE GOVERNO</v>
      </c>
      <c r="J1482" t="s">
        <v>20</v>
      </c>
      <c r="K1482" t="str">
        <f t="shared" si="122"/>
        <v>4-ADMINISTRAÇÃO</v>
      </c>
      <c r="L1482" t="str">
        <f t="shared" si="123"/>
        <v>131-COMUNICAÇÃO SOCIAL</v>
      </c>
      <c r="M1482" t="str">
        <f t="shared" si="124"/>
        <v>0002-Governo Inteligente, Aberto e Inovador​</v>
      </c>
      <c r="N1482" t="str">
        <f t="shared" si="125"/>
        <v xml:space="preserve">2.005-Promoção de Eventos, Comunicação e Participação Social </v>
      </c>
      <c r="O1482" t="str">
        <f t="shared" si="126"/>
        <v>3.3.90.39.00-OUTROS SERVIÇOS DE TERCEIROS - PESSOA JURÍDICA</v>
      </c>
      <c r="R1482" s="25">
        <v>6235.6</v>
      </c>
      <c r="S1482" t="s">
        <v>1035</v>
      </c>
    </row>
    <row r="1483" spans="1:19" x14ac:dyDescent="0.25">
      <c r="A1483" t="str">
        <f t="shared" si="115"/>
        <v>28</v>
      </c>
      <c r="B1483" t="str">
        <f t="shared" si="116"/>
        <v>007</v>
      </c>
      <c r="C1483" t="str">
        <f t="shared" si="117"/>
        <v>04</v>
      </c>
      <c r="D1483" t="str">
        <f t="shared" si="118"/>
        <v>131</v>
      </c>
      <c r="E1483" t="str">
        <f t="shared" si="119"/>
        <v>0002</v>
      </c>
      <c r="F1483" t="str">
        <f t="shared" si="120"/>
        <v>2.005</v>
      </c>
      <c r="G1483" t="str">
        <f t="shared" si="121"/>
        <v>3.3.90.30.00</v>
      </c>
      <c r="H1483" t="s">
        <v>1525</v>
      </c>
      <c r="I1483" t="str">
        <f t="shared" si="114"/>
        <v>28 - SECRETARIA DE GOVERNO</v>
      </c>
      <c r="J1483" t="s">
        <v>660</v>
      </c>
      <c r="K1483" t="str">
        <f t="shared" si="122"/>
        <v>4-ADMINISTRAÇÃO</v>
      </c>
      <c r="L1483" t="str">
        <f t="shared" si="123"/>
        <v>131-COMUNICAÇÃO SOCIAL</v>
      </c>
      <c r="M1483" t="str">
        <f t="shared" si="124"/>
        <v>0002-Governo Inteligente, Aberto e Inovador​</v>
      </c>
      <c r="N1483" t="str">
        <f t="shared" si="125"/>
        <v xml:space="preserve">2.005-Promoção de Eventos, Comunicação e Participação Social </v>
      </c>
      <c r="O1483" t="str">
        <f t="shared" si="126"/>
        <v>3.3.90.30.00-MATERIAL DE CONSUMO</v>
      </c>
      <c r="R1483" s="25">
        <v>1039.0999999999999</v>
      </c>
      <c r="S1483" t="s">
        <v>1035</v>
      </c>
    </row>
    <row r="1484" spans="1:19" x14ac:dyDescent="0.25">
      <c r="A1484" t="str">
        <f t="shared" si="115"/>
        <v>28</v>
      </c>
      <c r="B1484" t="str">
        <f t="shared" si="116"/>
        <v>007</v>
      </c>
      <c r="C1484" t="str">
        <f t="shared" si="117"/>
        <v>04</v>
      </c>
      <c r="D1484" t="str">
        <f t="shared" si="118"/>
        <v>131</v>
      </c>
      <c r="E1484" t="str">
        <f t="shared" si="119"/>
        <v>0002</v>
      </c>
      <c r="F1484" t="str">
        <f t="shared" si="120"/>
        <v>2.005</v>
      </c>
      <c r="G1484" t="str">
        <f t="shared" si="121"/>
        <v>3.3.90.39.00</v>
      </c>
      <c r="H1484" t="s">
        <v>1526</v>
      </c>
      <c r="I1484" t="str">
        <f t="shared" si="114"/>
        <v>28 - SECRETARIA DE GOVERNO</v>
      </c>
      <c r="J1484" t="s">
        <v>660</v>
      </c>
      <c r="K1484" t="str">
        <f t="shared" si="122"/>
        <v>4-ADMINISTRAÇÃO</v>
      </c>
      <c r="L1484" t="str">
        <f t="shared" si="123"/>
        <v>131-COMUNICAÇÃO SOCIAL</v>
      </c>
      <c r="M1484" t="str">
        <f t="shared" si="124"/>
        <v>0002-Governo Inteligente, Aberto e Inovador​</v>
      </c>
      <c r="N1484" t="str">
        <f t="shared" si="125"/>
        <v xml:space="preserve">2.005-Promoção de Eventos, Comunicação e Participação Social </v>
      </c>
      <c r="O1484" t="str">
        <f t="shared" si="126"/>
        <v>3.3.90.39.00-OUTROS SERVIÇOS DE TERCEIROS - PESSOA JURÍDICA</v>
      </c>
      <c r="R1484" s="25">
        <v>8313.7999999999993</v>
      </c>
      <c r="S1484" t="s">
        <v>1035</v>
      </c>
    </row>
    <row r="1485" spans="1:19" x14ac:dyDescent="0.25">
      <c r="A1485" t="str">
        <f t="shared" si="115"/>
        <v>29</v>
      </c>
      <c r="B1485" t="str">
        <f t="shared" si="116"/>
        <v>001</v>
      </c>
      <c r="C1485" t="str">
        <f t="shared" si="117"/>
        <v>04</v>
      </c>
      <c r="D1485" t="str">
        <f t="shared" si="118"/>
        <v>122</v>
      </c>
      <c r="E1485" t="str">
        <f t="shared" si="119"/>
        <v>0001</v>
      </c>
      <c r="F1485" t="str">
        <f t="shared" si="120"/>
        <v>2.006</v>
      </c>
      <c r="G1485" t="str">
        <f t="shared" si="121"/>
        <v>3.3.90.33.00</v>
      </c>
      <c r="H1485" t="s">
        <v>1527</v>
      </c>
      <c r="I1485" t="s">
        <v>1528</v>
      </c>
      <c r="J1485" t="s">
        <v>20</v>
      </c>
      <c r="K1485" t="str">
        <f t="shared" si="122"/>
        <v>4-ADMINISTRAÇÃO</v>
      </c>
      <c r="L1485" t="str">
        <f t="shared" si="123"/>
        <v>122-ADMINISTRAÇÃO GERAL</v>
      </c>
      <c r="M1485" t="str">
        <f t="shared" si="124"/>
        <v>0001-Administração e Coordenação Geral​</v>
      </c>
      <c r="N1485" t="str">
        <f t="shared" si="125"/>
        <v xml:space="preserve">2.006-Representações Oficiais </v>
      </c>
      <c r="O1485" t="str">
        <f t="shared" si="126"/>
        <v>3.3.90.33.00-PASSAGENS E DESPESAS COM LOCOMOÇÃO</v>
      </c>
      <c r="R1485" s="25">
        <v>1</v>
      </c>
      <c r="S1485" t="s">
        <v>1035</v>
      </c>
    </row>
    <row r="1486" spans="1:19" x14ac:dyDescent="0.25">
      <c r="A1486" t="str">
        <f t="shared" si="115"/>
        <v>29</v>
      </c>
      <c r="B1486" t="str">
        <f t="shared" si="116"/>
        <v>001</v>
      </c>
      <c r="C1486" t="str">
        <f t="shared" si="117"/>
        <v>04</v>
      </c>
      <c r="D1486" t="str">
        <f t="shared" si="118"/>
        <v>122</v>
      </c>
      <c r="E1486" t="str">
        <f t="shared" si="119"/>
        <v>0001</v>
      </c>
      <c r="F1486" t="str">
        <f t="shared" si="120"/>
        <v>2.006</v>
      </c>
      <c r="G1486" t="str">
        <f t="shared" si="121"/>
        <v>3.3.90.39.00</v>
      </c>
      <c r="H1486" t="s">
        <v>1529</v>
      </c>
      <c r="I1486" t="s">
        <v>1528</v>
      </c>
      <c r="J1486" t="s">
        <v>20</v>
      </c>
      <c r="K1486" t="str">
        <f t="shared" si="122"/>
        <v>4-ADMINISTRAÇÃO</v>
      </c>
      <c r="L1486" t="str">
        <f t="shared" si="123"/>
        <v>122-ADMINISTRAÇÃO GERAL</v>
      </c>
      <c r="M1486" t="str">
        <f t="shared" si="124"/>
        <v>0001-Administração e Coordenação Geral​</v>
      </c>
      <c r="N1486" t="str">
        <f t="shared" si="125"/>
        <v xml:space="preserve">2.006-Representações Oficiais </v>
      </c>
      <c r="O1486" t="str">
        <f t="shared" si="126"/>
        <v>3.3.90.39.00-OUTROS SERVIÇOS DE TERCEIROS - PESSOA JURÍDICA</v>
      </c>
      <c r="R1486" s="25">
        <v>1</v>
      </c>
      <c r="S1486" t="s">
        <v>1035</v>
      </c>
    </row>
    <row r="1487" spans="1:19" x14ac:dyDescent="0.25">
      <c r="A1487" t="str">
        <f t="shared" si="115"/>
        <v>29</v>
      </c>
      <c r="B1487" t="str">
        <f t="shared" si="116"/>
        <v>001</v>
      </c>
      <c r="C1487" t="str">
        <f t="shared" si="117"/>
        <v>04</v>
      </c>
      <c r="D1487" t="str">
        <f t="shared" si="118"/>
        <v>128</v>
      </c>
      <c r="E1487" t="str">
        <f t="shared" si="119"/>
        <v>0002</v>
      </c>
      <c r="F1487" t="str">
        <f t="shared" si="120"/>
        <v>2.003</v>
      </c>
      <c r="G1487" t="str">
        <f t="shared" si="121"/>
        <v>3.3.90.36.00</v>
      </c>
      <c r="H1487" t="s">
        <v>1530</v>
      </c>
      <c r="I1487" t="s">
        <v>1528</v>
      </c>
      <c r="J1487" t="s">
        <v>20</v>
      </c>
      <c r="K1487" t="str">
        <f t="shared" si="122"/>
        <v>4-ADMINISTRAÇÃO</v>
      </c>
      <c r="L1487" t="str">
        <f t="shared" si="123"/>
        <v>128-FORMAÇÃO DE RECURSOS HUMANOS</v>
      </c>
      <c r="M1487" t="str">
        <f t="shared" si="124"/>
        <v>0002-Governo Inteligente, Aberto e Inovador​</v>
      </c>
      <c r="N1487" t="str">
        <f t="shared" si="125"/>
        <v>2.003-Qualificação de Servidores e Processos Institucionais</v>
      </c>
      <c r="O1487" t="str">
        <f t="shared" si="126"/>
        <v>3.3.90.36.00-OUTROS SERVIÇOS DE TERCEIROS - PESSOA FÍSICA</v>
      </c>
      <c r="R1487" s="25">
        <v>1</v>
      </c>
      <c r="S1487" t="s">
        <v>1035</v>
      </c>
    </row>
    <row r="1488" spans="1:19" x14ac:dyDescent="0.25">
      <c r="A1488" t="str">
        <f t="shared" si="115"/>
        <v>29</v>
      </c>
      <c r="B1488" t="str">
        <f t="shared" si="116"/>
        <v>001</v>
      </c>
      <c r="C1488" t="str">
        <f t="shared" si="117"/>
        <v>04</v>
      </c>
      <c r="D1488" t="str">
        <f t="shared" si="118"/>
        <v>128</v>
      </c>
      <c r="E1488" t="str">
        <f t="shared" si="119"/>
        <v>0002</v>
      </c>
      <c r="F1488" t="str">
        <f t="shared" si="120"/>
        <v>2.003</v>
      </c>
      <c r="G1488" t="str">
        <f t="shared" si="121"/>
        <v>3.3.90.39.00</v>
      </c>
      <c r="H1488" t="s">
        <v>1531</v>
      </c>
      <c r="I1488" t="s">
        <v>1528</v>
      </c>
      <c r="J1488" t="s">
        <v>20</v>
      </c>
      <c r="K1488" t="str">
        <f t="shared" si="122"/>
        <v>4-ADMINISTRAÇÃO</v>
      </c>
      <c r="L1488" t="str">
        <f t="shared" si="123"/>
        <v>128-FORMAÇÃO DE RECURSOS HUMANOS</v>
      </c>
      <c r="M1488" t="str">
        <f t="shared" si="124"/>
        <v>0002-Governo Inteligente, Aberto e Inovador​</v>
      </c>
      <c r="N1488" t="str">
        <f t="shared" si="125"/>
        <v>2.003-Qualificação de Servidores e Processos Institucionais</v>
      </c>
      <c r="O1488" t="str">
        <f t="shared" si="126"/>
        <v>3.3.90.39.00-OUTROS SERVIÇOS DE TERCEIROS - PESSOA JURÍDICA</v>
      </c>
      <c r="R1488" s="25">
        <v>1</v>
      </c>
      <c r="S1488" t="s">
        <v>1035</v>
      </c>
    </row>
    <row r="1489" spans="1:19" x14ac:dyDescent="0.25">
      <c r="A1489" t="str">
        <f t="shared" si="115"/>
        <v>29</v>
      </c>
      <c r="B1489" t="str">
        <f t="shared" si="116"/>
        <v>001</v>
      </c>
      <c r="C1489" t="str">
        <f t="shared" si="117"/>
        <v>04</v>
      </c>
      <c r="D1489" t="str">
        <f t="shared" si="118"/>
        <v>131</v>
      </c>
      <c r="E1489" t="str">
        <f t="shared" si="119"/>
        <v>0002</v>
      </c>
      <c r="F1489" t="str">
        <f t="shared" si="120"/>
        <v>2.005</v>
      </c>
      <c r="G1489" t="str">
        <f t="shared" si="121"/>
        <v>3.3.90.30.00</v>
      </c>
      <c r="H1489" t="s">
        <v>1532</v>
      </c>
      <c r="I1489" t="s">
        <v>1528</v>
      </c>
      <c r="J1489" t="s">
        <v>20</v>
      </c>
      <c r="K1489" t="str">
        <f t="shared" si="122"/>
        <v>4-ADMINISTRAÇÃO</v>
      </c>
      <c r="L1489" t="str">
        <f t="shared" si="123"/>
        <v>131-COMUNICAÇÃO SOCIAL</v>
      </c>
      <c r="M1489" t="str">
        <f t="shared" si="124"/>
        <v>0002-Governo Inteligente, Aberto e Inovador​</v>
      </c>
      <c r="N1489" t="str">
        <f t="shared" si="125"/>
        <v xml:space="preserve">2.005-Promoção de Eventos, Comunicação e Participação Social </v>
      </c>
      <c r="O1489" t="str">
        <f t="shared" si="126"/>
        <v>3.3.90.30.00-MATERIAL DE CONSUMO</v>
      </c>
      <c r="R1489" s="25">
        <v>3117.3</v>
      </c>
      <c r="S1489" t="s">
        <v>1035</v>
      </c>
    </row>
    <row r="1490" spans="1:19" x14ac:dyDescent="0.25">
      <c r="A1490" t="str">
        <f t="shared" si="115"/>
        <v>29</v>
      </c>
      <c r="B1490" t="str">
        <f t="shared" si="116"/>
        <v>001</v>
      </c>
      <c r="C1490" t="str">
        <f t="shared" si="117"/>
        <v>04</v>
      </c>
      <c r="D1490" t="str">
        <f t="shared" si="118"/>
        <v>131</v>
      </c>
      <c r="E1490" t="str">
        <f t="shared" si="119"/>
        <v>0002</v>
      </c>
      <c r="F1490" t="str">
        <f t="shared" si="120"/>
        <v>2.005</v>
      </c>
      <c r="G1490" t="str">
        <f t="shared" si="121"/>
        <v>3.3.90.39.00</v>
      </c>
      <c r="H1490" t="s">
        <v>1533</v>
      </c>
      <c r="I1490" t="s">
        <v>1528</v>
      </c>
      <c r="J1490" t="s">
        <v>20</v>
      </c>
      <c r="K1490" t="str">
        <f t="shared" si="122"/>
        <v>4-ADMINISTRAÇÃO</v>
      </c>
      <c r="L1490" t="str">
        <f t="shared" si="123"/>
        <v>131-COMUNICAÇÃO SOCIAL</v>
      </c>
      <c r="M1490" t="str">
        <f t="shared" si="124"/>
        <v>0002-Governo Inteligente, Aberto e Inovador​</v>
      </c>
      <c r="N1490" t="str">
        <f t="shared" si="125"/>
        <v xml:space="preserve">2.005-Promoção de Eventos, Comunicação e Participação Social </v>
      </c>
      <c r="O1490" t="str">
        <f t="shared" si="126"/>
        <v>3.3.90.39.00-OUTROS SERVIÇOS DE TERCEIROS - PESSOA JURÍDICA</v>
      </c>
      <c r="R1490" s="25">
        <v>7274.7</v>
      </c>
      <c r="S1490" t="s">
        <v>1035</v>
      </c>
    </row>
    <row r="1491" spans="1:19" x14ac:dyDescent="0.25">
      <c r="A1491" t="str">
        <f t="shared" si="115"/>
        <v>29</v>
      </c>
      <c r="B1491" t="str">
        <f t="shared" si="116"/>
        <v>001</v>
      </c>
      <c r="C1491" t="str">
        <f t="shared" si="117"/>
        <v>14</v>
      </c>
      <c r="D1491" t="str">
        <f t="shared" si="118"/>
        <v>243</v>
      </c>
      <c r="E1491" t="str">
        <f t="shared" si="119"/>
        <v>0018</v>
      </c>
      <c r="F1491" t="str">
        <f t="shared" si="120"/>
        <v>2.011</v>
      </c>
      <c r="G1491" t="str">
        <f t="shared" si="121"/>
        <v>3.3.90.30.00</v>
      </c>
      <c r="H1491" t="s">
        <v>1534</v>
      </c>
      <c r="I1491" t="s">
        <v>1528</v>
      </c>
      <c r="J1491" t="s">
        <v>20</v>
      </c>
      <c r="K1491" t="str">
        <f t="shared" si="122"/>
        <v>14-DIREITOS DA CIDADANIA</v>
      </c>
      <c r="L1491" t="str">
        <f t="shared" ref="L1491:L1497" si="127">D1491</f>
        <v>243</v>
      </c>
      <c r="M1491" t="str">
        <f t="shared" si="124"/>
        <v>0018-Proteção Social e Garantia de Direitos​</v>
      </c>
      <c r="N1491" t="str">
        <f t="shared" si="125"/>
        <v xml:space="preserve">2.011-Manutenção de Equipamentos Públicos </v>
      </c>
      <c r="O1491" t="str">
        <f t="shared" si="126"/>
        <v>3.3.90.30.00-MATERIAL DE CONSUMO</v>
      </c>
      <c r="R1491" s="25">
        <v>67541.5</v>
      </c>
      <c r="S1491" t="s">
        <v>1035</v>
      </c>
    </row>
    <row r="1492" spans="1:19" x14ac:dyDescent="0.25">
      <c r="A1492" t="str">
        <f t="shared" si="115"/>
        <v>29</v>
      </c>
      <c r="B1492" t="str">
        <f t="shared" si="116"/>
        <v>001</v>
      </c>
      <c r="C1492" t="str">
        <f t="shared" si="117"/>
        <v>14</v>
      </c>
      <c r="D1492" t="str">
        <f t="shared" si="118"/>
        <v>243</v>
      </c>
      <c r="E1492" t="str">
        <f t="shared" si="119"/>
        <v>0018</v>
      </c>
      <c r="F1492" t="str">
        <f t="shared" si="120"/>
        <v>2.011</v>
      </c>
      <c r="G1492" t="str">
        <f t="shared" si="121"/>
        <v>3.3.90.39.00</v>
      </c>
      <c r="H1492" t="s">
        <v>1535</v>
      </c>
      <c r="I1492" t="s">
        <v>1528</v>
      </c>
      <c r="J1492" t="s">
        <v>20</v>
      </c>
      <c r="K1492" t="str">
        <f t="shared" si="122"/>
        <v>14-DIREITOS DA CIDADANIA</v>
      </c>
      <c r="L1492" t="str">
        <f t="shared" si="127"/>
        <v>243</v>
      </c>
      <c r="M1492" t="str">
        <f t="shared" si="124"/>
        <v>0018-Proteção Social e Garantia de Direitos​</v>
      </c>
      <c r="N1492" t="str">
        <f t="shared" si="125"/>
        <v xml:space="preserve">2.011-Manutenção de Equipamentos Públicos </v>
      </c>
      <c r="O1492" t="str">
        <f t="shared" si="126"/>
        <v>3.3.90.39.00-OUTROS SERVIÇOS DE TERCEIROS - PESSOA JURÍDICA</v>
      </c>
      <c r="R1492" s="25">
        <v>36173</v>
      </c>
      <c r="S1492" t="s">
        <v>1035</v>
      </c>
    </row>
    <row r="1493" spans="1:19" x14ac:dyDescent="0.25">
      <c r="A1493" t="str">
        <f t="shared" si="115"/>
        <v>29</v>
      </c>
      <c r="B1493" t="str">
        <f t="shared" si="116"/>
        <v>001</v>
      </c>
      <c r="C1493" t="str">
        <f t="shared" si="117"/>
        <v>14</v>
      </c>
      <c r="D1493" t="str">
        <f t="shared" si="118"/>
        <v>243</v>
      </c>
      <c r="E1493" t="str">
        <f t="shared" si="119"/>
        <v>0018</v>
      </c>
      <c r="F1493" t="str">
        <f t="shared" si="120"/>
        <v>2.011</v>
      </c>
      <c r="G1493" t="str">
        <f t="shared" si="121"/>
        <v>4.4.90.52.00</v>
      </c>
      <c r="H1493" t="s">
        <v>1536</v>
      </c>
      <c r="I1493" t="s">
        <v>1528</v>
      </c>
      <c r="J1493" t="s">
        <v>20</v>
      </c>
      <c r="K1493" t="str">
        <f t="shared" si="122"/>
        <v>14-DIREITOS DA CIDADANIA</v>
      </c>
      <c r="L1493" t="str">
        <f t="shared" si="127"/>
        <v>243</v>
      </c>
      <c r="M1493" t="str">
        <f t="shared" si="124"/>
        <v>0018-Proteção Social e Garantia de Direitos​</v>
      </c>
      <c r="N1493" t="str">
        <f t="shared" si="125"/>
        <v xml:space="preserve">2.011-Manutenção de Equipamentos Públicos </v>
      </c>
      <c r="O1493" t="str">
        <f t="shared" si="126"/>
        <v>4.4.90.52.00-EQUIPAMENTOS E MATERIAL PERMANENTE</v>
      </c>
      <c r="R1493" s="25">
        <v>44517.122199999998</v>
      </c>
      <c r="S1493" t="s">
        <v>1035</v>
      </c>
    </row>
    <row r="1494" spans="1:19" x14ac:dyDescent="0.25">
      <c r="A1494" t="str">
        <f t="shared" si="115"/>
        <v>29</v>
      </c>
      <c r="B1494" t="str">
        <f t="shared" si="116"/>
        <v>001</v>
      </c>
      <c r="C1494" t="str">
        <f t="shared" si="117"/>
        <v>14</v>
      </c>
      <c r="D1494" t="str">
        <f t="shared" si="118"/>
        <v>243</v>
      </c>
      <c r="E1494" t="str">
        <f t="shared" si="119"/>
        <v>0018</v>
      </c>
      <c r="F1494" t="str">
        <f t="shared" si="120"/>
        <v>2.041</v>
      </c>
      <c r="G1494" t="str">
        <f t="shared" si="121"/>
        <v>3.3.50.39.00</v>
      </c>
      <c r="H1494" t="s">
        <v>1537</v>
      </c>
      <c r="I1494" t="s">
        <v>1528</v>
      </c>
      <c r="J1494" t="s">
        <v>20</v>
      </c>
      <c r="K1494" t="str">
        <f t="shared" si="122"/>
        <v>14-DIREITOS DA CIDADANIA</v>
      </c>
      <c r="L1494" t="str">
        <f t="shared" si="127"/>
        <v>243</v>
      </c>
      <c r="M1494" t="str">
        <f t="shared" si="124"/>
        <v>0018-Proteção Social e Garantia de Direitos​</v>
      </c>
      <c r="N1494" t="str">
        <f t="shared" si="125"/>
        <v>2.041-Ação Transversal de Garantia de Direitos</v>
      </c>
      <c r="O1494" t="str">
        <f t="shared" si="126"/>
        <v>3.3.50.39.00-OUTROS SERVIÇOS DE TERCEIROS - PESSOA JURÍDICA</v>
      </c>
      <c r="R1494" s="25">
        <v>0</v>
      </c>
      <c r="S1494" t="s">
        <v>1035</v>
      </c>
    </row>
    <row r="1495" spans="1:19" x14ac:dyDescent="0.25">
      <c r="A1495" t="str">
        <f t="shared" si="115"/>
        <v>29</v>
      </c>
      <c r="B1495" t="str">
        <f t="shared" si="116"/>
        <v>002</v>
      </c>
      <c r="C1495" t="str">
        <f t="shared" si="117"/>
        <v>14</v>
      </c>
      <c r="D1495" t="str">
        <f t="shared" si="118"/>
        <v>243</v>
      </c>
      <c r="E1495" t="str">
        <f t="shared" si="119"/>
        <v>0018</v>
      </c>
      <c r="F1495" t="str">
        <f t="shared" si="120"/>
        <v>2.041</v>
      </c>
      <c r="G1495" t="str">
        <f t="shared" si="121"/>
        <v>3.3.50.39.00</v>
      </c>
      <c r="H1495" t="s">
        <v>1538</v>
      </c>
      <c r="I1495" t="s">
        <v>1528</v>
      </c>
      <c r="J1495" t="s">
        <v>775</v>
      </c>
      <c r="K1495" t="str">
        <f t="shared" si="122"/>
        <v>14-DIREITOS DA CIDADANIA</v>
      </c>
      <c r="L1495" t="str">
        <f t="shared" si="127"/>
        <v>243</v>
      </c>
      <c r="M1495" t="str">
        <f t="shared" si="124"/>
        <v>0018-Proteção Social e Garantia de Direitos​</v>
      </c>
      <c r="N1495" t="str">
        <f t="shared" si="125"/>
        <v>2.041-Ação Transversal de Garantia de Direitos</v>
      </c>
      <c r="O1495" t="str">
        <f t="shared" si="126"/>
        <v>3.3.50.39.00-OUTROS SERVIÇOS DE TERCEIROS - PESSOA JURÍDICA</v>
      </c>
      <c r="R1495" s="25">
        <v>13451278.24</v>
      </c>
      <c r="S1495" t="s">
        <v>1035</v>
      </c>
    </row>
    <row r="1496" spans="1:19" x14ac:dyDescent="0.25">
      <c r="A1496" t="str">
        <f t="shared" si="115"/>
        <v>29</v>
      </c>
      <c r="B1496" t="str">
        <f t="shared" si="116"/>
        <v>002</v>
      </c>
      <c r="C1496" t="str">
        <f t="shared" si="117"/>
        <v>14</v>
      </c>
      <c r="D1496" t="str">
        <f t="shared" si="118"/>
        <v>243</v>
      </c>
      <c r="E1496" t="str">
        <f t="shared" si="119"/>
        <v>0018</v>
      </c>
      <c r="F1496" t="str">
        <f t="shared" si="120"/>
        <v>2.041</v>
      </c>
      <c r="G1496" t="str">
        <f t="shared" si="121"/>
        <v>4.4.50.39.00</v>
      </c>
      <c r="H1496" t="s">
        <v>1539</v>
      </c>
      <c r="I1496" t="s">
        <v>1528</v>
      </c>
      <c r="J1496" t="s">
        <v>775</v>
      </c>
      <c r="K1496" t="str">
        <f t="shared" si="122"/>
        <v>14-DIREITOS DA CIDADANIA</v>
      </c>
      <c r="L1496" t="str">
        <f t="shared" si="127"/>
        <v>243</v>
      </c>
      <c r="M1496" t="str">
        <f t="shared" si="124"/>
        <v>0018-Proteção Social e Garantia de Direitos​</v>
      </c>
      <c r="N1496" t="str">
        <f t="shared" si="125"/>
        <v>2.041-Ação Transversal de Garantia de Direitos</v>
      </c>
      <c r="O1496" t="str">
        <f t="shared" si="126"/>
        <v>4.4.50.39.00-OUTROS SERVIÇOS DE TERCEIROS - PESSOA JURÍDICA</v>
      </c>
      <c r="R1496" s="25">
        <v>1</v>
      </c>
      <c r="S1496" t="s">
        <v>1035</v>
      </c>
    </row>
    <row r="1497" spans="1:19" x14ac:dyDescent="0.25">
      <c r="A1497" t="str">
        <f t="shared" si="115"/>
        <v>29</v>
      </c>
      <c r="B1497" t="str">
        <f t="shared" si="116"/>
        <v>002</v>
      </c>
      <c r="C1497" t="str">
        <f t="shared" si="117"/>
        <v>14</v>
      </c>
      <c r="D1497" t="str">
        <f t="shared" si="118"/>
        <v>243</v>
      </c>
      <c r="E1497" t="str">
        <f t="shared" si="119"/>
        <v>0018</v>
      </c>
      <c r="F1497" t="str">
        <f t="shared" si="120"/>
        <v>2.041</v>
      </c>
      <c r="G1497" t="str">
        <f t="shared" si="121"/>
        <v>4.4.50.52.00</v>
      </c>
      <c r="H1497" t="s">
        <v>1540</v>
      </c>
      <c r="I1497" t="s">
        <v>1528</v>
      </c>
      <c r="J1497" t="s">
        <v>775</v>
      </c>
      <c r="K1497" t="str">
        <f t="shared" si="122"/>
        <v>14-DIREITOS DA CIDADANIA</v>
      </c>
      <c r="L1497" t="str">
        <f t="shared" si="127"/>
        <v>243</v>
      </c>
      <c r="M1497" t="str">
        <f t="shared" si="124"/>
        <v>0018-Proteção Social e Garantia de Direitos​</v>
      </c>
      <c r="N1497" t="str">
        <f t="shared" si="125"/>
        <v>2.041-Ação Transversal de Garantia de Direitos</v>
      </c>
      <c r="O1497" t="str">
        <f t="shared" si="126"/>
        <v>4.4.50.52.00-EQUIPAMENTOS E MATERIAL PERMANENTE</v>
      </c>
      <c r="R1497" s="25">
        <v>1</v>
      </c>
      <c r="S1497" t="s">
        <v>1035</v>
      </c>
    </row>
    <row r="1498" spans="1:19" x14ac:dyDescent="0.25">
      <c r="A1498" t="str">
        <f t="shared" si="115"/>
        <v>30</v>
      </c>
      <c r="B1498" t="str">
        <f t="shared" si="116"/>
        <v>001</v>
      </c>
      <c r="C1498" t="str">
        <f t="shared" si="117"/>
        <v>04</v>
      </c>
      <c r="D1498" t="str">
        <f t="shared" si="118"/>
        <v>122</v>
      </c>
      <c r="E1498" t="str">
        <f t="shared" si="119"/>
        <v>0001</v>
      </c>
      <c r="F1498" t="str">
        <f t="shared" si="120"/>
        <v>2.006</v>
      </c>
      <c r="G1498" t="str">
        <f t="shared" si="121"/>
        <v>3.3.90.33.00</v>
      </c>
      <c r="H1498" t="s">
        <v>1541</v>
      </c>
      <c r="I1498" t="str">
        <f t="shared" ref="I1498:I1561" si="128">VLOOKUP(A1498,$A$1:$O$994,9,0)</f>
        <v>30 - SECRETARIA EXECUTIVA DA PESSOA COM DEFICIÊNCIA</v>
      </c>
      <c r="J1498" t="s">
        <v>20</v>
      </c>
      <c r="K1498" t="str">
        <f t="shared" si="122"/>
        <v>4-ADMINISTRAÇÃO</v>
      </c>
      <c r="L1498" t="str">
        <f t="shared" si="123"/>
        <v>122-ADMINISTRAÇÃO GERAL</v>
      </c>
      <c r="M1498" t="str">
        <f t="shared" si="124"/>
        <v>0001-Administração e Coordenação Geral​</v>
      </c>
      <c r="N1498" t="str">
        <f t="shared" si="125"/>
        <v xml:space="preserve">2.006-Representações Oficiais </v>
      </c>
      <c r="O1498" t="str">
        <f t="shared" si="126"/>
        <v>3.3.90.33.00-PASSAGENS E DESPESAS COM LOCOMOÇÃO</v>
      </c>
      <c r="R1498" s="25">
        <v>1</v>
      </c>
      <c r="S1498" t="s">
        <v>1035</v>
      </c>
    </row>
    <row r="1499" spans="1:19" x14ac:dyDescent="0.25">
      <c r="A1499" t="str">
        <f t="shared" si="115"/>
        <v>30</v>
      </c>
      <c r="B1499" t="str">
        <f t="shared" si="116"/>
        <v>001</v>
      </c>
      <c r="C1499" t="str">
        <f t="shared" si="117"/>
        <v>04</v>
      </c>
      <c r="D1499" t="str">
        <f t="shared" si="118"/>
        <v>122</v>
      </c>
      <c r="E1499" t="str">
        <f t="shared" si="119"/>
        <v>0001</v>
      </c>
      <c r="F1499" t="str">
        <f t="shared" si="120"/>
        <v>2.006</v>
      </c>
      <c r="G1499" t="str">
        <f t="shared" si="121"/>
        <v>3.3.90.39.00</v>
      </c>
      <c r="H1499" t="s">
        <v>1542</v>
      </c>
      <c r="I1499" t="str">
        <f t="shared" si="128"/>
        <v>30 - SECRETARIA EXECUTIVA DA PESSOA COM DEFICIÊNCIA</v>
      </c>
      <c r="J1499" t="s">
        <v>20</v>
      </c>
      <c r="K1499" t="str">
        <f t="shared" si="122"/>
        <v>4-ADMINISTRAÇÃO</v>
      </c>
      <c r="L1499" t="str">
        <f t="shared" si="123"/>
        <v>122-ADMINISTRAÇÃO GERAL</v>
      </c>
      <c r="M1499" t="str">
        <f t="shared" si="124"/>
        <v>0001-Administração e Coordenação Geral​</v>
      </c>
      <c r="N1499" t="str">
        <f t="shared" si="125"/>
        <v xml:space="preserve">2.006-Representações Oficiais </v>
      </c>
      <c r="O1499" t="str">
        <f t="shared" si="126"/>
        <v>3.3.90.39.00-OUTROS SERVIÇOS DE TERCEIROS - PESSOA JURÍDICA</v>
      </c>
      <c r="R1499" s="25">
        <v>1</v>
      </c>
      <c r="S1499" t="s">
        <v>1035</v>
      </c>
    </row>
    <row r="1500" spans="1:19" x14ac:dyDescent="0.25">
      <c r="A1500" t="str">
        <f t="shared" si="115"/>
        <v>30</v>
      </c>
      <c r="B1500" t="str">
        <f t="shared" si="116"/>
        <v>001</v>
      </c>
      <c r="C1500" t="str">
        <f t="shared" si="117"/>
        <v>04</v>
      </c>
      <c r="D1500" t="str">
        <f t="shared" si="118"/>
        <v>122</v>
      </c>
      <c r="E1500" t="str">
        <f t="shared" si="119"/>
        <v>0001</v>
      </c>
      <c r="F1500" t="str">
        <f t="shared" si="120"/>
        <v>2.011</v>
      </c>
      <c r="G1500" t="str">
        <f t="shared" si="121"/>
        <v>3.3.90.30.00</v>
      </c>
      <c r="H1500" t="s">
        <v>1543</v>
      </c>
      <c r="I1500" t="str">
        <f t="shared" si="128"/>
        <v>30 - SECRETARIA EXECUTIVA DA PESSOA COM DEFICIÊNCIA</v>
      </c>
      <c r="J1500" t="s">
        <v>20</v>
      </c>
      <c r="K1500" t="str">
        <f t="shared" si="122"/>
        <v>4-ADMINISTRAÇÃO</v>
      </c>
      <c r="L1500" t="str">
        <f t="shared" si="123"/>
        <v>122-ADMINISTRAÇÃO GERAL</v>
      </c>
      <c r="M1500" t="str">
        <f t="shared" si="124"/>
        <v>0001-Administração e Coordenação Geral​</v>
      </c>
      <c r="N1500" t="str">
        <f t="shared" si="125"/>
        <v xml:space="preserve">2.011-Manutenção de Equipamentos Públicos </v>
      </c>
      <c r="O1500" t="str">
        <f t="shared" si="126"/>
        <v>3.3.90.30.00-MATERIAL DE CONSUMO</v>
      </c>
      <c r="R1500" s="25">
        <v>41567</v>
      </c>
      <c r="S1500" t="s">
        <v>1035</v>
      </c>
    </row>
    <row r="1501" spans="1:19" x14ac:dyDescent="0.25">
      <c r="A1501" t="str">
        <f t="shared" si="115"/>
        <v>30</v>
      </c>
      <c r="B1501" t="str">
        <f t="shared" si="116"/>
        <v>001</v>
      </c>
      <c r="C1501" t="str">
        <f t="shared" si="117"/>
        <v>04</v>
      </c>
      <c r="D1501" t="str">
        <f t="shared" si="118"/>
        <v>122</v>
      </c>
      <c r="E1501" t="str">
        <f t="shared" si="119"/>
        <v>0001</v>
      </c>
      <c r="F1501" t="str">
        <f t="shared" si="120"/>
        <v>2.011</v>
      </c>
      <c r="G1501" t="str">
        <f t="shared" si="121"/>
        <v>3.3.90.39.00</v>
      </c>
      <c r="H1501" t="s">
        <v>1544</v>
      </c>
      <c r="I1501" t="str">
        <f t="shared" si="128"/>
        <v>30 - SECRETARIA EXECUTIVA DA PESSOA COM DEFICIÊNCIA</v>
      </c>
      <c r="J1501" t="s">
        <v>20</v>
      </c>
      <c r="K1501" t="str">
        <f t="shared" si="122"/>
        <v>4-ADMINISTRAÇÃO</v>
      </c>
      <c r="L1501" t="str">
        <f t="shared" si="123"/>
        <v>122-ADMINISTRAÇÃO GERAL</v>
      </c>
      <c r="M1501" t="str">
        <f t="shared" si="124"/>
        <v>0001-Administração e Coordenação Geral​</v>
      </c>
      <c r="N1501" t="str">
        <f t="shared" si="125"/>
        <v xml:space="preserve">2.011-Manutenção de Equipamentos Públicos </v>
      </c>
      <c r="O1501" t="str">
        <f t="shared" si="126"/>
        <v>3.3.90.39.00-OUTROS SERVIÇOS DE TERCEIROS - PESSOA JURÍDICA</v>
      </c>
      <c r="R1501" s="25">
        <v>5</v>
      </c>
      <c r="S1501" t="s">
        <v>1035</v>
      </c>
    </row>
    <row r="1502" spans="1:19" x14ac:dyDescent="0.25">
      <c r="A1502" t="str">
        <f t="shared" si="115"/>
        <v>30</v>
      </c>
      <c r="B1502" t="str">
        <f t="shared" si="116"/>
        <v>001</v>
      </c>
      <c r="C1502" t="str">
        <f t="shared" si="117"/>
        <v>04</v>
      </c>
      <c r="D1502" t="str">
        <f t="shared" si="118"/>
        <v>122</v>
      </c>
      <c r="E1502" t="str">
        <f t="shared" si="119"/>
        <v>0001</v>
      </c>
      <c r="F1502" t="str">
        <f t="shared" si="120"/>
        <v>2.011</v>
      </c>
      <c r="G1502" t="str">
        <f t="shared" si="121"/>
        <v>4.4.90.52.00</v>
      </c>
      <c r="H1502" t="s">
        <v>1545</v>
      </c>
      <c r="I1502" t="str">
        <f t="shared" si="128"/>
        <v>30 - SECRETARIA EXECUTIVA DA PESSOA COM DEFICIÊNCIA</v>
      </c>
      <c r="J1502" t="s">
        <v>20</v>
      </c>
      <c r="K1502" t="str">
        <f t="shared" si="122"/>
        <v>4-ADMINISTRAÇÃO</v>
      </c>
      <c r="L1502" t="str">
        <f t="shared" si="123"/>
        <v>122-ADMINISTRAÇÃO GERAL</v>
      </c>
      <c r="M1502" t="str">
        <f t="shared" si="124"/>
        <v>0001-Administração e Coordenação Geral​</v>
      </c>
      <c r="N1502" t="str">
        <f t="shared" si="125"/>
        <v xml:space="preserve">2.011-Manutenção de Equipamentos Públicos </v>
      </c>
      <c r="O1502" t="str">
        <f t="shared" si="126"/>
        <v>4.4.90.52.00-EQUIPAMENTOS E MATERIAL PERMANENTE</v>
      </c>
      <c r="R1502" s="25">
        <v>4</v>
      </c>
      <c r="S1502" t="s">
        <v>1035</v>
      </c>
    </row>
    <row r="1503" spans="1:19" x14ac:dyDescent="0.25">
      <c r="A1503" t="str">
        <f t="shared" si="115"/>
        <v>30</v>
      </c>
      <c r="B1503" t="str">
        <f t="shared" si="116"/>
        <v>001</v>
      </c>
      <c r="C1503" t="str">
        <f t="shared" si="117"/>
        <v>04</v>
      </c>
      <c r="D1503" t="str">
        <f t="shared" si="118"/>
        <v>128</v>
      </c>
      <c r="E1503" t="str">
        <f t="shared" si="119"/>
        <v>0002</v>
      </c>
      <c r="F1503" t="str">
        <f t="shared" si="120"/>
        <v>2.003</v>
      </c>
      <c r="G1503" t="str">
        <f t="shared" si="121"/>
        <v>3.3.90.36.00</v>
      </c>
      <c r="H1503" t="s">
        <v>1546</v>
      </c>
      <c r="I1503" t="str">
        <f t="shared" si="128"/>
        <v>30 - SECRETARIA EXECUTIVA DA PESSOA COM DEFICIÊNCIA</v>
      </c>
      <c r="J1503" t="s">
        <v>20</v>
      </c>
      <c r="K1503" t="str">
        <f t="shared" si="122"/>
        <v>4-ADMINISTRAÇÃO</v>
      </c>
      <c r="L1503" t="str">
        <f t="shared" si="123"/>
        <v>128-FORMAÇÃO DE RECURSOS HUMANOS</v>
      </c>
      <c r="M1503" t="str">
        <f t="shared" si="124"/>
        <v>0002-Governo Inteligente, Aberto e Inovador​</v>
      </c>
      <c r="N1503" t="str">
        <f t="shared" si="125"/>
        <v>2.003-Qualificação de Servidores e Processos Institucionais</v>
      </c>
      <c r="O1503" t="str">
        <f t="shared" si="126"/>
        <v>3.3.90.36.00-OUTROS SERVIÇOS DE TERCEIROS - PESSOA FÍSICA</v>
      </c>
      <c r="R1503" s="25">
        <v>2</v>
      </c>
      <c r="S1503" t="s">
        <v>1035</v>
      </c>
    </row>
    <row r="1504" spans="1:19" x14ac:dyDescent="0.25">
      <c r="A1504" t="str">
        <f t="shared" si="115"/>
        <v>30</v>
      </c>
      <c r="B1504" t="str">
        <f t="shared" si="116"/>
        <v>001</v>
      </c>
      <c r="C1504" t="str">
        <f t="shared" si="117"/>
        <v>04</v>
      </c>
      <c r="D1504" t="str">
        <f t="shared" si="118"/>
        <v>128</v>
      </c>
      <c r="E1504" t="str">
        <f t="shared" si="119"/>
        <v>0002</v>
      </c>
      <c r="F1504" t="str">
        <f t="shared" si="120"/>
        <v>2.003</v>
      </c>
      <c r="G1504" t="str">
        <f t="shared" si="121"/>
        <v>3.3.90.39.00</v>
      </c>
      <c r="H1504" t="s">
        <v>1547</v>
      </c>
      <c r="I1504" t="str">
        <f t="shared" si="128"/>
        <v>30 - SECRETARIA EXECUTIVA DA PESSOA COM DEFICIÊNCIA</v>
      </c>
      <c r="J1504" t="s">
        <v>20</v>
      </c>
      <c r="K1504" t="str">
        <f t="shared" si="122"/>
        <v>4-ADMINISTRAÇÃO</v>
      </c>
      <c r="L1504" t="str">
        <f t="shared" si="123"/>
        <v>128-FORMAÇÃO DE RECURSOS HUMANOS</v>
      </c>
      <c r="M1504" t="str">
        <f t="shared" si="124"/>
        <v>0002-Governo Inteligente, Aberto e Inovador​</v>
      </c>
      <c r="N1504" t="str">
        <f t="shared" si="125"/>
        <v>2.003-Qualificação de Servidores e Processos Institucionais</v>
      </c>
      <c r="O1504" t="str">
        <f t="shared" si="126"/>
        <v>3.3.90.39.00-OUTROS SERVIÇOS DE TERCEIROS - PESSOA JURÍDICA</v>
      </c>
      <c r="R1504" s="25">
        <v>2</v>
      </c>
      <c r="S1504" t="s">
        <v>1035</v>
      </c>
    </row>
    <row r="1505" spans="1:19" x14ac:dyDescent="0.25">
      <c r="A1505" t="str">
        <f t="shared" si="115"/>
        <v>30</v>
      </c>
      <c r="B1505" t="str">
        <f t="shared" si="116"/>
        <v>001</v>
      </c>
      <c r="C1505" t="str">
        <f t="shared" si="117"/>
        <v>04</v>
      </c>
      <c r="D1505" t="str">
        <f t="shared" si="118"/>
        <v>131</v>
      </c>
      <c r="E1505" t="str">
        <f t="shared" si="119"/>
        <v>0002</v>
      </c>
      <c r="F1505" t="str">
        <f t="shared" si="120"/>
        <v>2.005</v>
      </c>
      <c r="G1505" t="str">
        <f t="shared" si="121"/>
        <v>3.3.90.30.00</v>
      </c>
      <c r="H1505" t="s">
        <v>1548</v>
      </c>
      <c r="I1505" t="str">
        <f t="shared" si="128"/>
        <v>30 - SECRETARIA EXECUTIVA DA PESSOA COM DEFICIÊNCIA</v>
      </c>
      <c r="J1505" t="s">
        <v>20</v>
      </c>
      <c r="K1505" t="str">
        <f t="shared" si="122"/>
        <v>4-ADMINISTRAÇÃO</v>
      </c>
      <c r="L1505" t="str">
        <f t="shared" si="123"/>
        <v>131-COMUNICAÇÃO SOCIAL</v>
      </c>
      <c r="M1505" t="str">
        <f t="shared" si="124"/>
        <v>0002-Governo Inteligente, Aberto e Inovador​</v>
      </c>
      <c r="N1505" t="str">
        <f t="shared" si="125"/>
        <v xml:space="preserve">2.005-Promoção de Eventos, Comunicação e Participação Social </v>
      </c>
      <c r="O1505" t="str">
        <f t="shared" si="126"/>
        <v>3.3.90.30.00-MATERIAL DE CONSUMO</v>
      </c>
      <c r="R1505" s="25">
        <v>5195.5</v>
      </c>
      <c r="S1505" t="s">
        <v>1035</v>
      </c>
    </row>
    <row r="1506" spans="1:19" x14ac:dyDescent="0.25">
      <c r="A1506" t="str">
        <f t="shared" si="115"/>
        <v>30</v>
      </c>
      <c r="B1506" t="str">
        <f t="shared" si="116"/>
        <v>001</v>
      </c>
      <c r="C1506" t="str">
        <f t="shared" si="117"/>
        <v>04</v>
      </c>
      <c r="D1506" t="str">
        <f t="shared" si="118"/>
        <v>131</v>
      </c>
      <c r="E1506" t="str">
        <f t="shared" si="119"/>
        <v>0002</v>
      </c>
      <c r="F1506" t="str">
        <f t="shared" si="120"/>
        <v>2.005</v>
      </c>
      <c r="G1506" t="str">
        <f t="shared" si="121"/>
        <v>3.3.90.36.00</v>
      </c>
      <c r="H1506" t="s">
        <v>1549</v>
      </c>
      <c r="I1506" t="str">
        <f t="shared" si="128"/>
        <v>30 - SECRETARIA EXECUTIVA DA PESSOA COM DEFICIÊNCIA</v>
      </c>
      <c r="J1506" t="s">
        <v>20</v>
      </c>
      <c r="K1506" t="str">
        <f t="shared" si="122"/>
        <v>4-ADMINISTRAÇÃO</v>
      </c>
      <c r="L1506" t="str">
        <f t="shared" si="123"/>
        <v>131-COMUNICAÇÃO SOCIAL</v>
      </c>
      <c r="M1506" t="str">
        <f t="shared" si="124"/>
        <v>0002-Governo Inteligente, Aberto e Inovador​</v>
      </c>
      <c r="N1506" t="str">
        <f t="shared" si="125"/>
        <v xml:space="preserve">2.005-Promoção de Eventos, Comunicação e Participação Social </v>
      </c>
      <c r="O1506" t="str">
        <f t="shared" si="126"/>
        <v>3.3.90.36.00-OUTROS SERVIÇOS DE TERCEIROS - PESSOA FÍSICA</v>
      </c>
      <c r="R1506" s="25">
        <v>7793.25</v>
      </c>
      <c r="S1506" t="s">
        <v>1035</v>
      </c>
    </row>
    <row r="1507" spans="1:19" x14ac:dyDescent="0.25">
      <c r="A1507" t="str">
        <f t="shared" ref="A1507:A1570" si="129">LEFT(H1507,2)</f>
        <v>30</v>
      </c>
      <c r="B1507" t="str">
        <f t="shared" ref="B1507:B1570" si="130">MID(H1507,4,3)</f>
        <v>001</v>
      </c>
      <c r="C1507" t="str">
        <f t="shared" ref="C1507:C1570" si="131">MID(H1507,8,2)</f>
        <v>04</v>
      </c>
      <c r="D1507" t="str">
        <f t="shared" ref="D1507:D1570" si="132">MID(H1507,11,3)</f>
        <v>131</v>
      </c>
      <c r="E1507" t="str">
        <f t="shared" ref="E1507:E1570" si="133">MID(H1507,15,4)</f>
        <v>0002</v>
      </c>
      <c r="F1507" t="str">
        <f t="shared" ref="F1507:F1570" si="134">MID(H1507,20,5)</f>
        <v>2.005</v>
      </c>
      <c r="G1507" t="str">
        <f t="shared" ref="G1507:G1570" si="135">MID(H1507,26,12)</f>
        <v>3.3.90.39.00</v>
      </c>
      <c r="H1507" t="s">
        <v>1550</v>
      </c>
      <c r="I1507" t="str">
        <f t="shared" si="128"/>
        <v>30 - SECRETARIA EXECUTIVA DA PESSOA COM DEFICIÊNCIA</v>
      </c>
      <c r="J1507" t="s">
        <v>20</v>
      </c>
      <c r="K1507" t="str">
        <f t="shared" ref="K1507:K1570" si="136">VLOOKUP(C1507,$C$1:$O$994,9,0)</f>
        <v>4-ADMINISTRAÇÃO</v>
      </c>
      <c r="L1507" t="str">
        <f t="shared" ref="L1507:L1570" si="137">VLOOKUP(D1507,$D$1:$O$994,9,0)</f>
        <v>131-COMUNICAÇÃO SOCIAL</v>
      </c>
      <c r="M1507" t="str">
        <f t="shared" ref="M1507:M1570" si="138">VLOOKUP(E1507,$E$1:$O$994,9,0)</f>
        <v>0002-Governo Inteligente, Aberto e Inovador​</v>
      </c>
      <c r="N1507" t="str">
        <f t="shared" ref="N1507:N1570" si="139">VLOOKUP(F1507,$F$1:$O$994,9,0)</f>
        <v xml:space="preserve">2.005-Promoção de Eventos, Comunicação e Participação Social </v>
      </c>
      <c r="O1507" t="str">
        <f t="shared" ref="O1507:O1570" si="140">VLOOKUP(G1507,$G$1:$O$994,9,0)</f>
        <v>3.3.90.39.00-OUTROS SERVIÇOS DE TERCEIROS - PESSOA JURÍDICA</v>
      </c>
      <c r="R1507" s="25">
        <v>23380.75</v>
      </c>
      <c r="S1507" t="s">
        <v>1035</v>
      </c>
    </row>
    <row r="1508" spans="1:19" x14ac:dyDescent="0.25">
      <c r="A1508" t="str">
        <f t="shared" si="129"/>
        <v>30</v>
      </c>
      <c r="B1508" t="str">
        <f t="shared" si="130"/>
        <v>001</v>
      </c>
      <c r="C1508" t="str">
        <f t="shared" si="131"/>
        <v>14</v>
      </c>
      <c r="D1508" t="str">
        <f t="shared" si="132"/>
        <v>242</v>
      </c>
      <c r="E1508" t="str">
        <f t="shared" si="133"/>
        <v>0010</v>
      </c>
      <c r="F1508" t="str">
        <f t="shared" si="134"/>
        <v>2.041</v>
      </c>
      <c r="G1508" t="str">
        <f t="shared" si="135"/>
        <v>3.3.50.39.00</v>
      </c>
      <c r="H1508" t="s">
        <v>1551</v>
      </c>
      <c r="I1508" t="str">
        <f t="shared" si="128"/>
        <v>30 - SECRETARIA EXECUTIVA DA PESSOA COM DEFICIÊNCIA</v>
      </c>
      <c r="J1508" t="s">
        <v>20</v>
      </c>
      <c r="K1508" t="str">
        <f t="shared" si="136"/>
        <v>14-DIREITOS DA CIDADANIA</v>
      </c>
      <c r="L1508" t="str">
        <f t="shared" si="137"/>
        <v>242-ASSISTÊNCIA AO PORTADOR DE DEFICIÊNCIA ASSISTÊNCIA À PESSOA COM DEFICIÊNCIA</v>
      </c>
      <c r="M1508" t="str">
        <f t="shared" si="138"/>
        <v>0010-Esporte, Lazer e Bem-Estar​</v>
      </c>
      <c r="N1508" t="str">
        <f t="shared" si="139"/>
        <v>2.041-Ação Transversal de Garantia de Direitos</v>
      </c>
      <c r="O1508" t="str">
        <f t="shared" si="140"/>
        <v>3.3.50.39.00-OUTROS SERVIÇOS DE TERCEIROS - PESSOA JURÍDICA</v>
      </c>
      <c r="R1508" s="25">
        <v>2</v>
      </c>
      <c r="S1508" t="s">
        <v>1035</v>
      </c>
    </row>
    <row r="1509" spans="1:19" x14ac:dyDescent="0.25">
      <c r="A1509" t="str">
        <f t="shared" si="129"/>
        <v>30</v>
      </c>
      <c r="B1509" t="str">
        <f t="shared" si="130"/>
        <v>001</v>
      </c>
      <c r="C1509" t="str">
        <f t="shared" si="131"/>
        <v>14</v>
      </c>
      <c r="D1509" t="str">
        <f t="shared" si="132"/>
        <v>242</v>
      </c>
      <c r="E1509" t="str">
        <f t="shared" si="133"/>
        <v>0016</v>
      </c>
      <c r="F1509" t="str">
        <f t="shared" si="134"/>
        <v>2.041</v>
      </c>
      <c r="G1509" t="str">
        <f t="shared" si="135"/>
        <v>3.3.90.39.00</v>
      </c>
      <c r="H1509" t="s">
        <v>1552</v>
      </c>
      <c r="I1509" t="str">
        <f t="shared" si="128"/>
        <v>30 - SECRETARIA EXECUTIVA DA PESSOA COM DEFICIÊNCIA</v>
      </c>
      <c r="J1509" t="s">
        <v>20</v>
      </c>
      <c r="K1509" t="str">
        <f t="shared" si="136"/>
        <v>14-DIREITOS DA CIDADANIA</v>
      </c>
      <c r="L1509" t="str">
        <f t="shared" si="137"/>
        <v>242-ASSISTÊNCIA AO PORTADOR DE DEFICIÊNCIA ASSISTÊNCIA À PESSOA COM DEFICIÊNCIA</v>
      </c>
      <c r="M1509" t="str">
        <f t="shared" si="138"/>
        <v>0016-Escola para Todos​</v>
      </c>
      <c r="N1509" t="str">
        <f t="shared" si="139"/>
        <v>2.041-Ação Transversal de Garantia de Direitos</v>
      </c>
      <c r="O1509" t="str">
        <f t="shared" si="140"/>
        <v>3.3.90.39.00-OUTROS SERVIÇOS DE TERCEIROS - PESSOA JURÍDICA</v>
      </c>
      <c r="R1509" s="25">
        <v>1</v>
      </c>
      <c r="S1509" t="s">
        <v>1035</v>
      </c>
    </row>
    <row r="1510" spans="1:19" x14ac:dyDescent="0.25">
      <c r="A1510" t="str">
        <f t="shared" si="129"/>
        <v>30</v>
      </c>
      <c r="B1510" t="str">
        <f t="shared" si="130"/>
        <v>001</v>
      </c>
      <c r="C1510" t="str">
        <f t="shared" si="131"/>
        <v>14</v>
      </c>
      <c r="D1510" t="str">
        <f t="shared" si="132"/>
        <v>242</v>
      </c>
      <c r="E1510" t="str">
        <f t="shared" si="133"/>
        <v>0018</v>
      </c>
      <c r="F1510" t="str">
        <f t="shared" si="134"/>
        <v>2.041</v>
      </c>
      <c r="G1510" t="str">
        <f t="shared" si="135"/>
        <v>3.3.50.39.00</v>
      </c>
      <c r="H1510" t="s">
        <v>1553</v>
      </c>
      <c r="I1510" t="str">
        <f t="shared" si="128"/>
        <v>30 - SECRETARIA EXECUTIVA DA PESSOA COM DEFICIÊNCIA</v>
      </c>
      <c r="J1510" t="s">
        <v>20</v>
      </c>
      <c r="K1510" t="str">
        <f t="shared" si="136"/>
        <v>14-DIREITOS DA CIDADANIA</v>
      </c>
      <c r="L1510" t="str">
        <f t="shared" si="137"/>
        <v>242-ASSISTÊNCIA AO PORTADOR DE DEFICIÊNCIA ASSISTÊNCIA À PESSOA COM DEFICIÊNCIA</v>
      </c>
      <c r="M1510" t="str">
        <f t="shared" si="138"/>
        <v>0018-Proteção Social e Garantia de Direitos​</v>
      </c>
      <c r="N1510" t="str">
        <f t="shared" si="139"/>
        <v>2.041-Ação Transversal de Garantia de Direitos</v>
      </c>
      <c r="O1510" t="str">
        <f t="shared" si="140"/>
        <v>3.3.50.39.00-OUTROS SERVIÇOS DE TERCEIROS - PESSOA JURÍDICA</v>
      </c>
      <c r="R1510" s="25">
        <v>3354154</v>
      </c>
      <c r="S1510" t="s">
        <v>1035</v>
      </c>
    </row>
    <row r="1511" spans="1:19" x14ac:dyDescent="0.25">
      <c r="A1511" t="str">
        <f t="shared" si="129"/>
        <v>30</v>
      </c>
      <c r="B1511" t="str">
        <f t="shared" si="130"/>
        <v>001</v>
      </c>
      <c r="C1511" t="str">
        <f t="shared" si="131"/>
        <v>14</v>
      </c>
      <c r="D1511" t="str">
        <f t="shared" si="132"/>
        <v>242</v>
      </c>
      <c r="E1511" t="str">
        <f t="shared" si="133"/>
        <v>0018</v>
      </c>
      <c r="F1511" t="str">
        <f t="shared" si="134"/>
        <v>2.041</v>
      </c>
      <c r="G1511" t="str">
        <f t="shared" si="135"/>
        <v>3.3.90.36.00</v>
      </c>
      <c r="H1511" t="s">
        <v>1554</v>
      </c>
      <c r="I1511" t="str">
        <f t="shared" si="128"/>
        <v>30 - SECRETARIA EXECUTIVA DA PESSOA COM DEFICIÊNCIA</v>
      </c>
      <c r="J1511" t="s">
        <v>20</v>
      </c>
      <c r="K1511" t="str">
        <f t="shared" si="136"/>
        <v>14-DIREITOS DA CIDADANIA</v>
      </c>
      <c r="L1511" t="str">
        <f t="shared" si="137"/>
        <v>242-ASSISTÊNCIA AO PORTADOR DE DEFICIÊNCIA ASSISTÊNCIA À PESSOA COM DEFICIÊNCIA</v>
      </c>
      <c r="M1511" t="str">
        <f t="shared" si="138"/>
        <v>0018-Proteção Social e Garantia de Direitos​</v>
      </c>
      <c r="N1511" t="str">
        <f t="shared" si="139"/>
        <v>2.041-Ação Transversal de Garantia de Direitos</v>
      </c>
      <c r="O1511" t="str">
        <f t="shared" si="140"/>
        <v>3.3.90.36.00-OUTROS SERVIÇOS DE TERCEIROS - PESSOA FÍSICA</v>
      </c>
      <c r="R1511" s="25">
        <v>1</v>
      </c>
      <c r="S1511" t="s">
        <v>1035</v>
      </c>
    </row>
    <row r="1512" spans="1:19" x14ac:dyDescent="0.25">
      <c r="A1512" t="str">
        <f t="shared" si="129"/>
        <v>30</v>
      </c>
      <c r="B1512" t="str">
        <f t="shared" si="130"/>
        <v>001</v>
      </c>
      <c r="C1512" t="str">
        <f t="shared" si="131"/>
        <v>14</v>
      </c>
      <c r="D1512" t="str">
        <f t="shared" si="132"/>
        <v>242</v>
      </c>
      <c r="E1512" t="str">
        <f t="shared" si="133"/>
        <v>0018</v>
      </c>
      <c r="F1512" t="str">
        <f t="shared" si="134"/>
        <v>2.041</v>
      </c>
      <c r="G1512" t="str">
        <f t="shared" si="135"/>
        <v>3.3.90.39.00</v>
      </c>
      <c r="H1512" t="s">
        <v>1555</v>
      </c>
      <c r="I1512" t="str">
        <f t="shared" si="128"/>
        <v>30 - SECRETARIA EXECUTIVA DA PESSOA COM DEFICIÊNCIA</v>
      </c>
      <c r="J1512" t="s">
        <v>20</v>
      </c>
      <c r="K1512" t="str">
        <f t="shared" si="136"/>
        <v>14-DIREITOS DA CIDADANIA</v>
      </c>
      <c r="L1512" t="str">
        <f t="shared" si="137"/>
        <v>242-ASSISTÊNCIA AO PORTADOR DE DEFICIÊNCIA ASSISTÊNCIA À PESSOA COM DEFICIÊNCIA</v>
      </c>
      <c r="M1512" t="str">
        <f t="shared" si="138"/>
        <v>0018-Proteção Social e Garantia de Direitos​</v>
      </c>
      <c r="N1512" t="str">
        <f t="shared" si="139"/>
        <v>2.041-Ação Transversal de Garantia de Direitos</v>
      </c>
      <c r="O1512" t="str">
        <f t="shared" si="140"/>
        <v>3.3.90.39.00-OUTROS SERVIÇOS DE TERCEIROS - PESSOA JURÍDICA</v>
      </c>
      <c r="R1512" s="25">
        <v>2</v>
      </c>
      <c r="S1512" t="s">
        <v>1035</v>
      </c>
    </row>
    <row r="1513" spans="1:19" x14ac:dyDescent="0.25">
      <c r="A1513" t="str">
        <f t="shared" si="129"/>
        <v>30</v>
      </c>
      <c r="B1513" t="str">
        <f t="shared" si="130"/>
        <v>001</v>
      </c>
      <c r="C1513" t="str">
        <f t="shared" si="131"/>
        <v>14</v>
      </c>
      <c r="D1513" t="str">
        <f t="shared" si="132"/>
        <v>242</v>
      </c>
      <c r="E1513" t="str">
        <f t="shared" si="133"/>
        <v>0018</v>
      </c>
      <c r="F1513" t="str">
        <f t="shared" si="134"/>
        <v>2.041</v>
      </c>
      <c r="G1513" t="str">
        <f t="shared" si="135"/>
        <v>3.3.90.40.00</v>
      </c>
      <c r="H1513" t="s">
        <v>1556</v>
      </c>
      <c r="I1513" t="str">
        <f t="shared" si="128"/>
        <v>30 - SECRETARIA EXECUTIVA DA PESSOA COM DEFICIÊNCIA</v>
      </c>
      <c r="J1513" t="s">
        <v>20</v>
      </c>
      <c r="K1513" t="str">
        <f t="shared" si="136"/>
        <v>14-DIREITOS DA CIDADANIA</v>
      </c>
      <c r="L1513" t="str">
        <f t="shared" si="137"/>
        <v>242-ASSISTÊNCIA AO PORTADOR DE DEFICIÊNCIA ASSISTÊNCIA À PESSOA COM DEFICIÊNCIA</v>
      </c>
      <c r="M1513" t="str">
        <f t="shared" si="138"/>
        <v>0018-Proteção Social e Garantia de Direitos​</v>
      </c>
      <c r="N1513" t="str">
        <f t="shared" si="139"/>
        <v>2.041-Ação Transversal de Garantia de Direitos</v>
      </c>
      <c r="O1513" t="str">
        <f t="shared" si="140"/>
        <v>3.3.90.40.00-SERVIÇOS DE TECNOLOGIA DA INFORMAÇÃO E COMUNICAÇÃO - PESSOA JURÍDICA</v>
      </c>
      <c r="R1513" s="25">
        <v>1</v>
      </c>
      <c r="S1513" t="s">
        <v>1035</v>
      </c>
    </row>
    <row r="1514" spans="1:19" x14ac:dyDescent="0.25">
      <c r="A1514" t="str">
        <f t="shared" si="129"/>
        <v>30</v>
      </c>
      <c r="B1514" t="str">
        <f t="shared" si="130"/>
        <v>001</v>
      </c>
      <c r="C1514" t="str">
        <f t="shared" si="131"/>
        <v>14</v>
      </c>
      <c r="D1514" t="str">
        <f t="shared" si="132"/>
        <v>242</v>
      </c>
      <c r="E1514" t="str">
        <f t="shared" si="133"/>
        <v>0018</v>
      </c>
      <c r="F1514" t="str">
        <f t="shared" si="134"/>
        <v>2.041</v>
      </c>
      <c r="G1514" t="str">
        <f t="shared" si="135"/>
        <v>4.4.50.52.00</v>
      </c>
      <c r="H1514" t="s">
        <v>1557</v>
      </c>
      <c r="I1514" t="str">
        <f t="shared" si="128"/>
        <v>30 - SECRETARIA EXECUTIVA DA PESSOA COM DEFICIÊNCIA</v>
      </c>
      <c r="J1514" t="s">
        <v>20</v>
      </c>
      <c r="K1514" t="str">
        <f t="shared" si="136"/>
        <v>14-DIREITOS DA CIDADANIA</v>
      </c>
      <c r="L1514" t="str">
        <f t="shared" si="137"/>
        <v>242-ASSISTÊNCIA AO PORTADOR DE DEFICIÊNCIA ASSISTÊNCIA À PESSOA COM DEFICIÊNCIA</v>
      </c>
      <c r="M1514" t="str">
        <f t="shared" si="138"/>
        <v>0018-Proteção Social e Garantia de Direitos​</v>
      </c>
      <c r="N1514" t="str">
        <f t="shared" si="139"/>
        <v>2.041-Ação Transversal de Garantia de Direitos</v>
      </c>
      <c r="O1514" t="str">
        <f t="shared" si="140"/>
        <v>4.4.50.52.00-EQUIPAMENTOS E MATERIAL PERMANENTE</v>
      </c>
      <c r="R1514" s="25">
        <v>0</v>
      </c>
      <c r="S1514" t="s">
        <v>1035</v>
      </c>
    </row>
    <row r="1515" spans="1:19" x14ac:dyDescent="0.25">
      <c r="A1515" t="str">
        <f t="shared" si="129"/>
        <v>30</v>
      </c>
      <c r="B1515" t="str">
        <f t="shared" si="130"/>
        <v>002</v>
      </c>
      <c r="C1515" t="str">
        <f t="shared" si="131"/>
        <v>14</v>
      </c>
      <c r="D1515" t="str">
        <f t="shared" si="132"/>
        <v>242</v>
      </c>
      <c r="E1515" t="str">
        <f t="shared" si="133"/>
        <v>0018</v>
      </c>
      <c r="F1515" t="str">
        <f t="shared" si="134"/>
        <v>2.041</v>
      </c>
      <c r="G1515" t="str">
        <f t="shared" si="135"/>
        <v>3.3.90.30.00</v>
      </c>
      <c r="H1515" t="s">
        <v>1558</v>
      </c>
      <c r="I1515" t="str">
        <f t="shared" si="128"/>
        <v>30 - SECRETARIA EXECUTIVA DA PESSOA COM DEFICIÊNCIA</v>
      </c>
      <c r="J1515" t="s">
        <v>775</v>
      </c>
      <c r="K1515" t="str">
        <f t="shared" si="136"/>
        <v>14-DIREITOS DA CIDADANIA</v>
      </c>
      <c r="L1515" t="str">
        <f t="shared" si="137"/>
        <v>242-ASSISTÊNCIA AO PORTADOR DE DEFICIÊNCIA ASSISTÊNCIA À PESSOA COM DEFICIÊNCIA</v>
      </c>
      <c r="M1515" t="str">
        <f t="shared" si="138"/>
        <v>0018-Proteção Social e Garantia de Direitos​</v>
      </c>
      <c r="N1515" t="str">
        <f t="shared" si="139"/>
        <v>2.041-Ação Transversal de Garantia de Direitos</v>
      </c>
      <c r="O1515" t="str">
        <f t="shared" si="140"/>
        <v>3.3.90.30.00-MATERIAL DE CONSUMO</v>
      </c>
      <c r="R1515" s="25">
        <v>1</v>
      </c>
      <c r="S1515" t="s">
        <v>1035</v>
      </c>
    </row>
    <row r="1516" spans="1:19" x14ac:dyDescent="0.25">
      <c r="A1516" t="str">
        <f t="shared" si="129"/>
        <v>30</v>
      </c>
      <c r="B1516" t="str">
        <f t="shared" si="130"/>
        <v>002</v>
      </c>
      <c r="C1516" t="str">
        <f t="shared" si="131"/>
        <v>14</v>
      </c>
      <c r="D1516" t="str">
        <f t="shared" si="132"/>
        <v>242</v>
      </c>
      <c r="E1516" t="str">
        <f t="shared" si="133"/>
        <v>0018</v>
      </c>
      <c r="F1516" t="str">
        <f t="shared" si="134"/>
        <v>2.041</v>
      </c>
      <c r="G1516" t="str">
        <f t="shared" si="135"/>
        <v>3.3.90.39.00</v>
      </c>
      <c r="H1516" t="s">
        <v>1559</v>
      </c>
      <c r="I1516" t="str">
        <f t="shared" si="128"/>
        <v>30 - SECRETARIA EXECUTIVA DA PESSOA COM DEFICIÊNCIA</v>
      </c>
      <c r="J1516" t="s">
        <v>775</v>
      </c>
      <c r="K1516" t="str">
        <f t="shared" si="136"/>
        <v>14-DIREITOS DA CIDADANIA</v>
      </c>
      <c r="L1516" t="str">
        <f t="shared" si="137"/>
        <v>242-ASSISTÊNCIA AO PORTADOR DE DEFICIÊNCIA ASSISTÊNCIA À PESSOA COM DEFICIÊNCIA</v>
      </c>
      <c r="M1516" t="str">
        <f t="shared" si="138"/>
        <v>0018-Proteção Social e Garantia de Direitos​</v>
      </c>
      <c r="N1516" t="str">
        <f t="shared" si="139"/>
        <v>2.041-Ação Transversal de Garantia de Direitos</v>
      </c>
      <c r="O1516" t="str">
        <f t="shared" si="140"/>
        <v>3.3.90.39.00-OUTROS SERVIÇOS DE TERCEIROS - PESSOA JURÍDICA</v>
      </c>
      <c r="R1516" s="25">
        <v>1</v>
      </c>
      <c r="S1516" t="s">
        <v>1035</v>
      </c>
    </row>
    <row r="1517" spans="1:19" x14ac:dyDescent="0.25">
      <c r="A1517" t="str">
        <f t="shared" si="129"/>
        <v>30</v>
      </c>
      <c r="B1517" t="str">
        <f t="shared" si="130"/>
        <v>002</v>
      </c>
      <c r="C1517" t="str">
        <f t="shared" si="131"/>
        <v>14</v>
      </c>
      <c r="D1517" t="str">
        <f t="shared" si="132"/>
        <v>242</v>
      </c>
      <c r="E1517" t="str">
        <f t="shared" si="133"/>
        <v>0018</v>
      </c>
      <c r="F1517" t="str">
        <f t="shared" si="134"/>
        <v>2.041</v>
      </c>
      <c r="G1517" t="str">
        <f t="shared" si="135"/>
        <v>4.4.90.51.00</v>
      </c>
      <c r="H1517" t="s">
        <v>1560</v>
      </c>
      <c r="I1517" t="str">
        <f t="shared" si="128"/>
        <v>30 - SECRETARIA EXECUTIVA DA PESSOA COM DEFICIÊNCIA</v>
      </c>
      <c r="J1517" t="s">
        <v>775</v>
      </c>
      <c r="K1517" t="str">
        <f t="shared" si="136"/>
        <v>14-DIREITOS DA CIDADANIA</v>
      </c>
      <c r="L1517" t="str">
        <f t="shared" si="137"/>
        <v>242-ASSISTÊNCIA AO PORTADOR DE DEFICIÊNCIA ASSISTÊNCIA À PESSOA COM DEFICIÊNCIA</v>
      </c>
      <c r="M1517" t="str">
        <f t="shared" si="138"/>
        <v>0018-Proteção Social e Garantia de Direitos​</v>
      </c>
      <c r="N1517" t="str">
        <f t="shared" si="139"/>
        <v>2.041-Ação Transversal de Garantia de Direitos</v>
      </c>
      <c r="O1517" t="str">
        <f t="shared" si="140"/>
        <v>4.4.90.51.00-OBRAS E INSTALAÇÕES</v>
      </c>
      <c r="R1517" s="25">
        <v>1</v>
      </c>
      <c r="S1517" t="s">
        <v>1035</v>
      </c>
    </row>
    <row r="1518" spans="1:19" x14ac:dyDescent="0.25">
      <c r="A1518" t="str">
        <f t="shared" si="129"/>
        <v>30</v>
      </c>
      <c r="B1518" t="str">
        <f t="shared" si="130"/>
        <v>002</v>
      </c>
      <c r="C1518" t="str">
        <f t="shared" si="131"/>
        <v>14</v>
      </c>
      <c r="D1518" t="str">
        <f t="shared" si="132"/>
        <v>242</v>
      </c>
      <c r="E1518" t="str">
        <f t="shared" si="133"/>
        <v>0018</v>
      </c>
      <c r="F1518" t="str">
        <f t="shared" si="134"/>
        <v>2.041</v>
      </c>
      <c r="G1518" t="str">
        <f t="shared" si="135"/>
        <v>4.4.90.52.00</v>
      </c>
      <c r="H1518" t="s">
        <v>1561</v>
      </c>
      <c r="I1518" t="str">
        <f t="shared" si="128"/>
        <v>30 - SECRETARIA EXECUTIVA DA PESSOA COM DEFICIÊNCIA</v>
      </c>
      <c r="J1518" t="s">
        <v>775</v>
      </c>
      <c r="K1518" t="str">
        <f t="shared" si="136"/>
        <v>14-DIREITOS DA CIDADANIA</v>
      </c>
      <c r="L1518" t="str">
        <f t="shared" si="137"/>
        <v>242-ASSISTÊNCIA AO PORTADOR DE DEFICIÊNCIA ASSISTÊNCIA À PESSOA COM DEFICIÊNCIA</v>
      </c>
      <c r="M1518" t="str">
        <f t="shared" si="138"/>
        <v>0018-Proteção Social e Garantia de Direitos​</v>
      </c>
      <c r="N1518" t="str">
        <f t="shared" si="139"/>
        <v>2.041-Ação Transversal de Garantia de Direitos</v>
      </c>
      <c r="O1518" t="str">
        <f t="shared" si="140"/>
        <v>4.4.90.52.00-EQUIPAMENTOS E MATERIAL PERMANENTE</v>
      </c>
      <c r="R1518" s="25">
        <v>1</v>
      </c>
      <c r="S1518" t="s">
        <v>1035</v>
      </c>
    </row>
    <row r="1519" spans="1:19" x14ac:dyDescent="0.25">
      <c r="A1519" t="str">
        <f t="shared" si="129"/>
        <v>31</v>
      </c>
      <c r="B1519" t="str">
        <f t="shared" si="130"/>
        <v>001</v>
      </c>
      <c r="C1519" t="str">
        <f t="shared" si="131"/>
        <v>04</v>
      </c>
      <c r="D1519" t="str">
        <f t="shared" si="132"/>
        <v>122</v>
      </c>
      <c r="E1519" t="str">
        <f t="shared" si="133"/>
        <v>0001</v>
      </c>
      <c r="F1519" t="str">
        <f t="shared" si="134"/>
        <v>2.006</v>
      </c>
      <c r="G1519" t="str">
        <f t="shared" si="135"/>
        <v>3.3.90.33.00</v>
      </c>
      <c r="H1519" t="s">
        <v>1562</v>
      </c>
      <c r="I1519" t="str">
        <f t="shared" si="128"/>
        <v>31 - SECRETARIA EXECUTIVA DE POLITICAS DE PROMOÇÃO DA IGUALDADE RACIAL</v>
      </c>
      <c r="J1519" t="s">
        <v>20</v>
      </c>
      <c r="K1519" t="str">
        <f t="shared" si="136"/>
        <v>4-ADMINISTRAÇÃO</v>
      </c>
      <c r="L1519" t="str">
        <f t="shared" si="137"/>
        <v>122-ADMINISTRAÇÃO GERAL</v>
      </c>
      <c r="M1519" t="str">
        <f t="shared" si="138"/>
        <v>0001-Administração e Coordenação Geral​</v>
      </c>
      <c r="N1519" t="str">
        <f t="shared" si="139"/>
        <v xml:space="preserve">2.006-Representações Oficiais </v>
      </c>
      <c r="O1519" t="str">
        <f t="shared" si="140"/>
        <v>3.3.90.33.00-PASSAGENS E DESPESAS COM LOCOMOÇÃO</v>
      </c>
      <c r="R1519" s="25">
        <v>1</v>
      </c>
      <c r="S1519" t="s">
        <v>1035</v>
      </c>
    </row>
    <row r="1520" spans="1:19" x14ac:dyDescent="0.25">
      <c r="A1520" t="str">
        <f t="shared" si="129"/>
        <v>31</v>
      </c>
      <c r="B1520" t="str">
        <f t="shared" si="130"/>
        <v>001</v>
      </c>
      <c r="C1520" t="str">
        <f t="shared" si="131"/>
        <v>04</v>
      </c>
      <c r="D1520" t="str">
        <f t="shared" si="132"/>
        <v>122</v>
      </c>
      <c r="E1520" t="str">
        <f t="shared" si="133"/>
        <v>0001</v>
      </c>
      <c r="F1520" t="str">
        <f t="shared" si="134"/>
        <v>2.006</v>
      </c>
      <c r="G1520" t="str">
        <f t="shared" si="135"/>
        <v>3.3.90.39.00</v>
      </c>
      <c r="H1520" t="s">
        <v>1563</v>
      </c>
      <c r="I1520" t="str">
        <f t="shared" si="128"/>
        <v>31 - SECRETARIA EXECUTIVA DE POLITICAS DE PROMOÇÃO DA IGUALDADE RACIAL</v>
      </c>
      <c r="J1520" t="s">
        <v>20</v>
      </c>
      <c r="K1520" t="str">
        <f t="shared" si="136"/>
        <v>4-ADMINISTRAÇÃO</v>
      </c>
      <c r="L1520" t="str">
        <f t="shared" si="137"/>
        <v>122-ADMINISTRAÇÃO GERAL</v>
      </c>
      <c r="M1520" t="str">
        <f t="shared" si="138"/>
        <v>0001-Administração e Coordenação Geral​</v>
      </c>
      <c r="N1520" t="str">
        <f t="shared" si="139"/>
        <v xml:space="preserve">2.006-Representações Oficiais </v>
      </c>
      <c r="O1520" t="str">
        <f t="shared" si="140"/>
        <v>3.3.90.39.00-OUTROS SERVIÇOS DE TERCEIROS - PESSOA JURÍDICA</v>
      </c>
      <c r="R1520" s="25">
        <v>1</v>
      </c>
      <c r="S1520" t="s">
        <v>1035</v>
      </c>
    </row>
    <row r="1521" spans="1:19" x14ac:dyDescent="0.25">
      <c r="A1521" t="str">
        <f t="shared" si="129"/>
        <v>31</v>
      </c>
      <c r="B1521" t="str">
        <f t="shared" si="130"/>
        <v>001</v>
      </c>
      <c r="C1521" t="str">
        <f t="shared" si="131"/>
        <v>04</v>
      </c>
      <c r="D1521" t="str">
        <f t="shared" si="132"/>
        <v>128</v>
      </c>
      <c r="E1521" t="str">
        <f t="shared" si="133"/>
        <v>0002</v>
      </c>
      <c r="F1521" t="str">
        <f t="shared" si="134"/>
        <v>2.003</v>
      </c>
      <c r="G1521" t="str">
        <f t="shared" si="135"/>
        <v>3.3.90.39.00</v>
      </c>
      <c r="H1521" t="s">
        <v>1564</v>
      </c>
      <c r="I1521" t="str">
        <f t="shared" si="128"/>
        <v>31 - SECRETARIA EXECUTIVA DE POLITICAS DE PROMOÇÃO DA IGUALDADE RACIAL</v>
      </c>
      <c r="J1521" t="s">
        <v>20</v>
      </c>
      <c r="K1521" t="str">
        <f t="shared" si="136"/>
        <v>4-ADMINISTRAÇÃO</v>
      </c>
      <c r="L1521" t="str">
        <f t="shared" si="137"/>
        <v>128-FORMAÇÃO DE RECURSOS HUMANOS</v>
      </c>
      <c r="M1521" t="str">
        <f t="shared" si="138"/>
        <v>0002-Governo Inteligente, Aberto e Inovador​</v>
      </c>
      <c r="N1521" t="str">
        <f t="shared" si="139"/>
        <v>2.003-Qualificação de Servidores e Processos Institucionais</v>
      </c>
      <c r="O1521" t="str">
        <f t="shared" si="140"/>
        <v>3.3.90.39.00-OUTROS SERVIÇOS DE TERCEIROS - PESSOA JURÍDICA</v>
      </c>
      <c r="R1521" s="25">
        <v>1</v>
      </c>
      <c r="S1521" t="s">
        <v>1035</v>
      </c>
    </row>
    <row r="1522" spans="1:19" x14ac:dyDescent="0.25">
      <c r="A1522" t="str">
        <f t="shared" si="129"/>
        <v>31</v>
      </c>
      <c r="B1522" t="str">
        <f t="shared" si="130"/>
        <v>001</v>
      </c>
      <c r="C1522" t="str">
        <f t="shared" si="131"/>
        <v>04</v>
      </c>
      <c r="D1522" t="str">
        <f t="shared" si="132"/>
        <v>131</v>
      </c>
      <c r="E1522" t="str">
        <f t="shared" si="133"/>
        <v>0002</v>
      </c>
      <c r="F1522" t="str">
        <f t="shared" si="134"/>
        <v>2.005</v>
      </c>
      <c r="G1522" t="str">
        <f t="shared" si="135"/>
        <v>3.3.90.30.00</v>
      </c>
      <c r="H1522" t="s">
        <v>1565</v>
      </c>
      <c r="I1522" t="str">
        <f t="shared" si="128"/>
        <v>31 - SECRETARIA EXECUTIVA DE POLITICAS DE PROMOÇÃO DA IGUALDADE RACIAL</v>
      </c>
      <c r="J1522" t="s">
        <v>20</v>
      </c>
      <c r="K1522" t="str">
        <f t="shared" si="136"/>
        <v>4-ADMINISTRAÇÃO</v>
      </c>
      <c r="L1522" t="str">
        <f t="shared" si="137"/>
        <v>131-COMUNICAÇÃO SOCIAL</v>
      </c>
      <c r="M1522" t="str">
        <f t="shared" si="138"/>
        <v>0002-Governo Inteligente, Aberto e Inovador​</v>
      </c>
      <c r="N1522" t="str">
        <f t="shared" si="139"/>
        <v xml:space="preserve">2.005-Promoção de Eventos, Comunicação e Participação Social </v>
      </c>
      <c r="O1522" t="str">
        <f t="shared" si="140"/>
        <v>3.3.90.30.00-MATERIAL DE CONSUMO</v>
      </c>
      <c r="R1522" s="25">
        <v>2078.1999999999998</v>
      </c>
      <c r="S1522" t="s">
        <v>1035</v>
      </c>
    </row>
    <row r="1523" spans="1:19" x14ac:dyDescent="0.25">
      <c r="A1523" t="str">
        <f t="shared" si="129"/>
        <v>31</v>
      </c>
      <c r="B1523" t="str">
        <f t="shared" si="130"/>
        <v>001</v>
      </c>
      <c r="C1523" t="str">
        <f t="shared" si="131"/>
        <v>04</v>
      </c>
      <c r="D1523" t="str">
        <f t="shared" si="132"/>
        <v>131</v>
      </c>
      <c r="E1523" t="str">
        <f t="shared" si="133"/>
        <v>0002</v>
      </c>
      <c r="F1523" t="str">
        <f t="shared" si="134"/>
        <v>2.005</v>
      </c>
      <c r="G1523" t="str">
        <f t="shared" si="135"/>
        <v>3.3.90.39.00</v>
      </c>
      <c r="H1523" t="s">
        <v>1566</v>
      </c>
      <c r="I1523" t="str">
        <f t="shared" si="128"/>
        <v>31 - SECRETARIA EXECUTIVA DE POLITICAS DE PROMOÇÃO DA IGUALDADE RACIAL</v>
      </c>
      <c r="J1523" t="s">
        <v>20</v>
      </c>
      <c r="K1523" t="str">
        <f t="shared" si="136"/>
        <v>4-ADMINISTRAÇÃO</v>
      </c>
      <c r="L1523" t="str">
        <f t="shared" si="137"/>
        <v>131-COMUNICAÇÃO SOCIAL</v>
      </c>
      <c r="M1523" t="str">
        <f t="shared" si="138"/>
        <v>0002-Governo Inteligente, Aberto e Inovador​</v>
      </c>
      <c r="N1523" t="str">
        <f t="shared" si="139"/>
        <v xml:space="preserve">2.005-Promoção de Eventos, Comunicação e Participação Social </v>
      </c>
      <c r="O1523" t="str">
        <f t="shared" si="140"/>
        <v>3.3.90.39.00-OUTROS SERVIÇOS DE TERCEIROS - PESSOA JURÍDICA</v>
      </c>
      <c r="R1523" s="25">
        <v>16626.599999999999</v>
      </c>
      <c r="S1523" t="s">
        <v>1035</v>
      </c>
    </row>
    <row r="1524" spans="1:19" x14ac:dyDescent="0.25">
      <c r="A1524" t="str">
        <f t="shared" si="129"/>
        <v>31</v>
      </c>
      <c r="B1524" t="str">
        <f t="shared" si="130"/>
        <v>001</v>
      </c>
      <c r="C1524" t="str">
        <f t="shared" si="131"/>
        <v>14</v>
      </c>
      <c r="D1524" t="str">
        <f t="shared" si="132"/>
        <v>391</v>
      </c>
      <c r="E1524" t="str">
        <f t="shared" si="133"/>
        <v>0009</v>
      </c>
      <c r="F1524" t="str">
        <f t="shared" si="134"/>
        <v>2.029</v>
      </c>
      <c r="G1524" t="str">
        <f t="shared" si="135"/>
        <v>3.3.90.40.00</v>
      </c>
      <c r="H1524" t="s">
        <v>1567</v>
      </c>
      <c r="I1524" t="str">
        <f t="shared" si="128"/>
        <v>31 - SECRETARIA EXECUTIVA DE POLITICAS DE PROMOÇÃO DA IGUALDADE RACIAL</v>
      </c>
      <c r="J1524" t="s">
        <v>20</v>
      </c>
      <c r="K1524" t="str">
        <f t="shared" si="136"/>
        <v>14-DIREITOS DA CIDADANIA</v>
      </c>
      <c r="L1524" t="str">
        <f t="shared" si="137"/>
        <v>391-PATRIMÔNIO HISTÓRICO, ARTÍSTICO E ARQUEOLÓGICO</v>
      </c>
      <c r="M1524" t="str">
        <f t="shared" si="138"/>
        <v>0009-Cultura, Economia Criativa e Patrimônio Histórico​</v>
      </c>
      <c r="N1524" t="str">
        <f t="shared" si="139"/>
        <v>2.029-Valorização do Patrimônio Histórico-Cultural</v>
      </c>
      <c r="O1524" t="str">
        <f t="shared" si="140"/>
        <v>3.3.90.40.00-SERVIÇOS DE TECNOLOGIA DA INFORMAÇÃO E COMUNICAÇÃO - PESSOA JURÍDICA</v>
      </c>
      <c r="R1524" s="25">
        <v>40975.869400000003</v>
      </c>
      <c r="S1524" t="s">
        <v>1035</v>
      </c>
    </row>
    <row r="1525" spans="1:19" x14ac:dyDescent="0.25">
      <c r="A1525" t="str">
        <f t="shared" si="129"/>
        <v>31</v>
      </c>
      <c r="B1525" t="str">
        <f t="shared" si="130"/>
        <v>001</v>
      </c>
      <c r="C1525" t="str">
        <f t="shared" si="131"/>
        <v>14</v>
      </c>
      <c r="D1525" t="str">
        <f t="shared" si="132"/>
        <v>422</v>
      </c>
      <c r="E1525" t="str">
        <f t="shared" si="133"/>
        <v>0018</v>
      </c>
      <c r="F1525" t="str">
        <f t="shared" si="134"/>
        <v>2.011</v>
      </c>
      <c r="G1525" t="str">
        <f t="shared" si="135"/>
        <v>3.3.90.30.00</v>
      </c>
      <c r="H1525" t="s">
        <v>1568</v>
      </c>
      <c r="I1525" t="str">
        <f t="shared" si="128"/>
        <v>31 - SECRETARIA EXECUTIVA DE POLITICAS DE PROMOÇÃO DA IGUALDADE RACIAL</v>
      </c>
      <c r="J1525" t="s">
        <v>20</v>
      </c>
      <c r="K1525" t="str">
        <f t="shared" si="136"/>
        <v>14-DIREITOS DA CIDADANIA</v>
      </c>
      <c r="L1525" t="str">
        <f t="shared" si="137"/>
        <v>422-DIREITOS INDIVIDUAIS, COLETIVOS E DIFUSOS</v>
      </c>
      <c r="M1525" t="str">
        <f t="shared" si="138"/>
        <v>0018-Proteção Social e Garantia de Direitos​</v>
      </c>
      <c r="N1525" t="str">
        <f t="shared" si="139"/>
        <v xml:space="preserve">2.011-Manutenção de Equipamentos Públicos </v>
      </c>
      <c r="O1525" t="str">
        <f t="shared" si="140"/>
        <v>3.3.90.30.00-MATERIAL DE CONSUMO</v>
      </c>
      <c r="R1525" s="25">
        <v>148591.29999999999</v>
      </c>
      <c r="S1525" t="s">
        <v>1035</v>
      </c>
    </row>
    <row r="1526" spans="1:19" x14ac:dyDescent="0.25">
      <c r="A1526" t="str">
        <f t="shared" si="129"/>
        <v>31</v>
      </c>
      <c r="B1526" t="str">
        <f t="shared" si="130"/>
        <v>001</v>
      </c>
      <c r="C1526" t="str">
        <f t="shared" si="131"/>
        <v>14</v>
      </c>
      <c r="D1526" t="str">
        <f t="shared" si="132"/>
        <v>422</v>
      </c>
      <c r="E1526" t="str">
        <f t="shared" si="133"/>
        <v>0018</v>
      </c>
      <c r="F1526" t="str">
        <f t="shared" si="134"/>
        <v>2.011</v>
      </c>
      <c r="G1526" t="str">
        <f t="shared" si="135"/>
        <v>3.3.90.39.00</v>
      </c>
      <c r="H1526" t="s">
        <v>1569</v>
      </c>
      <c r="I1526" t="str">
        <f t="shared" si="128"/>
        <v>31 - SECRETARIA EXECUTIVA DE POLITICAS DE PROMOÇÃO DA IGUALDADE RACIAL</v>
      </c>
      <c r="J1526" t="s">
        <v>20</v>
      </c>
      <c r="K1526" t="str">
        <f t="shared" si="136"/>
        <v>14-DIREITOS DA CIDADANIA</v>
      </c>
      <c r="L1526" t="str">
        <f t="shared" si="137"/>
        <v>422-DIREITOS INDIVIDUAIS, COLETIVOS E DIFUSOS</v>
      </c>
      <c r="M1526" t="str">
        <f t="shared" si="138"/>
        <v>0018-Proteção Social e Garantia de Direitos​</v>
      </c>
      <c r="N1526" t="str">
        <f t="shared" si="139"/>
        <v xml:space="preserve">2.011-Manutenção de Equipamentos Públicos </v>
      </c>
      <c r="O1526" t="str">
        <f t="shared" si="140"/>
        <v>3.3.90.39.00-OUTROS SERVIÇOS DE TERCEIROS - PESSOA JURÍDICA</v>
      </c>
      <c r="R1526" s="25">
        <v>45564</v>
      </c>
      <c r="S1526" t="s">
        <v>1035</v>
      </c>
    </row>
    <row r="1527" spans="1:19" x14ac:dyDescent="0.25">
      <c r="A1527" t="str">
        <f t="shared" si="129"/>
        <v>31</v>
      </c>
      <c r="B1527" t="str">
        <f t="shared" si="130"/>
        <v>001</v>
      </c>
      <c r="C1527" t="str">
        <f t="shared" si="131"/>
        <v>14</v>
      </c>
      <c r="D1527" t="str">
        <f t="shared" si="132"/>
        <v>422</v>
      </c>
      <c r="E1527" t="str">
        <f t="shared" si="133"/>
        <v>0018</v>
      </c>
      <c r="F1527" t="str">
        <f t="shared" si="134"/>
        <v>2.011</v>
      </c>
      <c r="G1527" t="str">
        <f t="shared" si="135"/>
        <v>4.4.90.52.00</v>
      </c>
      <c r="H1527" t="s">
        <v>1570</v>
      </c>
      <c r="I1527" t="str">
        <f t="shared" si="128"/>
        <v>31 - SECRETARIA EXECUTIVA DE POLITICAS DE PROMOÇÃO DA IGUALDADE RACIAL</v>
      </c>
      <c r="J1527" t="s">
        <v>20</v>
      </c>
      <c r="K1527" t="str">
        <f t="shared" si="136"/>
        <v>14-DIREITOS DA CIDADANIA</v>
      </c>
      <c r="L1527" t="str">
        <f t="shared" si="137"/>
        <v>422-DIREITOS INDIVIDUAIS, COLETIVOS E DIFUSOS</v>
      </c>
      <c r="M1527" t="str">
        <f t="shared" si="138"/>
        <v>0018-Proteção Social e Garantia de Direitos​</v>
      </c>
      <c r="N1527" t="str">
        <f t="shared" si="139"/>
        <v xml:space="preserve">2.011-Manutenção de Equipamentos Públicos </v>
      </c>
      <c r="O1527" t="str">
        <f t="shared" si="140"/>
        <v>4.4.90.52.00-EQUIPAMENTOS E MATERIAL PERMANENTE</v>
      </c>
      <c r="R1527" s="25">
        <v>16286.8534</v>
      </c>
      <c r="S1527" t="s">
        <v>1035</v>
      </c>
    </row>
    <row r="1528" spans="1:19" x14ac:dyDescent="0.25">
      <c r="A1528" t="str">
        <f t="shared" si="129"/>
        <v>32</v>
      </c>
      <c r="B1528" t="str">
        <f t="shared" si="130"/>
        <v>001</v>
      </c>
      <c r="C1528" t="str">
        <f t="shared" si="131"/>
        <v>04</v>
      </c>
      <c r="D1528" t="str">
        <f t="shared" si="132"/>
        <v>122</v>
      </c>
      <c r="E1528" t="str">
        <f t="shared" si="133"/>
        <v>0001</v>
      </c>
      <c r="F1528" t="str">
        <f t="shared" si="134"/>
        <v>2.006</v>
      </c>
      <c r="G1528" t="str">
        <f t="shared" si="135"/>
        <v>3.3.90.33.00</v>
      </c>
      <c r="H1528" t="s">
        <v>1571</v>
      </c>
      <c r="I1528" t="str">
        <f t="shared" si="128"/>
        <v>32 - SECRETARIA EXECUTIVA DE POLÍTICAS PARA MULHERES E DIVERSIDADE</v>
      </c>
      <c r="J1528" t="s">
        <v>20</v>
      </c>
      <c r="K1528" t="str">
        <f t="shared" si="136"/>
        <v>4-ADMINISTRAÇÃO</v>
      </c>
      <c r="L1528" t="str">
        <f t="shared" si="137"/>
        <v>122-ADMINISTRAÇÃO GERAL</v>
      </c>
      <c r="M1528" t="str">
        <f t="shared" si="138"/>
        <v>0001-Administração e Coordenação Geral​</v>
      </c>
      <c r="N1528" t="str">
        <f t="shared" si="139"/>
        <v xml:space="preserve">2.006-Representações Oficiais </v>
      </c>
      <c r="O1528" t="str">
        <f t="shared" si="140"/>
        <v>3.3.90.33.00-PASSAGENS E DESPESAS COM LOCOMOÇÃO</v>
      </c>
      <c r="R1528" s="25">
        <v>1</v>
      </c>
      <c r="S1528" t="s">
        <v>1035</v>
      </c>
    </row>
    <row r="1529" spans="1:19" x14ac:dyDescent="0.25">
      <c r="A1529" t="str">
        <f t="shared" si="129"/>
        <v>32</v>
      </c>
      <c r="B1529" t="str">
        <f t="shared" si="130"/>
        <v>001</v>
      </c>
      <c r="C1529" t="str">
        <f t="shared" si="131"/>
        <v>04</v>
      </c>
      <c r="D1529" t="str">
        <f t="shared" si="132"/>
        <v>122</v>
      </c>
      <c r="E1529" t="str">
        <f t="shared" si="133"/>
        <v>0001</v>
      </c>
      <c r="F1529" t="str">
        <f t="shared" si="134"/>
        <v>2.006</v>
      </c>
      <c r="G1529" t="str">
        <f t="shared" si="135"/>
        <v>3.3.90.39.00</v>
      </c>
      <c r="H1529" t="s">
        <v>1572</v>
      </c>
      <c r="I1529" t="str">
        <f t="shared" si="128"/>
        <v>32 - SECRETARIA EXECUTIVA DE POLÍTICAS PARA MULHERES E DIVERSIDADE</v>
      </c>
      <c r="J1529" t="s">
        <v>20</v>
      </c>
      <c r="K1529" t="str">
        <f t="shared" si="136"/>
        <v>4-ADMINISTRAÇÃO</v>
      </c>
      <c r="L1529" t="str">
        <f t="shared" si="137"/>
        <v>122-ADMINISTRAÇÃO GERAL</v>
      </c>
      <c r="M1529" t="str">
        <f t="shared" si="138"/>
        <v>0001-Administração e Coordenação Geral​</v>
      </c>
      <c r="N1529" t="str">
        <f t="shared" si="139"/>
        <v xml:space="preserve">2.006-Representações Oficiais </v>
      </c>
      <c r="O1529" t="str">
        <f t="shared" si="140"/>
        <v>3.3.90.39.00-OUTROS SERVIÇOS DE TERCEIROS - PESSOA JURÍDICA</v>
      </c>
      <c r="R1529" s="25">
        <v>1</v>
      </c>
      <c r="S1529" t="s">
        <v>1035</v>
      </c>
    </row>
    <row r="1530" spans="1:19" x14ac:dyDescent="0.25">
      <c r="A1530" t="str">
        <f t="shared" si="129"/>
        <v>32</v>
      </c>
      <c r="B1530" t="str">
        <f t="shared" si="130"/>
        <v>001</v>
      </c>
      <c r="C1530" t="str">
        <f t="shared" si="131"/>
        <v>04</v>
      </c>
      <c r="D1530" t="str">
        <f t="shared" si="132"/>
        <v>128</v>
      </c>
      <c r="E1530" t="str">
        <f t="shared" si="133"/>
        <v>0002</v>
      </c>
      <c r="F1530" t="str">
        <f t="shared" si="134"/>
        <v>2.003</v>
      </c>
      <c r="G1530" t="str">
        <f t="shared" si="135"/>
        <v>3.3.90.36.00</v>
      </c>
      <c r="H1530" t="s">
        <v>1573</v>
      </c>
      <c r="I1530" t="str">
        <f t="shared" si="128"/>
        <v>32 - SECRETARIA EXECUTIVA DE POLÍTICAS PARA MULHERES E DIVERSIDADE</v>
      </c>
      <c r="J1530" t="s">
        <v>20</v>
      </c>
      <c r="K1530" t="str">
        <f t="shared" si="136"/>
        <v>4-ADMINISTRAÇÃO</v>
      </c>
      <c r="L1530" t="str">
        <f t="shared" si="137"/>
        <v>128-FORMAÇÃO DE RECURSOS HUMANOS</v>
      </c>
      <c r="M1530" t="str">
        <f t="shared" si="138"/>
        <v>0002-Governo Inteligente, Aberto e Inovador​</v>
      </c>
      <c r="N1530" t="str">
        <f t="shared" si="139"/>
        <v>2.003-Qualificação de Servidores e Processos Institucionais</v>
      </c>
      <c r="O1530" t="str">
        <f t="shared" si="140"/>
        <v>3.3.90.36.00-OUTROS SERVIÇOS DE TERCEIROS - PESSOA FÍSICA</v>
      </c>
      <c r="R1530" s="25">
        <v>1</v>
      </c>
      <c r="S1530" t="s">
        <v>1035</v>
      </c>
    </row>
    <row r="1531" spans="1:19" x14ac:dyDescent="0.25">
      <c r="A1531" t="str">
        <f t="shared" si="129"/>
        <v>32</v>
      </c>
      <c r="B1531" t="str">
        <f t="shared" si="130"/>
        <v>001</v>
      </c>
      <c r="C1531" t="str">
        <f t="shared" si="131"/>
        <v>04</v>
      </c>
      <c r="D1531" t="str">
        <f t="shared" si="132"/>
        <v>131</v>
      </c>
      <c r="E1531" t="str">
        <f t="shared" si="133"/>
        <v>0002</v>
      </c>
      <c r="F1531" t="str">
        <f t="shared" si="134"/>
        <v>2.005</v>
      </c>
      <c r="G1531" t="str">
        <f t="shared" si="135"/>
        <v>3.3.90.30.00</v>
      </c>
      <c r="H1531" t="s">
        <v>1574</v>
      </c>
      <c r="I1531" t="str">
        <f t="shared" si="128"/>
        <v>32 - SECRETARIA EXECUTIVA DE POLÍTICAS PARA MULHERES E DIVERSIDADE</v>
      </c>
      <c r="J1531" t="s">
        <v>20</v>
      </c>
      <c r="K1531" t="str">
        <f t="shared" si="136"/>
        <v>4-ADMINISTRAÇÃO</v>
      </c>
      <c r="L1531" t="str">
        <f t="shared" si="137"/>
        <v>131-COMUNICAÇÃO SOCIAL</v>
      </c>
      <c r="M1531" t="str">
        <f t="shared" si="138"/>
        <v>0002-Governo Inteligente, Aberto e Inovador​</v>
      </c>
      <c r="N1531" t="str">
        <f t="shared" si="139"/>
        <v xml:space="preserve">2.005-Promoção de Eventos, Comunicação e Participação Social </v>
      </c>
      <c r="O1531" t="str">
        <f t="shared" si="140"/>
        <v>3.3.90.30.00-MATERIAL DE CONSUMO</v>
      </c>
      <c r="R1531" s="25">
        <v>2992.6080000000002</v>
      </c>
      <c r="S1531" t="s">
        <v>1035</v>
      </c>
    </row>
    <row r="1532" spans="1:19" x14ac:dyDescent="0.25">
      <c r="A1532" t="str">
        <f t="shared" si="129"/>
        <v>32</v>
      </c>
      <c r="B1532" t="str">
        <f t="shared" si="130"/>
        <v>001</v>
      </c>
      <c r="C1532" t="str">
        <f t="shared" si="131"/>
        <v>04</v>
      </c>
      <c r="D1532" t="str">
        <f t="shared" si="132"/>
        <v>131</v>
      </c>
      <c r="E1532" t="str">
        <f t="shared" si="133"/>
        <v>0002</v>
      </c>
      <c r="F1532" t="str">
        <f t="shared" si="134"/>
        <v>2.005</v>
      </c>
      <c r="G1532" t="str">
        <f t="shared" si="135"/>
        <v>3.3.90.39.00</v>
      </c>
      <c r="H1532" t="s">
        <v>1575</v>
      </c>
      <c r="I1532" t="str">
        <f t="shared" si="128"/>
        <v>32 - SECRETARIA EXECUTIVA DE POLÍTICAS PARA MULHERES E DIVERSIDADE</v>
      </c>
      <c r="J1532" t="s">
        <v>20</v>
      </c>
      <c r="K1532" t="str">
        <f t="shared" si="136"/>
        <v>4-ADMINISTRAÇÃO</v>
      </c>
      <c r="L1532" t="str">
        <f t="shared" si="137"/>
        <v>131-COMUNICAÇÃO SOCIAL</v>
      </c>
      <c r="M1532" t="str">
        <f t="shared" si="138"/>
        <v>0002-Governo Inteligente, Aberto e Inovador​</v>
      </c>
      <c r="N1532" t="str">
        <f t="shared" si="139"/>
        <v xml:space="preserve">2.005-Promoção de Eventos, Comunicação e Participação Social </v>
      </c>
      <c r="O1532" t="str">
        <f t="shared" si="140"/>
        <v>3.3.90.39.00-OUTROS SERVIÇOS DE TERCEIROS - PESSOA JURÍDICA</v>
      </c>
      <c r="R1532" s="25">
        <v>13509.3</v>
      </c>
      <c r="S1532" t="s">
        <v>1035</v>
      </c>
    </row>
    <row r="1533" spans="1:19" x14ac:dyDescent="0.25">
      <c r="A1533" t="str">
        <f t="shared" si="129"/>
        <v>32</v>
      </c>
      <c r="B1533" t="str">
        <f t="shared" si="130"/>
        <v>001</v>
      </c>
      <c r="C1533" t="str">
        <f t="shared" si="131"/>
        <v>14</v>
      </c>
      <c r="D1533" t="str">
        <f t="shared" si="132"/>
        <v>334</v>
      </c>
      <c r="E1533" t="str">
        <f t="shared" si="133"/>
        <v>0017</v>
      </c>
      <c r="F1533" t="str">
        <f t="shared" si="134"/>
        <v>2.004</v>
      </c>
      <c r="G1533" t="str">
        <f t="shared" si="135"/>
        <v>3.3.90.39.00</v>
      </c>
      <c r="H1533" t="s">
        <v>1576</v>
      </c>
      <c r="I1533" t="str">
        <f t="shared" si="128"/>
        <v>32 - SECRETARIA EXECUTIVA DE POLÍTICAS PARA MULHERES E DIVERSIDADE</v>
      </c>
      <c r="J1533" t="s">
        <v>20</v>
      </c>
      <c r="K1533" t="str">
        <f t="shared" si="136"/>
        <v>14-DIREITOS DA CIDADANIA</v>
      </c>
      <c r="L1533" t="str">
        <f t="shared" si="137"/>
        <v>334-FOMENTO AO TRABALHO</v>
      </c>
      <c r="M1533" t="str">
        <f t="shared" si="138"/>
        <v>0017-Trabalho, Emprego e Renda​</v>
      </c>
      <c r="N1533" t="str">
        <f t="shared" si="139"/>
        <v xml:space="preserve">2.004-Qualificação Socioprofissional </v>
      </c>
      <c r="O1533" t="str">
        <f t="shared" si="140"/>
        <v>3.3.90.39.00-OUTROS SERVIÇOS DE TERCEIROS - PESSOA JURÍDICA</v>
      </c>
      <c r="R1533" s="25">
        <v>489264.99399999995</v>
      </c>
      <c r="S1533" t="s">
        <v>1035</v>
      </c>
    </row>
    <row r="1534" spans="1:19" x14ac:dyDescent="0.25">
      <c r="A1534" t="str">
        <f t="shared" si="129"/>
        <v>32</v>
      </c>
      <c r="B1534" t="str">
        <f t="shared" si="130"/>
        <v>001</v>
      </c>
      <c r="C1534" t="str">
        <f t="shared" si="131"/>
        <v>14</v>
      </c>
      <c r="D1534" t="str">
        <f t="shared" si="132"/>
        <v>422</v>
      </c>
      <c r="E1534" t="str">
        <f t="shared" si="133"/>
        <v>0018</v>
      </c>
      <c r="F1534" t="str">
        <f t="shared" si="134"/>
        <v>2.011</v>
      </c>
      <c r="G1534" t="str">
        <f t="shared" si="135"/>
        <v>3.3.50.39.00</v>
      </c>
      <c r="H1534" t="s">
        <v>1577</v>
      </c>
      <c r="I1534" t="str">
        <f t="shared" si="128"/>
        <v>32 - SECRETARIA EXECUTIVA DE POLÍTICAS PARA MULHERES E DIVERSIDADE</v>
      </c>
      <c r="J1534" t="s">
        <v>20</v>
      </c>
      <c r="K1534" t="str">
        <f t="shared" si="136"/>
        <v>14-DIREITOS DA CIDADANIA</v>
      </c>
      <c r="L1534" t="str">
        <f t="shared" si="137"/>
        <v>422-DIREITOS INDIVIDUAIS, COLETIVOS E DIFUSOS</v>
      </c>
      <c r="M1534" t="str">
        <f t="shared" si="138"/>
        <v>0018-Proteção Social e Garantia de Direitos​</v>
      </c>
      <c r="N1534" t="str">
        <f t="shared" si="139"/>
        <v xml:space="preserve">2.011-Manutenção de Equipamentos Públicos </v>
      </c>
      <c r="O1534" t="str">
        <f t="shared" si="140"/>
        <v>3.3.50.39.00-OUTROS SERVIÇOS DE TERCEIROS - PESSOA JURÍDICA</v>
      </c>
      <c r="R1534" s="25">
        <v>1171600.1100000001</v>
      </c>
      <c r="S1534" t="s">
        <v>1035</v>
      </c>
    </row>
    <row r="1535" spans="1:19" x14ac:dyDescent="0.25">
      <c r="A1535" t="str">
        <f t="shared" si="129"/>
        <v>32</v>
      </c>
      <c r="B1535" t="str">
        <f t="shared" si="130"/>
        <v>001</v>
      </c>
      <c r="C1535" t="str">
        <f t="shared" si="131"/>
        <v>14</v>
      </c>
      <c r="D1535" t="str">
        <f t="shared" si="132"/>
        <v>422</v>
      </c>
      <c r="E1535" t="str">
        <f t="shared" si="133"/>
        <v>0018</v>
      </c>
      <c r="F1535" t="str">
        <f t="shared" si="134"/>
        <v>2.011</v>
      </c>
      <c r="G1535" t="str">
        <f t="shared" si="135"/>
        <v>3.3.71.70.00</v>
      </c>
      <c r="H1535" t="s">
        <v>1578</v>
      </c>
      <c r="I1535" t="str">
        <f t="shared" si="128"/>
        <v>32 - SECRETARIA EXECUTIVA DE POLÍTICAS PARA MULHERES E DIVERSIDADE</v>
      </c>
      <c r="J1535" t="s">
        <v>20</v>
      </c>
      <c r="K1535" t="str">
        <f t="shared" si="136"/>
        <v>14-DIREITOS DA CIDADANIA</v>
      </c>
      <c r="L1535" t="str">
        <f t="shared" si="137"/>
        <v>422-DIREITOS INDIVIDUAIS, COLETIVOS E DIFUSOS</v>
      </c>
      <c r="M1535" t="str">
        <f t="shared" si="138"/>
        <v>0018-Proteção Social e Garantia de Direitos​</v>
      </c>
      <c r="N1535" t="str">
        <f t="shared" si="139"/>
        <v xml:space="preserve">2.011-Manutenção de Equipamentos Públicos </v>
      </c>
      <c r="O1535" t="str">
        <f t="shared" si="140"/>
        <v>3.3.71.70.00-RATEIO PELA PARTICIPAÇÃO EM CONSÓRCIO PÚBLICO</v>
      </c>
      <c r="R1535" s="25">
        <v>234633.435168</v>
      </c>
      <c r="S1535" t="s">
        <v>1035</v>
      </c>
    </row>
    <row r="1536" spans="1:19" x14ac:dyDescent="0.25">
      <c r="A1536" t="str">
        <f t="shared" si="129"/>
        <v>32</v>
      </c>
      <c r="B1536" t="str">
        <f t="shared" si="130"/>
        <v>001</v>
      </c>
      <c r="C1536" t="str">
        <f t="shared" si="131"/>
        <v>14</v>
      </c>
      <c r="D1536" t="str">
        <f t="shared" si="132"/>
        <v>422</v>
      </c>
      <c r="E1536" t="str">
        <f t="shared" si="133"/>
        <v>0018</v>
      </c>
      <c r="F1536" t="str">
        <f t="shared" si="134"/>
        <v>2.011</v>
      </c>
      <c r="G1536" t="str">
        <f t="shared" si="135"/>
        <v>3.3.90.30.00</v>
      </c>
      <c r="H1536" t="s">
        <v>1579</v>
      </c>
      <c r="I1536" t="str">
        <f t="shared" si="128"/>
        <v>32 - SECRETARIA EXECUTIVA DE POLÍTICAS PARA MULHERES E DIVERSIDADE</v>
      </c>
      <c r="J1536" t="s">
        <v>20</v>
      </c>
      <c r="K1536" t="str">
        <f t="shared" si="136"/>
        <v>14-DIREITOS DA CIDADANIA</v>
      </c>
      <c r="L1536" t="str">
        <f t="shared" si="137"/>
        <v>422-DIREITOS INDIVIDUAIS, COLETIVOS E DIFUSOS</v>
      </c>
      <c r="M1536" t="str">
        <f t="shared" si="138"/>
        <v>0018-Proteção Social e Garantia de Direitos​</v>
      </c>
      <c r="N1536" t="str">
        <f t="shared" si="139"/>
        <v xml:space="preserve">2.011-Manutenção de Equipamentos Públicos </v>
      </c>
      <c r="O1536" t="str">
        <f t="shared" si="140"/>
        <v>3.3.90.30.00-MATERIAL DE CONSUMO</v>
      </c>
      <c r="R1536" s="25">
        <v>41566</v>
      </c>
      <c r="S1536" t="s">
        <v>1035</v>
      </c>
    </row>
    <row r="1537" spans="1:19" x14ac:dyDescent="0.25">
      <c r="A1537" t="str">
        <f t="shared" si="129"/>
        <v>32</v>
      </c>
      <c r="B1537" t="str">
        <f t="shared" si="130"/>
        <v>001</v>
      </c>
      <c r="C1537" t="str">
        <f t="shared" si="131"/>
        <v>14</v>
      </c>
      <c r="D1537" t="str">
        <f t="shared" si="132"/>
        <v>422</v>
      </c>
      <c r="E1537" t="str">
        <f t="shared" si="133"/>
        <v>0018</v>
      </c>
      <c r="F1537" t="str">
        <f t="shared" si="134"/>
        <v>2.011</v>
      </c>
      <c r="G1537" t="str">
        <f t="shared" si="135"/>
        <v>3.3.90.39.00</v>
      </c>
      <c r="H1537" t="s">
        <v>1580</v>
      </c>
      <c r="I1537" t="str">
        <f t="shared" si="128"/>
        <v>32 - SECRETARIA EXECUTIVA DE POLÍTICAS PARA MULHERES E DIVERSIDADE</v>
      </c>
      <c r="J1537" t="s">
        <v>20</v>
      </c>
      <c r="K1537" t="str">
        <f t="shared" si="136"/>
        <v>14-DIREITOS DA CIDADANIA</v>
      </c>
      <c r="L1537" t="str">
        <f t="shared" si="137"/>
        <v>422-DIREITOS INDIVIDUAIS, COLETIVOS E DIFUSOS</v>
      </c>
      <c r="M1537" t="str">
        <f t="shared" si="138"/>
        <v>0018-Proteção Social e Garantia de Direitos​</v>
      </c>
      <c r="N1537" t="str">
        <f t="shared" si="139"/>
        <v xml:space="preserve">2.011-Manutenção de Equipamentos Públicos </v>
      </c>
      <c r="O1537" t="str">
        <f t="shared" si="140"/>
        <v>3.3.90.39.00-OUTROS SERVIÇOS DE TERCEIROS - PESSOA JURÍDICA</v>
      </c>
      <c r="R1537" s="25">
        <v>72739</v>
      </c>
      <c r="S1537" t="s">
        <v>1035</v>
      </c>
    </row>
    <row r="1538" spans="1:19" x14ac:dyDescent="0.25">
      <c r="A1538" t="str">
        <f t="shared" si="129"/>
        <v>32</v>
      </c>
      <c r="B1538" t="str">
        <f t="shared" si="130"/>
        <v>001</v>
      </c>
      <c r="C1538" t="str">
        <f t="shared" si="131"/>
        <v>14</v>
      </c>
      <c r="D1538" t="str">
        <f t="shared" si="132"/>
        <v>422</v>
      </c>
      <c r="E1538" t="str">
        <f t="shared" si="133"/>
        <v>0018</v>
      </c>
      <c r="F1538" t="str">
        <f t="shared" si="134"/>
        <v>2.011</v>
      </c>
      <c r="G1538" t="str">
        <f t="shared" si="135"/>
        <v>4.4.71.70.00</v>
      </c>
      <c r="H1538" t="s">
        <v>1581</v>
      </c>
      <c r="I1538" t="str">
        <f t="shared" si="128"/>
        <v>32 - SECRETARIA EXECUTIVA DE POLÍTICAS PARA MULHERES E DIVERSIDADE</v>
      </c>
      <c r="J1538" t="s">
        <v>20</v>
      </c>
      <c r="K1538" t="str">
        <f t="shared" si="136"/>
        <v>14-DIREITOS DA CIDADANIA</v>
      </c>
      <c r="L1538" t="str">
        <f t="shared" si="137"/>
        <v>422-DIREITOS INDIVIDUAIS, COLETIVOS E DIFUSOS</v>
      </c>
      <c r="M1538" t="str">
        <f t="shared" si="138"/>
        <v>0018-Proteção Social e Garantia de Direitos​</v>
      </c>
      <c r="N1538" t="str">
        <f t="shared" si="139"/>
        <v xml:space="preserve">2.011-Manutenção de Equipamentos Públicos </v>
      </c>
      <c r="O1538" t="str">
        <f t="shared" si="140"/>
        <v>4.4.71.70.00-RATEIO PELA PARTICIPAÇÃO EM CONSÓRCIO PÚBLICO</v>
      </c>
      <c r="R1538" s="25">
        <v>31995.468431999998</v>
      </c>
      <c r="S1538" t="s">
        <v>1035</v>
      </c>
    </row>
    <row r="1539" spans="1:19" x14ac:dyDescent="0.25">
      <c r="A1539" t="str">
        <f t="shared" si="129"/>
        <v>32</v>
      </c>
      <c r="B1539" t="str">
        <f t="shared" si="130"/>
        <v>001</v>
      </c>
      <c r="C1539" t="str">
        <f t="shared" si="131"/>
        <v>14</v>
      </c>
      <c r="D1539" t="str">
        <f t="shared" si="132"/>
        <v>422</v>
      </c>
      <c r="E1539" t="str">
        <f t="shared" si="133"/>
        <v>0018</v>
      </c>
      <c r="F1539" t="str">
        <f t="shared" si="134"/>
        <v>2.011</v>
      </c>
      <c r="G1539" t="str">
        <f t="shared" si="135"/>
        <v>4.4.90.52.00</v>
      </c>
      <c r="H1539" t="s">
        <v>1582</v>
      </c>
      <c r="I1539" t="str">
        <f t="shared" si="128"/>
        <v>32 - SECRETARIA EXECUTIVA DE POLÍTICAS PARA MULHERES E DIVERSIDADE</v>
      </c>
      <c r="J1539" t="s">
        <v>20</v>
      </c>
      <c r="K1539" t="str">
        <f t="shared" si="136"/>
        <v>14-DIREITOS DA CIDADANIA</v>
      </c>
      <c r="L1539" t="str">
        <f t="shared" si="137"/>
        <v>422-DIREITOS INDIVIDUAIS, COLETIVOS E DIFUSOS</v>
      </c>
      <c r="M1539" t="str">
        <f t="shared" si="138"/>
        <v>0018-Proteção Social e Garantia de Direitos​</v>
      </c>
      <c r="N1539" t="str">
        <f t="shared" si="139"/>
        <v xml:space="preserve">2.011-Manutenção de Equipamentos Públicos </v>
      </c>
      <c r="O1539" t="str">
        <f t="shared" si="140"/>
        <v>4.4.90.52.00-EQUIPAMENTOS E MATERIAL PERMANENTE</v>
      </c>
      <c r="R1539" s="25">
        <v>0</v>
      </c>
      <c r="S1539" t="s">
        <v>1035</v>
      </c>
    </row>
    <row r="1540" spans="1:19" x14ac:dyDescent="0.25">
      <c r="A1540" t="str">
        <f t="shared" si="129"/>
        <v>32</v>
      </c>
      <c r="B1540" t="str">
        <f t="shared" si="130"/>
        <v>002</v>
      </c>
      <c r="C1540" t="str">
        <f t="shared" si="131"/>
        <v>14</v>
      </c>
      <c r="D1540" t="str">
        <f t="shared" si="132"/>
        <v>422</v>
      </c>
      <c r="E1540" t="str">
        <f t="shared" si="133"/>
        <v>0018</v>
      </c>
      <c r="F1540" t="str">
        <f t="shared" si="134"/>
        <v>2.011</v>
      </c>
      <c r="G1540" t="str">
        <f t="shared" si="135"/>
        <v>3.3.90.30.00</v>
      </c>
      <c r="H1540" t="s">
        <v>1583</v>
      </c>
      <c r="I1540" t="str">
        <f t="shared" si="128"/>
        <v>32 - SECRETARIA EXECUTIVA DE POLÍTICAS PARA MULHERES E DIVERSIDADE</v>
      </c>
      <c r="J1540" t="s">
        <v>775</v>
      </c>
      <c r="K1540" t="str">
        <f t="shared" si="136"/>
        <v>14-DIREITOS DA CIDADANIA</v>
      </c>
      <c r="L1540" t="str">
        <f t="shared" si="137"/>
        <v>422-DIREITOS INDIVIDUAIS, COLETIVOS E DIFUSOS</v>
      </c>
      <c r="M1540" t="str">
        <f t="shared" si="138"/>
        <v>0018-Proteção Social e Garantia de Direitos​</v>
      </c>
      <c r="N1540" t="str">
        <f t="shared" si="139"/>
        <v xml:space="preserve">2.011-Manutenção de Equipamentos Públicos </v>
      </c>
      <c r="O1540" t="str">
        <f t="shared" si="140"/>
        <v>3.3.90.30.00-MATERIAL DE CONSUMO</v>
      </c>
      <c r="R1540" s="25">
        <v>1</v>
      </c>
      <c r="S1540" t="s">
        <v>1035</v>
      </c>
    </row>
    <row r="1541" spans="1:19" x14ac:dyDescent="0.25">
      <c r="A1541" t="str">
        <f t="shared" si="129"/>
        <v>32</v>
      </c>
      <c r="B1541" t="str">
        <f t="shared" si="130"/>
        <v>002</v>
      </c>
      <c r="C1541" t="str">
        <f t="shared" si="131"/>
        <v>14</v>
      </c>
      <c r="D1541" t="str">
        <f t="shared" si="132"/>
        <v>422</v>
      </c>
      <c r="E1541" t="str">
        <f t="shared" si="133"/>
        <v>0018</v>
      </c>
      <c r="F1541" t="str">
        <f t="shared" si="134"/>
        <v>2.011</v>
      </c>
      <c r="G1541" t="str">
        <f t="shared" si="135"/>
        <v>3.3.90.39.00</v>
      </c>
      <c r="H1541" t="s">
        <v>1584</v>
      </c>
      <c r="I1541" t="str">
        <f t="shared" si="128"/>
        <v>32 - SECRETARIA EXECUTIVA DE POLÍTICAS PARA MULHERES E DIVERSIDADE</v>
      </c>
      <c r="J1541" t="s">
        <v>775</v>
      </c>
      <c r="K1541" t="str">
        <f t="shared" si="136"/>
        <v>14-DIREITOS DA CIDADANIA</v>
      </c>
      <c r="L1541" t="str">
        <f t="shared" si="137"/>
        <v>422-DIREITOS INDIVIDUAIS, COLETIVOS E DIFUSOS</v>
      </c>
      <c r="M1541" t="str">
        <f t="shared" si="138"/>
        <v>0018-Proteção Social e Garantia de Direitos​</v>
      </c>
      <c r="N1541" t="str">
        <f t="shared" si="139"/>
        <v xml:space="preserve">2.011-Manutenção de Equipamentos Públicos </v>
      </c>
      <c r="O1541" t="str">
        <f t="shared" si="140"/>
        <v>3.3.90.39.00-OUTROS SERVIÇOS DE TERCEIROS - PESSOA JURÍDICA</v>
      </c>
      <c r="R1541" s="25">
        <v>1</v>
      </c>
      <c r="S1541" t="s">
        <v>1035</v>
      </c>
    </row>
    <row r="1542" spans="1:19" x14ac:dyDescent="0.25">
      <c r="A1542" t="str">
        <f t="shared" si="129"/>
        <v>32</v>
      </c>
      <c r="B1542" t="str">
        <f t="shared" si="130"/>
        <v>002</v>
      </c>
      <c r="C1542" t="str">
        <f t="shared" si="131"/>
        <v>14</v>
      </c>
      <c r="D1542" t="str">
        <f t="shared" si="132"/>
        <v>422</v>
      </c>
      <c r="E1542" t="str">
        <f t="shared" si="133"/>
        <v>0018</v>
      </c>
      <c r="F1542" t="str">
        <f t="shared" si="134"/>
        <v>2.011</v>
      </c>
      <c r="G1542" t="str">
        <f t="shared" si="135"/>
        <v>4.4.90.52.00</v>
      </c>
      <c r="H1542" t="s">
        <v>1585</v>
      </c>
      <c r="I1542" t="str">
        <f t="shared" si="128"/>
        <v>32 - SECRETARIA EXECUTIVA DE POLÍTICAS PARA MULHERES E DIVERSIDADE</v>
      </c>
      <c r="J1542" t="s">
        <v>775</v>
      </c>
      <c r="K1542" t="str">
        <f t="shared" si="136"/>
        <v>14-DIREITOS DA CIDADANIA</v>
      </c>
      <c r="L1542" t="str">
        <f t="shared" si="137"/>
        <v>422-DIREITOS INDIVIDUAIS, COLETIVOS E DIFUSOS</v>
      </c>
      <c r="M1542" t="str">
        <f t="shared" si="138"/>
        <v>0018-Proteção Social e Garantia de Direitos​</v>
      </c>
      <c r="N1542" t="str">
        <f t="shared" si="139"/>
        <v xml:space="preserve">2.011-Manutenção de Equipamentos Públicos </v>
      </c>
      <c r="O1542" t="str">
        <f t="shared" si="140"/>
        <v>4.4.90.52.00-EQUIPAMENTOS E MATERIAL PERMANENTE</v>
      </c>
      <c r="R1542" s="25">
        <v>1</v>
      </c>
      <c r="S1542" t="s">
        <v>1035</v>
      </c>
    </row>
    <row r="1543" spans="1:19" x14ac:dyDescent="0.25">
      <c r="A1543" t="str">
        <f t="shared" si="129"/>
        <v>33</v>
      </c>
      <c r="B1543" t="str">
        <f t="shared" si="130"/>
        <v>001</v>
      </c>
      <c r="C1543" t="str">
        <f t="shared" si="131"/>
        <v>04</v>
      </c>
      <c r="D1543" t="str">
        <f t="shared" si="132"/>
        <v>122</v>
      </c>
      <c r="E1543" t="str">
        <f t="shared" si="133"/>
        <v>0001</v>
      </c>
      <c r="F1543" t="str">
        <f t="shared" si="134"/>
        <v>2.006</v>
      </c>
      <c r="G1543" t="str">
        <f t="shared" si="135"/>
        <v>3.3.90.33.00</v>
      </c>
      <c r="H1543" t="s">
        <v>1586</v>
      </c>
      <c r="I1543" t="str">
        <f t="shared" si="128"/>
        <v>33 - SECRETARIA EXECUTIVA DE COMPRAS E LICITAÇÕES</v>
      </c>
      <c r="J1543" t="s">
        <v>20</v>
      </c>
      <c r="K1543" t="str">
        <f t="shared" si="136"/>
        <v>4-ADMINISTRAÇÃO</v>
      </c>
      <c r="L1543" t="str">
        <f t="shared" si="137"/>
        <v>122-ADMINISTRAÇÃO GERAL</v>
      </c>
      <c r="M1543" t="str">
        <f t="shared" si="138"/>
        <v>0001-Administração e Coordenação Geral​</v>
      </c>
      <c r="N1543" t="str">
        <f t="shared" si="139"/>
        <v xml:space="preserve">2.006-Representações Oficiais </v>
      </c>
      <c r="O1543" t="str">
        <f t="shared" si="140"/>
        <v>3.3.90.33.00-PASSAGENS E DESPESAS COM LOCOMOÇÃO</v>
      </c>
      <c r="R1543" s="25">
        <v>1</v>
      </c>
      <c r="S1543" t="s">
        <v>1035</v>
      </c>
    </row>
    <row r="1544" spans="1:19" x14ac:dyDescent="0.25">
      <c r="A1544" t="str">
        <f t="shared" si="129"/>
        <v>33</v>
      </c>
      <c r="B1544" t="str">
        <f t="shared" si="130"/>
        <v>001</v>
      </c>
      <c r="C1544" t="str">
        <f t="shared" si="131"/>
        <v>04</v>
      </c>
      <c r="D1544" t="str">
        <f t="shared" si="132"/>
        <v>122</v>
      </c>
      <c r="E1544" t="str">
        <f t="shared" si="133"/>
        <v>0001</v>
      </c>
      <c r="F1544" t="str">
        <f t="shared" si="134"/>
        <v>2.006</v>
      </c>
      <c r="G1544" t="str">
        <f t="shared" si="135"/>
        <v>3.3.90.39.00</v>
      </c>
      <c r="H1544" t="s">
        <v>1587</v>
      </c>
      <c r="I1544" t="str">
        <f t="shared" si="128"/>
        <v>33 - SECRETARIA EXECUTIVA DE COMPRAS E LICITAÇÕES</v>
      </c>
      <c r="J1544" t="s">
        <v>20</v>
      </c>
      <c r="K1544" t="str">
        <f t="shared" si="136"/>
        <v>4-ADMINISTRAÇÃO</v>
      </c>
      <c r="L1544" t="str">
        <f t="shared" si="137"/>
        <v>122-ADMINISTRAÇÃO GERAL</v>
      </c>
      <c r="M1544" t="str">
        <f t="shared" si="138"/>
        <v>0001-Administração e Coordenação Geral​</v>
      </c>
      <c r="N1544" t="str">
        <f t="shared" si="139"/>
        <v xml:space="preserve">2.006-Representações Oficiais </v>
      </c>
      <c r="O1544" t="str">
        <f t="shared" si="140"/>
        <v>3.3.90.39.00-OUTROS SERVIÇOS DE TERCEIROS - PESSOA JURÍDICA</v>
      </c>
      <c r="R1544" s="25">
        <v>2</v>
      </c>
      <c r="S1544" t="s">
        <v>1035</v>
      </c>
    </row>
    <row r="1545" spans="1:19" x14ac:dyDescent="0.25">
      <c r="A1545" t="str">
        <f t="shared" si="129"/>
        <v>33</v>
      </c>
      <c r="B1545" t="str">
        <f t="shared" si="130"/>
        <v>001</v>
      </c>
      <c r="C1545" t="str">
        <f t="shared" si="131"/>
        <v>04</v>
      </c>
      <c r="D1545" t="str">
        <f t="shared" si="132"/>
        <v>122</v>
      </c>
      <c r="E1545" t="str">
        <f t="shared" si="133"/>
        <v>0001</v>
      </c>
      <c r="F1545" t="str">
        <f t="shared" si="134"/>
        <v>2.011</v>
      </c>
      <c r="G1545" t="str">
        <f t="shared" si="135"/>
        <v>3.3.90.30.00</v>
      </c>
      <c r="H1545" t="s">
        <v>1588</v>
      </c>
      <c r="I1545" t="str">
        <f t="shared" si="128"/>
        <v>33 - SECRETARIA EXECUTIVA DE COMPRAS E LICITAÇÕES</v>
      </c>
      <c r="J1545" t="s">
        <v>20</v>
      </c>
      <c r="K1545" t="str">
        <f t="shared" si="136"/>
        <v>4-ADMINISTRAÇÃO</v>
      </c>
      <c r="L1545" t="str">
        <f t="shared" si="137"/>
        <v>122-ADMINISTRAÇÃO GERAL</v>
      </c>
      <c r="M1545" t="str">
        <f t="shared" si="138"/>
        <v>0001-Administração e Coordenação Geral​</v>
      </c>
      <c r="N1545" t="str">
        <f t="shared" si="139"/>
        <v xml:space="preserve">2.011-Manutenção de Equipamentos Públicos </v>
      </c>
      <c r="O1545" t="str">
        <f t="shared" si="140"/>
        <v>3.3.90.30.00-MATERIAL DE CONSUMO</v>
      </c>
      <c r="R1545" s="25">
        <v>39485.800000000003</v>
      </c>
      <c r="S1545" t="s">
        <v>1035</v>
      </c>
    </row>
    <row r="1546" spans="1:19" x14ac:dyDescent="0.25">
      <c r="A1546" t="str">
        <f t="shared" si="129"/>
        <v>33</v>
      </c>
      <c r="B1546" t="str">
        <f t="shared" si="130"/>
        <v>001</v>
      </c>
      <c r="C1546" t="str">
        <f t="shared" si="131"/>
        <v>04</v>
      </c>
      <c r="D1546" t="str">
        <f t="shared" si="132"/>
        <v>122</v>
      </c>
      <c r="E1546" t="str">
        <f t="shared" si="133"/>
        <v>0001</v>
      </c>
      <c r="F1546" t="str">
        <f t="shared" si="134"/>
        <v>2.011</v>
      </c>
      <c r="G1546" t="str">
        <f t="shared" si="135"/>
        <v>3.3.90.39.00</v>
      </c>
      <c r="H1546" t="s">
        <v>1589</v>
      </c>
      <c r="I1546" t="str">
        <f t="shared" si="128"/>
        <v>33 - SECRETARIA EXECUTIVA DE COMPRAS E LICITAÇÕES</v>
      </c>
      <c r="J1546" t="s">
        <v>20</v>
      </c>
      <c r="K1546" t="str">
        <f t="shared" si="136"/>
        <v>4-ADMINISTRAÇÃO</v>
      </c>
      <c r="L1546" t="str">
        <f t="shared" si="137"/>
        <v>122-ADMINISTRAÇÃO GERAL</v>
      </c>
      <c r="M1546" t="str">
        <f t="shared" si="138"/>
        <v>0001-Administração e Coordenação Geral​</v>
      </c>
      <c r="N1546" t="str">
        <f t="shared" si="139"/>
        <v xml:space="preserve">2.011-Manutenção de Equipamentos Públicos </v>
      </c>
      <c r="O1546" t="str">
        <f t="shared" si="140"/>
        <v>3.3.90.39.00-OUTROS SERVIÇOS DE TERCEIROS - PESSOA JURÍDICA</v>
      </c>
      <c r="R1546" s="25">
        <v>10392</v>
      </c>
      <c r="S1546" t="s">
        <v>1035</v>
      </c>
    </row>
    <row r="1547" spans="1:19" x14ac:dyDescent="0.25">
      <c r="A1547" t="str">
        <f t="shared" si="129"/>
        <v>33</v>
      </c>
      <c r="B1547" t="str">
        <f t="shared" si="130"/>
        <v>001</v>
      </c>
      <c r="C1547" t="str">
        <f t="shared" si="131"/>
        <v>04</v>
      </c>
      <c r="D1547" t="str">
        <f t="shared" si="132"/>
        <v>122</v>
      </c>
      <c r="E1547" t="str">
        <f t="shared" si="133"/>
        <v>0001</v>
      </c>
      <c r="F1547" t="str">
        <f t="shared" si="134"/>
        <v>2.011</v>
      </c>
      <c r="G1547" t="str">
        <f t="shared" si="135"/>
        <v>4.4.90.52.00</v>
      </c>
      <c r="H1547" t="s">
        <v>1590</v>
      </c>
      <c r="I1547" t="str">
        <f t="shared" si="128"/>
        <v>33 - SECRETARIA EXECUTIVA DE COMPRAS E LICITAÇÕES</v>
      </c>
      <c r="J1547" t="s">
        <v>20</v>
      </c>
      <c r="K1547" t="str">
        <f t="shared" si="136"/>
        <v>4-ADMINISTRAÇÃO</v>
      </c>
      <c r="L1547" t="str">
        <f t="shared" si="137"/>
        <v>122-ADMINISTRAÇÃO GERAL</v>
      </c>
      <c r="M1547" t="str">
        <f t="shared" si="138"/>
        <v>0001-Administração e Coordenação Geral​</v>
      </c>
      <c r="N1547" t="str">
        <f t="shared" si="139"/>
        <v xml:space="preserve">2.011-Manutenção de Equipamentos Públicos </v>
      </c>
      <c r="O1547" t="str">
        <f t="shared" si="140"/>
        <v>4.4.90.52.00-EQUIPAMENTOS E MATERIAL PERMANENTE</v>
      </c>
      <c r="R1547" s="25">
        <v>6754.15</v>
      </c>
      <c r="S1547" t="s">
        <v>1035</v>
      </c>
    </row>
    <row r="1548" spans="1:19" x14ac:dyDescent="0.25">
      <c r="A1548" t="str">
        <f t="shared" si="129"/>
        <v>33</v>
      </c>
      <c r="B1548" t="str">
        <f t="shared" si="130"/>
        <v>001</v>
      </c>
      <c r="C1548" t="str">
        <f t="shared" si="131"/>
        <v>04</v>
      </c>
      <c r="D1548" t="str">
        <f t="shared" si="132"/>
        <v>126</v>
      </c>
      <c r="E1548" t="str">
        <f t="shared" si="133"/>
        <v>0002</v>
      </c>
      <c r="F1548" t="str">
        <f t="shared" si="134"/>
        <v>2.007</v>
      </c>
      <c r="G1548" t="str">
        <f t="shared" si="135"/>
        <v>3.3.90.39.00</v>
      </c>
      <c r="H1548" t="s">
        <v>1591</v>
      </c>
      <c r="I1548" t="str">
        <f t="shared" si="128"/>
        <v>33 - SECRETARIA EXECUTIVA DE COMPRAS E LICITAÇÕES</v>
      </c>
      <c r="J1548" t="s">
        <v>20</v>
      </c>
      <c r="K1548" t="str">
        <f t="shared" si="136"/>
        <v>4-ADMINISTRAÇÃO</v>
      </c>
      <c r="L1548" t="str">
        <f t="shared" si="137"/>
        <v>126-TECNOLOGIA DA INFORMATIZAÇÃO</v>
      </c>
      <c r="M1548" t="str">
        <f t="shared" si="138"/>
        <v>0002-Governo Inteligente, Aberto e Inovador​</v>
      </c>
      <c r="N1548" t="str">
        <f t="shared" si="139"/>
        <v>2.007-Ampliação e Manutenção de Sistemas de Inteligência, Fiscalização e Tecnologia</v>
      </c>
      <c r="O1548" t="str">
        <f t="shared" si="140"/>
        <v>3.3.90.39.00-OUTROS SERVIÇOS DE TERCEIROS - PESSOA JURÍDICA</v>
      </c>
      <c r="R1548" s="25">
        <v>348000</v>
      </c>
      <c r="S1548" t="s">
        <v>1035</v>
      </c>
    </row>
    <row r="1549" spans="1:19" x14ac:dyDescent="0.25">
      <c r="A1549" t="str">
        <f t="shared" si="129"/>
        <v>33</v>
      </c>
      <c r="B1549" t="str">
        <f t="shared" si="130"/>
        <v>001</v>
      </c>
      <c r="C1549" t="str">
        <f t="shared" si="131"/>
        <v>04</v>
      </c>
      <c r="D1549" t="str">
        <f t="shared" si="132"/>
        <v>126</v>
      </c>
      <c r="E1549" t="str">
        <f t="shared" si="133"/>
        <v>0002</v>
      </c>
      <c r="F1549" t="str">
        <f t="shared" si="134"/>
        <v>2.007</v>
      </c>
      <c r="G1549" t="str">
        <f t="shared" si="135"/>
        <v>3.3.90.40.00</v>
      </c>
      <c r="H1549" t="s">
        <v>1592</v>
      </c>
      <c r="I1549" t="str">
        <f t="shared" si="128"/>
        <v>33 - SECRETARIA EXECUTIVA DE COMPRAS E LICITAÇÕES</v>
      </c>
      <c r="J1549" t="s">
        <v>20</v>
      </c>
      <c r="K1549" t="str">
        <f t="shared" si="136"/>
        <v>4-ADMINISTRAÇÃO</v>
      </c>
      <c r="L1549" t="str">
        <f t="shared" si="137"/>
        <v>126-TECNOLOGIA DA INFORMATIZAÇÃO</v>
      </c>
      <c r="M1549" t="str">
        <f t="shared" si="138"/>
        <v>0002-Governo Inteligente, Aberto e Inovador​</v>
      </c>
      <c r="N1549" t="str">
        <f t="shared" si="139"/>
        <v>2.007-Ampliação e Manutenção de Sistemas de Inteligência, Fiscalização e Tecnologia</v>
      </c>
      <c r="O1549" t="str">
        <f t="shared" si="140"/>
        <v>3.3.90.40.00-SERVIÇOS DE TECNOLOGIA DA INFORMAÇÃO E COMUNICAÇÃO - PESSOA JURÍDICA</v>
      </c>
      <c r="R1549" s="25">
        <v>1</v>
      </c>
      <c r="S1549" t="s">
        <v>1035</v>
      </c>
    </row>
    <row r="1550" spans="1:19" x14ac:dyDescent="0.25">
      <c r="A1550" t="str">
        <f t="shared" si="129"/>
        <v>33</v>
      </c>
      <c r="B1550" t="str">
        <f t="shared" si="130"/>
        <v>001</v>
      </c>
      <c r="C1550" t="str">
        <f t="shared" si="131"/>
        <v>04</v>
      </c>
      <c r="D1550" t="str">
        <f t="shared" si="132"/>
        <v>128</v>
      </c>
      <c r="E1550" t="str">
        <f t="shared" si="133"/>
        <v>0002</v>
      </c>
      <c r="F1550" t="str">
        <f t="shared" si="134"/>
        <v>2.003</v>
      </c>
      <c r="G1550" t="str">
        <f t="shared" si="135"/>
        <v>3.3.90.39.00</v>
      </c>
      <c r="H1550" t="s">
        <v>1593</v>
      </c>
      <c r="I1550" t="str">
        <f t="shared" si="128"/>
        <v>33 - SECRETARIA EXECUTIVA DE COMPRAS E LICITAÇÕES</v>
      </c>
      <c r="J1550" t="s">
        <v>20</v>
      </c>
      <c r="K1550" t="str">
        <f t="shared" si="136"/>
        <v>4-ADMINISTRAÇÃO</v>
      </c>
      <c r="L1550" t="str">
        <f t="shared" si="137"/>
        <v>128-FORMAÇÃO DE RECURSOS HUMANOS</v>
      </c>
      <c r="M1550" t="str">
        <f t="shared" si="138"/>
        <v>0002-Governo Inteligente, Aberto e Inovador​</v>
      </c>
      <c r="N1550" t="str">
        <f t="shared" si="139"/>
        <v>2.003-Qualificação de Servidores e Processos Institucionais</v>
      </c>
      <c r="O1550" t="str">
        <f t="shared" si="140"/>
        <v>3.3.90.39.00-OUTROS SERVIÇOS DE TERCEIROS - PESSOA JURÍDICA</v>
      </c>
      <c r="R1550" s="25">
        <v>15002</v>
      </c>
      <c r="S1550" t="s">
        <v>1035</v>
      </c>
    </row>
    <row r="1551" spans="1:19" x14ac:dyDescent="0.25">
      <c r="A1551" t="str">
        <f t="shared" si="129"/>
        <v>33</v>
      </c>
      <c r="B1551" t="str">
        <f t="shared" si="130"/>
        <v>001</v>
      </c>
      <c r="C1551" t="str">
        <f t="shared" si="131"/>
        <v>04</v>
      </c>
      <c r="D1551" t="str">
        <f t="shared" si="132"/>
        <v>131</v>
      </c>
      <c r="E1551" t="str">
        <f t="shared" si="133"/>
        <v>0002</v>
      </c>
      <c r="F1551" t="str">
        <f t="shared" si="134"/>
        <v>2.005</v>
      </c>
      <c r="G1551" t="str">
        <f t="shared" si="135"/>
        <v>3.3.90.39.00</v>
      </c>
      <c r="H1551" t="s">
        <v>1594</v>
      </c>
      <c r="I1551" t="str">
        <f t="shared" si="128"/>
        <v>33 - SECRETARIA EXECUTIVA DE COMPRAS E LICITAÇÕES</v>
      </c>
      <c r="J1551" t="s">
        <v>20</v>
      </c>
      <c r="K1551" t="str">
        <f t="shared" si="136"/>
        <v>4-ADMINISTRAÇÃO</v>
      </c>
      <c r="L1551" t="str">
        <f t="shared" si="137"/>
        <v>131-COMUNICAÇÃO SOCIAL</v>
      </c>
      <c r="M1551" t="str">
        <f t="shared" si="138"/>
        <v>0002-Governo Inteligente, Aberto e Inovador​</v>
      </c>
      <c r="N1551" t="str">
        <f t="shared" si="139"/>
        <v xml:space="preserve">2.005-Promoção de Eventos, Comunicação e Participação Social </v>
      </c>
      <c r="O1551" t="str">
        <f t="shared" si="140"/>
        <v>3.3.90.39.00-OUTROS SERVIÇOS DE TERCEIROS - PESSOA JURÍDICA</v>
      </c>
      <c r="R1551" s="25">
        <v>250168</v>
      </c>
      <c r="S1551" t="s">
        <v>1035</v>
      </c>
    </row>
    <row r="1552" spans="1:19" x14ac:dyDescent="0.25">
      <c r="A1552" t="str">
        <f t="shared" si="129"/>
        <v>34</v>
      </c>
      <c r="B1552" t="str">
        <f t="shared" si="130"/>
        <v>001</v>
      </c>
      <c r="C1552" t="str">
        <f t="shared" si="131"/>
        <v>04</v>
      </c>
      <c r="D1552" t="str">
        <f t="shared" si="132"/>
        <v>122</v>
      </c>
      <c r="E1552" t="str">
        <f t="shared" si="133"/>
        <v>0001</v>
      </c>
      <c r="F1552" t="str">
        <f t="shared" si="134"/>
        <v>2.006</v>
      </c>
      <c r="G1552" t="str">
        <f t="shared" si="135"/>
        <v>3.3.90.33.00</v>
      </c>
      <c r="H1552" t="s">
        <v>1595</v>
      </c>
      <c r="I1552" t="str">
        <f t="shared" si="128"/>
        <v>34 - COORDENADORIA DA DEFESA CIVIL</v>
      </c>
      <c r="J1552" t="s">
        <v>20</v>
      </c>
      <c r="K1552" t="str">
        <f t="shared" si="136"/>
        <v>4-ADMINISTRAÇÃO</v>
      </c>
      <c r="L1552" t="str">
        <f t="shared" si="137"/>
        <v>122-ADMINISTRAÇÃO GERAL</v>
      </c>
      <c r="M1552" t="str">
        <f t="shared" si="138"/>
        <v>0001-Administração e Coordenação Geral​</v>
      </c>
      <c r="N1552" t="str">
        <f t="shared" si="139"/>
        <v xml:space="preserve">2.006-Representações Oficiais </v>
      </c>
      <c r="O1552" t="str">
        <f t="shared" si="140"/>
        <v>3.3.90.33.00-PASSAGENS E DESPESAS COM LOCOMOÇÃO</v>
      </c>
      <c r="R1552" s="25">
        <v>1</v>
      </c>
      <c r="S1552" t="s">
        <v>1035</v>
      </c>
    </row>
    <row r="1553" spans="1:19" x14ac:dyDescent="0.25">
      <c r="A1553" t="str">
        <f t="shared" si="129"/>
        <v>34</v>
      </c>
      <c r="B1553" t="str">
        <f t="shared" si="130"/>
        <v>001</v>
      </c>
      <c r="C1553" t="str">
        <f t="shared" si="131"/>
        <v>04</v>
      </c>
      <c r="D1553" t="str">
        <f t="shared" si="132"/>
        <v>122</v>
      </c>
      <c r="E1553" t="str">
        <f t="shared" si="133"/>
        <v>0001</v>
      </c>
      <c r="F1553" t="str">
        <f t="shared" si="134"/>
        <v>2.006</v>
      </c>
      <c r="G1553" t="str">
        <f t="shared" si="135"/>
        <v>3.3.90.39.00</v>
      </c>
      <c r="H1553" t="s">
        <v>1596</v>
      </c>
      <c r="I1553" t="str">
        <f t="shared" si="128"/>
        <v>34 - COORDENADORIA DA DEFESA CIVIL</v>
      </c>
      <c r="J1553" t="s">
        <v>20</v>
      </c>
      <c r="K1553" t="str">
        <f t="shared" si="136"/>
        <v>4-ADMINISTRAÇÃO</v>
      </c>
      <c r="L1553" t="str">
        <f t="shared" si="137"/>
        <v>122-ADMINISTRAÇÃO GERAL</v>
      </c>
      <c r="M1553" t="str">
        <f t="shared" si="138"/>
        <v>0001-Administração e Coordenação Geral​</v>
      </c>
      <c r="N1553" t="str">
        <f t="shared" si="139"/>
        <v xml:space="preserve">2.006-Representações Oficiais </v>
      </c>
      <c r="O1553" t="str">
        <f t="shared" si="140"/>
        <v>3.3.90.39.00-OUTROS SERVIÇOS DE TERCEIROS - PESSOA JURÍDICA</v>
      </c>
      <c r="R1553" s="25">
        <v>1</v>
      </c>
      <c r="S1553" t="s">
        <v>1035</v>
      </c>
    </row>
    <row r="1554" spans="1:19" x14ac:dyDescent="0.25">
      <c r="A1554" t="str">
        <f t="shared" si="129"/>
        <v>34</v>
      </c>
      <c r="B1554" t="str">
        <f t="shared" si="130"/>
        <v>001</v>
      </c>
      <c r="C1554" t="str">
        <f t="shared" si="131"/>
        <v>04</v>
      </c>
      <c r="D1554" t="str">
        <f t="shared" si="132"/>
        <v>126</v>
      </c>
      <c r="E1554" t="str">
        <f t="shared" si="133"/>
        <v>0002</v>
      </c>
      <c r="F1554" t="str">
        <f t="shared" si="134"/>
        <v>2.007</v>
      </c>
      <c r="G1554" t="str">
        <f t="shared" si="135"/>
        <v>3.3.90.30.00</v>
      </c>
      <c r="H1554" t="s">
        <v>1597</v>
      </c>
      <c r="I1554" t="str">
        <f t="shared" si="128"/>
        <v>34 - COORDENADORIA DA DEFESA CIVIL</v>
      </c>
      <c r="J1554" t="s">
        <v>20</v>
      </c>
      <c r="K1554" t="str">
        <f t="shared" si="136"/>
        <v>4-ADMINISTRAÇÃO</v>
      </c>
      <c r="L1554" t="str">
        <f t="shared" si="137"/>
        <v>126-TECNOLOGIA DA INFORMATIZAÇÃO</v>
      </c>
      <c r="M1554" t="str">
        <f t="shared" si="138"/>
        <v>0002-Governo Inteligente, Aberto e Inovador​</v>
      </c>
      <c r="N1554" t="str">
        <f t="shared" si="139"/>
        <v>2.007-Ampliação e Manutenção de Sistemas de Inteligência, Fiscalização e Tecnologia</v>
      </c>
      <c r="O1554" t="str">
        <f t="shared" si="140"/>
        <v>3.3.90.30.00-MATERIAL DE CONSUMO</v>
      </c>
      <c r="R1554" s="25">
        <v>0</v>
      </c>
      <c r="S1554" t="s">
        <v>1035</v>
      </c>
    </row>
    <row r="1555" spans="1:19" x14ac:dyDescent="0.25">
      <c r="A1555" t="str">
        <f t="shared" si="129"/>
        <v>34</v>
      </c>
      <c r="B1555" t="str">
        <f t="shared" si="130"/>
        <v>001</v>
      </c>
      <c r="C1555" t="str">
        <f t="shared" si="131"/>
        <v>04</v>
      </c>
      <c r="D1555" t="str">
        <f t="shared" si="132"/>
        <v>126</v>
      </c>
      <c r="E1555" t="str">
        <f t="shared" si="133"/>
        <v>0002</v>
      </c>
      <c r="F1555" t="str">
        <f t="shared" si="134"/>
        <v>2.007</v>
      </c>
      <c r="G1555" t="str">
        <f t="shared" si="135"/>
        <v>3.3.90.39.00</v>
      </c>
      <c r="H1555" t="s">
        <v>1598</v>
      </c>
      <c r="I1555" t="str">
        <f t="shared" si="128"/>
        <v>34 - COORDENADORIA DA DEFESA CIVIL</v>
      </c>
      <c r="J1555" t="s">
        <v>20</v>
      </c>
      <c r="K1555" t="str">
        <f t="shared" si="136"/>
        <v>4-ADMINISTRAÇÃO</v>
      </c>
      <c r="L1555" t="str">
        <f t="shared" si="137"/>
        <v>126-TECNOLOGIA DA INFORMATIZAÇÃO</v>
      </c>
      <c r="M1555" t="str">
        <f t="shared" si="138"/>
        <v>0002-Governo Inteligente, Aberto e Inovador​</v>
      </c>
      <c r="N1555" t="str">
        <f t="shared" si="139"/>
        <v>2.007-Ampliação e Manutenção de Sistemas de Inteligência, Fiscalização e Tecnologia</v>
      </c>
      <c r="O1555" t="str">
        <f t="shared" si="140"/>
        <v>3.3.90.39.00-OUTROS SERVIÇOS DE TERCEIROS - PESSOA JURÍDICA</v>
      </c>
      <c r="R1555" s="25">
        <v>0</v>
      </c>
      <c r="S1555" t="s">
        <v>1035</v>
      </c>
    </row>
    <row r="1556" spans="1:19" x14ac:dyDescent="0.25">
      <c r="A1556" t="str">
        <f t="shared" si="129"/>
        <v>34</v>
      </c>
      <c r="B1556" t="str">
        <f t="shared" si="130"/>
        <v>001</v>
      </c>
      <c r="C1556" t="str">
        <f t="shared" si="131"/>
        <v>04</v>
      </c>
      <c r="D1556" t="str">
        <f t="shared" si="132"/>
        <v>126</v>
      </c>
      <c r="E1556" t="str">
        <f t="shared" si="133"/>
        <v>0002</v>
      </c>
      <c r="F1556" t="str">
        <f t="shared" si="134"/>
        <v>2.007</v>
      </c>
      <c r="G1556" t="str">
        <f t="shared" si="135"/>
        <v>4.4.90.52.00</v>
      </c>
      <c r="H1556" t="s">
        <v>1599</v>
      </c>
      <c r="I1556" t="str">
        <f t="shared" si="128"/>
        <v>34 - COORDENADORIA DA DEFESA CIVIL</v>
      </c>
      <c r="J1556" t="s">
        <v>20</v>
      </c>
      <c r="K1556" t="str">
        <f t="shared" si="136"/>
        <v>4-ADMINISTRAÇÃO</v>
      </c>
      <c r="L1556" t="str">
        <f t="shared" si="137"/>
        <v>126-TECNOLOGIA DA INFORMATIZAÇÃO</v>
      </c>
      <c r="M1556" t="str">
        <f t="shared" si="138"/>
        <v>0002-Governo Inteligente, Aberto e Inovador​</v>
      </c>
      <c r="N1556" t="str">
        <f t="shared" si="139"/>
        <v>2.007-Ampliação e Manutenção de Sistemas de Inteligência, Fiscalização e Tecnologia</v>
      </c>
      <c r="O1556" t="str">
        <f t="shared" si="140"/>
        <v>4.4.90.52.00-EQUIPAMENTOS E MATERIAL PERMANENTE</v>
      </c>
      <c r="R1556" s="25">
        <v>0</v>
      </c>
      <c r="S1556" t="s">
        <v>1035</v>
      </c>
    </row>
    <row r="1557" spans="1:19" x14ac:dyDescent="0.25">
      <c r="A1557" t="str">
        <f t="shared" si="129"/>
        <v>34</v>
      </c>
      <c r="B1557" t="str">
        <f t="shared" si="130"/>
        <v>001</v>
      </c>
      <c r="C1557" t="str">
        <f t="shared" si="131"/>
        <v>04</v>
      </c>
      <c r="D1557" t="str">
        <f t="shared" si="132"/>
        <v>128</v>
      </c>
      <c r="E1557" t="str">
        <f t="shared" si="133"/>
        <v>0002</v>
      </c>
      <c r="F1557" t="str">
        <f t="shared" si="134"/>
        <v>2.003</v>
      </c>
      <c r="G1557" t="str">
        <f t="shared" si="135"/>
        <v>3.3.90.36.00</v>
      </c>
      <c r="H1557" t="s">
        <v>1600</v>
      </c>
      <c r="I1557" t="str">
        <f t="shared" si="128"/>
        <v>34 - COORDENADORIA DA DEFESA CIVIL</v>
      </c>
      <c r="J1557" t="s">
        <v>20</v>
      </c>
      <c r="K1557" t="str">
        <f t="shared" si="136"/>
        <v>4-ADMINISTRAÇÃO</v>
      </c>
      <c r="L1557" t="str">
        <f t="shared" si="137"/>
        <v>128-FORMAÇÃO DE RECURSOS HUMANOS</v>
      </c>
      <c r="M1557" t="str">
        <f t="shared" si="138"/>
        <v>0002-Governo Inteligente, Aberto e Inovador​</v>
      </c>
      <c r="N1557" t="str">
        <f t="shared" si="139"/>
        <v>2.003-Qualificação de Servidores e Processos Institucionais</v>
      </c>
      <c r="O1557" t="str">
        <f t="shared" si="140"/>
        <v>3.3.90.36.00-OUTROS SERVIÇOS DE TERCEIROS - PESSOA FÍSICA</v>
      </c>
      <c r="R1557" s="25">
        <v>1</v>
      </c>
      <c r="S1557" t="s">
        <v>1035</v>
      </c>
    </row>
    <row r="1558" spans="1:19" x14ac:dyDescent="0.25">
      <c r="A1558" t="str">
        <f t="shared" si="129"/>
        <v>34</v>
      </c>
      <c r="B1558" t="str">
        <f t="shared" si="130"/>
        <v>001</v>
      </c>
      <c r="C1558" t="str">
        <f t="shared" si="131"/>
        <v>04</v>
      </c>
      <c r="D1558" t="str">
        <f t="shared" si="132"/>
        <v>131</v>
      </c>
      <c r="E1558" t="str">
        <f t="shared" si="133"/>
        <v>0002</v>
      </c>
      <c r="F1558" t="str">
        <f t="shared" si="134"/>
        <v>2.005</v>
      </c>
      <c r="G1558" t="str">
        <f t="shared" si="135"/>
        <v>3.3.90.30.00</v>
      </c>
      <c r="H1558" t="s">
        <v>1601</v>
      </c>
      <c r="I1558" t="str">
        <f t="shared" si="128"/>
        <v>34 - COORDENADORIA DA DEFESA CIVIL</v>
      </c>
      <c r="J1558" t="s">
        <v>20</v>
      </c>
      <c r="K1558" t="str">
        <f t="shared" si="136"/>
        <v>4-ADMINISTRAÇÃO</v>
      </c>
      <c r="L1558" t="str">
        <f t="shared" si="137"/>
        <v>131-COMUNICAÇÃO SOCIAL</v>
      </c>
      <c r="M1558" t="str">
        <f t="shared" si="138"/>
        <v>0002-Governo Inteligente, Aberto e Inovador​</v>
      </c>
      <c r="N1558" t="str">
        <f t="shared" si="139"/>
        <v xml:space="preserve">2.005-Promoção de Eventos, Comunicação e Participação Social </v>
      </c>
      <c r="O1558" t="str">
        <f t="shared" si="140"/>
        <v>3.3.90.30.00-MATERIAL DE CONSUMO</v>
      </c>
      <c r="R1558" s="25">
        <v>15586.5</v>
      </c>
      <c r="S1558" t="s">
        <v>1035</v>
      </c>
    </row>
    <row r="1559" spans="1:19" x14ac:dyDescent="0.25">
      <c r="A1559" t="str">
        <f t="shared" si="129"/>
        <v>34</v>
      </c>
      <c r="B1559" t="str">
        <f t="shared" si="130"/>
        <v>001</v>
      </c>
      <c r="C1559" t="str">
        <f t="shared" si="131"/>
        <v>04</v>
      </c>
      <c r="D1559" t="str">
        <f t="shared" si="132"/>
        <v>131</v>
      </c>
      <c r="E1559" t="str">
        <f t="shared" si="133"/>
        <v>0002</v>
      </c>
      <c r="F1559" t="str">
        <f t="shared" si="134"/>
        <v>2.005</v>
      </c>
      <c r="G1559" t="str">
        <f t="shared" si="135"/>
        <v>3.3.90.39.00</v>
      </c>
      <c r="H1559" t="s">
        <v>1602</v>
      </c>
      <c r="I1559" t="str">
        <f t="shared" si="128"/>
        <v>34 - COORDENADORIA DA DEFESA CIVIL</v>
      </c>
      <c r="J1559" t="s">
        <v>20</v>
      </c>
      <c r="K1559" t="str">
        <f t="shared" si="136"/>
        <v>4-ADMINISTRAÇÃO</v>
      </c>
      <c r="L1559" t="str">
        <f t="shared" si="137"/>
        <v>131-COMUNICAÇÃO SOCIAL</v>
      </c>
      <c r="M1559" t="str">
        <f t="shared" si="138"/>
        <v>0002-Governo Inteligente, Aberto e Inovador​</v>
      </c>
      <c r="N1559" t="str">
        <f t="shared" si="139"/>
        <v xml:space="preserve">2.005-Promoção de Eventos, Comunicação e Participação Social </v>
      </c>
      <c r="O1559" t="str">
        <f t="shared" si="140"/>
        <v>3.3.90.39.00-OUTROS SERVIÇOS DE TERCEIROS - PESSOA JURÍDICA</v>
      </c>
      <c r="R1559" s="25">
        <v>46760.5</v>
      </c>
      <c r="S1559" t="s">
        <v>1035</v>
      </c>
    </row>
    <row r="1560" spans="1:19" x14ac:dyDescent="0.25">
      <c r="A1560" t="str">
        <f t="shared" si="129"/>
        <v>34</v>
      </c>
      <c r="B1560" t="str">
        <f t="shared" si="130"/>
        <v>001</v>
      </c>
      <c r="C1560" t="str">
        <f t="shared" si="131"/>
        <v>15</v>
      </c>
      <c r="D1560" t="str">
        <f t="shared" si="132"/>
        <v>182</v>
      </c>
      <c r="E1560" t="str">
        <f t="shared" si="133"/>
        <v>0005</v>
      </c>
      <c r="F1560" t="str">
        <f t="shared" si="134"/>
        <v>2.011</v>
      </c>
      <c r="G1560" t="str">
        <f t="shared" si="135"/>
        <v>3.3.90.30.00</v>
      </c>
      <c r="H1560" t="s">
        <v>1603</v>
      </c>
      <c r="I1560" t="str">
        <f t="shared" si="128"/>
        <v>34 - COORDENADORIA DA DEFESA CIVIL</v>
      </c>
      <c r="J1560" t="s">
        <v>20</v>
      </c>
      <c r="K1560" t="str">
        <f t="shared" si="136"/>
        <v>15-URBANISMO</v>
      </c>
      <c r="L1560" t="str">
        <f t="shared" si="137"/>
        <v>182-DEFESA CIVIL</v>
      </c>
      <c r="M1560" t="str">
        <f t="shared" si="138"/>
        <v>0005-Resiliência Urbana​</v>
      </c>
      <c r="N1560" t="str">
        <f t="shared" si="139"/>
        <v xml:space="preserve">2.011-Manutenção de Equipamentos Públicos </v>
      </c>
      <c r="O1560" t="str">
        <f t="shared" si="140"/>
        <v>3.3.90.30.00-MATERIAL DE CONSUMO</v>
      </c>
      <c r="R1560" s="25">
        <v>93519</v>
      </c>
      <c r="S1560" t="s">
        <v>1035</v>
      </c>
    </row>
    <row r="1561" spans="1:19" x14ac:dyDescent="0.25">
      <c r="A1561" t="str">
        <f t="shared" si="129"/>
        <v>34</v>
      </c>
      <c r="B1561" t="str">
        <f t="shared" si="130"/>
        <v>001</v>
      </c>
      <c r="C1561" t="str">
        <f t="shared" si="131"/>
        <v>15</v>
      </c>
      <c r="D1561" t="str">
        <f t="shared" si="132"/>
        <v>182</v>
      </c>
      <c r="E1561" t="str">
        <f t="shared" si="133"/>
        <v>0005</v>
      </c>
      <c r="F1561" t="str">
        <f t="shared" si="134"/>
        <v>2.011</v>
      </c>
      <c r="G1561" t="str">
        <f t="shared" si="135"/>
        <v>3.3.90.39.00</v>
      </c>
      <c r="H1561" t="s">
        <v>1604</v>
      </c>
      <c r="I1561" t="str">
        <f t="shared" si="128"/>
        <v>34 - COORDENADORIA DA DEFESA CIVIL</v>
      </c>
      <c r="J1561" t="s">
        <v>20</v>
      </c>
      <c r="K1561" t="str">
        <f t="shared" si="136"/>
        <v>15-URBANISMO</v>
      </c>
      <c r="L1561" t="str">
        <f t="shared" si="137"/>
        <v>182-DEFESA CIVIL</v>
      </c>
      <c r="M1561" t="str">
        <f t="shared" si="138"/>
        <v>0005-Resiliência Urbana​</v>
      </c>
      <c r="N1561" t="str">
        <f t="shared" si="139"/>
        <v xml:space="preserve">2.011-Manutenção de Equipamentos Públicos </v>
      </c>
      <c r="O1561" t="str">
        <f t="shared" si="140"/>
        <v>3.3.90.39.00-OUTROS SERVIÇOS DE TERCEIROS - PESSOA JURÍDICA</v>
      </c>
      <c r="R1561" s="25">
        <v>18508.3</v>
      </c>
      <c r="S1561" t="s">
        <v>1035</v>
      </c>
    </row>
    <row r="1562" spans="1:19" x14ac:dyDescent="0.25">
      <c r="A1562" t="str">
        <f t="shared" si="129"/>
        <v>34</v>
      </c>
      <c r="B1562" t="str">
        <f t="shared" si="130"/>
        <v>001</v>
      </c>
      <c r="C1562" t="str">
        <f t="shared" si="131"/>
        <v>15</v>
      </c>
      <c r="D1562" t="str">
        <f t="shared" si="132"/>
        <v>182</v>
      </c>
      <c r="E1562" t="str">
        <f t="shared" si="133"/>
        <v>0005</v>
      </c>
      <c r="F1562" t="str">
        <f t="shared" si="134"/>
        <v>2.011</v>
      </c>
      <c r="G1562" t="str">
        <f t="shared" si="135"/>
        <v>4.4.90.52.00</v>
      </c>
      <c r="H1562" t="s">
        <v>1605</v>
      </c>
      <c r="I1562" t="str">
        <f t="shared" ref="I1562:I1625" si="141">VLOOKUP(A1562,$A$1:$O$994,9,0)</f>
        <v>34 - COORDENADORIA DA DEFESA CIVIL</v>
      </c>
      <c r="J1562" t="s">
        <v>20</v>
      </c>
      <c r="K1562" t="str">
        <f t="shared" si="136"/>
        <v>15-URBANISMO</v>
      </c>
      <c r="L1562" t="str">
        <f t="shared" si="137"/>
        <v>182-DEFESA CIVIL</v>
      </c>
      <c r="M1562" t="str">
        <f t="shared" si="138"/>
        <v>0005-Resiliência Urbana​</v>
      </c>
      <c r="N1562" t="str">
        <f t="shared" si="139"/>
        <v xml:space="preserve">2.011-Manutenção de Equipamentos Públicos </v>
      </c>
      <c r="O1562" t="str">
        <f t="shared" si="140"/>
        <v>4.4.90.52.00-EQUIPAMENTOS E MATERIAL PERMANENTE</v>
      </c>
      <c r="R1562" s="25">
        <v>0</v>
      </c>
      <c r="S1562" t="s">
        <v>1035</v>
      </c>
    </row>
    <row r="1563" spans="1:19" x14ac:dyDescent="0.25">
      <c r="A1563" t="str">
        <f t="shared" si="129"/>
        <v>35</v>
      </c>
      <c r="B1563" t="str">
        <f t="shared" si="130"/>
        <v>001</v>
      </c>
      <c r="C1563" t="str">
        <f t="shared" si="131"/>
        <v>04</v>
      </c>
      <c r="D1563" t="str">
        <f t="shared" si="132"/>
        <v>122</v>
      </c>
      <c r="E1563" t="str">
        <f t="shared" si="133"/>
        <v>0001</v>
      </c>
      <c r="F1563" t="str">
        <f t="shared" si="134"/>
        <v>2.006</v>
      </c>
      <c r="G1563" t="str">
        <f t="shared" si="135"/>
        <v>3.3.90.33.00</v>
      </c>
      <c r="H1563" t="s">
        <v>1606</v>
      </c>
      <c r="I1563" t="s">
        <v>4307</v>
      </c>
      <c r="J1563" t="s">
        <v>20</v>
      </c>
      <c r="K1563" t="str">
        <f t="shared" si="136"/>
        <v>4-ADMINISTRAÇÃO</v>
      </c>
      <c r="L1563" t="str">
        <f t="shared" si="137"/>
        <v>122-ADMINISTRAÇÃO GERAL</v>
      </c>
      <c r="M1563" t="str">
        <f t="shared" si="138"/>
        <v>0001-Administração e Coordenação Geral​</v>
      </c>
      <c r="N1563" t="str">
        <f t="shared" si="139"/>
        <v xml:space="preserve">2.006-Representações Oficiais </v>
      </c>
      <c r="O1563" t="str">
        <f t="shared" si="140"/>
        <v>3.3.90.33.00-PASSAGENS E DESPESAS COM LOCOMOÇÃO</v>
      </c>
      <c r="R1563" s="25">
        <v>1</v>
      </c>
      <c r="S1563" t="s">
        <v>1035</v>
      </c>
    </row>
    <row r="1564" spans="1:19" x14ac:dyDescent="0.25">
      <c r="A1564" t="str">
        <f t="shared" si="129"/>
        <v>35</v>
      </c>
      <c r="B1564" t="str">
        <f t="shared" si="130"/>
        <v>001</v>
      </c>
      <c r="C1564" t="str">
        <f t="shared" si="131"/>
        <v>04</v>
      </c>
      <c r="D1564" t="str">
        <f t="shared" si="132"/>
        <v>122</v>
      </c>
      <c r="E1564" t="str">
        <f t="shared" si="133"/>
        <v>0001</v>
      </c>
      <c r="F1564" t="str">
        <f t="shared" si="134"/>
        <v>2.006</v>
      </c>
      <c r="G1564" t="str">
        <f t="shared" si="135"/>
        <v>3.3.90.39.00</v>
      </c>
      <c r="H1564" t="s">
        <v>1607</v>
      </c>
      <c r="I1564" t="s">
        <v>4307</v>
      </c>
      <c r="J1564" t="s">
        <v>20</v>
      </c>
      <c r="K1564" t="str">
        <f t="shared" si="136"/>
        <v>4-ADMINISTRAÇÃO</v>
      </c>
      <c r="L1564" t="str">
        <f t="shared" si="137"/>
        <v>122-ADMINISTRAÇÃO GERAL</v>
      </c>
      <c r="M1564" t="str">
        <f t="shared" si="138"/>
        <v>0001-Administração e Coordenação Geral​</v>
      </c>
      <c r="N1564" t="str">
        <f t="shared" si="139"/>
        <v xml:space="preserve">2.006-Representações Oficiais </v>
      </c>
      <c r="O1564" t="str">
        <f t="shared" si="140"/>
        <v>3.3.90.39.00-OUTROS SERVIÇOS DE TERCEIROS - PESSOA JURÍDICA</v>
      </c>
      <c r="R1564" s="25">
        <v>2</v>
      </c>
      <c r="S1564" t="s">
        <v>1035</v>
      </c>
    </row>
    <row r="1565" spans="1:19" x14ac:dyDescent="0.25">
      <c r="A1565" t="str">
        <f t="shared" si="129"/>
        <v>35</v>
      </c>
      <c r="B1565" t="str">
        <f t="shared" si="130"/>
        <v>001</v>
      </c>
      <c r="C1565" t="str">
        <f t="shared" si="131"/>
        <v>04</v>
      </c>
      <c r="D1565" t="str">
        <f t="shared" si="132"/>
        <v>122</v>
      </c>
      <c r="E1565" t="str">
        <f t="shared" si="133"/>
        <v>0001</v>
      </c>
      <c r="F1565" t="str">
        <f t="shared" si="134"/>
        <v>2.011</v>
      </c>
      <c r="G1565" t="str">
        <f t="shared" si="135"/>
        <v>3.3.90.30.00</v>
      </c>
      <c r="H1565" t="s">
        <v>1608</v>
      </c>
      <c r="I1565" t="s">
        <v>4307</v>
      </c>
      <c r="J1565" t="s">
        <v>20</v>
      </c>
      <c r="K1565" t="str">
        <f t="shared" si="136"/>
        <v>4-ADMINISTRAÇÃO</v>
      </c>
      <c r="L1565" t="str">
        <f t="shared" si="137"/>
        <v>122-ADMINISTRAÇÃO GERAL</v>
      </c>
      <c r="M1565" t="str">
        <f t="shared" si="138"/>
        <v>0001-Administração e Coordenação Geral​</v>
      </c>
      <c r="N1565" t="str">
        <f t="shared" si="139"/>
        <v xml:space="preserve">2.011-Manutenção de Equipamentos Públicos </v>
      </c>
      <c r="O1565" t="str">
        <f t="shared" si="140"/>
        <v>3.3.90.30.00-MATERIAL DE CONSUMO</v>
      </c>
      <c r="R1565" s="25">
        <v>20782</v>
      </c>
      <c r="S1565" t="s">
        <v>1035</v>
      </c>
    </row>
    <row r="1566" spans="1:19" x14ac:dyDescent="0.25">
      <c r="A1566" t="str">
        <f t="shared" si="129"/>
        <v>35</v>
      </c>
      <c r="B1566" t="str">
        <f t="shared" si="130"/>
        <v>001</v>
      </c>
      <c r="C1566" t="str">
        <f t="shared" si="131"/>
        <v>04</v>
      </c>
      <c r="D1566" t="str">
        <f t="shared" si="132"/>
        <v>122</v>
      </c>
      <c r="E1566" t="str">
        <f t="shared" si="133"/>
        <v>0001</v>
      </c>
      <c r="F1566" t="str">
        <f t="shared" si="134"/>
        <v>2.011</v>
      </c>
      <c r="G1566" t="str">
        <f t="shared" si="135"/>
        <v>3.3.90.39.00</v>
      </c>
      <c r="H1566" t="s">
        <v>1609</v>
      </c>
      <c r="I1566" t="s">
        <v>4307</v>
      </c>
      <c r="J1566" t="s">
        <v>20</v>
      </c>
      <c r="K1566" t="str">
        <f t="shared" si="136"/>
        <v>4-ADMINISTRAÇÃO</v>
      </c>
      <c r="L1566" t="str">
        <f t="shared" si="137"/>
        <v>122-ADMINISTRAÇÃO GERAL</v>
      </c>
      <c r="M1566" t="str">
        <f t="shared" si="138"/>
        <v>0001-Administração e Coordenação Geral​</v>
      </c>
      <c r="N1566" t="str">
        <f t="shared" si="139"/>
        <v xml:space="preserve">2.011-Manutenção de Equipamentos Públicos </v>
      </c>
      <c r="O1566" t="str">
        <f t="shared" si="140"/>
        <v>3.3.90.39.00-OUTROS SERVIÇOS DE TERCEIROS - PESSOA JURÍDICA</v>
      </c>
      <c r="R1566" s="25">
        <v>2079.1999999999998</v>
      </c>
      <c r="S1566" t="s">
        <v>1035</v>
      </c>
    </row>
    <row r="1567" spans="1:19" x14ac:dyDescent="0.25">
      <c r="A1567" t="str">
        <f t="shared" si="129"/>
        <v>35</v>
      </c>
      <c r="B1567" t="str">
        <f t="shared" si="130"/>
        <v>001</v>
      </c>
      <c r="C1567" t="str">
        <f t="shared" si="131"/>
        <v>04</v>
      </c>
      <c r="D1567" t="str">
        <f t="shared" si="132"/>
        <v>122</v>
      </c>
      <c r="E1567" t="str">
        <f t="shared" si="133"/>
        <v>0001</v>
      </c>
      <c r="F1567" t="str">
        <f t="shared" si="134"/>
        <v>2.011</v>
      </c>
      <c r="G1567" t="str">
        <f t="shared" si="135"/>
        <v>4.4.90.52.00</v>
      </c>
      <c r="H1567" t="s">
        <v>1610</v>
      </c>
      <c r="I1567" t="s">
        <v>4307</v>
      </c>
      <c r="J1567" t="s">
        <v>20</v>
      </c>
      <c r="K1567" t="str">
        <f t="shared" si="136"/>
        <v>4-ADMINISTRAÇÃO</v>
      </c>
      <c r="L1567" t="str">
        <f t="shared" si="137"/>
        <v>122-ADMINISTRAÇÃO GERAL</v>
      </c>
      <c r="M1567" t="str">
        <f t="shared" si="138"/>
        <v>0001-Administração e Coordenação Geral​</v>
      </c>
      <c r="N1567" t="str">
        <f t="shared" si="139"/>
        <v xml:space="preserve">2.011-Manutenção de Equipamentos Públicos </v>
      </c>
      <c r="O1567" t="str">
        <f t="shared" si="140"/>
        <v>4.4.90.52.00-EQUIPAMENTOS E MATERIAL PERMANENTE</v>
      </c>
      <c r="R1567" s="25">
        <v>5</v>
      </c>
      <c r="S1567" t="s">
        <v>1035</v>
      </c>
    </row>
    <row r="1568" spans="1:19" x14ac:dyDescent="0.25">
      <c r="A1568" t="str">
        <f t="shared" si="129"/>
        <v>35</v>
      </c>
      <c r="B1568" t="str">
        <f t="shared" si="130"/>
        <v>001</v>
      </c>
      <c r="C1568" t="str">
        <f t="shared" si="131"/>
        <v>04</v>
      </c>
      <c r="D1568" t="str">
        <f t="shared" si="132"/>
        <v>128</v>
      </c>
      <c r="E1568" t="str">
        <f t="shared" si="133"/>
        <v>0002</v>
      </c>
      <c r="F1568" t="str">
        <f t="shared" si="134"/>
        <v>2.003</v>
      </c>
      <c r="G1568" t="str">
        <f t="shared" si="135"/>
        <v>3.3.90.39.00</v>
      </c>
      <c r="H1568" t="s">
        <v>1611</v>
      </c>
      <c r="I1568" t="s">
        <v>4307</v>
      </c>
      <c r="J1568" t="s">
        <v>20</v>
      </c>
      <c r="K1568" t="str">
        <f t="shared" si="136"/>
        <v>4-ADMINISTRAÇÃO</v>
      </c>
      <c r="L1568" t="str">
        <f t="shared" si="137"/>
        <v>128-FORMAÇÃO DE RECURSOS HUMANOS</v>
      </c>
      <c r="M1568" t="str">
        <f t="shared" si="138"/>
        <v>0002-Governo Inteligente, Aberto e Inovador​</v>
      </c>
      <c r="N1568" t="str">
        <f t="shared" si="139"/>
        <v>2.003-Qualificação de Servidores e Processos Institucionais</v>
      </c>
      <c r="O1568" t="str">
        <f t="shared" si="140"/>
        <v>3.3.90.39.00-OUTROS SERVIÇOS DE TERCEIROS - PESSOA JURÍDICA</v>
      </c>
      <c r="R1568" s="25">
        <v>1</v>
      </c>
      <c r="S1568" t="s">
        <v>1035</v>
      </c>
    </row>
    <row r="1569" spans="1:19" x14ac:dyDescent="0.25">
      <c r="A1569" t="str">
        <f t="shared" si="129"/>
        <v>35</v>
      </c>
      <c r="B1569" t="str">
        <f t="shared" si="130"/>
        <v>001</v>
      </c>
      <c r="C1569" t="str">
        <f t="shared" si="131"/>
        <v>04</v>
      </c>
      <c r="D1569" t="str">
        <f t="shared" si="132"/>
        <v>131</v>
      </c>
      <c r="E1569" t="str">
        <f t="shared" si="133"/>
        <v>0002</v>
      </c>
      <c r="F1569" t="str">
        <f t="shared" si="134"/>
        <v>2.005</v>
      </c>
      <c r="G1569" t="str">
        <f t="shared" si="135"/>
        <v>3.3.90.39.00</v>
      </c>
      <c r="H1569" t="s">
        <v>1612</v>
      </c>
      <c r="I1569" t="s">
        <v>4307</v>
      </c>
      <c r="J1569" t="s">
        <v>20</v>
      </c>
      <c r="K1569" t="str">
        <f t="shared" si="136"/>
        <v>4-ADMINISTRAÇÃO</v>
      </c>
      <c r="L1569" t="str">
        <f t="shared" si="137"/>
        <v>131-COMUNICAÇÃO SOCIAL</v>
      </c>
      <c r="M1569" t="str">
        <f t="shared" si="138"/>
        <v>0002-Governo Inteligente, Aberto e Inovador​</v>
      </c>
      <c r="N1569" t="str">
        <f t="shared" si="139"/>
        <v xml:space="preserve">2.005-Promoção de Eventos, Comunicação e Participação Social </v>
      </c>
      <c r="O1569" t="str">
        <f t="shared" si="140"/>
        <v>3.3.90.39.00-OUTROS SERVIÇOS DE TERCEIROS - PESSOA JURÍDICA</v>
      </c>
      <c r="R1569" s="25">
        <v>6235.6</v>
      </c>
      <c r="S1569" t="s">
        <v>1035</v>
      </c>
    </row>
    <row r="1570" spans="1:19" x14ac:dyDescent="0.25">
      <c r="A1570" t="str">
        <f t="shared" si="129"/>
        <v>36</v>
      </c>
      <c r="B1570" t="str">
        <f t="shared" si="130"/>
        <v>001</v>
      </c>
      <c r="C1570" t="str">
        <f t="shared" si="131"/>
        <v>04</v>
      </c>
      <c r="D1570" t="str">
        <f t="shared" si="132"/>
        <v>122</v>
      </c>
      <c r="E1570" t="str">
        <f t="shared" si="133"/>
        <v>0001</v>
      </c>
      <c r="F1570" t="str">
        <f t="shared" si="134"/>
        <v>2.006</v>
      </c>
      <c r="G1570" t="str">
        <f t="shared" si="135"/>
        <v>3.3.90.33.00</v>
      </c>
      <c r="H1570" t="s">
        <v>1613</v>
      </c>
      <c r="I1570" t="str">
        <f t="shared" si="141"/>
        <v>36 - SECRETARIA DA FAMÍLIA, CIDADANIA E SEGURANÇA ALIMENTAR</v>
      </c>
      <c r="J1570" t="s">
        <v>20</v>
      </c>
      <c r="K1570" t="str">
        <f t="shared" si="136"/>
        <v>4-ADMINISTRAÇÃO</v>
      </c>
      <c r="L1570" t="str">
        <f t="shared" si="137"/>
        <v>122-ADMINISTRAÇÃO GERAL</v>
      </c>
      <c r="M1570" t="str">
        <f t="shared" si="138"/>
        <v>0001-Administração e Coordenação Geral​</v>
      </c>
      <c r="N1570" t="str">
        <f t="shared" si="139"/>
        <v xml:space="preserve">2.006-Representações Oficiais </v>
      </c>
      <c r="O1570" t="str">
        <f t="shared" si="140"/>
        <v>3.3.90.33.00-PASSAGENS E DESPESAS COM LOCOMOÇÃO</v>
      </c>
      <c r="R1570" s="25">
        <v>1</v>
      </c>
      <c r="S1570" t="s">
        <v>1035</v>
      </c>
    </row>
    <row r="1571" spans="1:19" x14ac:dyDescent="0.25">
      <c r="A1571" t="str">
        <f t="shared" ref="A1571:A1634" si="142">LEFT(H1571,2)</f>
        <v>36</v>
      </c>
      <c r="B1571" t="str">
        <f t="shared" ref="B1571:B1634" si="143">MID(H1571,4,3)</f>
        <v>001</v>
      </c>
      <c r="C1571" t="str">
        <f t="shared" ref="C1571:C1634" si="144">MID(H1571,8,2)</f>
        <v>04</v>
      </c>
      <c r="D1571" t="str">
        <f t="shared" ref="D1571:D1634" si="145">MID(H1571,11,3)</f>
        <v>122</v>
      </c>
      <c r="E1571" t="str">
        <f t="shared" ref="E1571:E1634" si="146">MID(H1571,15,4)</f>
        <v>0001</v>
      </c>
      <c r="F1571" t="str">
        <f t="shared" ref="F1571:F1634" si="147">MID(H1571,20,5)</f>
        <v>2.006</v>
      </c>
      <c r="G1571" t="str">
        <f t="shared" ref="G1571:G1634" si="148">MID(H1571,26,12)</f>
        <v>3.3.90.39.00</v>
      </c>
      <c r="H1571" t="s">
        <v>1614</v>
      </c>
      <c r="I1571" t="str">
        <f t="shared" si="141"/>
        <v>36 - SECRETARIA DA FAMÍLIA, CIDADANIA E SEGURANÇA ALIMENTAR</v>
      </c>
      <c r="J1571" t="s">
        <v>20</v>
      </c>
      <c r="K1571" t="str">
        <f t="shared" ref="K1571:K1634" si="149">VLOOKUP(C1571,$C$1:$O$994,9,0)</f>
        <v>4-ADMINISTRAÇÃO</v>
      </c>
      <c r="L1571" t="str">
        <f t="shared" ref="L1571:L1634" si="150">VLOOKUP(D1571,$D$1:$O$994,9,0)</f>
        <v>122-ADMINISTRAÇÃO GERAL</v>
      </c>
      <c r="M1571" t="str">
        <f t="shared" ref="M1571:M1634" si="151">VLOOKUP(E1571,$E$1:$O$994,9,0)</f>
        <v>0001-Administração e Coordenação Geral​</v>
      </c>
      <c r="N1571" t="str">
        <f t="shared" ref="N1571:N1634" si="152">VLOOKUP(F1571,$F$1:$O$994,9,0)</f>
        <v xml:space="preserve">2.006-Representações Oficiais </v>
      </c>
      <c r="O1571" t="str">
        <f t="shared" ref="O1571:O1634" si="153">VLOOKUP(G1571,$G$1:$O$994,9,0)</f>
        <v>3.3.90.39.00-OUTROS SERVIÇOS DE TERCEIROS - PESSOA JURÍDICA</v>
      </c>
      <c r="R1571" s="25">
        <v>2</v>
      </c>
      <c r="S1571" t="s">
        <v>1035</v>
      </c>
    </row>
    <row r="1572" spans="1:19" x14ac:dyDescent="0.25">
      <c r="A1572" t="str">
        <f t="shared" si="142"/>
        <v>36</v>
      </c>
      <c r="B1572" t="str">
        <f t="shared" si="143"/>
        <v>001</v>
      </c>
      <c r="C1572" t="str">
        <f t="shared" si="144"/>
        <v>04</v>
      </c>
      <c r="D1572" t="str">
        <f t="shared" si="145"/>
        <v>128</v>
      </c>
      <c r="E1572" t="str">
        <f t="shared" si="146"/>
        <v>0002</v>
      </c>
      <c r="F1572" t="str">
        <f t="shared" si="147"/>
        <v>2.003</v>
      </c>
      <c r="G1572" t="str">
        <f t="shared" si="148"/>
        <v>3.3.90.39.00</v>
      </c>
      <c r="H1572" t="s">
        <v>1615</v>
      </c>
      <c r="I1572" t="str">
        <f t="shared" si="141"/>
        <v>36 - SECRETARIA DA FAMÍLIA, CIDADANIA E SEGURANÇA ALIMENTAR</v>
      </c>
      <c r="J1572" t="s">
        <v>20</v>
      </c>
      <c r="K1572" t="str">
        <f t="shared" si="149"/>
        <v>4-ADMINISTRAÇÃO</v>
      </c>
      <c r="L1572" t="str">
        <f t="shared" si="150"/>
        <v>128-FORMAÇÃO DE RECURSOS HUMANOS</v>
      </c>
      <c r="M1572" t="str">
        <f t="shared" si="151"/>
        <v>0002-Governo Inteligente, Aberto e Inovador​</v>
      </c>
      <c r="N1572" t="str">
        <f t="shared" si="152"/>
        <v>2.003-Qualificação de Servidores e Processos Institucionais</v>
      </c>
      <c r="O1572" t="str">
        <f t="shared" si="153"/>
        <v>3.3.90.39.00-OUTROS SERVIÇOS DE TERCEIROS - PESSOA JURÍDICA</v>
      </c>
      <c r="R1572" s="25">
        <v>1</v>
      </c>
      <c r="S1572" t="s">
        <v>1035</v>
      </c>
    </row>
    <row r="1573" spans="1:19" x14ac:dyDescent="0.25">
      <c r="A1573" t="str">
        <f t="shared" si="142"/>
        <v>36</v>
      </c>
      <c r="B1573" t="str">
        <f t="shared" si="143"/>
        <v>001</v>
      </c>
      <c r="C1573" t="str">
        <f t="shared" si="144"/>
        <v>04</v>
      </c>
      <c r="D1573" t="str">
        <f t="shared" si="145"/>
        <v>131</v>
      </c>
      <c r="E1573" t="str">
        <f t="shared" si="146"/>
        <v>0002</v>
      </c>
      <c r="F1573" t="str">
        <f t="shared" si="147"/>
        <v>2.005</v>
      </c>
      <c r="G1573" t="str">
        <f t="shared" si="148"/>
        <v>3.3.90.30.00</v>
      </c>
      <c r="H1573" t="s">
        <v>1616</v>
      </c>
      <c r="I1573" t="str">
        <f t="shared" si="141"/>
        <v>36 - SECRETARIA DA FAMÍLIA, CIDADANIA E SEGURANÇA ALIMENTAR</v>
      </c>
      <c r="J1573" t="s">
        <v>20</v>
      </c>
      <c r="K1573" t="str">
        <f t="shared" si="149"/>
        <v>4-ADMINISTRAÇÃO</v>
      </c>
      <c r="L1573" t="str">
        <f t="shared" si="150"/>
        <v>131-COMUNICAÇÃO SOCIAL</v>
      </c>
      <c r="M1573" t="str">
        <f t="shared" si="151"/>
        <v>0002-Governo Inteligente, Aberto e Inovador​</v>
      </c>
      <c r="N1573" t="str">
        <f t="shared" si="152"/>
        <v xml:space="preserve">2.005-Promoção de Eventos, Comunicação e Participação Social </v>
      </c>
      <c r="O1573" t="str">
        <f t="shared" si="153"/>
        <v>3.3.90.30.00-MATERIAL DE CONSUMO</v>
      </c>
      <c r="R1573" s="25">
        <v>67541.5</v>
      </c>
      <c r="S1573" t="s">
        <v>1035</v>
      </c>
    </row>
    <row r="1574" spans="1:19" x14ac:dyDescent="0.25">
      <c r="A1574" t="str">
        <f t="shared" si="142"/>
        <v>36</v>
      </c>
      <c r="B1574" t="str">
        <f t="shared" si="143"/>
        <v>001</v>
      </c>
      <c r="C1574" t="str">
        <f t="shared" si="144"/>
        <v>04</v>
      </c>
      <c r="D1574" t="str">
        <f t="shared" si="145"/>
        <v>131</v>
      </c>
      <c r="E1574" t="str">
        <f t="shared" si="146"/>
        <v>0002</v>
      </c>
      <c r="F1574" t="str">
        <f t="shared" si="147"/>
        <v>2.005</v>
      </c>
      <c r="G1574" t="str">
        <f t="shared" si="148"/>
        <v>3.3.90.39.00</v>
      </c>
      <c r="H1574" t="s">
        <v>1617</v>
      </c>
      <c r="I1574" t="str">
        <f t="shared" si="141"/>
        <v>36 - SECRETARIA DA FAMÍLIA, CIDADANIA E SEGURANÇA ALIMENTAR</v>
      </c>
      <c r="J1574" t="s">
        <v>20</v>
      </c>
      <c r="K1574" t="str">
        <f t="shared" si="149"/>
        <v>4-ADMINISTRAÇÃO</v>
      </c>
      <c r="L1574" t="str">
        <f t="shared" si="150"/>
        <v>131-COMUNICAÇÃO SOCIAL</v>
      </c>
      <c r="M1574" t="str">
        <f t="shared" si="151"/>
        <v>0002-Governo Inteligente, Aberto e Inovador​</v>
      </c>
      <c r="N1574" t="str">
        <f t="shared" si="152"/>
        <v xml:space="preserve">2.005-Promoção de Eventos, Comunicação e Participação Social </v>
      </c>
      <c r="O1574" t="str">
        <f t="shared" si="153"/>
        <v>3.3.90.39.00-OUTROS SERVIÇOS DE TERCEIROS - PESSOA JURÍDICA</v>
      </c>
      <c r="R1574" s="25">
        <v>312116.27909999999</v>
      </c>
      <c r="S1574" t="s">
        <v>1035</v>
      </c>
    </row>
    <row r="1575" spans="1:19" x14ac:dyDescent="0.25">
      <c r="A1575" t="str">
        <f t="shared" si="142"/>
        <v>36</v>
      </c>
      <c r="B1575" t="str">
        <f t="shared" si="143"/>
        <v>001</v>
      </c>
      <c r="C1575" t="str">
        <f t="shared" si="144"/>
        <v>08</v>
      </c>
      <c r="D1575" t="str">
        <f t="shared" si="145"/>
        <v>244</v>
      </c>
      <c r="E1575" t="str">
        <f t="shared" si="146"/>
        <v>0019</v>
      </c>
      <c r="F1575" t="str">
        <f t="shared" si="147"/>
        <v>2.011</v>
      </c>
      <c r="G1575" t="str">
        <f t="shared" si="148"/>
        <v>3.3.90.30.00</v>
      </c>
      <c r="H1575" t="s">
        <v>1618</v>
      </c>
      <c r="I1575" t="str">
        <f t="shared" si="141"/>
        <v>36 - SECRETARIA DA FAMÍLIA, CIDADANIA E SEGURANÇA ALIMENTAR</v>
      </c>
      <c r="J1575" t="s">
        <v>20</v>
      </c>
      <c r="K1575" t="str">
        <f t="shared" si="149"/>
        <v>8-ASSISTÊNCIA SOCIAL</v>
      </c>
      <c r="L1575" t="str">
        <f t="shared" si="150"/>
        <v>244-ASSISTÊNCIA COMUNITÁRIA</v>
      </c>
      <c r="M1575" t="str">
        <f t="shared" si="151"/>
        <v>0019-Segurança Alimentar e Combate à Pobreza​</v>
      </c>
      <c r="N1575" t="str">
        <f t="shared" si="152"/>
        <v xml:space="preserve">2.011-Manutenção de Equipamentos Públicos </v>
      </c>
      <c r="O1575" t="str">
        <f t="shared" si="153"/>
        <v>3.3.90.30.00-MATERIAL DE CONSUMO</v>
      </c>
      <c r="R1575" s="25">
        <v>159146.47779999999</v>
      </c>
      <c r="S1575" t="s">
        <v>1035</v>
      </c>
    </row>
    <row r="1576" spans="1:19" x14ac:dyDescent="0.25">
      <c r="A1576" t="str">
        <f t="shared" si="142"/>
        <v>36</v>
      </c>
      <c r="B1576" t="str">
        <f t="shared" si="143"/>
        <v>001</v>
      </c>
      <c r="C1576" t="str">
        <f t="shared" si="144"/>
        <v>08</v>
      </c>
      <c r="D1576" t="str">
        <f t="shared" si="145"/>
        <v>244</v>
      </c>
      <c r="E1576" t="str">
        <f t="shared" si="146"/>
        <v>0019</v>
      </c>
      <c r="F1576" t="str">
        <f t="shared" si="147"/>
        <v>2.011</v>
      </c>
      <c r="G1576" t="str">
        <f t="shared" si="148"/>
        <v>3.3.90.39.00</v>
      </c>
      <c r="H1576" t="s">
        <v>1619</v>
      </c>
      <c r="I1576" t="str">
        <f t="shared" si="141"/>
        <v>36 - SECRETARIA DA FAMÍLIA, CIDADANIA E SEGURANÇA ALIMENTAR</v>
      </c>
      <c r="J1576" t="s">
        <v>20</v>
      </c>
      <c r="K1576" t="str">
        <f t="shared" si="149"/>
        <v>8-ASSISTÊNCIA SOCIAL</v>
      </c>
      <c r="L1576" t="str">
        <f t="shared" si="150"/>
        <v>244-ASSISTÊNCIA COMUNITÁRIA</v>
      </c>
      <c r="M1576" t="str">
        <f t="shared" si="151"/>
        <v>0019-Segurança Alimentar e Combate à Pobreza​</v>
      </c>
      <c r="N1576" t="str">
        <f t="shared" si="152"/>
        <v xml:space="preserve">2.011-Manutenção de Equipamentos Públicos </v>
      </c>
      <c r="O1576" t="str">
        <f t="shared" si="153"/>
        <v>3.3.90.39.00-OUTROS SERVIÇOS DE TERCEIROS - PESSOA JURÍDICA</v>
      </c>
      <c r="R1576" s="25">
        <v>122192.55</v>
      </c>
      <c r="S1576" t="s">
        <v>1035</v>
      </c>
    </row>
    <row r="1577" spans="1:19" x14ac:dyDescent="0.25">
      <c r="A1577" t="str">
        <f t="shared" si="142"/>
        <v>36</v>
      </c>
      <c r="B1577" t="str">
        <f t="shared" si="143"/>
        <v>001</v>
      </c>
      <c r="C1577" t="str">
        <f t="shared" si="144"/>
        <v>08</v>
      </c>
      <c r="D1577" t="str">
        <f t="shared" si="145"/>
        <v>244</v>
      </c>
      <c r="E1577" t="str">
        <f t="shared" si="146"/>
        <v>0019</v>
      </c>
      <c r="F1577" t="str">
        <f t="shared" si="147"/>
        <v>2.011</v>
      </c>
      <c r="G1577" t="str">
        <f t="shared" si="148"/>
        <v>3.3.90.93.00</v>
      </c>
      <c r="H1577" t="s">
        <v>1620</v>
      </c>
      <c r="I1577" t="str">
        <f t="shared" si="141"/>
        <v>36 - SECRETARIA DA FAMÍLIA, CIDADANIA E SEGURANÇA ALIMENTAR</v>
      </c>
      <c r="J1577" t="s">
        <v>20</v>
      </c>
      <c r="K1577" t="str">
        <f t="shared" si="149"/>
        <v>8-ASSISTÊNCIA SOCIAL</v>
      </c>
      <c r="L1577" t="str">
        <f t="shared" si="150"/>
        <v>244-ASSISTÊNCIA COMUNITÁRIA</v>
      </c>
      <c r="M1577" t="str">
        <f t="shared" si="151"/>
        <v>0019-Segurança Alimentar e Combate à Pobreza​</v>
      </c>
      <c r="N1577" t="str">
        <f t="shared" si="152"/>
        <v xml:space="preserve">2.011-Manutenção de Equipamentos Públicos </v>
      </c>
      <c r="O1577" t="str">
        <f t="shared" si="153"/>
        <v>3.3.90.93.00-INDENIZAÇÕES E RESTITUIÇÕES</v>
      </c>
      <c r="R1577" s="25">
        <v>10391</v>
      </c>
      <c r="S1577" t="s">
        <v>1035</v>
      </c>
    </row>
    <row r="1578" spans="1:19" x14ac:dyDescent="0.25">
      <c r="A1578" t="str">
        <f t="shared" si="142"/>
        <v>36</v>
      </c>
      <c r="B1578" t="str">
        <f t="shared" si="143"/>
        <v>001</v>
      </c>
      <c r="C1578" t="str">
        <f t="shared" si="144"/>
        <v>08</v>
      </c>
      <c r="D1578" t="str">
        <f t="shared" si="145"/>
        <v>244</v>
      </c>
      <c r="E1578" t="str">
        <f t="shared" si="146"/>
        <v>0019</v>
      </c>
      <c r="F1578" t="str">
        <f t="shared" si="147"/>
        <v>2.011</v>
      </c>
      <c r="G1578" t="str">
        <f t="shared" si="148"/>
        <v>4.4.90.52.00</v>
      </c>
      <c r="H1578" t="s">
        <v>1621</v>
      </c>
      <c r="I1578" t="str">
        <f t="shared" si="141"/>
        <v>36 - SECRETARIA DA FAMÍLIA, CIDADANIA E SEGURANÇA ALIMENTAR</v>
      </c>
      <c r="J1578" t="s">
        <v>20</v>
      </c>
      <c r="K1578" t="str">
        <f t="shared" si="149"/>
        <v>8-ASSISTÊNCIA SOCIAL</v>
      </c>
      <c r="L1578" t="str">
        <f t="shared" si="150"/>
        <v>244-ASSISTÊNCIA COMUNITÁRIA</v>
      </c>
      <c r="M1578" t="str">
        <f t="shared" si="151"/>
        <v>0019-Segurança Alimentar e Combate à Pobreza​</v>
      </c>
      <c r="N1578" t="str">
        <f t="shared" si="152"/>
        <v xml:space="preserve">2.011-Manutenção de Equipamentos Públicos </v>
      </c>
      <c r="O1578" t="str">
        <f t="shared" si="153"/>
        <v>4.4.90.52.00-EQUIPAMENTOS E MATERIAL PERMANENTE</v>
      </c>
      <c r="R1578" s="25">
        <v>5196.3436000000002</v>
      </c>
      <c r="S1578" t="s">
        <v>1035</v>
      </c>
    </row>
    <row r="1579" spans="1:19" x14ac:dyDescent="0.25">
      <c r="A1579" t="str">
        <f t="shared" si="142"/>
        <v>36</v>
      </c>
      <c r="B1579" t="str">
        <f t="shared" si="143"/>
        <v>001</v>
      </c>
      <c r="C1579" t="str">
        <f t="shared" si="144"/>
        <v>08</v>
      </c>
      <c r="D1579" t="str">
        <f t="shared" si="145"/>
        <v>244</v>
      </c>
      <c r="E1579" t="str">
        <f t="shared" si="146"/>
        <v>0019</v>
      </c>
      <c r="F1579" t="str">
        <f t="shared" si="147"/>
        <v>2.024</v>
      </c>
      <c r="G1579" t="str">
        <f t="shared" si="148"/>
        <v>3.3.90.30.00</v>
      </c>
      <c r="H1579" t="s">
        <v>1622</v>
      </c>
      <c r="I1579" t="str">
        <f t="shared" si="141"/>
        <v>36 - SECRETARIA DA FAMÍLIA, CIDADANIA E SEGURANÇA ALIMENTAR</v>
      </c>
      <c r="J1579" t="s">
        <v>20</v>
      </c>
      <c r="K1579" t="str">
        <f t="shared" si="149"/>
        <v>8-ASSISTÊNCIA SOCIAL</v>
      </c>
      <c r="L1579" t="str">
        <f t="shared" si="150"/>
        <v>244-ASSISTÊNCIA COMUNITÁRIA</v>
      </c>
      <c r="M1579" t="str">
        <f t="shared" si="151"/>
        <v>0019-Segurança Alimentar e Combate à Pobreza​</v>
      </c>
      <c r="N1579" t="str">
        <f t="shared" si="152"/>
        <v>2.024-Distribuição de Alimentos e Benefícios para as Famílias em Situação de Vulnerabilidade</v>
      </c>
      <c r="O1579" t="str">
        <f t="shared" si="153"/>
        <v>3.3.90.30.00-MATERIAL DE CONSUMO</v>
      </c>
      <c r="R1579" s="25">
        <v>120535.6</v>
      </c>
      <c r="S1579" t="s">
        <v>1035</v>
      </c>
    </row>
    <row r="1580" spans="1:19" x14ac:dyDescent="0.25">
      <c r="A1580" t="str">
        <f t="shared" si="142"/>
        <v>36</v>
      </c>
      <c r="B1580" t="str">
        <f t="shared" si="143"/>
        <v>001</v>
      </c>
      <c r="C1580" t="str">
        <f t="shared" si="144"/>
        <v>08</v>
      </c>
      <c r="D1580" t="str">
        <f t="shared" si="145"/>
        <v>244</v>
      </c>
      <c r="E1580" t="str">
        <f t="shared" si="146"/>
        <v>0019</v>
      </c>
      <c r="F1580" t="str">
        <f t="shared" si="147"/>
        <v>2.024</v>
      </c>
      <c r="G1580" t="str">
        <f t="shared" si="148"/>
        <v>3.3.90.32.00</v>
      </c>
      <c r="H1580" t="s">
        <v>1623</v>
      </c>
      <c r="I1580" t="str">
        <f t="shared" si="141"/>
        <v>36 - SECRETARIA DA FAMÍLIA, CIDADANIA E SEGURANÇA ALIMENTAR</v>
      </c>
      <c r="J1580" t="s">
        <v>20</v>
      </c>
      <c r="K1580" t="str">
        <f t="shared" si="149"/>
        <v>8-ASSISTÊNCIA SOCIAL</v>
      </c>
      <c r="L1580" t="str">
        <f t="shared" si="150"/>
        <v>244-ASSISTÊNCIA COMUNITÁRIA</v>
      </c>
      <c r="M1580" t="str">
        <f t="shared" si="151"/>
        <v>0019-Segurança Alimentar e Combate à Pobreza​</v>
      </c>
      <c r="N1580" t="str">
        <f t="shared" si="152"/>
        <v>2.024-Distribuição de Alimentos e Benefícios para as Famílias em Situação de Vulnerabilidade</v>
      </c>
      <c r="O1580" t="str">
        <f t="shared" si="153"/>
        <v>3.3.90.32.00-MATERIAL, BEM OU SERVIÇO PARA DISTRIBUIÇÃO GRATUITA</v>
      </c>
      <c r="R1580" s="25">
        <v>72737</v>
      </c>
      <c r="S1580" t="s">
        <v>1035</v>
      </c>
    </row>
    <row r="1581" spans="1:19" x14ac:dyDescent="0.25">
      <c r="A1581" t="str">
        <f t="shared" si="142"/>
        <v>36</v>
      </c>
      <c r="B1581" t="str">
        <f t="shared" si="143"/>
        <v>001</v>
      </c>
      <c r="C1581" t="str">
        <f t="shared" si="144"/>
        <v>14</v>
      </c>
      <c r="D1581" t="str">
        <f t="shared" si="145"/>
        <v>244</v>
      </c>
      <c r="E1581" t="str">
        <f t="shared" si="146"/>
        <v>0018</v>
      </c>
      <c r="F1581" t="str">
        <f t="shared" si="147"/>
        <v>2.041</v>
      </c>
      <c r="G1581" t="str">
        <f t="shared" si="148"/>
        <v>3.3.50.39.00</v>
      </c>
      <c r="H1581" t="s">
        <v>1624</v>
      </c>
      <c r="I1581" t="str">
        <f t="shared" si="141"/>
        <v>36 - SECRETARIA DA FAMÍLIA, CIDADANIA E SEGURANÇA ALIMENTAR</v>
      </c>
      <c r="J1581" t="s">
        <v>20</v>
      </c>
      <c r="K1581" t="str">
        <f t="shared" si="149"/>
        <v>14-DIREITOS DA CIDADANIA</v>
      </c>
      <c r="L1581" t="str">
        <f t="shared" si="150"/>
        <v>244-ASSISTÊNCIA COMUNITÁRIA</v>
      </c>
      <c r="M1581" t="str">
        <f t="shared" si="151"/>
        <v>0018-Proteção Social e Garantia de Direitos​</v>
      </c>
      <c r="N1581" t="str">
        <f t="shared" si="152"/>
        <v>2.041-Ação Transversal de Garantia de Direitos</v>
      </c>
      <c r="O1581" t="str">
        <f t="shared" si="153"/>
        <v>3.3.50.39.00-OUTROS SERVIÇOS DE TERCEIROS - PESSOA JURÍDICA</v>
      </c>
      <c r="R1581" s="25">
        <v>222000</v>
      </c>
      <c r="S1581" t="s">
        <v>1035</v>
      </c>
    </row>
    <row r="1582" spans="1:19" x14ac:dyDescent="0.25">
      <c r="A1582" t="str">
        <f t="shared" si="142"/>
        <v>36</v>
      </c>
      <c r="B1582" t="str">
        <f t="shared" si="143"/>
        <v>001</v>
      </c>
      <c r="C1582" t="str">
        <f t="shared" si="144"/>
        <v>14</v>
      </c>
      <c r="D1582" t="str">
        <f t="shared" si="145"/>
        <v>244</v>
      </c>
      <c r="E1582" t="str">
        <f t="shared" si="146"/>
        <v>0018</v>
      </c>
      <c r="F1582" t="str">
        <f t="shared" si="147"/>
        <v>2.041</v>
      </c>
      <c r="G1582" t="str">
        <f t="shared" si="148"/>
        <v>3.3.90.30.00</v>
      </c>
      <c r="H1582" t="s">
        <v>1625</v>
      </c>
      <c r="I1582" t="str">
        <f t="shared" si="141"/>
        <v>36 - SECRETARIA DA FAMÍLIA, CIDADANIA E SEGURANÇA ALIMENTAR</v>
      </c>
      <c r="J1582" t="s">
        <v>20</v>
      </c>
      <c r="K1582" t="str">
        <f t="shared" si="149"/>
        <v>14-DIREITOS DA CIDADANIA</v>
      </c>
      <c r="L1582" t="str">
        <f t="shared" si="150"/>
        <v>244-ASSISTÊNCIA COMUNITÁRIA</v>
      </c>
      <c r="M1582" t="str">
        <f t="shared" si="151"/>
        <v>0018-Proteção Social e Garantia de Direitos​</v>
      </c>
      <c r="N1582" t="str">
        <f t="shared" si="152"/>
        <v>2.041-Ação Transversal de Garantia de Direitos</v>
      </c>
      <c r="O1582" t="str">
        <f t="shared" si="153"/>
        <v>3.3.90.30.00-MATERIAL DE CONSUMO</v>
      </c>
      <c r="R1582" s="25">
        <v>0</v>
      </c>
      <c r="S1582" t="s">
        <v>1035</v>
      </c>
    </row>
    <row r="1583" spans="1:19" x14ac:dyDescent="0.25">
      <c r="A1583" t="str">
        <f t="shared" si="142"/>
        <v>36</v>
      </c>
      <c r="B1583" t="str">
        <f t="shared" si="143"/>
        <v>001</v>
      </c>
      <c r="C1583" t="str">
        <f t="shared" si="144"/>
        <v>14</v>
      </c>
      <c r="D1583" t="str">
        <f t="shared" si="145"/>
        <v>244</v>
      </c>
      <c r="E1583" t="str">
        <f t="shared" si="146"/>
        <v>0018</v>
      </c>
      <c r="F1583" t="str">
        <f t="shared" si="147"/>
        <v>2.041</v>
      </c>
      <c r="G1583" t="str">
        <f t="shared" si="148"/>
        <v>3.3.90.39.00</v>
      </c>
      <c r="H1583" t="s">
        <v>1626</v>
      </c>
      <c r="I1583" t="str">
        <f t="shared" si="141"/>
        <v>36 - SECRETARIA DA FAMÍLIA, CIDADANIA E SEGURANÇA ALIMENTAR</v>
      </c>
      <c r="J1583" t="s">
        <v>20</v>
      </c>
      <c r="K1583" t="str">
        <f t="shared" si="149"/>
        <v>14-DIREITOS DA CIDADANIA</v>
      </c>
      <c r="L1583" t="str">
        <f t="shared" si="150"/>
        <v>244-ASSISTÊNCIA COMUNITÁRIA</v>
      </c>
      <c r="M1583" t="str">
        <f t="shared" si="151"/>
        <v>0018-Proteção Social e Garantia de Direitos​</v>
      </c>
      <c r="N1583" t="str">
        <f t="shared" si="152"/>
        <v>2.041-Ação Transversal de Garantia de Direitos</v>
      </c>
      <c r="O1583" t="str">
        <f t="shared" si="153"/>
        <v>3.3.90.39.00-OUTROS SERVIÇOS DE TERCEIROS - PESSOA JURÍDICA</v>
      </c>
      <c r="R1583" s="25">
        <v>0</v>
      </c>
      <c r="S1583" t="s">
        <v>1035</v>
      </c>
    </row>
    <row r="1584" spans="1:19" x14ac:dyDescent="0.25">
      <c r="A1584" t="str">
        <f t="shared" si="142"/>
        <v>36</v>
      </c>
      <c r="B1584" t="str">
        <f t="shared" si="143"/>
        <v>001</v>
      </c>
      <c r="C1584" t="str">
        <f t="shared" si="144"/>
        <v>14</v>
      </c>
      <c r="D1584" t="str">
        <f t="shared" si="145"/>
        <v>244</v>
      </c>
      <c r="E1584" t="str">
        <f t="shared" si="146"/>
        <v>0018</v>
      </c>
      <c r="F1584" t="str">
        <f t="shared" si="147"/>
        <v>2.041</v>
      </c>
      <c r="G1584" t="str">
        <f t="shared" si="148"/>
        <v>4.4.50.39.00</v>
      </c>
      <c r="H1584" t="s">
        <v>1627</v>
      </c>
      <c r="I1584" t="str">
        <f t="shared" si="141"/>
        <v>36 - SECRETARIA DA FAMÍLIA, CIDADANIA E SEGURANÇA ALIMENTAR</v>
      </c>
      <c r="J1584" t="s">
        <v>20</v>
      </c>
      <c r="K1584" t="str">
        <f t="shared" si="149"/>
        <v>14-DIREITOS DA CIDADANIA</v>
      </c>
      <c r="L1584" t="str">
        <f t="shared" si="150"/>
        <v>244-ASSISTÊNCIA COMUNITÁRIA</v>
      </c>
      <c r="M1584" t="str">
        <f t="shared" si="151"/>
        <v>0018-Proteção Social e Garantia de Direitos​</v>
      </c>
      <c r="N1584" t="str">
        <f t="shared" si="152"/>
        <v>2.041-Ação Transversal de Garantia de Direitos</v>
      </c>
      <c r="O1584" t="str">
        <f t="shared" si="153"/>
        <v>4.4.50.39.00-OUTROS SERVIÇOS DE TERCEIROS - PESSOA JURÍDICA</v>
      </c>
      <c r="R1584" s="25">
        <v>68000</v>
      </c>
      <c r="S1584" t="s">
        <v>1035</v>
      </c>
    </row>
    <row r="1585" spans="1:19" x14ac:dyDescent="0.25">
      <c r="A1585" t="str">
        <f t="shared" si="142"/>
        <v>36</v>
      </c>
      <c r="B1585" t="str">
        <f t="shared" si="143"/>
        <v>001</v>
      </c>
      <c r="C1585" t="str">
        <f t="shared" si="144"/>
        <v>14</v>
      </c>
      <c r="D1585" t="str">
        <f t="shared" si="145"/>
        <v>244</v>
      </c>
      <c r="E1585" t="str">
        <f t="shared" si="146"/>
        <v>0018</v>
      </c>
      <c r="F1585" t="str">
        <f t="shared" si="147"/>
        <v>2.041</v>
      </c>
      <c r="G1585" t="str">
        <f t="shared" si="148"/>
        <v>4.4.90.52.00</v>
      </c>
      <c r="H1585" t="s">
        <v>1628</v>
      </c>
      <c r="I1585" t="str">
        <f t="shared" si="141"/>
        <v>36 - SECRETARIA DA FAMÍLIA, CIDADANIA E SEGURANÇA ALIMENTAR</v>
      </c>
      <c r="J1585" t="s">
        <v>20</v>
      </c>
      <c r="K1585" t="str">
        <f t="shared" si="149"/>
        <v>14-DIREITOS DA CIDADANIA</v>
      </c>
      <c r="L1585" t="str">
        <f t="shared" si="150"/>
        <v>244-ASSISTÊNCIA COMUNITÁRIA</v>
      </c>
      <c r="M1585" t="str">
        <f t="shared" si="151"/>
        <v>0018-Proteção Social e Garantia de Direitos​</v>
      </c>
      <c r="N1585" t="str">
        <f t="shared" si="152"/>
        <v>2.041-Ação Transversal de Garantia de Direitos</v>
      </c>
      <c r="O1585" t="str">
        <f t="shared" si="153"/>
        <v>4.4.90.52.00-EQUIPAMENTOS E MATERIAL PERMANENTE</v>
      </c>
      <c r="R1585" s="25">
        <v>0</v>
      </c>
      <c r="S1585" t="s">
        <v>1035</v>
      </c>
    </row>
    <row r="1586" spans="1:19" x14ac:dyDescent="0.25">
      <c r="A1586" t="str">
        <f t="shared" si="142"/>
        <v>77</v>
      </c>
      <c r="B1586" t="str">
        <f t="shared" si="143"/>
        <v>777</v>
      </c>
      <c r="C1586" t="str">
        <f t="shared" si="144"/>
        <v>99</v>
      </c>
      <c r="D1586" t="str">
        <f t="shared" si="145"/>
        <v>999</v>
      </c>
      <c r="E1586" t="str">
        <f t="shared" si="146"/>
        <v>9999</v>
      </c>
      <c r="F1586" t="str">
        <f t="shared" si="147"/>
        <v>9.999</v>
      </c>
      <c r="G1586" t="str">
        <f t="shared" si="148"/>
        <v>9.9.99.99.00</v>
      </c>
      <c r="H1586" t="s">
        <v>1629</v>
      </c>
      <c r="I1586" t="s">
        <v>4312</v>
      </c>
      <c r="J1586" t="s">
        <v>4313</v>
      </c>
      <c r="K1586" t="str">
        <f t="shared" ref="K1586:O1587" si="154">C1586</f>
        <v>99</v>
      </c>
      <c r="L1586" t="str">
        <f t="shared" si="154"/>
        <v>999</v>
      </c>
      <c r="M1586" t="str">
        <f t="shared" si="154"/>
        <v>9999</v>
      </c>
      <c r="N1586" t="str">
        <f t="shared" si="154"/>
        <v>9.999</v>
      </c>
      <c r="O1586" t="str">
        <f t="shared" si="154"/>
        <v>9.9.99.99.00</v>
      </c>
      <c r="R1586" s="25">
        <v>60640307</v>
      </c>
      <c r="S1586" t="s">
        <v>1035</v>
      </c>
    </row>
    <row r="1587" spans="1:19" x14ac:dyDescent="0.25">
      <c r="A1587" t="str">
        <f t="shared" si="142"/>
        <v>99</v>
      </c>
      <c r="B1587" t="str">
        <f t="shared" si="143"/>
        <v>999</v>
      </c>
      <c r="C1587" t="str">
        <f t="shared" si="144"/>
        <v>99</v>
      </c>
      <c r="D1587" t="str">
        <f t="shared" si="145"/>
        <v>999</v>
      </c>
      <c r="E1587" t="str">
        <f t="shared" si="146"/>
        <v>9999</v>
      </c>
      <c r="F1587" t="str">
        <f t="shared" si="147"/>
        <v>9.999</v>
      </c>
      <c r="G1587" t="str">
        <f t="shared" si="148"/>
        <v>9.9.99.99.00</v>
      </c>
      <c r="H1587" t="s">
        <v>1630</v>
      </c>
      <c r="I1587" t="s">
        <v>4311</v>
      </c>
      <c r="J1587" t="s">
        <v>4314</v>
      </c>
      <c r="K1587" t="str">
        <f t="shared" si="154"/>
        <v>99</v>
      </c>
      <c r="L1587" t="str">
        <f t="shared" si="154"/>
        <v>999</v>
      </c>
      <c r="M1587" t="str">
        <f t="shared" si="154"/>
        <v>9999</v>
      </c>
      <c r="N1587" t="str">
        <f t="shared" si="154"/>
        <v>9.999</v>
      </c>
      <c r="O1587" t="str">
        <f t="shared" si="154"/>
        <v>9.9.99.99.00</v>
      </c>
      <c r="R1587" s="25">
        <v>51000000.009999998</v>
      </c>
      <c r="S1587" t="s">
        <v>1035</v>
      </c>
    </row>
    <row r="1588" spans="1:19" x14ac:dyDescent="0.25">
      <c r="A1588" t="str">
        <f t="shared" si="142"/>
        <v>02</v>
      </c>
      <c r="B1588" t="str">
        <f t="shared" si="143"/>
        <v>001</v>
      </c>
      <c r="C1588" t="str">
        <f t="shared" si="144"/>
        <v>04</v>
      </c>
      <c r="D1588" t="str">
        <f t="shared" si="145"/>
        <v>122</v>
      </c>
      <c r="E1588" t="str">
        <f t="shared" si="146"/>
        <v>0001</v>
      </c>
      <c r="F1588" t="str">
        <f t="shared" si="147"/>
        <v>2.011</v>
      </c>
      <c r="G1588" t="str">
        <f t="shared" si="148"/>
        <v>4.4.50.52.00</v>
      </c>
      <c r="H1588" t="s">
        <v>1631</v>
      </c>
      <c r="I1588" t="str">
        <f t="shared" si="141"/>
        <v>02 - GABINETE DO PREFEITO</v>
      </c>
      <c r="J1588" t="s">
        <v>20</v>
      </c>
      <c r="K1588" t="str">
        <f t="shared" si="149"/>
        <v>4-ADMINISTRAÇÃO</v>
      </c>
      <c r="L1588" t="str">
        <f t="shared" si="150"/>
        <v>122-ADMINISTRAÇÃO GERAL</v>
      </c>
      <c r="M1588" t="str">
        <f t="shared" si="151"/>
        <v>0001-Administração e Coordenação Geral​</v>
      </c>
      <c r="N1588" t="str">
        <f t="shared" si="152"/>
        <v xml:space="preserve">2.011-Manutenção de Equipamentos Públicos </v>
      </c>
      <c r="O1588" t="str">
        <f t="shared" si="153"/>
        <v>4.4.50.52.00-EQUIPAMENTOS E MATERIAL PERMANENTE</v>
      </c>
      <c r="R1588" s="25">
        <v>0</v>
      </c>
      <c r="S1588" t="s">
        <v>1035</v>
      </c>
    </row>
    <row r="1589" spans="1:19" x14ac:dyDescent="0.25">
      <c r="A1589" t="str">
        <f t="shared" si="142"/>
        <v>02</v>
      </c>
      <c r="B1589" t="str">
        <f t="shared" si="143"/>
        <v>012</v>
      </c>
      <c r="C1589" t="str">
        <f t="shared" si="144"/>
        <v>04</v>
      </c>
      <c r="D1589" t="str">
        <f t="shared" si="145"/>
        <v>122</v>
      </c>
      <c r="E1589" t="str">
        <f t="shared" si="146"/>
        <v>0001</v>
      </c>
      <c r="F1589" t="str">
        <f t="shared" si="147"/>
        <v>2.011</v>
      </c>
      <c r="G1589" t="str">
        <f t="shared" si="148"/>
        <v>3.3.90.39.00</v>
      </c>
      <c r="H1589" t="s">
        <v>1632</v>
      </c>
      <c r="I1589" t="str">
        <f t="shared" si="141"/>
        <v>02 - GABINETE DO PREFEITO</v>
      </c>
      <c r="J1589" t="s">
        <v>48</v>
      </c>
      <c r="K1589" t="str">
        <f t="shared" si="149"/>
        <v>4-ADMINISTRAÇÃO</v>
      </c>
      <c r="L1589" t="str">
        <f t="shared" si="150"/>
        <v>122-ADMINISTRAÇÃO GERAL</v>
      </c>
      <c r="M1589" t="str">
        <f t="shared" si="151"/>
        <v>0001-Administração e Coordenação Geral​</v>
      </c>
      <c r="N1589" t="str">
        <f t="shared" si="152"/>
        <v xml:space="preserve">2.011-Manutenção de Equipamentos Públicos </v>
      </c>
      <c r="O1589" t="str">
        <f t="shared" si="153"/>
        <v>3.3.90.39.00-OUTROS SERVIÇOS DE TERCEIROS - PESSOA JURÍDICA</v>
      </c>
      <c r="R1589" s="25">
        <v>0</v>
      </c>
      <c r="S1589" t="s">
        <v>1035</v>
      </c>
    </row>
    <row r="1590" spans="1:19" x14ac:dyDescent="0.25">
      <c r="A1590" t="str">
        <f t="shared" si="142"/>
        <v>02</v>
      </c>
      <c r="B1590" t="str">
        <f t="shared" si="143"/>
        <v>012</v>
      </c>
      <c r="C1590" t="str">
        <f t="shared" si="144"/>
        <v>04</v>
      </c>
      <c r="D1590" t="str">
        <f t="shared" si="145"/>
        <v>122</v>
      </c>
      <c r="E1590" t="str">
        <f t="shared" si="146"/>
        <v>0001</v>
      </c>
      <c r="F1590" t="str">
        <f t="shared" si="147"/>
        <v>2.011</v>
      </c>
      <c r="G1590" t="str">
        <f t="shared" si="148"/>
        <v>4.4.50.52.00</v>
      </c>
      <c r="H1590" t="s">
        <v>1633</v>
      </c>
      <c r="I1590" t="str">
        <f t="shared" si="141"/>
        <v>02 - GABINETE DO PREFEITO</v>
      </c>
      <c r="J1590" t="s">
        <v>48</v>
      </c>
      <c r="K1590" t="str">
        <f t="shared" si="149"/>
        <v>4-ADMINISTRAÇÃO</v>
      </c>
      <c r="L1590" t="str">
        <f t="shared" si="150"/>
        <v>122-ADMINISTRAÇÃO GERAL</v>
      </c>
      <c r="M1590" t="str">
        <f t="shared" si="151"/>
        <v>0001-Administração e Coordenação Geral​</v>
      </c>
      <c r="N1590" t="str">
        <f t="shared" si="152"/>
        <v xml:space="preserve">2.011-Manutenção de Equipamentos Públicos </v>
      </c>
      <c r="O1590" t="str">
        <f t="shared" si="153"/>
        <v>4.4.50.52.00-EQUIPAMENTOS E MATERIAL PERMANENTE</v>
      </c>
      <c r="R1590" s="25">
        <v>0</v>
      </c>
      <c r="S1590" t="s">
        <v>1035</v>
      </c>
    </row>
    <row r="1591" spans="1:19" x14ac:dyDescent="0.25">
      <c r="A1591" t="str">
        <f t="shared" si="142"/>
        <v>04</v>
      </c>
      <c r="B1591" t="str">
        <f t="shared" si="143"/>
        <v>001</v>
      </c>
      <c r="C1591" t="str">
        <f t="shared" si="144"/>
        <v>04</v>
      </c>
      <c r="D1591" t="str">
        <f t="shared" si="145"/>
        <v>122</v>
      </c>
      <c r="E1591" t="str">
        <f t="shared" si="146"/>
        <v>0001</v>
      </c>
      <c r="F1591" t="str">
        <f t="shared" si="147"/>
        <v>2.011</v>
      </c>
      <c r="G1591" t="str">
        <f t="shared" si="148"/>
        <v>3.3.90.93.00</v>
      </c>
      <c r="H1591" t="s">
        <v>1634</v>
      </c>
      <c r="I1591" t="str">
        <f t="shared" si="141"/>
        <v>04 - SECRETARIA DE FINANÇAS</v>
      </c>
      <c r="J1591" t="s">
        <v>20</v>
      </c>
      <c r="K1591" t="str">
        <f t="shared" si="149"/>
        <v>4-ADMINISTRAÇÃO</v>
      </c>
      <c r="L1591" t="str">
        <f t="shared" si="150"/>
        <v>122-ADMINISTRAÇÃO GERAL</v>
      </c>
      <c r="M1591" t="str">
        <f t="shared" si="151"/>
        <v>0001-Administração e Coordenação Geral​</v>
      </c>
      <c r="N1591" t="str">
        <f t="shared" si="152"/>
        <v xml:space="preserve">2.011-Manutenção de Equipamentos Públicos </v>
      </c>
      <c r="O1591" t="str">
        <f t="shared" si="153"/>
        <v>3.3.90.93.00-INDENIZAÇÕES E RESTITUIÇÕES</v>
      </c>
      <c r="R1591" s="25">
        <v>0</v>
      </c>
      <c r="S1591" t="s">
        <v>1035</v>
      </c>
    </row>
    <row r="1592" spans="1:19" x14ac:dyDescent="0.25">
      <c r="A1592" t="str">
        <f t="shared" si="142"/>
        <v>04</v>
      </c>
      <c r="B1592" t="str">
        <f t="shared" si="143"/>
        <v>001</v>
      </c>
      <c r="C1592" t="str">
        <f t="shared" si="144"/>
        <v>04</v>
      </c>
      <c r="D1592" t="str">
        <f t="shared" si="145"/>
        <v>122</v>
      </c>
      <c r="E1592" t="str">
        <f t="shared" si="146"/>
        <v>0002</v>
      </c>
      <c r="F1592" t="str">
        <f t="shared" si="147"/>
        <v>2.011</v>
      </c>
      <c r="G1592" t="str">
        <f t="shared" si="148"/>
        <v>3.3.90.33.00</v>
      </c>
      <c r="H1592" t="s">
        <v>1635</v>
      </c>
      <c r="I1592" t="str">
        <f t="shared" si="141"/>
        <v>04 - SECRETARIA DE FINANÇAS</v>
      </c>
      <c r="J1592" t="s">
        <v>20</v>
      </c>
      <c r="K1592" t="str">
        <f t="shared" si="149"/>
        <v>4-ADMINISTRAÇÃO</v>
      </c>
      <c r="L1592" t="str">
        <f t="shared" si="150"/>
        <v>122-ADMINISTRAÇÃO GERAL</v>
      </c>
      <c r="M1592" t="str">
        <f t="shared" si="151"/>
        <v>0002-Governo Inteligente, Aberto e Inovador​</v>
      </c>
      <c r="N1592" t="str">
        <f t="shared" si="152"/>
        <v xml:space="preserve">2.011-Manutenção de Equipamentos Públicos </v>
      </c>
      <c r="O1592" t="str">
        <f t="shared" si="153"/>
        <v>3.3.90.33.00-PASSAGENS E DESPESAS COM LOCOMOÇÃO</v>
      </c>
      <c r="R1592" s="25">
        <v>0</v>
      </c>
      <c r="S1592" t="s">
        <v>1035</v>
      </c>
    </row>
    <row r="1593" spans="1:19" x14ac:dyDescent="0.25">
      <c r="A1593" t="str">
        <f t="shared" si="142"/>
        <v>04</v>
      </c>
      <c r="B1593" t="str">
        <f t="shared" si="143"/>
        <v>001</v>
      </c>
      <c r="C1593" t="str">
        <f t="shared" si="144"/>
        <v>04</v>
      </c>
      <c r="D1593" t="str">
        <f t="shared" si="145"/>
        <v>122</v>
      </c>
      <c r="E1593" t="str">
        <f t="shared" si="146"/>
        <v>0001</v>
      </c>
      <c r="F1593" t="str">
        <f t="shared" si="147"/>
        <v>2.011</v>
      </c>
      <c r="G1593" t="str">
        <f t="shared" si="148"/>
        <v>4.4.90.52.00</v>
      </c>
      <c r="H1593" t="s">
        <v>1636</v>
      </c>
      <c r="I1593" t="str">
        <f t="shared" si="141"/>
        <v>04 - SECRETARIA DE FINANÇAS</v>
      </c>
      <c r="J1593" t="s">
        <v>20</v>
      </c>
      <c r="K1593" t="str">
        <f t="shared" si="149"/>
        <v>4-ADMINISTRAÇÃO</v>
      </c>
      <c r="L1593" t="str">
        <f t="shared" si="150"/>
        <v>122-ADMINISTRAÇÃO GERAL</v>
      </c>
      <c r="M1593" t="str">
        <f t="shared" si="151"/>
        <v>0001-Administração e Coordenação Geral​</v>
      </c>
      <c r="N1593" t="str">
        <f t="shared" si="152"/>
        <v xml:space="preserve">2.011-Manutenção de Equipamentos Públicos </v>
      </c>
      <c r="O1593" t="str">
        <f t="shared" si="153"/>
        <v>4.4.90.52.00-EQUIPAMENTOS E MATERIAL PERMANENTE</v>
      </c>
      <c r="R1593" s="25">
        <v>0</v>
      </c>
      <c r="S1593" t="s">
        <v>1035</v>
      </c>
    </row>
    <row r="1594" spans="1:19" x14ac:dyDescent="0.25">
      <c r="A1594" t="str">
        <f t="shared" si="142"/>
        <v>05</v>
      </c>
      <c r="B1594" t="str">
        <f t="shared" si="143"/>
        <v>001</v>
      </c>
      <c r="C1594" t="str">
        <f t="shared" si="144"/>
        <v>04</v>
      </c>
      <c r="D1594" t="str">
        <f t="shared" si="145"/>
        <v>122</v>
      </c>
      <c r="E1594" t="str">
        <f t="shared" si="146"/>
        <v>0001</v>
      </c>
      <c r="F1594" t="str">
        <f t="shared" si="147"/>
        <v>2.011</v>
      </c>
      <c r="G1594" t="str">
        <f t="shared" si="148"/>
        <v>4.4.90.52.00</v>
      </c>
      <c r="H1594" t="s">
        <v>1637</v>
      </c>
      <c r="I1594" t="str">
        <f t="shared" si="141"/>
        <v>05 - PROCURADORIA GERAL DO MUNICÍPIO</v>
      </c>
      <c r="J1594" t="s">
        <v>20</v>
      </c>
      <c r="K1594" t="str">
        <f t="shared" si="149"/>
        <v>4-ADMINISTRAÇÃO</v>
      </c>
      <c r="L1594" t="str">
        <f t="shared" si="150"/>
        <v>122-ADMINISTRAÇÃO GERAL</v>
      </c>
      <c r="M1594" t="str">
        <f t="shared" si="151"/>
        <v>0001-Administração e Coordenação Geral​</v>
      </c>
      <c r="N1594" t="str">
        <f t="shared" si="152"/>
        <v xml:space="preserve">2.011-Manutenção de Equipamentos Públicos </v>
      </c>
      <c r="O1594" t="str">
        <f t="shared" si="153"/>
        <v>4.4.90.52.00-EQUIPAMENTOS E MATERIAL PERMANENTE</v>
      </c>
      <c r="R1594" s="25">
        <v>0</v>
      </c>
      <c r="S1594" t="s">
        <v>1035</v>
      </c>
    </row>
    <row r="1595" spans="1:19" x14ac:dyDescent="0.25">
      <c r="A1595" t="str">
        <f t="shared" si="142"/>
        <v>06</v>
      </c>
      <c r="B1595" t="str">
        <f t="shared" si="143"/>
        <v>001</v>
      </c>
      <c r="C1595" t="str">
        <f t="shared" si="144"/>
        <v>04</v>
      </c>
      <c r="D1595" t="str">
        <f t="shared" si="145"/>
        <v>122</v>
      </c>
      <c r="E1595" t="str">
        <f t="shared" si="146"/>
        <v>0001</v>
      </c>
      <c r="F1595" t="str">
        <f t="shared" si="147"/>
        <v>2.011</v>
      </c>
      <c r="G1595" t="str">
        <f t="shared" si="148"/>
        <v>4.4.90.52.00</v>
      </c>
      <c r="H1595" t="s">
        <v>1638</v>
      </c>
      <c r="I1595" t="str">
        <f t="shared" si="141"/>
        <v>06 - SECRETARIA DE ADMINISTRAÇÃO</v>
      </c>
      <c r="J1595" t="s">
        <v>20</v>
      </c>
      <c r="K1595" t="str">
        <f t="shared" si="149"/>
        <v>4-ADMINISTRAÇÃO</v>
      </c>
      <c r="L1595" t="str">
        <f t="shared" si="150"/>
        <v>122-ADMINISTRAÇÃO GERAL</v>
      </c>
      <c r="M1595" t="str">
        <f t="shared" si="151"/>
        <v>0001-Administração e Coordenação Geral​</v>
      </c>
      <c r="N1595" t="str">
        <f t="shared" si="152"/>
        <v xml:space="preserve">2.011-Manutenção de Equipamentos Públicos </v>
      </c>
      <c r="O1595" t="str">
        <f t="shared" si="153"/>
        <v>4.4.90.52.00-EQUIPAMENTOS E MATERIAL PERMANENTE</v>
      </c>
      <c r="R1595" s="25">
        <v>0</v>
      </c>
      <c r="S1595" t="s">
        <v>1035</v>
      </c>
    </row>
    <row r="1596" spans="1:19" x14ac:dyDescent="0.25">
      <c r="A1596" t="str">
        <f t="shared" si="142"/>
        <v>06</v>
      </c>
      <c r="B1596" t="str">
        <f t="shared" si="143"/>
        <v>001</v>
      </c>
      <c r="C1596" t="str">
        <f t="shared" si="144"/>
        <v>04</v>
      </c>
      <c r="D1596" t="str">
        <f t="shared" si="145"/>
        <v>122</v>
      </c>
      <c r="E1596" t="str">
        <f t="shared" si="146"/>
        <v>0001</v>
      </c>
      <c r="F1596" t="str">
        <f t="shared" si="147"/>
        <v>2.011</v>
      </c>
      <c r="G1596" t="str">
        <f t="shared" si="148"/>
        <v>3.3.90.92.00</v>
      </c>
      <c r="H1596" t="s">
        <v>1639</v>
      </c>
      <c r="I1596" t="str">
        <f t="shared" si="141"/>
        <v>06 - SECRETARIA DE ADMINISTRAÇÃO</v>
      </c>
      <c r="J1596" t="s">
        <v>20</v>
      </c>
      <c r="K1596" t="str">
        <f t="shared" si="149"/>
        <v>4-ADMINISTRAÇÃO</v>
      </c>
      <c r="L1596" t="str">
        <f t="shared" si="150"/>
        <v>122-ADMINISTRAÇÃO GERAL</v>
      </c>
      <c r="M1596" t="str">
        <f t="shared" si="151"/>
        <v>0001-Administração e Coordenação Geral​</v>
      </c>
      <c r="N1596" t="str">
        <f t="shared" si="152"/>
        <v xml:space="preserve">2.011-Manutenção de Equipamentos Públicos </v>
      </c>
      <c r="O1596" t="str">
        <f t="shared" si="153"/>
        <v>3.3.90.92.00-DESPESAS DE EXERCÍCIOS ANTERIORES</v>
      </c>
      <c r="R1596" s="25">
        <v>0</v>
      </c>
      <c r="S1596" t="s">
        <v>1035</v>
      </c>
    </row>
    <row r="1597" spans="1:19" x14ac:dyDescent="0.25">
      <c r="A1597" t="str">
        <f t="shared" si="142"/>
        <v>06</v>
      </c>
      <c r="B1597" t="str">
        <f t="shared" si="143"/>
        <v>001</v>
      </c>
      <c r="C1597" t="str">
        <f t="shared" si="144"/>
        <v>04</v>
      </c>
      <c r="D1597" t="str">
        <f t="shared" si="145"/>
        <v>122</v>
      </c>
      <c r="E1597" t="str">
        <f t="shared" si="146"/>
        <v>0001</v>
      </c>
      <c r="F1597" t="str">
        <f t="shared" si="147"/>
        <v>2.011</v>
      </c>
      <c r="G1597" t="str">
        <f t="shared" si="148"/>
        <v>3.3.90.93.00</v>
      </c>
      <c r="H1597" t="s">
        <v>1640</v>
      </c>
      <c r="I1597" t="str">
        <f t="shared" si="141"/>
        <v>06 - SECRETARIA DE ADMINISTRAÇÃO</v>
      </c>
      <c r="J1597" t="s">
        <v>20</v>
      </c>
      <c r="K1597" t="str">
        <f t="shared" si="149"/>
        <v>4-ADMINISTRAÇÃO</v>
      </c>
      <c r="L1597" t="str">
        <f t="shared" si="150"/>
        <v>122-ADMINISTRAÇÃO GERAL</v>
      </c>
      <c r="M1597" t="str">
        <f t="shared" si="151"/>
        <v>0001-Administração e Coordenação Geral​</v>
      </c>
      <c r="N1597" t="str">
        <f t="shared" si="152"/>
        <v xml:space="preserve">2.011-Manutenção de Equipamentos Públicos </v>
      </c>
      <c r="O1597" t="str">
        <f t="shared" si="153"/>
        <v>3.3.90.93.00-INDENIZAÇÕES E RESTITUIÇÕES</v>
      </c>
      <c r="R1597" s="25">
        <v>0</v>
      </c>
      <c r="S1597" t="s">
        <v>1035</v>
      </c>
    </row>
    <row r="1598" spans="1:19" x14ac:dyDescent="0.25">
      <c r="A1598" t="str">
        <f t="shared" si="142"/>
        <v>06</v>
      </c>
      <c r="B1598" t="str">
        <f t="shared" si="143"/>
        <v>011</v>
      </c>
      <c r="C1598" t="str">
        <f t="shared" si="144"/>
        <v>04</v>
      </c>
      <c r="D1598" t="str">
        <f t="shared" si="145"/>
        <v>128</v>
      </c>
      <c r="E1598" t="str">
        <f t="shared" si="146"/>
        <v>0002</v>
      </c>
      <c r="F1598" t="str">
        <f t="shared" si="147"/>
        <v>2.003</v>
      </c>
      <c r="G1598" t="str">
        <f t="shared" si="148"/>
        <v>3.3.90.30.00</v>
      </c>
      <c r="H1598" t="s">
        <v>1641</v>
      </c>
      <c r="I1598" t="str">
        <f t="shared" si="141"/>
        <v>06 - SECRETARIA DE ADMINISTRAÇÃO</v>
      </c>
      <c r="J1598" t="s">
        <v>123</v>
      </c>
      <c r="K1598" t="str">
        <f t="shared" si="149"/>
        <v>4-ADMINISTRAÇÃO</v>
      </c>
      <c r="L1598" t="str">
        <f t="shared" si="150"/>
        <v>128-FORMAÇÃO DE RECURSOS HUMANOS</v>
      </c>
      <c r="M1598" t="str">
        <f t="shared" si="151"/>
        <v>0002-Governo Inteligente, Aberto e Inovador​</v>
      </c>
      <c r="N1598" t="str">
        <f t="shared" si="152"/>
        <v>2.003-Qualificação de Servidores e Processos Institucionais</v>
      </c>
      <c r="O1598" t="str">
        <f t="shared" si="153"/>
        <v>3.3.90.30.00-MATERIAL DE CONSUMO</v>
      </c>
      <c r="R1598" s="25">
        <v>0</v>
      </c>
      <c r="S1598" t="s">
        <v>1035</v>
      </c>
    </row>
    <row r="1599" spans="1:19" x14ac:dyDescent="0.25">
      <c r="A1599" t="str">
        <f t="shared" si="142"/>
        <v>06</v>
      </c>
      <c r="B1599" t="str">
        <f t="shared" si="143"/>
        <v>011</v>
      </c>
      <c r="C1599" t="str">
        <f t="shared" si="144"/>
        <v>04</v>
      </c>
      <c r="D1599" t="str">
        <f t="shared" si="145"/>
        <v>128</v>
      </c>
      <c r="E1599" t="str">
        <f t="shared" si="146"/>
        <v>0002</v>
      </c>
      <c r="F1599" t="str">
        <f t="shared" si="147"/>
        <v>2.003</v>
      </c>
      <c r="G1599" t="str">
        <f t="shared" si="148"/>
        <v>3.3.90.40.00</v>
      </c>
      <c r="H1599" t="s">
        <v>1642</v>
      </c>
      <c r="I1599" t="str">
        <f t="shared" si="141"/>
        <v>06 - SECRETARIA DE ADMINISTRAÇÃO</v>
      </c>
      <c r="J1599" t="s">
        <v>123</v>
      </c>
      <c r="K1599" t="str">
        <f t="shared" si="149"/>
        <v>4-ADMINISTRAÇÃO</v>
      </c>
      <c r="L1599" t="str">
        <f t="shared" si="150"/>
        <v>128-FORMAÇÃO DE RECURSOS HUMANOS</v>
      </c>
      <c r="M1599" t="str">
        <f t="shared" si="151"/>
        <v>0002-Governo Inteligente, Aberto e Inovador​</v>
      </c>
      <c r="N1599" t="str">
        <f t="shared" si="152"/>
        <v>2.003-Qualificação de Servidores e Processos Institucionais</v>
      </c>
      <c r="O1599" t="str">
        <f t="shared" si="153"/>
        <v>3.3.90.40.00-SERVIÇOS DE TECNOLOGIA DA INFORMAÇÃO E COMUNICAÇÃO - PESSOA JURÍDICA</v>
      </c>
      <c r="R1599" s="25">
        <v>0</v>
      </c>
      <c r="S1599" t="s">
        <v>1035</v>
      </c>
    </row>
    <row r="1600" spans="1:19" x14ac:dyDescent="0.25">
      <c r="A1600" t="str">
        <f t="shared" si="142"/>
        <v>06</v>
      </c>
      <c r="B1600" t="str">
        <f t="shared" si="143"/>
        <v>011</v>
      </c>
      <c r="C1600" t="str">
        <f t="shared" si="144"/>
        <v>04</v>
      </c>
      <c r="D1600" t="str">
        <f t="shared" si="145"/>
        <v>128</v>
      </c>
      <c r="E1600" t="str">
        <f t="shared" si="146"/>
        <v>0002</v>
      </c>
      <c r="F1600" t="str">
        <f t="shared" si="147"/>
        <v>2.003</v>
      </c>
      <c r="G1600" t="str">
        <f t="shared" si="148"/>
        <v>4.4.90.52.00</v>
      </c>
      <c r="H1600" t="s">
        <v>1643</v>
      </c>
      <c r="I1600" t="str">
        <f t="shared" si="141"/>
        <v>06 - SECRETARIA DE ADMINISTRAÇÃO</v>
      </c>
      <c r="J1600" t="s">
        <v>123</v>
      </c>
      <c r="K1600" t="str">
        <f t="shared" si="149"/>
        <v>4-ADMINISTRAÇÃO</v>
      </c>
      <c r="L1600" t="str">
        <f t="shared" si="150"/>
        <v>128-FORMAÇÃO DE RECURSOS HUMANOS</v>
      </c>
      <c r="M1600" t="str">
        <f t="shared" si="151"/>
        <v>0002-Governo Inteligente, Aberto e Inovador​</v>
      </c>
      <c r="N1600" t="str">
        <f t="shared" si="152"/>
        <v>2.003-Qualificação de Servidores e Processos Institucionais</v>
      </c>
      <c r="O1600" t="str">
        <f t="shared" si="153"/>
        <v>4.4.90.52.00-EQUIPAMENTOS E MATERIAL PERMANENTE</v>
      </c>
      <c r="R1600" s="25">
        <v>0</v>
      </c>
      <c r="S1600" t="s">
        <v>1035</v>
      </c>
    </row>
    <row r="1601" spans="1:19" x14ac:dyDescent="0.25">
      <c r="A1601" t="str">
        <f t="shared" si="142"/>
        <v>07</v>
      </c>
      <c r="B1601" t="str">
        <f t="shared" si="143"/>
        <v>001</v>
      </c>
      <c r="C1601" t="str">
        <f t="shared" si="144"/>
        <v>04</v>
      </c>
      <c r="D1601" t="str">
        <f t="shared" si="145"/>
        <v>122</v>
      </c>
      <c r="E1601" t="str">
        <f t="shared" si="146"/>
        <v>0002</v>
      </c>
      <c r="F1601" t="str">
        <f t="shared" si="147"/>
        <v>2.003</v>
      </c>
      <c r="G1601" t="str">
        <f t="shared" si="148"/>
        <v>3.3.90.36.00</v>
      </c>
      <c r="H1601" t="s">
        <v>1644</v>
      </c>
      <c r="I1601" t="str">
        <f t="shared" si="141"/>
        <v>07 - SECRETARIA DE EMPREGO, TRABALHO E RENDA</v>
      </c>
      <c r="J1601" t="s">
        <v>20</v>
      </c>
      <c r="K1601" t="str">
        <f t="shared" si="149"/>
        <v>4-ADMINISTRAÇÃO</v>
      </c>
      <c r="L1601" t="str">
        <f t="shared" si="150"/>
        <v>122-ADMINISTRAÇÃO GERAL</v>
      </c>
      <c r="M1601" t="str">
        <f t="shared" si="151"/>
        <v>0002-Governo Inteligente, Aberto e Inovador​</v>
      </c>
      <c r="N1601" t="str">
        <f t="shared" si="152"/>
        <v>2.003-Qualificação de Servidores e Processos Institucionais</v>
      </c>
      <c r="O1601" t="str">
        <f t="shared" si="153"/>
        <v>3.3.90.36.00-OUTROS SERVIÇOS DE TERCEIROS - PESSOA FÍSICA</v>
      </c>
      <c r="R1601" s="25">
        <v>0</v>
      </c>
      <c r="S1601" t="s">
        <v>1035</v>
      </c>
    </row>
    <row r="1602" spans="1:19" x14ac:dyDescent="0.25">
      <c r="A1602" t="str">
        <f t="shared" si="142"/>
        <v>07</v>
      </c>
      <c r="B1602" t="str">
        <f t="shared" si="143"/>
        <v>001</v>
      </c>
      <c r="C1602" t="str">
        <f t="shared" si="144"/>
        <v>04</v>
      </c>
      <c r="D1602" t="str">
        <f t="shared" si="145"/>
        <v>122</v>
      </c>
      <c r="E1602" t="str">
        <f t="shared" si="146"/>
        <v>0002</v>
      </c>
      <c r="F1602" t="str">
        <f t="shared" si="147"/>
        <v>2.003</v>
      </c>
      <c r="G1602" t="str">
        <f t="shared" si="148"/>
        <v>3.3.90.39.00</v>
      </c>
      <c r="H1602" t="s">
        <v>1645</v>
      </c>
      <c r="I1602" t="str">
        <f t="shared" si="141"/>
        <v>07 - SECRETARIA DE EMPREGO, TRABALHO E RENDA</v>
      </c>
      <c r="J1602" t="s">
        <v>20</v>
      </c>
      <c r="K1602" t="str">
        <f t="shared" si="149"/>
        <v>4-ADMINISTRAÇÃO</v>
      </c>
      <c r="L1602" t="str">
        <f t="shared" si="150"/>
        <v>122-ADMINISTRAÇÃO GERAL</v>
      </c>
      <c r="M1602" t="str">
        <f t="shared" si="151"/>
        <v>0002-Governo Inteligente, Aberto e Inovador​</v>
      </c>
      <c r="N1602" t="str">
        <f t="shared" si="152"/>
        <v>2.003-Qualificação de Servidores e Processos Institucionais</v>
      </c>
      <c r="O1602" t="str">
        <f t="shared" si="153"/>
        <v>3.3.90.39.00-OUTROS SERVIÇOS DE TERCEIROS - PESSOA JURÍDICA</v>
      </c>
      <c r="R1602" s="25">
        <v>0</v>
      </c>
      <c r="S1602" t="s">
        <v>1035</v>
      </c>
    </row>
    <row r="1603" spans="1:19" x14ac:dyDescent="0.25">
      <c r="A1603" t="str">
        <f t="shared" si="142"/>
        <v>07</v>
      </c>
      <c r="B1603" t="str">
        <f t="shared" si="143"/>
        <v>001</v>
      </c>
      <c r="C1603" t="str">
        <f t="shared" si="144"/>
        <v>04</v>
      </c>
      <c r="D1603" t="str">
        <f t="shared" si="145"/>
        <v>122</v>
      </c>
      <c r="E1603" t="str">
        <f t="shared" si="146"/>
        <v>0002</v>
      </c>
      <c r="F1603" t="str">
        <f t="shared" si="147"/>
        <v>2.005</v>
      </c>
      <c r="G1603" t="str">
        <f t="shared" si="148"/>
        <v>3.3.90.30.00</v>
      </c>
      <c r="H1603" t="s">
        <v>1646</v>
      </c>
      <c r="I1603" t="str">
        <f t="shared" si="141"/>
        <v>07 - SECRETARIA DE EMPREGO, TRABALHO E RENDA</v>
      </c>
      <c r="J1603" t="s">
        <v>20</v>
      </c>
      <c r="K1603" t="str">
        <f t="shared" si="149"/>
        <v>4-ADMINISTRAÇÃO</v>
      </c>
      <c r="L1603" t="str">
        <f t="shared" si="150"/>
        <v>122-ADMINISTRAÇÃO GERAL</v>
      </c>
      <c r="M1603" t="str">
        <f t="shared" si="151"/>
        <v>0002-Governo Inteligente, Aberto e Inovador​</v>
      </c>
      <c r="N1603" t="str">
        <f t="shared" si="152"/>
        <v xml:space="preserve">2.005-Promoção de Eventos, Comunicação e Participação Social </v>
      </c>
      <c r="O1603" t="str">
        <f t="shared" si="153"/>
        <v>3.3.90.30.00-MATERIAL DE CONSUMO</v>
      </c>
      <c r="R1603" s="25">
        <v>0</v>
      </c>
      <c r="S1603" t="s">
        <v>1035</v>
      </c>
    </row>
    <row r="1604" spans="1:19" x14ac:dyDescent="0.25">
      <c r="A1604" t="str">
        <f t="shared" si="142"/>
        <v>07</v>
      </c>
      <c r="B1604" t="str">
        <f t="shared" si="143"/>
        <v>001</v>
      </c>
      <c r="C1604" t="str">
        <f t="shared" si="144"/>
        <v>04</v>
      </c>
      <c r="D1604" t="str">
        <f t="shared" si="145"/>
        <v>122</v>
      </c>
      <c r="E1604" t="str">
        <f t="shared" si="146"/>
        <v>0002</v>
      </c>
      <c r="F1604" t="str">
        <f t="shared" si="147"/>
        <v>2.005</v>
      </c>
      <c r="G1604" t="str">
        <f t="shared" si="148"/>
        <v>3.3.90.39.00</v>
      </c>
      <c r="H1604" t="s">
        <v>1647</v>
      </c>
      <c r="I1604" t="str">
        <f t="shared" si="141"/>
        <v>07 - SECRETARIA DE EMPREGO, TRABALHO E RENDA</v>
      </c>
      <c r="J1604" t="s">
        <v>20</v>
      </c>
      <c r="K1604" t="str">
        <f t="shared" si="149"/>
        <v>4-ADMINISTRAÇÃO</v>
      </c>
      <c r="L1604" t="str">
        <f t="shared" si="150"/>
        <v>122-ADMINISTRAÇÃO GERAL</v>
      </c>
      <c r="M1604" t="str">
        <f t="shared" si="151"/>
        <v>0002-Governo Inteligente, Aberto e Inovador​</v>
      </c>
      <c r="N1604" t="str">
        <f t="shared" si="152"/>
        <v xml:space="preserve">2.005-Promoção de Eventos, Comunicação e Participação Social </v>
      </c>
      <c r="O1604" t="str">
        <f t="shared" si="153"/>
        <v>3.3.90.39.00-OUTROS SERVIÇOS DE TERCEIROS - PESSOA JURÍDICA</v>
      </c>
      <c r="R1604" s="25">
        <v>0</v>
      </c>
      <c r="S1604" t="s">
        <v>1035</v>
      </c>
    </row>
    <row r="1605" spans="1:19" x14ac:dyDescent="0.25">
      <c r="A1605" t="str">
        <f t="shared" si="142"/>
        <v>07</v>
      </c>
      <c r="B1605" t="str">
        <f t="shared" si="143"/>
        <v>001</v>
      </c>
      <c r="C1605" t="str">
        <f t="shared" si="144"/>
        <v>11</v>
      </c>
      <c r="D1605" t="str">
        <f t="shared" si="145"/>
        <v>334</v>
      </c>
      <c r="E1605" t="str">
        <f t="shared" si="146"/>
        <v>0017</v>
      </c>
      <c r="F1605" t="str">
        <f t="shared" si="147"/>
        <v>2.011</v>
      </c>
      <c r="G1605" t="str">
        <f t="shared" si="148"/>
        <v>3.3.90.30.00</v>
      </c>
      <c r="H1605" t="s">
        <v>1648</v>
      </c>
      <c r="I1605" t="str">
        <f t="shared" si="141"/>
        <v>07 - SECRETARIA DE EMPREGO, TRABALHO E RENDA</v>
      </c>
      <c r="J1605" t="s">
        <v>20</v>
      </c>
      <c r="K1605" t="str">
        <f t="shared" si="149"/>
        <v>11-TRABALHO</v>
      </c>
      <c r="L1605" t="str">
        <f t="shared" si="150"/>
        <v>334-FOMENTO AO TRABALHO</v>
      </c>
      <c r="M1605" t="str">
        <f t="shared" si="151"/>
        <v>0017-Trabalho, Emprego e Renda​</v>
      </c>
      <c r="N1605" t="str">
        <f t="shared" si="152"/>
        <v xml:space="preserve">2.011-Manutenção de Equipamentos Públicos </v>
      </c>
      <c r="O1605" t="str">
        <f t="shared" si="153"/>
        <v>3.3.90.30.00-MATERIAL DE CONSUMO</v>
      </c>
      <c r="R1605" s="25">
        <v>0</v>
      </c>
      <c r="S1605" t="s">
        <v>1035</v>
      </c>
    </row>
    <row r="1606" spans="1:19" x14ac:dyDescent="0.25">
      <c r="A1606" t="str">
        <f t="shared" si="142"/>
        <v>07</v>
      </c>
      <c r="B1606" t="str">
        <f t="shared" si="143"/>
        <v>001</v>
      </c>
      <c r="C1606" t="str">
        <f t="shared" si="144"/>
        <v>11</v>
      </c>
      <c r="D1606" t="str">
        <f t="shared" si="145"/>
        <v>334</v>
      </c>
      <c r="E1606" t="str">
        <f t="shared" si="146"/>
        <v>0017</v>
      </c>
      <c r="F1606" t="str">
        <f t="shared" si="147"/>
        <v>2.011</v>
      </c>
      <c r="G1606" t="str">
        <f t="shared" si="148"/>
        <v>3.3.90.39.00</v>
      </c>
      <c r="H1606" t="s">
        <v>1649</v>
      </c>
      <c r="I1606" t="str">
        <f t="shared" si="141"/>
        <v>07 - SECRETARIA DE EMPREGO, TRABALHO E RENDA</v>
      </c>
      <c r="J1606" t="s">
        <v>20</v>
      </c>
      <c r="K1606" t="str">
        <f t="shared" si="149"/>
        <v>11-TRABALHO</v>
      </c>
      <c r="L1606" t="str">
        <f t="shared" si="150"/>
        <v>334-FOMENTO AO TRABALHO</v>
      </c>
      <c r="M1606" t="str">
        <f t="shared" si="151"/>
        <v>0017-Trabalho, Emprego e Renda​</v>
      </c>
      <c r="N1606" t="str">
        <f t="shared" si="152"/>
        <v xml:space="preserve">2.011-Manutenção de Equipamentos Públicos </v>
      </c>
      <c r="O1606" t="str">
        <f t="shared" si="153"/>
        <v>3.3.90.39.00-OUTROS SERVIÇOS DE TERCEIROS - PESSOA JURÍDICA</v>
      </c>
      <c r="R1606" s="25">
        <v>0</v>
      </c>
      <c r="S1606" t="s">
        <v>1035</v>
      </c>
    </row>
    <row r="1607" spans="1:19" x14ac:dyDescent="0.25">
      <c r="A1607" t="str">
        <f t="shared" si="142"/>
        <v>07</v>
      </c>
      <c r="B1607" t="str">
        <f t="shared" si="143"/>
        <v>001</v>
      </c>
      <c r="C1607" t="str">
        <f t="shared" si="144"/>
        <v>11</v>
      </c>
      <c r="D1607" t="str">
        <f t="shared" si="145"/>
        <v>334</v>
      </c>
      <c r="E1607" t="str">
        <f t="shared" si="146"/>
        <v>0017</v>
      </c>
      <c r="F1607" t="str">
        <f t="shared" si="147"/>
        <v>2.011</v>
      </c>
      <c r="G1607" t="str">
        <f t="shared" si="148"/>
        <v>4.4.90.52.00</v>
      </c>
      <c r="H1607" t="s">
        <v>1650</v>
      </c>
      <c r="I1607" t="str">
        <f t="shared" si="141"/>
        <v>07 - SECRETARIA DE EMPREGO, TRABALHO E RENDA</v>
      </c>
      <c r="J1607" t="s">
        <v>20</v>
      </c>
      <c r="K1607" t="str">
        <f t="shared" si="149"/>
        <v>11-TRABALHO</v>
      </c>
      <c r="L1607" t="str">
        <f t="shared" si="150"/>
        <v>334-FOMENTO AO TRABALHO</v>
      </c>
      <c r="M1607" t="str">
        <f t="shared" si="151"/>
        <v>0017-Trabalho, Emprego e Renda​</v>
      </c>
      <c r="N1607" t="str">
        <f t="shared" si="152"/>
        <v xml:space="preserve">2.011-Manutenção de Equipamentos Públicos </v>
      </c>
      <c r="O1607" t="str">
        <f t="shared" si="153"/>
        <v>4.4.90.52.00-EQUIPAMENTOS E MATERIAL PERMANENTE</v>
      </c>
      <c r="R1607" s="25">
        <v>0</v>
      </c>
      <c r="S1607" t="s">
        <v>1035</v>
      </c>
    </row>
    <row r="1608" spans="1:19" x14ac:dyDescent="0.25">
      <c r="A1608" t="str">
        <f t="shared" si="142"/>
        <v>07</v>
      </c>
      <c r="B1608" t="str">
        <f t="shared" si="143"/>
        <v>001</v>
      </c>
      <c r="C1608" t="str">
        <f t="shared" si="144"/>
        <v>11</v>
      </c>
      <c r="D1608" t="str">
        <f t="shared" si="145"/>
        <v>333</v>
      </c>
      <c r="E1608" t="str">
        <f t="shared" si="146"/>
        <v>0017</v>
      </c>
      <c r="F1608" t="str">
        <f t="shared" si="147"/>
        <v>2.027</v>
      </c>
      <c r="G1608" t="str">
        <f t="shared" si="148"/>
        <v>3.3.90.30.00</v>
      </c>
      <c r="H1608" t="s">
        <v>1651</v>
      </c>
      <c r="I1608" t="str">
        <f t="shared" si="141"/>
        <v>07 - SECRETARIA DE EMPREGO, TRABALHO E RENDA</v>
      </c>
      <c r="J1608" t="s">
        <v>20</v>
      </c>
      <c r="K1608" t="str">
        <f t="shared" si="149"/>
        <v>11-TRABALHO</v>
      </c>
      <c r="L1608" t="str">
        <f t="shared" si="150"/>
        <v>333-EMPREGABILIDADE</v>
      </c>
      <c r="M1608" t="str">
        <f t="shared" si="151"/>
        <v>0017-Trabalho, Emprego e Renda​</v>
      </c>
      <c r="N1608" t="str">
        <f t="shared" si="152"/>
        <v xml:space="preserve">2.027-Intermediação Profissional </v>
      </c>
      <c r="O1608" t="str">
        <f t="shared" si="153"/>
        <v>3.3.90.30.00-MATERIAL DE CONSUMO</v>
      </c>
      <c r="R1608" s="25">
        <v>0</v>
      </c>
      <c r="S1608" t="s">
        <v>1035</v>
      </c>
    </row>
    <row r="1609" spans="1:19" x14ac:dyDescent="0.25">
      <c r="A1609" t="str">
        <f t="shared" si="142"/>
        <v>07</v>
      </c>
      <c r="B1609" t="str">
        <f t="shared" si="143"/>
        <v>001</v>
      </c>
      <c r="C1609" t="str">
        <f t="shared" si="144"/>
        <v>11</v>
      </c>
      <c r="D1609" t="str">
        <f t="shared" si="145"/>
        <v>333</v>
      </c>
      <c r="E1609" t="str">
        <f t="shared" si="146"/>
        <v>0017</v>
      </c>
      <c r="F1609" t="str">
        <f t="shared" si="147"/>
        <v>2.027</v>
      </c>
      <c r="G1609" t="str">
        <f t="shared" si="148"/>
        <v>4.4.90.52.00</v>
      </c>
      <c r="H1609" t="s">
        <v>1652</v>
      </c>
      <c r="I1609" t="str">
        <f t="shared" si="141"/>
        <v>07 - SECRETARIA DE EMPREGO, TRABALHO E RENDA</v>
      </c>
      <c r="J1609" t="s">
        <v>20</v>
      </c>
      <c r="K1609" t="str">
        <f t="shared" si="149"/>
        <v>11-TRABALHO</v>
      </c>
      <c r="L1609" t="str">
        <f t="shared" si="150"/>
        <v>333-EMPREGABILIDADE</v>
      </c>
      <c r="M1609" t="str">
        <f t="shared" si="151"/>
        <v>0017-Trabalho, Emprego e Renda​</v>
      </c>
      <c r="N1609" t="str">
        <f t="shared" si="152"/>
        <v xml:space="preserve">2.027-Intermediação Profissional </v>
      </c>
      <c r="O1609" t="str">
        <f t="shared" si="153"/>
        <v>4.4.90.52.00-EQUIPAMENTOS E MATERIAL PERMANENTE</v>
      </c>
      <c r="R1609" s="25">
        <v>0</v>
      </c>
      <c r="S1609" t="s">
        <v>1035</v>
      </c>
    </row>
    <row r="1610" spans="1:19" x14ac:dyDescent="0.25">
      <c r="A1610" t="str">
        <f t="shared" si="142"/>
        <v>07</v>
      </c>
      <c r="B1610" t="str">
        <f t="shared" si="143"/>
        <v>001</v>
      </c>
      <c r="C1610" t="str">
        <f t="shared" si="144"/>
        <v>11</v>
      </c>
      <c r="D1610" t="str">
        <f t="shared" si="145"/>
        <v>333</v>
      </c>
      <c r="E1610" t="str">
        <f t="shared" si="146"/>
        <v>0017</v>
      </c>
      <c r="F1610" t="str">
        <f t="shared" si="147"/>
        <v>2.004</v>
      </c>
      <c r="G1610" t="str">
        <f t="shared" si="148"/>
        <v>3.3.50.39.00</v>
      </c>
      <c r="H1610" t="s">
        <v>1653</v>
      </c>
      <c r="I1610" t="str">
        <f t="shared" si="141"/>
        <v>07 - SECRETARIA DE EMPREGO, TRABALHO E RENDA</v>
      </c>
      <c r="J1610" t="s">
        <v>20</v>
      </c>
      <c r="K1610" t="str">
        <f t="shared" si="149"/>
        <v>11-TRABALHO</v>
      </c>
      <c r="L1610" t="str">
        <f t="shared" si="150"/>
        <v>333-EMPREGABILIDADE</v>
      </c>
      <c r="M1610" t="str">
        <f t="shared" si="151"/>
        <v>0017-Trabalho, Emprego e Renda​</v>
      </c>
      <c r="N1610" t="str">
        <f t="shared" si="152"/>
        <v xml:space="preserve">2.004-Qualificação Socioprofissional </v>
      </c>
      <c r="O1610" t="str">
        <f t="shared" si="153"/>
        <v>3.3.50.39.00-OUTROS SERVIÇOS DE TERCEIROS - PESSOA JURÍDICA</v>
      </c>
      <c r="R1610" s="25">
        <v>0</v>
      </c>
      <c r="S1610" t="s">
        <v>1035</v>
      </c>
    </row>
    <row r="1611" spans="1:19" x14ac:dyDescent="0.25">
      <c r="A1611" t="str">
        <f t="shared" si="142"/>
        <v>07</v>
      </c>
      <c r="B1611" t="str">
        <f t="shared" si="143"/>
        <v>001</v>
      </c>
      <c r="C1611" t="str">
        <f t="shared" si="144"/>
        <v>11</v>
      </c>
      <c r="D1611" t="str">
        <f t="shared" si="145"/>
        <v>333</v>
      </c>
      <c r="E1611" t="str">
        <f t="shared" si="146"/>
        <v>0017</v>
      </c>
      <c r="F1611" t="str">
        <f t="shared" si="147"/>
        <v>2.004</v>
      </c>
      <c r="G1611" t="str">
        <f t="shared" si="148"/>
        <v>3.3.90.30.00</v>
      </c>
      <c r="H1611" t="s">
        <v>1654</v>
      </c>
      <c r="I1611" t="str">
        <f t="shared" si="141"/>
        <v>07 - SECRETARIA DE EMPREGO, TRABALHO E RENDA</v>
      </c>
      <c r="J1611" t="s">
        <v>20</v>
      </c>
      <c r="K1611" t="str">
        <f t="shared" si="149"/>
        <v>11-TRABALHO</v>
      </c>
      <c r="L1611" t="str">
        <f t="shared" si="150"/>
        <v>333-EMPREGABILIDADE</v>
      </c>
      <c r="M1611" t="str">
        <f t="shared" si="151"/>
        <v>0017-Trabalho, Emprego e Renda​</v>
      </c>
      <c r="N1611" t="str">
        <f t="shared" si="152"/>
        <v xml:space="preserve">2.004-Qualificação Socioprofissional </v>
      </c>
      <c r="O1611" t="str">
        <f t="shared" si="153"/>
        <v>3.3.90.30.00-MATERIAL DE CONSUMO</v>
      </c>
      <c r="R1611" s="25">
        <v>0</v>
      </c>
      <c r="S1611" t="s">
        <v>1035</v>
      </c>
    </row>
    <row r="1612" spans="1:19" x14ac:dyDescent="0.25">
      <c r="A1612" t="str">
        <f t="shared" si="142"/>
        <v>07</v>
      </c>
      <c r="B1612" t="str">
        <f t="shared" si="143"/>
        <v>001</v>
      </c>
      <c r="C1612" t="str">
        <f t="shared" si="144"/>
        <v>11</v>
      </c>
      <c r="D1612" t="str">
        <f t="shared" si="145"/>
        <v>333</v>
      </c>
      <c r="E1612" t="str">
        <f t="shared" si="146"/>
        <v>0017</v>
      </c>
      <c r="F1612" t="str">
        <f t="shared" si="147"/>
        <v>2.004</v>
      </c>
      <c r="G1612" t="str">
        <f t="shared" si="148"/>
        <v>3.3.90.39.00</v>
      </c>
      <c r="H1612" t="s">
        <v>1655</v>
      </c>
      <c r="I1612" t="str">
        <f t="shared" si="141"/>
        <v>07 - SECRETARIA DE EMPREGO, TRABALHO E RENDA</v>
      </c>
      <c r="J1612" t="s">
        <v>20</v>
      </c>
      <c r="K1612" t="str">
        <f t="shared" si="149"/>
        <v>11-TRABALHO</v>
      </c>
      <c r="L1612" t="str">
        <f t="shared" si="150"/>
        <v>333-EMPREGABILIDADE</v>
      </c>
      <c r="M1612" t="str">
        <f t="shared" si="151"/>
        <v>0017-Trabalho, Emprego e Renda​</v>
      </c>
      <c r="N1612" t="str">
        <f t="shared" si="152"/>
        <v xml:space="preserve">2.004-Qualificação Socioprofissional </v>
      </c>
      <c r="O1612" t="str">
        <f t="shared" si="153"/>
        <v>3.3.90.39.00-OUTROS SERVIÇOS DE TERCEIROS - PESSOA JURÍDICA</v>
      </c>
      <c r="R1612" s="25">
        <v>0</v>
      </c>
      <c r="S1612" t="s">
        <v>1035</v>
      </c>
    </row>
    <row r="1613" spans="1:19" x14ac:dyDescent="0.25">
      <c r="A1613" t="str">
        <f t="shared" si="142"/>
        <v>07</v>
      </c>
      <c r="B1613" t="str">
        <f t="shared" si="143"/>
        <v>001</v>
      </c>
      <c r="C1613" t="str">
        <f t="shared" si="144"/>
        <v>11</v>
      </c>
      <c r="D1613" t="str">
        <f t="shared" si="145"/>
        <v>334</v>
      </c>
      <c r="E1613" t="str">
        <f t="shared" si="146"/>
        <v>0017</v>
      </c>
      <c r="F1613" t="str">
        <f t="shared" si="147"/>
        <v>2.027</v>
      </c>
      <c r="G1613" t="str">
        <f t="shared" si="148"/>
        <v>3.3.90.30.00</v>
      </c>
      <c r="H1613" t="s">
        <v>1656</v>
      </c>
      <c r="I1613" t="str">
        <f t="shared" si="141"/>
        <v>07 - SECRETARIA DE EMPREGO, TRABALHO E RENDA</v>
      </c>
      <c r="J1613" t="s">
        <v>20</v>
      </c>
      <c r="K1613" t="str">
        <f t="shared" si="149"/>
        <v>11-TRABALHO</v>
      </c>
      <c r="L1613" t="str">
        <f t="shared" si="150"/>
        <v>334-FOMENTO AO TRABALHO</v>
      </c>
      <c r="M1613" t="str">
        <f t="shared" si="151"/>
        <v>0017-Trabalho, Emprego e Renda​</v>
      </c>
      <c r="N1613" t="str">
        <f t="shared" si="152"/>
        <v xml:space="preserve">2.027-Intermediação Profissional </v>
      </c>
      <c r="O1613" t="str">
        <f t="shared" si="153"/>
        <v>3.3.90.30.00-MATERIAL DE CONSUMO</v>
      </c>
      <c r="R1613" s="25">
        <v>0</v>
      </c>
      <c r="S1613" t="s">
        <v>1035</v>
      </c>
    </row>
    <row r="1614" spans="1:19" x14ac:dyDescent="0.25">
      <c r="A1614" t="str">
        <f t="shared" si="142"/>
        <v>07</v>
      </c>
      <c r="B1614" t="str">
        <f t="shared" si="143"/>
        <v>001</v>
      </c>
      <c r="C1614" t="str">
        <f t="shared" si="144"/>
        <v>11</v>
      </c>
      <c r="D1614" t="str">
        <f t="shared" si="145"/>
        <v>334</v>
      </c>
      <c r="E1614" t="str">
        <f t="shared" si="146"/>
        <v>0017</v>
      </c>
      <c r="F1614" t="str">
        <f t="shared" si="147"/>
        <v>2.027</v>
      </c>
      <c r="G1614" t="str">
        <f t="shared" si="148"/>
        <v>3.3.90.39.00</v>
      </c>
      <c r="H1614" t="s">
        <v>1657</v>
      </c>
      <c r="I1614" t="str">
        <f t="shared" si="141"/>
        <v>07 - SECRETARIA DE EMPREGO, TRABALHO E RENDA</v>
      </c>
      <c r="J1614" t="s">
        <v>20</v>
      </c>
      <c r="K1614" t="str">
        <f t="shared" si="149"/>
        <v>11-TRABALHO</v>
      </c>
      <c r="L1614" t="str">
        <f t="shared" si="150"/>
        <v>334-FOMENTO AO TRABALHO</v>
      </c>
      <c r="M1614" t="str">
        <f t="shared" si="151"/>
        <v>0017-Trabalho, Emprego e Renda​</v>
      </c>
      <c r="N1614" t="str">
        <f t="shared" si="152"/>
        <v xml:space="preserve">2.027-Intermediação Profissional </v>
      </c>
      <c r="O1614" t="str">
        <f t="shared" si="153"/>
        <v>3.3.90.39.00-OUTROS SERVIÇOS DE TERCEIROS - PESSOA JURÍDICA</v>
      </c>
      <c r="R1614" s="25">
        <v>0</v>
      </c>
      <c r="S1614" t="s">
        <v>1035</v>
      </c>
    </row>
    <row r="1615" spans="1:19" x14ac:dyDescent="0.25">
      <c r="A1615" t="str">
        <f t="shared" si="142"/>
        <v>07</v>
      </c>
      <c r="B1615" t="str">
        <f t="shared" si="143"/>
        <v>001</v>
      </c>
      <c r="C1615" t="str">
        <f t="shared" si="144"/>
        <v>11</v>
      </c>
      <c r="D1615" t="str">
        <f t="shared" si="145"/>
        <v>334</v>
      </c>
      <c r="E1615" t="str">
        <f t="shared" si="146"/>
        <v>0017</v>
      </c>
      <c r="F1615" t="str">
        <f t="shared" si="147"/>
        <v>2.027</v>
      </c>
      <c r="G1615" t="str">
        <f t="shared" si="148"/>
        <v>4.4.90.52.00</v>
      </c>
      <c r="H1615" t="s">
        <v>1658</v>
      </c>
      <c r="I1615" t="str">
        <f t="shared" si="141"/>
        <v>07 - SECRETARIA DE EMPREGO, TRABALHO E RENDA</v>
      </c>
      <c r="J1615" t="s">
        <v>20</v>
      </c>
      <c r="K1615" t="str">
        <f t="shared" si="149"/>
        <v>11-TRABALHO</v>
      </c>
      <c r="L1615" t="str">
        <f t="shared" si="150"/>
        <v>334-FOMENTO AO TRABALHO</v>
      </c>
      <c r="M1615" t="str">
        <f t="shared" si="151"/>
        <v>0017-Trabalho, Emprego e Renda​</v>
      </c>
      <c r="N1615" t="str">
        <f t="shared" si="152"/>
        <v xml:space="preserve">2.027-Intermediação Profissional </v>
      </c>
      <c r="O1615" t="str">
        <f t="shared" si="153"/>
        <v>4.4.90.52.00-EQUIPAMENTOS E MATERIAL PERMANENTE</v>
      </c>
      <c r="R1615" s="25">
        <v>0</v>
      </c>
      <c r="S1615" t="s">
        <v>1035</v>
      </c>
    </row>
    <row r="1616" spans="1:19" x14ac:dyDescent="0.25">
      <c r="A1616" t="str">
        <f t="shared" si="142"/>
        <v>07</v>
      </c>
      <c r="B1616" t="str">
        <f t="shared" si="143"/>
        <v>001</v>
      </c>
      <c r="C1616" t="str">
        <f t="shared" si="144"/>
        <v>11</v>
      </c>
      <c r="D1616" t="str">
        <f t="shared" si="145"/>
        <v>334</v>
      </c>
      <c r="E1616" t="str">
        <f t="shared" si="146"/>
        <v>0017</v>
      </c>
      <c r="F1616" t="str">
        <f t="shared" si="147"/>
        <v>2.025</v>
      </c>
      <c r="G1616" t="str">
        <f t="shared" si="148"/>
        <v>3.3.90.30.00</v>
      </c>
      <c r="H1616" t="s">
        <v>1659</v>
      </c>
      <c r="I1616" t="str">
        <f t="shared" si="141"/>
        <v>07 - SECRETARIA DE EMPREGO, TRABALHO E RENDA</v>
      </c>
      <c r="J1616" t="s">
        <v>20</v>
      </c>
      <c r="K1616" t="str">
        <f t="shared" si="149"/>
        <v>11-TRABALHO</v>
      </c>
      <c r="L1616" t="str">
        <f t="shared" si="150"/>
        <v>334-FOMENTO AO TRABALHO</v>
      </c>
      <c r="M1616" t="str">
        <f t="shared" si="151"/>
        <v>0017-Trabalho, Emprego e Renda​</v>
      </c>
      <c r="N1616" t="str">
        <f t="shared" si="152"/>
        <v xml:space="preserve">2.025-Auxílio para Inclusão no Mercado de Trabalho </v>
      </c>
      <c r="O1616" t="str">
        <f t="shared" si="153"/>
        <v>3.3.90.30.00-MATERIAL DE CONSUMO</v>
      </c>
      <c r="R1616" s="25">
        <v>0</v>
      </c>
      <c r="S1616" t="s">
        <v>1035</v>
      </c>
    </row>
    <row r="1617" spans="1:19" x14ac:dyDescent="0.25">
      <c r="A1617" t="str">
        <f t="shared" si="142"/>
        <v>07</v>
      </c>
      <c r="B1617" t="str">
        <f t="shared" si="143"/>
        <v>001</v>
      </c>
      <c r="C1617" t="str">
        <f t="shared" si="144"/>
        <v>11</v>
      </c>
      <c r="D1617" t="str">
        <f t="shared" si="145"/>
        <v>334</v>
      </c>
      <c r="E1617" t="str">
        <f t="shared" si="146"/>
        <v>0017</v>
      </c>
      <c r="F1617" t="str">
        <f t="shared" si="147"/>
        <v>2.025</v>
      </c>
      <c r="G1617" t="str">
        <f t="shared" si="148"/>
        <v>3.3.90.39.00</v>
      </c>
      <c r="H1617" t="s">
        <v>1660</v>
      </c>
      <c r="I1617" t="str">
        <f t="shared" si="141"/>
        <v>07 - SECRETARIA DE EMPREGO, TRABALHO E RENDA</v>
      </c>
      <c r="J1617" t="s">
        <v>20</v>
      </c>
      <c r="K1617" t="str">
        <f t="shared" si="149"/>
        <v>11-TRABALHO</v>
      </c>
      <c r="L1617" t="str">
        <f t="shared" si="150"/>
        <v>334-FOMENTO AO TRABALHO</v>
      </c>
      <c r="M1617" t="str">
        <f t="shared" si="151"/>
        <v>0017-Trabalho, Emprego e Renda​</v>
      </c>
      <c r="N1617" t="str">
        <f t="shared" si="152"/>
        <v xml:space="preserve">2.025-Auxílio para Inclusão no Mercado de Trabalho </v>
      </c>
      <c r="O1617" t="str">
        <f t="shared" si="153"/>
        <v>3.3.90.39.00-OUTROS SERVIÇOS DE TERCEIROS - PESSOA JURÍDICA</v>
      </c>
      <c r="R1617" s="25">
        <v>0</v>
      </c>
      <c r="S1617" t="s">
        <v>1035</v>
      </c>
    </row>
    <row r="1618" spans="1:19" x14ac:dyDescent="0.25">
      <c r="A1618" t="str">
        <f t="shared" si="142"/>
        <v>08</v>
      </c>
      <c r="B1618" t="str">
        <f t="shared" si="143"/>
        <v>001</v>
      </c>
      <c r="C1618" t="str">
        <f t="shared" si="144"/>
        <v>12</v>
      </c>
      <c r="D1618" t="str">
        <f t="shared" si="145"/>
        <v>122</v>
      </c>
      <c r="E1618" t="str">
        <f t="shared" si="146"/>
        <v>0002</v>
      </c>
      <c r="F1618" t="str">
        <f t="shared" si="147"/>
        <v>2.005</v>
      </c>
      <c r="G1618" t="str">
        <f t="shared" si="148"/>
        <v>3.3.90.30.00</v>
      </c>
      <c r="H1618" t="s">
        <v>1661</v>
      </c>
      <c r="I1618" t="str">
        <f t="shared" si="141"/>
        <v>08 - SECRETARIA DE EDUCAÇÃO</v>
      </c>
      <c r="J1618" t="s">
        <v>20</v>
      </c>
      <c r="K1618" t="str">
        <f t="shared" si="149"/>
        <v>12-EDUCAÇÃO</v>
      </c>
      <c r="L1618" t="str">
        <f t="shared" si="150"/>
        <v>122-ADMINISTRAÇÃO GERAL</v>
      </c>
      <c r="M1618" t="str">
        <f t="shared" si="151"/>
        <v>0002-Governo Inteligente, Aberto e Inovador​</v>
      </c>
      <c r="N1618" t="str">
        <f t="shared" si="152"/>
        <v xml:space="preserve">2.005-Promoção de Eventos, Comunicação e Participação Social </v>
      </c>
      <c r="O1618" t="str">
        <f t="shared" si="153"/>
        <v>3.3.90.30.00-MATERIAL DE CONSUMO</v>
      </c>
      <c r="R1618" s="25">
        <v>0</v>
      </c>
      <c r="S1618" t="s">
        <v>1035</v>
      </c>
    </row>
    <row r="1619" spans="1:19" x14ac:dyDescent="0.25">
      <c r="A1619" t="str">
        <f t="shared" si="142"/>
        <v>08</v>
      </c>
      <c r="B1619" t="str">
        <f t="shared" si="143"/>
        <v>001</v>
      </c>
      <c r="C1619" t="str">
        <f t="shared" si="144"/>
        <v>12</v>
      </c>
      <c r="D1619" t="str">
        <f t="shared" si="145"/>
        <v>122</v>
      </c>
      <c r="E1619" t="str">
        <f t="shared" si="146"/>
        <v>0002</v>
      </c>
      <c r="F1619" t="str">
        <f t="shared" si="147"/>
        <v>2.005</v>
      </c>
      <c r="G1619" t="str">
        <f t="shared" si="148"/>
        <v>3.3.90.39.00</v>
      </c>
      <c r="H1619" t="s">
        <v>1662</v>
      </c>
      <c r="I1619" t="str">
        <f t="shared" si="141"/>
        <v>08 - SECRETARIA DE EDUCAÇÃO</v>
      </c>
      <c r="J1619" t="s">
        <v>20</v>
      </c>
      <c r="K1619" t="str">
        <f t="shared" si="149"/>
        <v>12-EDUCAÇÃO</v>
      </c>
      <c r="L1619" t="str">
        <f t="shared" si="150"/>
        <v>122-ADMINISTRAÇÃO GERAL</v>
      </c>
      <c r="M1619" t="str">
        <f t="shared" si="151"/>
        <v>0002-Governo Inteligente, Aberto e Inovador​</v>
      </c>
      <c r="N1619" t="str">
        <f t="shared" si="152"/>
        <v xml:space="preserve">2.005-Promoção de Eventos, Comunicação e Participação Social </v>
      </c>
      <c r="O1619" t="str">
        <f t="shared" si="153"/>
        <v>3.3.90.39.00-OUTROS SERVIÇOS DE TERCEIROS - PESSOA JURÍDICA</v>
      </c>
      <c r="R1619" s="25">
        <v>0</v>
      </c>
      <c r="S1619" t="s">
        <v>1035</v>
      </c>
    </row>
    <row r="1620" spans="1:19" x14ac:dyDescent="0.25">
      <c r="A1620" t="str">
        <f t="shared" si="142"/>
        <v>08</v>
      </c>
      <c r="B1620" t="str">
        <f t="shared" si="143"/>
        <v>001</v>
      </c>
      <c r="C1620" t="str">
        <f t="shared" si="144"/>
        <v>12</v>
      </c>
      <c r="D1620" t="str">
        <f t="shared" si="145"/>
        <v>122</v>
      </c>
      <c r="E1620" t="str">
        <f t="shared" si="146"/>
        <v>0001</v>
      </c>
      <c r="F1620" t="str">
        <f t="shared" si="147"/>
        <v>2.011</v>
      </c>
      <c r="G1620" t="str">
        <f t="shared" si="148"/>
        <v>3.3.90.93.00</v>
      </c>
      <c r="H1620" t="s">
        <v>1663</v>
      </c>
      <c r="I1620" t="str">
        <f t="shared" si="141"/>
        <v>08 - SECRETARIA DE EDUCAÇÃO</v>
      </c>
      <c r="J1620" t="s">
        <v>20</v>
      </c>
      <c r="K1620" t="str">
        <f t="shared" si="149"/>
        <v>12-EDUCAÇÃO</v>
      </c>
      <c r="L1620" t="str">
        <f t="shared" si="150"/>
        <v>122-ADMINISTRAÇÃO GERAL</v>
      </c>
      <c r="M1620" t="str">
        <f t="shared" si="151"/>
        <v>0001-Administração e Coordenação Geral​</v>
      </c>
      <c r="N1620" t="str">
        <f t="shared" si="152"/>
        <v xml:space="preserve">2.011-Manutenção de Equipamentos Públicos </v>
      </c>
      <c r="O1620" t="str">
        <f t="shared" si="153"/>
        <v>3.3.90.93.00-INDENIZAÇÕES E RESTITUIÇÕES</v>
      </c>
      <c r="R1620" s="25">
        <v>0</v>
      </c>
      <c r="S1620" t="s">
        <v>1035</v>
      </c>
    </row>
    <row r="1621" spans="1:19" x14ac:dyDescent="0.25">
      <c r="A1621" t="str">
        <f t="shared" si="142"/>
        <v>08</v>
      </c>
      <c r="B1621" t="str">
        <f t="shared" si="143"/>
        <v>001</v>
      </c>
      <c r="C1621" t="str">
        <f t="shared" si="144"/>
        <v>12</v>
      </c>
      <c r="D1621" t="str">
        <f t="shared" si="145"/>
        <v>361</v>
      </c>
      <c r="E1621" t="str">
        <f t="shared" si="146"/>
        <v>0016</v>
      </c>
      <c r="F1621" t="str">
        <f t="shared" si="147"/>
        <v>2.018</v>
      </c>
      <c r="G1621" t="str">
        <f t="shared" si="148"/>
        <v>3.3.90.30.00</v>
      </c>
      <c r="H1621" t="s">
        <v>1664</v>
      </c>
      <c r="I1621" t="str">
        <f t="shared" si="141"/>
        <v>08 - SECRETARIA DE EDUCAÇÃO</v>
      </c>
      <c r="J1621" t="s">
        <v>20</v>
      </c>
      <c r="K1621" t="str">
        <f t="shared" si="149"/>
        <v>12-EDUCAÇÃO</v>
      </c>
      <c r="L1621" t="str">
        <f t="shared" si="150"/>
        <v>361-ENSINO FUNDAMENTAL</v>
      </c>
      <c r="M1621" t="str">
        <f t="shared" si="151"/>
        <v>0016-Escola para Todos​</v>
      </c>
      <c r="N1621" t="str">
        <f t="shared" si="152"/>
        <v>2.018-Conectividade e Tecnologia na Educação</v>
      </c>
      <c r="O1621" t="str">
        <f t="shared" si="153"/>
        <v>3.3.90.30.00-MATERIAL DE CONSUMO</v>
      </c>
      <c r="R1621" s="25">
        <v>0</v>
      </c>
      <c r="S1621" t="s">
        <v>1035</v>
      </c>
    </row>
    <row r="1622" spans="1:19" x14ac:dyDescent="0.25">
      <c r="A1622" t="str">
        <f t="shared" si="142"/>
        <v>08</v>
      </c>
      <c r="B1622" t="str">
        <f t="shared" si="143"/>
        <v>001</v>
      </c>
      <c r="C1622" t="str">
        <f t="shared" si="144"/>
        <v>12</v>
      </c>
      <c r="D1622" t="str">
        <f t="shared" si="145"/>
        <v>366</v>
      </c>
      <c r="E1622" t="str">
        <f t="shared" si="146"/>
        <v>0016</v>
      </c>
      <c r="F1622" t="str">
        <f t="shared" si="147"/>
        <v>2.019</v>
      </c>
      <c r="G1622" t="str">
        <f t="shared" si="148"/>
        <v>3.3.90.39.00</v>
      </c>
      <c r="H1622" t="s">
        <v>1665</v>
      </c>
      <c r="I1622" t="str">
        <f t="shared" si="141"/>
        <v>08 - SECRETARIA DE EDUCAÇÃO</v>
      </c>
      <c r="J1622" t="s">
        <v>20</v>
      </c>
      <c r="K1622" t="str">
        <f t="shared" si="149"/>
        <v>12-EDUCAÇÃO</v>
      </c>
      <c r="L1622" t="str">
        <f t="shared" si="150"/>
        <v>366-EDUCAÇÃO DE JOVENS E ADULTOS</v>
      </c>
      <c r="M1622" t="str">
        <f t="shared" si="151"/>
        <v>0016-Escola para Todos​</v>
      </c>
      <c r="N1622" t="str">
        <f t="shared" si="152"/>
        <v>2.019-Ações Pedagógicas Complementares</v>
      </c>
      <c r="O1622" t="str">
        <f t="shared" si="153"/>
        <v>3.3.90.39.00-OUTROS SERVIÇOS DE TERCEIROS - PESSOA JURÍDICA</v>
      </c>
      <c r="R1622" s="25">
        <v>0</v>
      </c>
      <c r="S1622" t="s">
        <v>1035</v>
      </c>
    </row>
    <row r="1623" spans="1:19" x14ac:dyDescent="0.25">
      <c r="A1623" t="str">
        <f t="shared" si="142"/>
        <v>09</v>
      </c>
      <c r="B1623" t="str">
        <f t="shared" si="143"/>
        <v>001</v>
      </c>
      <c r="C1623" t="str">
        <f t="shared" si="144"/>
        <v>04</v>
      </c>
      <c r="D1623" t="str">
        <f t="shared" si="145"/>
        <v>128</v>
      </c>
      <c r="E1623" t="str">
        <f t="shared" si="146"/>
        <v>0002</v>
      </c>
      <c r="F1623" t="str">
        <f t="shared" si="147"/>
        <v>2.003</v>
      </c>
      <c r="G1623" t="str">
        <f t="shared" si="148"/>
        <v>3.3.90.36.00</v>
      </c>
      <c r="H1623" t="s">
        <v>1666</v>
      </c>
      <c r="I1623" t="str">
        <f t="shared" si="141"/>
        <v>09 - SECRETARIA DA SAÚDE</v>
      </c>
      <c r="J1623" t="s">
        <v>20</v>
      </c>
      <c r="K1623" t="str">
        <f t="shared" si="149"/>
        <v>4-ADMINISTRAÇÃO</v>
      </c>
      <c r="L1623" t="str">
        <f t="shared" si="150"/>
        <v>128-FORMAÇÃO DE RECURSOS HUMANOS</v>
      </c>
      <c r="M1623" t="str">
        <f t="shared" si="151"/>
        <v>0002-Governo Inteligente, Aberto e Inovador​</v>
      </c>
      <c r="N1623" t="str">
        <f t="shared" si="152"/>
        <v>2.003-Qualificação de Servidores e Processos Institucionais</v>
      </c>
      <c r="O1623" t="str">
        <f t="shared" si="153"/>
        <v>3.3.90.36.00-OUTROS SERVIÇOS DE TERCEIROS - PESSOA FÍSICA</v>
      </c>
      <c r="R1623" s="25">
        <v>0</v>
      </c>
      <c r="S1623" t="s">
        <v>1035</v>
      </c>
    </row>
    <row r="1624" spans="1:19" x14ac:dyDescent="0.25">
      <c r="A1624" t="str">
        <f t="shared" si="142"/>
        <v>09</v>
      </c>
      <c r="B1624" t="str">
        <f t="shared" si="143"/>
        <v>010</v>
      </c>
      <c r="C1624" t="str">
        <f t="shared" si="144"/>
        <v>10</v>
      </c>
      <c r="D1624" t="str">
        <f t="shared" si="145"/>
        <v>302</v>
      </c>
      <c r="E1624" t="str">
        <f t="shared" si="146"/>
        <v>0002</v>
      </c>
      <c r="F1624" t="str">
        <f t="shared" si="147"/>
        <v>2.014</v>
      </c>
      <c r="G1624" t="str">
        <f t="shared" si="148"/>
        <v>3.3.90.30.00</v>
      </c>
      <c r="H1624" t="s">
        <v>1667</v>
      </c>
      <c r="I1624" t="str">
        <f t="shared" si="141"/>
        <v>09 - SECRETARIA DA SAÚDE</v>
      </c>
      <c r="J1624" t="s">
        <v>324</v>
      </c>
      <c r="K1624" t="str">
        <f t="shared" si="149"/>
        <v>10-SAÚDE</v>
      </c>
      <c r="L1624" t="str">
        <f t="shared" si="150"/>
        <v>302-ASSISTÊNCIA HOSPITALAR E AMBULATORIAL</v>
      </c>
      <c r="M1624" t="str">
        <f t="shared" si="151"/>
        <v>0002-Governo Inteligente, Aberto e Inovador​</v>
      </c>
      <c r="N1624" t="str">
        <f t="shared" si="152"/>
        <v xml:space="preserve">2.014-Manutenção de Equipamentos Públicos - Atenção Hospitalar e Urgência e Emergência </v>
      </c>
      <c r="O1624" t="str">
        <f t="shared" si="153"/>
        <v>3.3.90.30.00-MATERIAL DE CONSUMO</v>
      </c>
      <c r="R1624" s="25">
        <v>0</v>
      </c>
      <c r="S1624" t="s">
        <v>1035</v>
      </c>
    </row>
    <row r="1625" spans="1:19" x14ac:dyDescent="0.25">
      <c r="A1625" t="str">
        <f t="shared" si="142"/>
        <v>09</v>
      </c>
      <c r="B1625" t="str">
        <f t="shared" si="143"/>
        <v>008</v>
      </c>
      <c r="C1625" t="str">
        <f t="shared" si="144"/>
        <v>10</v>
      </c>
      <c r="D1625" t="str">
        <f t="shared" si="145"/>
        <v>301</v>
      </c>
      <c r="E1625" t="str">
        <f t="shared" si="146"/>
        <v>0015</v>
      </c>
      <c r="F1625" t="str">
        <f t="shared" si="147"/>
        <v>2.012</v>
      </c>
      <c r="G1625" t="str">
        <f t="shared" si="148"/>
        <v/>
      </c>
      <c r="H1625" t="s">
        <v>1668</v>
      </c>
      <c r="I1625" t="str">
        <f t="shared" si="141"/>
        <v>09 - SECRETARIA DA SAÚDE</v>
      </c>
      <c r="J1625" t="s">
        <v>355</v>
      </c>
      <c r="K1625" t="str">
        <f t="shared" si="149"/>
        <v>10-SAÚDE</v>
      </c>
      <c r="L1625" t="str">
        <f t="shared" si="150"/>
        <v>301-ATENÇÃO BÁSICA</v>
      </c>
      <c r="M1625" t="str">
        <f t="shared" si="151"/>
        <v>0015-Atenção e Cuidado em Saúde​</v>
      </c>
      <c r="N1625" t="str">
        <f t="shared" si="152"/>
        <v xml:space="preserve">2.012-Manutenção de Equipamentos Públicos - Atenção Primária </v>
      </c>
      <c r="O1625" t="str">
        <f>G1625</f>
        <v/>
      </c>
      <c r="R1625" s="25">
        <v>0</v>
      </c>
      <c r="S1625" t="s">
        <v>1035</v>
      </c>
    </row>
    <row r="1626" spans="1:19" x14ac:dyDescent="0.25">
      <c r="A1626" t="str">
        <f t="shared" si="142"/>
        <v>09</v>
      </c>
      <c r="B1626" t="str">
        <f t="shared" si="143"/>
        <v>008</v>
      </c>
      <c r="C1626" t="str">
        <f t="shared" si="144"/>
        <v>10</v>
      </c>
      <c r="D1626" t="str">
        <f t="shared" si="145"/>
        <v>301</v>
      </c>
      <c r="E1626" t="str">
        <f t="shared" si="146"/>
        <v>0014</v>
      </c>
      <c r="F1626" t="str">
        <f t="shared" si="147"/>
        <v>2.012</v>
      </c>
      <c r="G1626" t="str">
        <f t="shared" si="148"/>
        <v>3.3.90.39.00</v>
      </c>
      <c r="H1626" t="s">
        <v>1669</v>
      </c>
      <c r="I1626" t="str">
        <f t="shared" ref="I1626:I1684" si="155">VLOOKUP(A1626,$A$1:$O$994,9,0)</f>
        <v>09 - SECRETARIA DA SAÚDE</v>
      </c>
      <c r="J1626" t="s">
        <v>355</v>
      </c>
      <c r="K1626" t="str">
        <f t="shared" si="149"/>
        <v>10-SAÚDE</v>
      </c>
      <c r="L1626" t="str">
        <f t="shared" si="150"/>
        <v>301-ATENÇÃO BÁSICA</v>
      </c>
      <c r="M1626" t="str">
        <f t="shared" si="151"/>
        <v>0014-Gestão em Saúde​</v>
      </c>
      <c r="N1626" t="str">
        <f t="shared" si="152"/>
        <v xml:space="preserve">2.012-Manutenção de Equipamentos Públicos - Atenção Primária </v>
      </c>
      <c r="O1626" t="str">
        <f t="shared" si="153"/>
        <v>3.3.90.39.00-OUTROS SERVIÇOS DE TERCEIROS - PESSOA JURÍDICA</v>
      </c>
      <c r="R1626" s="25">
        <v>0</v>
      </c>
      <c r="S1626" t="s">
        <v>1035</v>
      </c>
    </row>
    <row r="1627" spans="1:19" x14ac:dyDescent="0.25">
      <c r="A1627" t="str">
        <f t="shared" si="142"/>
        <v>09</v>
      </c>
      <c r="B1627" t="str">
        <f t="shared" si="143"/>
        <v>012</v>
      </c>
      <c r="C1627" t="str">
        <f t="shared" si="144"/>
        <v>10</v>
      </c>
      <c r="D1627" t="str">
        <f t="shared" si="145"/>
        <v>303</v>
      </c>
      <c r="E1627" t="str">
        <f t="shared" si="146"/>
        <v>0015</v>
      </c>
      <c r="F1627" t="str">
        <f t="shared" si="147"/>
        <v>2.011</v>
      </c>
      <c r="G1627" t="str">
        <f t="shared" si="148"/>
        <v>3.3.90.32.00</v>
      </c>
      <c r="H1627" t="s">
        <v>1670</v>
      </c>
      <c r="I1627" t="str">
        <f t="shared" si="155"/>
        <v>09 - SECRETARIA DA SAÚDE</v>
      </c>
      <c r="J1627" t="s">
        <v>48</v>
      </c>
      <c r="K1627" t="str">
        <f t="shared" si="149"/>
        <v>10-SAÚDE</v>
      </c>
      <c r="L1627" t="str">
        <f t="shared" si="150"/>
        <v>303-SUPORTE PROFILÁTICO E TERAPÊUTICO</v>
      </c>
      <c r="M1627" t="str">
        <f t="shared" si="151"/>
        <v>0015-Atenção e Cuidado em Saúde​</v>
      </c>
      <c r="N1627" t="str">
        <f t="shared" si="152"/>
        <v xml:space="preserve">2.011-Manutenção de Equipamentos Públicos </v>
      </c>
      <c r="O1627" t="str">
        <f t="shared" si="153"/>
        <v>3.3.90.32.00-MATERIAL, BEM OU SERVIÇO PARA DISTRIBUIÇÃO GRATUITA</v>
      </c>
      <c r="R1627" s="25">
        <v>0</v>
      </c>
      <c r="S1627" t="s">
        <v>1035</v>
      </c>
    </row>
    <row r="1628" spans="1:19" x14ac:dyDescent="0.25">
      <c r="A1628" t="str">
        <f t="shared" si="142"/>
        <v>09</v>
      </c>
      <c r="B1628" t="str">
        <f t="shared" si="143"/>
        <v>015</v>
      </c>
      <c r="C1628" t="str">
        <f t="shared" si="144"/>
        <v>10</v>
      </c>
      <c r="D1628" t="str">
        <f t="shared" si="145"/>
        <v>302</v>
      </c>
      <c r="E1628" t="str">
        <f t="shared" si="146"/>
        <v>0015</v>
      </c>
      <c r="F1628" t="str">
        <f t="shared" si="147"/>
        <v>2.014</v>
      </c>
      <c r="G1628" t="str">
        <f t="shared" si="148"/>
        <v>3.3.90.30.00</v>
      </c>
      <c r="H1628" t="s">
        <v>1671</v>
      </c>
      <c r="I1628" t="str">
        <f t="shared" si="155"/>
        <v>09 - SECRETARIA DA SAÚDE</v>
      </c>
      <c r="J1628" t="s">
        <v>361</v>
      </c>
      <c r="K1628" t="str">
        <f t="shared" si="149"/>
        <v>10-SAÚDE</v>
      </c>
      <c r="L1628" t="str">
        <f t="shared" si="150"/>
        <v>302-ASSISTÊNCIA HOSPITALAR E AMBULATORIAL</v>
      </c>
      <c r="M1628" t="str">
        <f t="shared" si="151"/>
        <v>0015-Atenção e Cuidado em Saúde​</v>
      </c>
      <c r="N1628" t="str">
        <f t="shared" si="152"/>
        <v xml:space="preserve">2.014-Manutenção de Equipamentos Públicos - Atenção Hospitalar e Urgência e Emergência </v>
      </c>
      <c r="O1628" t="str">
        <f t="shared" si="153"/>
        <v>3.3.90.30.00-MATERIAL DE CONSUMO</v>
      </c>
      <c r="R1628" s="25">
        <v>0</v>
      </c>
      <c r="S1628" t="s">
        <v>1035</v>
      </c>
    </row>
    <row r="1629" spans="1:19" x14ac:dyDescent="0.25">
      <c r="A1629" t="str">
        <f t="shared" si="142"/>
        <v>09</v>
      </c>
      <c r="B1629" t="str">
        <f t="shared" si="143"/>
        <v>015</v>
      </c>
      <c r="C1629" t="str">
        <f t="shared" si="144"/>
        <v>10</v>
      </c>
      <c r="D1629" t="str">
        <f t="shared" si="145"/>
        <v>122</v>
      </c>
      <c r="E1629" t="str">
        <f t="shared" si="146"/>
        <v>0014</v>
      </c>
      <c r="F1629" t="str">
        <f t="shared" si="147"/>
        <v>2.011</v>
      </c>
      <c r="G1629" t="str">
        <f t="shared" si="148"/>
        <v>3.3.90.92.00</v>
      </c>
      <c r="H1629" t="s">
        <v>1672</v>
      </c>
      <c r="I1629" t="str">
        <f t="shared" si="155"/>
        <v>09 - SECRETARIA DA SAÚDE</v>
      </c>
      <c r="J1629" t="s">
        <v>361</v>
      </c>
      <c r="K1629" t="str">
        <f t="shared" si="149"/>
        <v>10-SAÚDE</v>
      </c>
      <c r="L1629" t="str">
        <f t="shared" si="150"/>
        <v>122-ADMINISTRAÇÃO GERAL</v>
      </c>
      <c r="M1629" t="str">
        <f t="shared" si="151"/>
        <v>0014-Gestão em Saúde​</v>
      </c>
      <c r="N1629" t="str">
        <f t="shared" si="152"/>
        <v xml:space="preserve">2.011-Manutenção de Equipamentos Públicos </v>
      </c>
      <c r="O1629" t="str">
        <f t="shared" si="153"/>
        <v>3.3.90.92.00-DESPESAS DE EXERCÍCIOS ANTERIORES</v>
      </c>
      <c r="R1629" s="25">
        <v>0</v>
      </c>
      <c r="S1629" t="s">
        <v>1035</v>
      </c>
    </row>
    <row r="1630" spans="1:19" x14ac:dyDescent="0.25">
      <c r="A1630" t="str">
        <f t="shared" si="142"/>
        <v>11</v>
      </c>
      <c r="B1630" t="str">
        <f t="shared" si="143"/>
        <v>001</v>
      </c>
      <c r="C1630" t="str">
        <f t="shared" si="144"/>
        <v>04</v>
      </c>
      <c r="D1630" t="str">
        <f t="shared" si="145"/>
        <v>121</v>
      </c>
      <c r="E1630" t="str">
        <f t="shared" si="146"/>
        <v>0011</v>
      </c>
      <c r="F1630" t="str">
        <f t="shared" si="147"/>
        <v>2.011</v>
      </c>
      <c r="G1630" t="str">
        <f t="shared" si="148"/>
        <v>4.4.90.52.00</v>
      </c>
      <c r="H1630" t="s">
        <v>1673</v>
      </c>
      <c r="I1630" t="str">
        <f t="shared" si="155"/>
        <v>11 - SECRETARIA DE SERVIÇOS E OBRAS</v>
      </c>
      <c r="J1630" t="s">
        <v>20</v>
      </c>
      <c r="K1630" t="str">
        <f t="shared" si="149"/>
        <v>4-ADMINISTRAÇÃO</v>
      </c>
      <c r="L1630" t="str">
        <f t="shared" si="150"/>
        <v>121-PLANEJAMENTO E ORÇAMENTO</v>
      </c>
      <c r="M1630" t="str">
        <f t="shared" si="151"/>
        <v>0011-Zeladoria Urbana e Cuidados com a Cidade​</v>
      </c>
      <c r="N1630" t="str">
        <f t="shared" si="152"/>
        <v xml:space="preserve">2.011-Manutenção de Equipamentos Públicos </v>
      </c>
      <c r="O1630" t="str">
        <f t="shared" si="153"/>
        <v>4.4.90.52.00-EQUIPAMENTOS E MATERIAL PERMANENTE</v>
      </c>
      <c r="R1630" s="25">
        <v>0</v>
      </c>
      <c r="S1630" t="s">
        <v>1035</v>
      </c>
    </row>
    <row r="1631" spans="1:19" x14ac:dyDescent="0.25">
      <c r="A1631" t="str">
        <f t="shared" si="142"/>
        <v>11</v>
      </c>
      <c r="B1631" t="str">
        <f t="shared" si="143"/>
        <v>001</v>
      </c>
      <c r="C1631" t="str">
        <f t="shared" si="144"/>
        <v>04</v>
      </c>
      <c r="D1631" t="str">
        <f t="shared" si="145"/>
        <v>452</v>
      </c>
      <c r="E1631" t="str">
        <f t="shared" si="146"/>
        <v>0011</v>
      </c>
      <c r="F1631" t="str">
        <f t="shared" si="147"/>
        <v>2.034</v>
      </c>
      <c r="G1631" t="str">
        <f t="shared" si="148"/>
        <v>3.3.90.39.00</v>
      </c>
      <c r="H1631" t="s">
        <v>1674</v>
      </c>
      <c r="I1631" t="str">
        <f t="shared" si="155"/>
        <v>11 - SECRETARIA DE SERVIÇOS E OBRAS</v>
      </c>
      <c r="J1631" t="s">
        <v>20</v>
      </c>
      <c r="K1631" t="str">
        <f t="shared" si="149"/>
        <v>4-ADMINISTRAÇÃO</v>
      </c>
      <c r="L1631" t="str">
        <f t="shared" si="150"/>
        <v>452-SERVIÇOS URBNOS</v>
      </c>
      <c r="M1631" t="str">
        <f t="shared" si="151"/>
        <v>0011-Zeladoria Urbana e Cuidados com a Cidade​</v>
      </c>
      <c r="N1631" t="str">
        <f t="shared" si="152"/>
        <v>2.034-Manutenção da Infraestrutura Viária</v>
      </c>
      <c r="O1631" t="str">
        <f t="shared" si="153"/>
        <v>3.3.90.39.00-OUTROS SERVIÇOS DE TERCEIROS - PESSOA JURÍDICA</v>
      </c>
      <c r="R1631" s="25">
        <v>0</v>
      </c>
      <c r="S1631" t="s">
        <v>1035</v>
      </c>
    </row>
    <row r="1632" spans="1:19" x14ac:dyDescent="0.25">
      <c r="A1632" t="str">
        <f t="shared" si="142"/>
        <v>11</v>
      </c>
      <c r="B1632" t="str">
        <f t="shared" si="143"/>
        <v>001</v>
      </c>
      <c r="C1632" t="str">
        <f t="shared" si="144"/>
        <v>04</v>
      </c>
      <c r="D1632" t="str">
        <f t="shared" si="145"/>
        <v>121</v>
      </c>
      <c r="E1632" t="str">
        <f t="shared" si="146"/>
        <v>0011</v>
      </c>
      <c r="F1632" t="str">
        <f t="shared" si="147"/>
        <v>2.011</v>
      </c>
      <c r="G1632" t="str">
        <f t="shared" si="148"/>
        <v>3.3.90.93.00</v>
      </c>
      <c r="H1632" t="s">
        <v>1675</v>
      </c>
      <c r="I1632" t="str">
        <f t="shared" si="155"/>
        <v>11 - SECRETARIA DE SERVIÇOS E OBRAS</v>
      </c>
      <c r="J1632" t="s">
        <v>20</v>
      </c>
      <c r="K1632" t="str">
        <f t="shared" si="149"/>
        <v>4-ADMINISTRAÇÃO</v>
      </c>
      <c r="L1632" t="str">
        <f t="shared" si="150"/>
        <v>121-PLANEJAMENTO E ORÇAMENTO</v>
      </c>
      <c r="M1632" t="str">
        <f t="shared" si="151"/>
        <v>0011-Zeladoria Urbana e Cuidados com a Cidade​</v>
      </c>
      <c r="N1632" t="str">
        <f t="shared" si="152"/>
        <v xml:space="preserve">2.011-Manutenção de Equipamentos Públicos </v>
      </c>
      <c r="O1632" t="str">
        <f t="shared" si="153"/>
        <v>3.3.90.93.00-INDENIZAÇÕES E RESTITUIÇÕES</v>
      </c>
      <c r="R1632" s="25">
        <v>0</v>
      </c>
      <c r="S1632" t="s">
        <v>1035</v>
      </c>
    </row>
    <row r="1633" spans="1:19" x14ac:dyDescent="0.25">
      <c r="A1633" t="str">
        <f t="shared" si="142"/>
        <v>11</v>
      </c>
      <c r="B1633" t="str">
        <f t="shared" si="143"/>
        <v>001</v>
      </c>
      <c r="C1633" t="str">
        <f t="shared" si="144"/>
        <v>15</v>
      </c>
      <c r="D1633" t="str">
        <f t="shared" si="145"/>
        <v>451</v>
      </c>
      <c r="E1633" t="str">
        <f t="shared" si="146"/>
        <v>0011</v>
      </c>
      <c r="F1633" t="str">
        <f t="shared" si="147"/>
        <v>2.011</v>
      </c>
      <c r="G1633" t="str">
        <f t="shared" si="148"/>
        <v>4.4.90.51.00</v>
      </c>
      <c r="H1633" t="s">
        <v>1676</v>
      </c>
      <c r="I1633" t="str">
        <f t="shared" si="155"/>
        <v>11 - SECRETARIA DE SERVIÇOS E OBRAS</v>
      </c>
      <c r="J1633" t="s">
        <v>20</v>
      </c>
      <c r="K1633" t="str">
        <f t="shared" si="149"/>
        <v>15-URBANISMO</v>
      </c>
      <c r="L1633" t="str">
        <f t="shared" si="150"/>
        <v>451-INFRA-ESTRUTURA URBANA</v>
      </c>
      <c r="M1633" t="str">
        <f t="shared" si="151"/>
        <v>0011-Zeladoria Urbana e Cuidados com a Cidade​</v>
      </c>
      <c r="N1633" t="str">
        <f t="shared" si="152"/>
        <v xml:space="preserve">2.011-Manutenção de Equipamentos Públicos </v>
      </c>
      <c r="O1633" t="str">
        <f t="shared" si="153"/>
        <v>4.4.90.51.00-OBRAS E INSTALAÇÕES</v>
      </c>
      <c r="R1633" s="25">
        <v>0</v>
      </c>
      <c r="S1633" t="s">
        <v>1035</v>
      </c>
    </row>
    <row r="1634" spans="1:19" x14ac:dyDescent="0.25">
      <c r="A1634" t="str">
        <f t="shared" si="142"/>
        <v>12</v>
      </c>
      <c r="B1634" t="str">
        <f t="shared" si="143"/>
        <v>001</v>
      </c>
      <c r="C1634" t="str">
        <f t="shared" si="144"/>
        <v>04</v>
      </c>
      <c r="D1634" t="str">
        <f t="shared" si="145"/>
        <v>122</v>
      </c>
      <c r="E1634" t="str">
        <f t="shared" si="146"/>
        <v>0002</v>
      </c>
      <c r="F1634" t="str">
        <f t="shared" si="147"/>
        <v>2.032</v>
      </c>
      <c r="G1634" t="str">
        <f t="shared" si="148"/>
        <v>3.3.50.39.00</v>
      </c>
      <c r="H1634" t="s">
        <v>1677</v>
      </c>
      <c r="I1634" t="str">
        <f t="shared" si="155"/>
        <v>12 - SECRETARIA DE ESPORTE, RECREAÇÃO E LAZER</v>
      </c>
      <c r="J1634" t="s">
        <v>20</v>
      </c>
      <c r="K1634" t="str">
        <f t="shared" si="149"/>
        <v>4-ADMINISTRAÇÃO</v>
      </c>
      <c r="L1634" t="str">
        <f t="shared" si="150"/>
        <v>122-ADMINISTRAÇÃO GERAL</v>
      </c>
      <c r="M1634" t="str">
        <f t="shared" si="151"/>
        <v>0002-Governo Inteligente, Aberto e Inovador​</v>
      </c>
      <c r="N1634" t="str">
        <f t="shared" si="152"/>
        <v xml:space="preserve">2.032-Iniciação Esportiva </v>
      </c>
      <c r="O1634" t="str">
        <f t="shared" si="153"/>
        <v>3.3.50.39.00-OUTROS SERVIÇOS DE TERCEIROS - PESSOA JURÍDICA</v>
      </c>
      <c r="R1634" s="25">
        <v>0</v>
      </c>
      <c r="S1634" t="s">
        <v>1035</v>
      </c>
    </row>
    <row r="1635" spans="1:19" x14ac:dyDescent="0.25">
      <c r="A1635" t="str">
        <f t="shared" ref="A1635:A1691" si="156">LEFT(H1635,2)</f>
        <v>12</v>
      </c>
      <c r="B1635" t="str">
        <f t="shared" ref="B1635:B1691" si="157">MID(H1635,4,3)</f>
        <v>001</v>
      </c>
      <c r="C1635" t="str">
        <f t="shared" ref="C1635:C1691" si="158">MID(H1635,8,2)</f>
        <v>04</v>
      </c>
      <c r="D1635" t="str">
        <f t="shared" ref="D1635:D1691" si="159">MID(H1635,11,3)</f>
        <v>122</v>
      </c>
      <c r="E1635" t="str">
        <f t="shared" ref="E1635:E1691" si="160">MID(H1635,15,4)</f>
        <v>0001</v>
      </c>
      <c r="F1635" t="str">
        <f t="shared" ref="F1635:F1691" si="161">MID(H1635,20,5)</f>
        <v>2.011</v>
      </c>
      <c r="G1635" t="str">
        <f t="shared" ref="G1635:G1691" si="162">MID(H1635,26,12)</f>
        <v>3.3.90.30.00</v>
      </c>
      <c r="H1635" t="s">
        <v>1678</v>
      </c>
      <c r="I1635" t="str">
        <f t="shared" si="155"/>
        <v>12 - SECRETARIA DE ESPORTE, RECREAÇÃO E LAZER</v>
      </c>
      <c r="J1635" t="s">
        <v>20</v>
      </c>
      <c r="K1635" t="str">
        <f t="shared" ref="K1635:K1691" si="163">VLOOKUP(C1635,$C$1:$O$994,9,0)</f>
        <v>4-ADMINISTRAÇÃO</v>
      </c>
      <c r="L1635" t="str">
        <f t="shared" ref="L1635:L1691" si="164">VLOOKUP(D1635,$D$1:$O$994,9,0)</f>
        <v>122-ADMINISTRAÇÃO GERAL</v>
      </c>
      <c r="M1635" t="str">
        <f t="shared" ref="M1635:M1691" si="165">VLOOKUP(E1635,$E$1:$O$994,9,0)</f>
        <v>0001-Administração e Coordenação Geral​</v>
      </c>
      <c r="N1635" t="str">
        <f t="shared" ref="N1635:N1691" si="166">VLOOKUP(F1635,$F$1:$O$994,9,0)</f>
        <v xml:space="preserve">2.011-Manutenção de Equipamentos Públicos </v>
      </c>
      <c r="O1635" t="str">
        <f t="shared" ref="O1635:O1691" si="167">VLOOKUP(G1635,$G$1:$O$994,9,0)</f>
        <v>3.3.90.30.00-MATERIAL DE CONSUMO</v>
      </c>
      <c r="R1635" s="25">
        <v>0</v>
      </c>
      <c r="S1635" t="s">
        <v>1035</v>
      </c>
    </row>
    <row r="1636" spans="1:19" x14ac:dyDescent="0.25">
      <c r="A1636" t="str">
        <f t="shared" si="156"/>
        <v>12</v>
      </c>
      <c r="B1636" t="str">
        <f t="shared" si="157"/>
        <v>001</v>
      </c>
      <c r="C1636" t="str">
        <f t="shared" si="158"/>
        <v>04</v>
      </c>
      <c r="D1636" t="str">
        <f t="shared" si="159"/>
        <v>811</v>
      </c>
      <c r="E1636" t="str">
        <f t="shared" si="160"/>
        <v>0010</v>
      </c>
      <c r="F1636" t="str">
        <f t="shared" si="161"/>
        <v>2.030</v>
      </c>
      <c r="G1636" t="str">
        <f t="shared" si="162"/>
        <v>3.3.90.33.00</v>
      </c>
      <c r="H1636" t="s">
        <v>1679</v>
      </c>
      <c r="I1636" t="str">
        <f t="shared" si="155"/>
        <v>12 - SECRETARIA DE ESPORTE, RECREAÇÃO E LAZER</v>
      </c>
      <c r="J1636" t="s">
        <v>20</v>
      </c>
      <c r="K1636" t="str">
        <f t="shared" si="163"/>
        <v>4-ADMINISTRAÇÃO</v>
      </c>
      <c r="L1636" t="str">
        <f t="shared" si="164"/>
        <v>811-DESPORTO DE RENDIMENTO</v>
      </c>
      <c r="M1636" t="str">
        <f t="shared" si="165"/>
        <v>0010-Esporte, Lazer e Bem-Estar​</v>
      </c>
      <c r="N1636" t="str">
        <f t="shared" si="166"/>
        <v>2.030-Apoio ao Esporte de Alto Rendimento</v>
      </c>
      <c r="O1636" t="str">
        <f t="shared" si="167"/>
        <v>3.3.90.33.00-PASSAGENS E DESPESAS COM LOCOMOÇÃO</v>
      </c>
      <c r="R1636" s="25">
        <v>0</v>
      </c>
      <c r="S1636" t="s">
        <v>1035</v>
      </c>
    </row>
    <row r="1637" spans="1:19" x14ac:dyDescent="0.25">
      <c r="A1637" t="str">
        <f t="shared" si="156"/>
        <v>12</v>
      </c>
      <c r="B1637" t="str">
        <f t="shared" si="157"/>
        <v>001</v>
      </c>
      <c r="C1637" t="str">
        <f t="shared" si="158"/>
        <v>04</v>
      </c>
      <c r="D1637" t="str">
        <f t="shared" si="159"/>
        <v>131</v>
      </c>
      <c r="E1637" t="str">
        <f t="shared" si="160"/>
        <v>0010</v>
      </c>
      <c r="F1637" t="str">
        <f t="shared" si="161"/>
        <v>2.005</v>
      </c>
      <c r="G1637" t="str">
        <f t="shared" si="162"/>
        <v>3.3.90.39.00</v>
      </c>
      <c r="H1637" t="s">
        <v>1680</v>
      </c>
      <c r="I1637" t="str">
        <f t="shared" si="155"/>
        <v>12 - SECRETARIA DE ESPORTE, RECREAÇÃO E LAZER</v>
      </c>
      <c r="J1637" t="s">
        <v>20</v>
      </c>
      <c r="K1637" t="str">
        <f t="shared" si="163"/>
        <v>4-ADMINISTRAÇÃO</v>
      </c>
      <c r="L1637" t="str">
        <f t="shared" si="164"/>
        <v>131-COMUNICAÇÃO SOCIAL</v>
      </c>
      <c r="M1637" t="str">
        <f t="shared" si="165"/>
        <v>0010-Esporte, Lazer e Bem-Estar​</v>
      </c>
      <c r="N1637" t="str">
        <f t="shared" si="166"/>
        <v xml:space="preserve">2.005-Promoção de Eventos, Comunicação e Participação Social </v>
      </c>
      <c r="O1637" t="str">
        <f t="shared" si="167"/>
        <v>3.3.90.39.00-OUTROS SERVIÇOS DE TERCEIROS - PESSOA JURÍDICA</v>
      </c>
      <c r="R1637" s="25">
        <v>0</v>
      </c>
      <c r="S1637" t="s">
        <v>1035</v>
      </c>
    </row>
    <row r="1638" spans="1:19" x14ac:dyDescent="0.25">
      <c r="A1638" t="str">
        <f t="shared" si="156"/>
        <v>12</v>
      </c>
      <c r="B1638" t="str">
        <f t="shared" si="157"/>
        <v>001</v>
      </c>
      <c r="C1638" t="str">
        <f t="shared" si="158"/>
        <v>04</v>
      </c>
      <c r="D1638" t="str">
        <f t="shared" si="159"/>
        <v>122</v>
      </c>
      <c r="E1638" t="str">
        <f t="shared" si="160"/>
        <v>0004</v>
      </c>
      <c r="F1638" t="str">
        <f t="shared" si="161"/>
        <v>2.011</v>
      </c>
      <c r="G1638" t="str">
        <f t="shared" si="162"/>
        <v>3.3.90.39.00</v>
      </c>
      <c r="H1638" t="s">
        <v>1681</v>
      </c>
      <c r="I1638" t="str">
        <f t="shared" si="155"/>
        <v>12 - SECRETARIA DE ESPORTE, RECREAÇÃO E LAZER</v>
      </c>
      <c r="J1638" t="s">
        <v>20</v>
      </c>
      <c r="K1638" t="str">
        <f t="shared" si="163"/>
        <v>4-ADMINISTRAÇÃO</v>
      </c>
      <c r="L1638" t="str">
        <f t="shared" si="164"/>
        <v>122-ADMINISTRAÇÃO GERAL</v>
      </c>
      <c r="M1638" t="str">
        <f t="shared" si="165"/>
        <v xml:space="preserve">0004-Planejamento e Gestão de Políticas Públicas </v>
      </c>
      <c r="N1638" t="str">
        <f t="shared" si="166"/>
        <v xml:space="preserve">2.011-Manutenção de Equipamentos Públicos </v>
      </c>
      <c r="O1638" t="str">
        <f t="shared" si="167"/>
        <v>3.3.90.39.00-OUTROS SERVIÇOS DE TERCEIROS - PESSOA JURÍDICA</v>
      </c>
      <c r="R1638" s="25">
        <v>0</v>
      </c>
      <c r="S1638" t="s">
        <v>1035</v>
      </c>
    </row>
    <row r="1639" spans="1:19" x14ac:dyDescent="0.25">
      <c r="A1639" t="str">
        <f t="shared" si="156"/>
        <v>12</v>
      </c>
      <c r="B1639" t="str">
        <f t="shared" si="157"/>
        <v>001</v>
      </c>
      <c r="C1639" t="str">
        <f t="shared" si="158"/>
        <v>04</v>
      </c>
      <c r="D1639" t="str">
        <f t="shared" si="159"/>
        <v>121</v>
      </c>
      <c r="E1639" t="str">
        <f t="shared" si="160"/>
        <v>0001</v>
      </c>
      <c r="F1639" t="str">
        <f t="shared" si="161"/>
        <v>2.011</v>
      </c>
      <c r="G1639" t="str">
        <f t="shared" si="162"/>
        <v>3.3.90.39.00</v>
      </c>
      <c r="H1639" t="s">
        <v>1682</v>
      </c>
      <c r="I1639" t="str">
        <f t="shared" si="155"/>
        <v>12 - SECRETARIA DE ESPORTE, RECREAÇÃO E LAZER</v>
      </c>
      <c r="J1639" t="s">
        <v>20</v>
      </c>
      <c r="K1639" t="str">
        <f t="shared" si="163"/>
        <v>4-ADMINISTRAÇÃO</v>
      </c>
      <c r="L1639" t="str">
        <f t="shared" si="164"/>
        <v>121-PLANEJAMENTO E ORÇAMENTO</v>
      </c>
      <c r="M1639" t="str">
        <f t="shared" si="165"/>
        <v>0001-Administração e Coordenação Geral​</v>
      </c>
      <c r="N1639" t="str">
        <f t="shared" si="166"/>
        <v xml:space="preserve">2.011-Manutenção de Equipamentos Públicos </v>
      </c>
      <c r="O1639" t="str">
        <f t="shared" si="167"/>
        <v>3.3.90.39.00-OUTROS SERVIÇOS DE TERCEIROS - PESSOA JURÍDICA</v>
      </c>
      <c r="R1639" s="25">
        <v>0</v>
      </c>
      <c r="S1639" t="s">
        <v>1035</v>
      </c>
    </row>
    <row r="1640" spans="1:19" x14ac:dyDescent="0.25">
      <c r="A1640" t="str">
        <f t="shared" si="156"/>
        <v>12</v>
      </c>
      <c r="B1640" t="str">
        <f t="shared" si="157"/>
        <v>001</v>
      </c>
      <c r="C1640" t="str">
        <f t="shared" si="158"/>
        <v>04</v>
      </c>
      <c r="D1640" t="str">
        <f t="shared" si="159"/>
        <v>122</v>
      </c>
      <c r="E1640" t="str">
        <f t="shared" si="160"/>
        <v>0001</v>
      </c>
      <c r="F1640" t="str">
        <f t="shared" si="161"/>
        <v>2.011</v>
      </c>
      <c r="G1640" t="str">
        <f t="shared" si="162"/>
        <v>3.3.90.39.00</v>
      </c>
      <c r="H1640" t="s">
        <v>1683</v>
      </c>
      <c r="I1640" t="str">
        <f t="shared" si="155"/>
        <v>12 - SECRETARIA DE ESPORTE, RECREAÇÃO E LAZER</v>
      </c>
      <c r="J1640" t="s">
        <v>20</v>
      </c>
      <c r="K1640" t="str">
        <f t="shared" si="163"/>
        <v>4-ADMINISTRAÇÃO</v>
      </c>
      <c r="L1640" t="str">
        <f t="shared" si="164"/>
        <v>122-ADMINISTRAÇÃO GERAL</v>
      </c>
      <c r="M1640" t="str">
        <f t="shared" si="165"/>
        <v>0001-Administração e Coordenação Geral​</v>
      </c>
      <c r="N1640" t="str">
        <f t="shared" si="166"/>
        <v xml:space="preserve">2.011-Manutenção de Equipamentos Públicos </v>
      </c>
      <c r="O1640" t="str">
        <f t="shared" si="167"/>
        <v>3.3.90.39.00-OUTROS SERVIÇOS DE TERCEIROS - PESSOA JURÍDICA</v>
      </c>
      <c r="R1640" s="25">
        <v>0</v>
      </c>
      <c r="S1640" t="s">
        <v>1035</v>
      </c>
    </row>
    <row r="1641" spans="1:19" x14ac:dyDescent="0.25">
      <c r="A1641" t="str">
        <f t="shared" si="156"/>
        <v>12</v>
      </c>
      <c r="B1641" t="str">
        <f t="shared" si="157"/>
        <v>001</v>
      </c>
      <c r="C1641" t="str">
        <f t="shared" si="158"/>
        <v>04</v>
      </c>
      <c r="D1641" t="str">
        <f t="shared" si="159"/>
        <v>131</v>
      </c>
      <c r="E1641" t="str">
        <f t="shared" si="160"/>
        <v>0001</v>
      </c>
      <c r="F1641" t="str">
        <f t="shared" si="161"/>
        <v>2.006</v>
      </c>
      <c r="G1641" t="str">
        <f t="shared" si="162"/>
        <v>3.3.90.39.00</v>
      </c>
      <c r="H1641" t="s">
        <v>1684</v>
      </c>
      <c r="I1641" t="str">
        <f t="shared" si="155"/>
        <v>12 - SECRETARIA DE ESPORTE, RECREAÇÃO E LAZER</v>
      </c>
      <c r="J1641" t="s">
        <v>20</v>
      </c>
      <c r="K1641" t="str">
        <f t="shared" si="163"/>
        <v>4-ADMINISTRAÇÃO</v>
      </c>
      <c r="L1641" t="str">
        <f t="shared" si="164"/>
        <v>131-COMUNICAÇÃO SOCIAL</v>
      </c>
      <c r="M1641" t="str">
        <f t="shared" si="165"/>
        <v>0001-Administração e Coordenação Geral​</v>
      </c>
      <c r="N1641" t="str">
        <f t="shared" si="166"/>
        <v xml:space="preserve">2.006-Representações Oficiais </v>
      </c>
      <c r="O1641" t="str">
        <f t="shared" si="167"/>
        <v>3.3.90.39.00-OUTROS SERVIÇOS DE TERCEIROS - PESSOA JURÍDICA</v>
      </c>
      <c r="R1641" s="25">
        <v>0</v>
      </c>
      <c r="S1641" t="s">
        <v>1035</v>
      </c>
    </row>
    <row r="1642" spans="1:19" x14ac:dyDescent="0.25">
      <c r="A1642" t="str">
        <f t="shared" si="156"/>
        <v>12</v>
      </c>
      <c r="B1642" t="str">
        <f t="shared" si="157"/>
        <v>001</v>
      </c>
      <c r="C1642" t="str">
        <f t="shared" si="158"/>
        <v>04</v>
      </c>
      <c r="D1642" t="str">
        <f t="shared" si="159"/>
        <v>121</v>
      </c>
      <c r="E1642" t="str">
        <f t="shared" si="160"/>
        <v>0001</v>
      </c>
      <c r="F1642" t="str">
        <f t="shared" si="161"/>
        <v>2.032</v>
      </c>
      <c r="G1642" t="str">
        <f t="shared" si="162"/>
        <v>3.3.90.92.00</v>
      </c>
      <c r="H1642" t="s">
        <v>1685</v>
      </c>
      <c r="I1642" t="str">
        <f t="shared" si="155"/>
        <v>12 - SECRETARIA DE ESPORTE, RECREAÇÃO E LAZER</v>
      </c>
      <c r="J1642" t="s">
        <v>20</v>
      </c>
      <c r="K1642" t="str">
        <f t="shared" si="163"/>
        <v>4-ADMINISTRAÇÃO</v>
      </c>
      <c r="L1642" t="str">
        <f t="shared" si="164"/>
        <v>121-PLANEJAMENTO E ORÇAMENTO</v>
      </c>
      <c r="M1642" t="str">
        <f t="shared" si="165"/>
        <v>0001-Administração e Coordenação Geral​</v>
      </c>
      <c r="N1642" t="str">
        <f t="shared" si="166"/>
        <v xml:space="preserve">2.032-Iniciação Esportiva </v>
      </c>
      <c r="O1642" t="str">
        <f t="shared" si="167"/>
        <v>3.3.90.92.00-DESPESAS DE EXERCÍCIOS ANTERIORES</v>
      </c>
      <c r="R1642" s="25">
        <v>0</v>
      </c>
      <c r="S1642" t="s">
        <v>1035</v>
      </c>
    </row>
    <row r="1643" spans="1:19" x14ac:dyDescent="0.25">
      <c r="A1643" t="str">
        <f t="shared" si="156"/>
        <v>12</v>
      </c>
      <c r="B1643" t="str">
        <f t="shared" si="157"/>
        <v>001</v>
      </c>
      <c r="C1643" t="str">
        <f t="shared" si="158"/>
        <v>04</v>
      </c>
      <c r="D1643" t="str">
        <f t="shared" si="159"/>
        <v>122</v>
      </c>
      <c r="E1643" t="str">
        <f t="shared" si="160"/>
        <v>0001</v>
      </c>
      <c r="F1643" t="str">
        <f t="shared" si="161"/>
        <v>2.006</v>
      </c>
      <c r="G1643" t="str">
        <f t="shared" si="162"/>
        <v>3.3.90.93.00</v>
      </c>
      <c r="H1643" t="s">
        <v>1686</v>
      </c>
      <c r="I1643" t="str">
        <f t="shared" si="155"/>
        <v>12 - SECRETARIA DE ESPORTE, RECREAÇÃO E LAZER</v>
      </c>
      <c r="J1643" t="s">
        <v>20</v>
      </c>
      <c r="K1643" t="str">
        <f t="shared" si="163"/>
        <v>4-ADMINISTRAÇÃO</v>
      </c>
      <c r="L1643" t="str">
        <f t="shared" si="164"/>
        <v>122-ADMINISTRAÇÃO GERAL</v>
      </c>
      <c r="M1643" t="str">
        <f t="shared" si="165"/>
        <v>0001-Administração e Coordenação Geral​</v>
      </c>
      <c r="N1643" t="str">
        <f t="shared" si="166"/>
        <v xml:space="preserve">2.006-Representações Oficiais </v>
      </c>
      <c r="O1643" t="str">
        <f t="shared" si="167"/>
        <v>3.3.90.93.00-INDENIZAÇÕES E RESTITUIÇÕES</v>
      </c>
      <c r="R1643" s="25">
        <v>0</v>
      </c>
      <c r="S1643" t="s">
        <v>1035</v>
      </c>
    </row>
    <row r="1644" spans="1:19" x14ac:dyDescent="0.25">
      <c r="A1644" t="str">
        <f t="shared" si="156"/>
        <v>12</v>
      </c>
      <c r="B1644" t="str">
        <f t="shared" si="157"/>
        <v>001</v>
      </c>
      <c r="C1644" t="str">
        <f t="shared" si="158"/>
        <v>04</v>
      </c>
      <c r="D1644" t="str">
        <f t="shared" si="159"/>
        <v>121</v>
      </c>
      <c r="E1644" t="str">
        <f t="shared" si="160"/>
        <v>0010</v>
      </c>
      <c r="F1644" t="str">
        <f t="shared" si="161"/>
        <v>2.030</v>
      </c>
      <c r="G1644" t="str">
        <f t="shared" si="162"/>
        <v>4.4.90.52.00</v>
      </c>
      <c r="H1644" t="s">
        <v>1687</v>
      </c>
      <c r="I1644" t="str">
        <f t="shared" si="155"/>
        <v>12 - SECRETARIA DE ESPORTE, RECREAÇÃO E LAZER</v>
      </c>
      <c r="J1644" t="s">
        <v>20</v>
      </c>
      <c r="K1644" t="str">
        <f t="shared" si="163"/>
        <v>4-ADMINISTRAÇÃO</v>
      </c>
      <c r="L1644" t="str">
        <f t="shared" si="164"/>
        <v>121-PLANEJAMENTO E ORÇAMENTO</v>
      </c>
      <c r="M1644" t="str">
        <f t="shared" si="165"/>
        <v>0010-Esporte, Lazer e Bem-Estar​</v>
      </c>
      <c r="N1644" t="str">
        <f t="shared" si="166"/>
        <v>2.030-Apoio ao Esporte de Alto Rendimento</v>
      </c>
      <c r="O1644" t="str">
        <f t="shared" si="167"/>
        <v>4.4.90.52.00-EQUIPAMENTOS E MATERIAL PERMANENTE</v>
      </c>
      <c r="R1644" s="25">
        <v>0</v>
      </c>
      <c r="S1644" t="s">
        <v>1035</v>
      </c>
    </row>
    <row r="1645" spans="1:19" x14ac:dyDescent="0.25">
      <c r="A1645" t="str">
        <f t="shared" si="156"/>
        <v>12</v>
      </c>
      <c r="B1645" t="str">
        <f t="shared" si="157"/>
        <v>001</v>
      </c>
      <c r="C1645" t="str">
        <f t="shared" si="158"/>
        <v>04</v>
      </c>
      <c r="D1645" t="str">
        <f t="shared" si="159"/>
        <v>122</v>
      </c>
      <c r="E1645" t="str">
        <f t="shared" si="160"/>
        <v>0002</v>
      </c>
      <c r="F1645" t="str">
        <f t="shared" si="161"/>
        <v>2.028</v>
      </c>
      <c r="G1645" t="str">
        <f t="shared" si="162"/>
        <v>3.3.90.39.00</v>
      </c>
      <c r="H1645" t="s">
        <v>1688</v>
      </c>
      <c r="I1645" t="str">
        <f t="shared" si="155"/>
        <v>12 - SECRETARIA DE ESPORTE, RECREAÇÃO E LAZER</v>
      </c>
      <c r="J1645" t="s">
        <v>20</v>
      </c>
      <c r="K1645" t="str">
        <f t="shared" si="163"/>
        <v>4-ADMINISTRAÇÃO</v>
      </c>
      <c r="L1645" t="str">
        <f t="shared" si="164"/>
        <v>122-ADMINISTRAÇÃO GERAL</v>
      </c>
      <c r="M1645" t="str">
        <f t="shared" si="165"/>
        <v>0002-Governo Inteligente, Aberto e Inovador​</v>
      </c>
      <c r="N1645" t="str">
        <f t="shared" si="166"/>
        <v>2.028-Disseminação de Atividades Culturais e Esportivas Decentralizadas</v>
      </c>
      <c r="O1645" t="str">
        <f t="shared" si="167"/>
        <v>3.3.90.39.00-OUTROS SERVIÇOS DE TERCEIROS - PESSOA JURÍDICA</v>
      </c>
      <c r="R1645" s="25">
        <v>0</v>
      </c>
      <c r="S1645" t="s">
        <v>1035</v>
      </c>
    </row>
    <row r="1646" spans="1:19" x14ac:dyDescent="0.25">
      <c r="A1646" t="str">
        <f t="shared" si="156"/>
        <v>12</v>
      </c>
      <c r="B1646" t="str">
        <f t="shared" si="157"/>
        <v>001</v>
      </c>
      <c r="C1646" t="str">
        <f t="shared" si="158"/>
        <v>27</v>
      </c>
      <c r="D1646" t="str">
        <f t="shared" si="159"/>
        <v>811</v>
      </c>
      <c r="E1646" t="str">
        <f t="shared" si="160"/>
        <v>0010</v>
      </c>
      <c r="F1646" t="str">
        <f t="shared" si="161"/>
        <v>2.031</v>
      </c>
      <c r="G1646" t="str">
        <f t="shared" si="162"/>
        <v>3.3.90.31.00</v>
      </c>
      <c r="H1646" t="s">
        <v>1689</v>
      </c>
      <c r="I1646" t="str">
        <f t="shared" si="155"/>
        <v>12 - SECRETARIA DE ESPORTE, RECREAÇÃO E LAZER</v>
      </c>
      <c r="J1646" t="s">
        <v>20</v>
      </c>
      <c r="K1646" t="str">
        <f t="shared" si="163"/>
        <v>27-DESPORTO E LAZER</v>
      </c>
      <c r="L1646" t="str">
        <f t="shared" si="164"/>
        <v>811-DESPORTO DE RENDIMENTO</v>
      </c>
      <c r="M1646" t="str">
        <f t="shared" si="165"/>
        <v>0010-Esporte, Lazer e Bem-Estar​</v>
      </c>
      <c r="N1646" t="str">
        <f t="shared" si="166"/>
        <v xml:space="preserve">2.031-Esporte Amador </v>
      </c>
      <c r="O1646" t="str">
        <f t="shared" si="167"/>
        <v>3.3.90.31.00-PREMIAÇÕES CULTURAIS, ARTÍSTICAS, CIENTÍFICAS, DESPORTIVAS E OUTRAS</v>
      </c>
      <c r="R1646" s="25">
        <v>0</v>
      </c>
      <c r="S1646" t="s">
        <v>1035</v>
      </c>
    </row>
    <row r="1647" spans="1:19" x14ac:dyDescent="0.25">
      <c r="A1647" t="str">
        <f t="shared" si="156"/>
        <v>12</v>
      </c>
      <c r="B1647" t="str">
        <f t="shared" si="157"/>
        <v>001</v>
      </c>
      <c r="C1647" t="str">
        <f t="shared" si="158"/>
        <v>27</v>
      </c>
      <c r="D1647" t="str">
        <f t="shared" si="159"/>
        <v>812</v>
      </c>
      <c r="E1647" t="str">
        <f t="shared" si="160"/>
        <v>0010</v>
      </c>
      <c r="F1647" t="str">
        <f t="shared" si="161"/>
        <v>2.032</v>
      </c>
      <c r="G1647" t="str">
        <f t="shared" si="162"/>
        <v>3.3.90.36.00</v>
      </c>
      <c r="H1647" t="s">
        <v>1690</v>
      </c>
      <c r="I1647" t="str">
        <f t="shared" si="155"/>
        <v>12 - SECRETARIA DE ESPORTE, RECREAÇÃO E LAZER</v>
      </c>
      <c r="J1647" t="s">
        <v>20</v>
      </c>
      <c r="K1647" t="str">
        <f t="shared" si="163"/>
        <v>27-DESPORTO E LAZER</v>
      </c>
      <c r="L1647" t="str">
        <f t="shared" si="164"/>
        <v>812-DESPORTO COMUNITÁRIO</v>
      </c>
      <c r="M1647" t="str">
        <f t="shared" si="165"/>
        <v>0010-Esporte, Lazer e Bem-Estar​</v>
      </c>
      <c r="N1647" t="str">
        <f t="shared" si="166"/>
        <v xml:space="preserve">2.032-Iniciação Esportiva </v>
      </c>
      <c r="O1647" t="str">
        <f t="shared" si="167"/>
        <v>3.3.90.36.00-OUTROS SERVIÇOS DE TERCEIROS - PESSOA FÍSICA</v>
      </c>
      <c r="R1647" s="25">
        <v>0</v>
      </c>
      <c r="S1647" t="s">
        <v>1035</v>
      </c>
    </row>
    <row r="1648" spans="1:19" x14ac:dyDescent="0.25">
      <c r="A1648" t="str">
        <f t="shared" si="156"/>
        <v>12</v>
      </c>
      <c r="B1648" t="str">
        <f t="shared" si="157"/>
        <v>001</v>
      </c>
      <c r="C1648" t="str">
        <f t="shared" si="158"/>
        <v>27</v>
      </c>
      <c r="D1648" t="str">
        <f t="shared" si="159"/>
        <v>812</v>
      </c>
      <c r="E1648" t="str">
        <f t="shared" si="160"/>
        <v>0010</v>
      </c>
      <c r="F1648" t="str">
        <f t="shared" si="161"/>
        <v>2.030</v>
      </c>
      <c r="G1648" t="str">
        <f t="shared" si="162"/>
        <v>3.3.90.39.00</v>
      </c>
      <c r="H1648" t="s">
        <v>1691</v>
      </c>
      <c r="I1648" t="str">
        <f t="shared" si="155"/>
        <v>12 - SECRETARIA DE ESPORTE, RECREAÇÃO E LAZER</v>
      </c>
      <c r="J1648" t="s">
        <v>20</v>
      </c>
      <c r="K1648" t="str">
        <f t="shared" si="163"/>
        <v>27-DESPORTO E LAZER</v>
      </c>
      <c r="L1648" t="str">
        <f t="shared" si="164"/>
        <v>812-DESPORTO COMUNITÁRIO</v>
      </c>
      <c r="M1648" t="str">
        <f t="shared" si="165"/>
        <v>0010-Esporte, Lazer e Bem-Estar​</v>
      </c>
      <c r="N1648" t="str">
        <f t="shared" si="166"/>
        <v>2.030-Apoio ao Esporte de Alto Rendimento</v>
      </c>
      <c r="O1648" t="str">
        <f t="shared" si="167"/>
        <v>3.3.90.39.00-OUTROS SERVIÇOS DE TERCEIROS - PESSOA JURÍDICA</v>
      </c>
      <c r="R1648" s="25">
        <v>0</v>
      </c>
      <c r="S1648" t="s">
        <v>1035</v>
      </c>
    </row>
    <row r="1649" spans="1:19" x14ac:dyDescent="0.25">
      <c r="A1649" t="str">
        <f t="shared" si="156"/>
        <v>12</v>
      </c>
      <c r="B1649" t="str">
        <f t="shared" si="157"/>
        <v>001</v>
      </c>
      <c r="C1649" t="str">
        <f t="shared" si="158"/>
        <v>27</v>
      </c>
      <c r="D1649" t="str">
        <f t="shared" si="159"/>
        <v>812</v>
      </c>
      <c r="E1649" t="str">
        <f t="shared" si="160"/>
        <v>0010</v>
      </c>
      <c r="F1649" t="str">
        <f t="shared" si="161"/>
        <v>2.006</v>
      </c>
      <c r="G1649" t="str">
        <f t="shared" si="162"/>
        <v>3.3.90.39.00</v>
      </c>
      <c r="H1649" t="s">
        <v>1692</v>
      </c>
      <c r="I1649" t="str">
        <f t="shared" si="155"/>
        <v>12 - SECRETARIA DE ESPORTE, RECREAÇÃO E LAZER</v>
      </c>
      <c r="J1649" t="s">
        <v>20</v>
      </c>
      <c r="K1649" t="str">
        <f t="shared" si="163"/>
        <v>27-DESPORTO E LAZER</v>
      </c>
      <c r="L1649" t="str">
        <f t="shared" si="164"/>
        <v>812-DESPORTO COMUNITÁRIO</v>
      </c>
      <c r="M1649" t="str">
        <f t="shared" si="165"/>
        <v>0010-Esporte, Lazer e Bem-Estar​</v>
      </c>
      <c r="N1649" t="str">
        <f t="shared" si="166"/>
        <v xml:space="preserve">2.006-Representações Oficiais </v>
      </c>
      <c r="O1649" t="str">
        <f t="shared" si="167"/>
        <v>3.3.90.39.00-OUTROS SERVIÇOS DE TERCEIROS - PESSOA JURÍDICA</v>
      </c>
      <c r="R1649" s="25">
        <v>0</v>
      </c>
      <c r="S1649" t="s">
        <v>1035</v>
      </c>
    </row>
    <row r="1650" spans="1:19" x14ac:dyDescent="0.25">
      <c r="A1650" t="str">
        <f t="shared" si="156"/>
        <v>12</v>
      </c>
      <c r="B1650" t="str">
        <f t="shared" si="157"/>
        <v>001</v>
      </c>
      <c r="C1650" t="str">
        <f t="shared" si="158"/>
        <v>27</v>
      </c>
      <c r="D1650" t="str">
        <f t="shared" si="159"/>
        <v>812</v>
      </c>
      <c r="E1650" t="str">
        <f t="shared" si="160"/>
        <v>0001</v>
      </c>
      <c r="F1650" t="str">
        <f t="shared" si="161"/>
        <v>2.032</v>
      </c>
      <c r="G1650" t="str">
        <f t="shared" si="162"/>
        <v>3.3.90.39.00</v>
      </c>
      <c r="H1650" t="s">
        <v>1693</v>
      </c>
      <c r="I1650" t="str">
        <f t="shared" si="155"/>
        <v>12 - SECRETARIA DE ESPORTE, RECREAÇÃO E LAZER</v>
      </c>
      <c r="J1650" t="s">
        <v>20</v>
      </c>
      <c r="K1650" t="str">
        <f t="shared" si="163"/>
        <v>27-DESPORTO E LAZER</v>
      </c>
      <c r="L1650" t="str">
        <f t="shared" si="164"/>
        <v>812-DESPORTO COMUNITÁRIO</v>
      </c>
      <c r="M1650" t="str">
        <f t="shared" si="165"/>
        <v>0001-Administração e Coordenação Geral​</v>
      </c>
      <c r="N1650" t="str">
        <f t="shared" si="166"/>
        <v xml:space="preserve">2.032-Iniciação Esportiva </v>
      </c>
      <c r="O1650" t="str">
        <f t="shared" si="167"/>
        <v>3.3.90.39.00-OUTROS SERVIÇOS DE TERCEIROS - PESSOA JURÍDICA</v>
      </c>
      <c r="R1650" s="25">
        <v>0</v>
      </c>
      <c r="S1650" t="s">
        <v>1035</v>
      </c>
    </row>
    <row r="1651" spans="1:19" x14ac:dyDescent="0.25">
      <c r="A1651" t="str">
        <f t="shared" si="156"/>
        <v>13</v>
      </c>
      <c r="B1651" t="str">
        <f t="shared" si="157"/>
        <v>001</v>
      </c>
      <c r="C1651" t="str">
        <f t="shared" si="158"/>
        <v>04</v>
      </c>
      <c r="D1651" t="str">
        <f t="shared" si="159"/>
        <v>122</v>
      </c>
      <c r="E1651" t="str">
        <f t="shared" si="160"/>
        <v>0001</v>
      </c>
      <c r="F1651" t="str">
        <f t="shared" si="161"/>
        <v>2.003</v>
      </c>
      <c r="G1651" t="str">
        <f t="shared" si="162"/>
        <v>3.3.90.36.00</v>
      </c>
      <c r="H1651" t="s">
        <v>1694</v>
      </c>
      <c r="I1651" t="str">
        <f t="shared" si="155"/>
        <v>13 - SECRETARIA DE HABITAÇÃO</v>
      </c>
      <c r="J1651" t="s">
        <v>20</v>
      </c>
      <c r="K1651" t="str">
        <f t="shared" si="163"/>
        <v>4-ADMINISTRAÇÃO</v>
      </c>
      <c r="L1651" t="str">
        <f t="shared" si="164"/>
        <v>122-ADMINISTRAÇÃO GERAL</v>
      </c>
      <c r="M1651" t="str">
        <f t="shared" si="165"/>
        <v>0001-Administração e Coordenação Geral​</v>
      </c>
      <c r="N1651" t="str">
        <f t="shared" si="166"/>
        <v>2.003-Qualificação de Servidores e Processos Institucionais</v>
      </c>
      <c r="O1651" t="str">
        <f t="shared" si="167"/>
        <v>3.3.90.36.00-OUTROS SERVIÇOS DE TERCEIROS - PESSOA FÍSICA</v>
      </c>
      <c r="R1651" s="25">
        <v>0</v>
      </c>
      <c r="S1651" t="s">
        <v>1035</v>
      </c>
    </row>
    <row r="1652" spans="1:19" x14ac:dyDescent="0.25">
      <c r="A1652" t="str">
        <f t="shared" si="156"/>
        <v>13</v>
      </c>
      <c r="B1652" t="str">
        <f t="shared" si="157"/>
        <v>001</v>
      </c>
      <c r="C1652" t="str">
        <f t="shared" si="158"/>
        <v>04</v>
      </c>
      <c r="D1652" t="str">
        <f t="shared" si="159"/>
        <v>122</v>
      </c>
      <c r="E1652" t="str">
        <f t="shared" si="160"/>
        <v>0001</v>
      </c>
      <c r="F1652" t="str">
        <f t="shared" si="161"/>
        <v>2.003</v>
      </c>
      <c r="G1652" t="str">
        <f t="shared" si="162"/>
        <v>3.3.90.39.00</v>
      </c>
      <c r="H1652" t="s">
        <v>1695</v>
      </c>
      <c r="I1652" t="str">
        <f t="shared" si="155"/>
        <v>13 - SECRETARIA DE HABITAÇÃO</v>
      </c>
      <c r="J1652" t="s">
        <v>20</v>
      </c>
      <c r="K1652" t="str">
        <f t="shared" si="163"/>
        <v>4-ADMINISTRAÇÃO</v>
      </c>
      <c r="L1652" t="str">
        <f t="shared" si="164"/>
        <v>122-ADMINISTRAÇÃO GERAL</v>
      </c>
      <c r="M1652" t="str">
        <f t="shared" si="165"/>
        <v>0001-Administração e Coordenação Geral​</v>
      </c>
      <c r="N1652" t="str">
        <f t="shared" si="166"/>
        <v>2.003-Qualificação de Servidores e Processos Institucionais</v>
      </c>
      <c r="O1652" t="str">
        <f t="shared" si="167"/>
        <v>3.3.90.39.00-OUTROS SERVIÇOS DE TERCEIROS - PESSOA JURÍDICA</v>
      </c>
      <c r="R1652" s="25">
        <v>0</v>
      </c>
      <c r="S1652" t="s">
        <v>1035</v>
      </c>
    </row>
    <row r="1653" spans="1:19" x14ac:dyDescent="0.25">
      <c r="A1653" t="str">
        <f t="shared" si="156"/>
        <v>13</v>
      </c>
      <c r="B1653" t="str">
        <f t="shared" si="157"/>
        <v>001</v>
      </c>
      <c r="C1653" t="str">
        <f t="shared" si="158"/>
        <v>04</v>
      </c>
      <c r="D1653" t="str">
        <f t="shared" si="159"/>
        <v>122</v>
      </c>
      <c r="E1653" t="str">
        <f t="shared" si="160"/>
        <v>0001</v>
      </c>
      <c r="F1653" t="str">
        <f t="shared" si="161"/>
        <v>2.005</v>
      </c>
      <c r="G1653" t="str">
        <f t="shared" si="162"/>
        <v>3.3.90.93.00</v>
      </c>
      <c r="H1653" t="s">
        <v>1696</v>
      </c>
      <c r="I1653" t="str">
        <f t="shared" si="155"/>
        <v>13 - SECRETARIA DE HABITAÇÃO</v>
      </c>
      <c r="J1653" t="s">
        <v>20</v>
      </c>
      <c r="K1653" t="str">
        <f t="shared" si="163"/>
        <v>4-ADMINISTRAÇÃO</v>
      </c>
      <c r="L1653" t="str">
        <f t="shared" si="164"/>
        <v>122-ADMINISTRAÇÃO GERAL</v>
      </c>
      <c r="M1653" t="str">
        <f t="shared" si="165"/>
        <v>0001-Administração e Coordenação Geral​</v>
      </c>
      <c r="N1653" t="str">
        <f t="shared" si="166"/>
        <v xml:space="preserve">2.005-Promoção de Eventos, Comunicação e Participação Social </v>
      </c>
      <c r="O1653" t="str">
        <f t="shared" si="167"/>
        <v>3.3.90.93.00-INDENIZAÇÕES E RESTITUIÇÕES</v>
      </c>
      <c r="R1653" s="25">
        <v>0</v>
      </c>
      <c r="S1653" t="s">
        <v>1035</v>
      </c>
    </row>
    <row r="1654" spans="1:19" x14ac:dyDescent="0.25">
      <c r="A1654" t="str">
        <f t="shared" si="156"/>
        <v>13</v>
      </c>
      <c r="B1654" t="str">
        <f t="shared" si="157"/>
        <v>008</v>
      </c>
      <c r="C1654" t="str">
        <f t="shared" si="158"/>
        <v>04</v>
      </c>
      <c r="D1654" t="str">
        <f t="shared" si="159"/>
        <v>122</v>
      </c>
      <c r="E1654" t="str">
        <f t="shared" si="160"/>
        <v>0001</v>
      </c>
      <c r="F1654" t="str">
        <f t="shared" si="161"/>
        <v>2.005</v>
      </c>
      <c r="G1654" t="str">
        <f t="shared" si="162"/>
        <v>3.3.90.93.00</v>
      </c>
      <c r="H1654" t="s">
        <v>1697</v>
      </c>
      <c r="I1654" t="str">
        <f t="shared" si="155"/>
        <v>13 - SECRETARIA DE HABITAÇÃO</v>
      </c>
      <c r="J1654" t="s">
        <v>355</v>
      </c>
      <c r="K1654" t="str">
        <f t="shared" si="163"/>
        <v>4-ADMINISTRAÇÃO</v>
      </c>
      <c r="L1654" t="str">
        <f t="shared" si="164"/>
        <v>122-ADMINISTRAÇÃO GERAL</v>
      </c>
      <c r="M1654" t="str">
        <f t="shared" si="165"/>
        <v>0001-Administração e Coordenação Geral​</v>
      </c>
      <c r="N1654" t="str">
        <f t="shared" si="166"/>
        <v xml:space="preserve">2.005-Promoção de Eventos, Comunicação e Participação Social </v>
      </c>
      <c r="O1654" t="str">
        <f t="shared" si="167"/>
        <v>3.3.90.93.00-INDENIZAÇÕES E RESTITUIÇÕES</v>
      </c>
      <c r="R1654" s="25">
        <v>0</v>
      </c>
      <c r="S1654" t="s">
        <v>1035</v>
      </c>
    </row>
    <row r="1655" spans="1:19" x14ac:dyDescent="0.25">
      <c r="A1655" t="str">
        <f t="shared" si="156"/>
        <v>13</v>
      </c>
      <c r="B1655" t="str">
        <f t="shared" si="157"/>
        <v>001</v>
      </c>
      <c r="C1655" t="str">
        <f t="shared" si="158"/>
        <v>04</v>
      </c>
      <c r="D1655" t="str">
        <f t="shared" si="159"/>
        <v>122</v>
      </c>
      <c r="E1655" t="str">
        <f t="shared" si="160"/>
        <v>0001</v>
      </c>
      <c r="F1655" t="str">
        <f t="shared" si="161"/>
        <v>2.005</v>
      </c>
      <c r="G1655" t="str">
        <f t="shared" si="162"/>
        <v>3.3.90.39.00</v>
      </c>
      <c r="H1655" t="s">
        <v>1698</v>
      </c>
      <c r="I1655" t="str">
        <f t="shared" si="155"/>
        <v>13 - SECRETARIA DE HABITAÇÃO</v>
      </c>
      <c r="J1655" t="s">
        <v>20</v>
      </c>
      <c r="K1655" t="str">
        <f t="shared" si="163"/>
        <v>4-ADMINISTRAÇÃO</v>
      </c>
      <c r="L1655" t="str">
        <f t="shared" si="164"/>
        <v>122-ADMINISTRAÇÃO GERAL</v>
      </c>
      <c r="M1655" t="str">
        <f t="shared" si="165"/>
        <v>0001-Administração e Coordenação Geral​</v>
      </c>
      <c r="N1655" t="str">
        <f t="shared" si="166"/>
        <v xml:space="preserve">2.005-Promoção de Eventos, Comunicação e Participação Social </v>
      </c>
      <c r="O1655" t="str">
        <f t="shared" si="167"/>
        <v>3.3.90.39.00-OUTROS SERVIÇOS DE TERCEIROS - PESSOA JURÍDICA</v>
      </c>
      <c r="R1655" s="25">
        <v>0</v>
      </c>
      <c r="S1655" t="s">
        <v>1035</v>
      </c>
    </row>
    <row r="1656" spans="1:19" x14ac:dyDescent="0.25">
      <c r="A1656" t="str">
        <f t="shared" si="156"/>
        <v>14</v>
      </c>
      <c r="B1656" t="str">
        <f t="shared" si="157"/>
        <v>001</v>
      </c>
      <c r="C1656" t="str">
        <f t="shared" si="158"/>
        <v>08</v>
      </c>
      <c r="D1656" t="str">
        <f t="shared" si="159"/>
        <v>246</v>
      </c>
      <c r="E1656" t="str">
        <f t="shared" si="160"/>
        <v>0019</v>
      </c>
      <c r="F1656" t="str">
        <f t="shared" si="161"/>
        <v>2.024</v>
      </c>
      <c r="G1656" t="str">
        <f t="shared" si="162"/>
        <v>3.3.90.39.00</v>
      </c>
      <c r="H1656" t="s">
        <v>1699</v>
      </c>
      <c r="I1656" t="str">
        <f t="shared" si="155"/>
        <v>14 - SECRETARIA DE ASSISTÊNCIA SOCIAL</v>
      </c>
      <c r="J1656" t="s">
        <v>20</v>
      </c>
      <c r="K1656" t="str">
        <f t="shared" si="163"/>
        <v>8-ASSISTÊNCIA SOCIAL</v>
      </c>
      <c r="L1656" t="str">
        <f t="shared" si="164"/>
        <v>246-SEGURANÇA DE RENDA</v>
      </c>
      <c r="M1656" t="str">
        <f t="shared" si="165"/>
        <v>0019-Segurança Alimentar e Combate à Pobreza​</v>
      </c>
      <c r="N1656" t="str">
        <f t="shared" si="166"/>
        <v>2.024-Distribuição de Alimentos e Benefícios para as Famílias em Situação de Vulnerabilidade</v>
      </c>
      <c r="O1656" t="str">
        <f t="shared" si="167"/>
        <v>3.3.90.39.00-OUTROS SERVIÇOS DE TERCEIROS - PESSOA JURÍDICA</v>
      </c>
      <c r="R1656" s="25">
        <v>0</v>
      </c>
      <c r="S1656" t="s">
        <v>1035</v>
      </c>
    </row>
    <row r="1657" spans="1:19" x14ac:dyDescent="0.25">
      <c r="A1657" t="str">
        <f t="shared" si="156"/>
        <v>14</v>
      </c>
      <c r="B1657" t="str">
        <f t="shared" si="157"/>
        <v>005</v>
      </c>
      <c r="C1657" t="str">
        <f t="shared" si="158"/>
        <v>08</v>
      </c>
      <c r="D1657" t="str">
        <f t="shared" si="159"/>
        <v>245</v>
      </c>
      <c r="E1657" t="str">
        <f t="shared" si="160"/>
        <v>0018</v>
      </c>
      <c r="F1657" t="str">
        <f t="shared" si="161"/>
        <v>2.011</v>
      </c>
      <c r="G1657" t="str">
        <f t="shared" si="162"/>
        <v>3.3.90.39.00</v>
      </c>
      <c r="H1657" t="s">
        <v>1700</v>
      </c>
      <c r="I1657" t="str">
        <f t="shared" si="155"/>
        <v>14 - SECRETARIA DE ASSISTÊNCIA SOCIAL</v>
      </c>
      <c r="J1657" t="s">
        <v>619</v>
      </c>
      <c r="K1657" t="str">
        <f t="shared" si="163"/>
        <v>8-ASSISTÊNCIA SOCIAL</v>
      </c>
      <c r="L1657" t="str">
        <f t="shared" si="164"/>
        <v>245-SERVIÇOS SOCIOASSISTENCIAIS</v>
      </c>
      <c r="M1657" t="str">
        <f t="shared" si="165"/>
        <v>0018-Proteção Social e Garantia de Direitos​</v>
      </c>
      <c r="N1657" t="str">
        <f t="shared" si="166"/>
        <v xml:space="preserve">2.011-Manutenção de Equipamentos Públicos </v>
      </c>
      <c r="O1657" t="str">
        <f t="shared" si="167"/>
        <v>3.3.90.39.00-OUTROS SERVIÇOS DE TERCEIROS - PESSOA JURÍDICA</v>
      </c>
      <c r="R1657" s="25">
        <v>0</v>
      </c>
      <c r="S1657" t="s">
        <v>1035</v>
      </c>
    </row>
    <row r="1658" spans="1:19" x14ac:dyDescent="0.25">
      <c r="A1658" t="str">
        <f t="shared" si="156"/>
        <v>14</v>
      </c>
      <c r="B1658" t="str">
        <f t="shared" si="157"/>
        <v>005</v>
      </c>
      <c r="C1658" t="str">
        <f t="shared" si="158"/>
        <v>08</v>
      </c>
      <c r="D1658" t="str">
        <f t="shared" si="159"/>
        <v>245</v>
      </c>
      <c r="E1658" t="str">
        <f t="shared" si="160"/>
        <v>0018</v>
      </c>
      <c r="F1658" t="str">
        <f t="shared" si="161"/>
        <v>2.016</v>
      </c>
      <c r="G1658" t="str">
        <f t="shared" si="162"/>
        <v>3.3.90.36.00</v>
      </c>
      <c r="H1658" t="s">
        <v>1701</v>
      </c>
      <c r="I1658" t="str">
        <f t="shared" si="155"/>
        <v>14 - SECRETARIA DE ASSISTÊNCIA SOCIAL</v>
      </c>
      <c r="J1658" t="s">
        <v>619</v>
      </c>
      <c r="K1658" t="str">
        <f t="shared" si="163"/>
        <v>8-ASSISTÊNCIA SOCIAL</v>
      </c>
      <c r="L1658" t="str">
        <f t="shared" si="164"/>
        <v>245-SERVIÇOS SOCIOASSISTENCIAIS</v>
      </c>
      <c r="M1658" t="str">
        <f t="shared" si="165"/>
        <v>0018-Proteção Social e Garantia de Direitos​</v>
      </c>
      <c r="N1658" t="str">
        <f t="shared" si="166"/>
        <v xml:space="preserve">2.016-Manutenção de Equipamentos Públicos - Proteção Especial </v>
      </c>
      <c r="O1658" t="str">
        <f t="shared" si="167"/>
        <v>3.3.90.36.00-OUTROS SERVIÇOS DE TERCEIROS - PESSOA FÍSICA</v>
      </c>
      <c r="R1658" s="25">
        <v>0</v>
      </c>
      <c r="S1658" t="s">
        <v>1035</v>
      </c>
    </row>
    <row r="1659" spans="1:19" x14ac:dyDescent="0.25">
      <c r="A1659" t="str">
        <f t="shared" si="156"/>
        <v>14</v>
      </c>
      <c r="B1659" t="str">
        <f t="shared" si="157"/>
        <v>008</v>
      </c>
      <c r="C1659" t="str">
        <f t="shared" si="158"/>
        <v>08</v>
      </c>
      <c r="D1659" t="str">
        <f t="shared" si="159"/>
        <v>245</v>
      </c>
      <c r="E1659" t="str">
        <f t="shared" si="160"/>
        <v>0018</v>
      </c>
      <c r="F1659" t="str">
        <f t="shared" si="161"/>
        <v>2.016</v>
      </c>
      <c r="G1659" t="str">
        <f t="shared" si="162"/>
        <v>3.3.90.39.00</v>
      </c>
      <c r="H1659" t="s">
        <v>1702</v>
      </c>
      <c r="I1659" t="str">
        <f t="shared" si="155"/>
        <v>14 - SECRETARIA DE ASSISTÊNCIA SOCIAL</v>
      </c>
      <c r="J1659" t="s">
        <v>355</v>
      </c>
      <c r="K1659" t="str">
        <f t="shared" si="163"/>
        <v>8-ASSISTÊNCIA SOCIAL</v>
      </c>
      <c r="L1659" t="str">
        <f t="shared" si="164"/>
        <v>245-SERVIÇOS SOCIOASSISTENCIAIS</v>
      </c>
      <c r="M1659" t="str">
        <f t="shared" si="165"/>
        <v>0018-Proteção Social e Garantia de Direitos​</v>
      </c>
      <c r="N1659" t="str">
        <f t="shared" si="166"/>
        <v xml:space="preserve">2.016-Manutenção de Equipamentos Públicos - Proteção Especial </v>
      </c>
      <c r="O1659" t="str">
        <f t="shared" si="167"/>
        <v>3.3.90.39.00-OUTROS SERVIÇOS DE TERCEIROS - PESSOA JURÍDICA</v>
      </c>
      <c r="R1659" s="25">
        <v>0</v>
      </c>
      <c r="S1659" t="s">
        <v>1035</v>
      </c>
    </row>
    <row r="1660" spans="1:19" x14ac:dyDescent="0.25">
      <c r="A1660" t="str">
        <f t="shared" si="156"/>
        <v>15</v>
      </c>
      <c r="B1660" t="str">
        <f t="shared" si="157"/>
        <v>001</v>
      </c>
      <c r="C1660" t="str">
        <f t="shared" si="158"/>
        <v>13</v>
      </c>
      <c r="D1660" t="str">
        <f t="shared" si="159"/>
        <v>131</v>
      </c>
      <c r="E1660" t="str">
        <f t="shared" si="160"/>
        <v>0009</v>
      </c>
      <c r="F1660" t="str">
        <f t="shared" si="161"/>
        <v>2.005</v>
      </c>
      <c r="G1660" t="str">
        <f t="shared" si="162"/>
        <v>3.3.90.39.00</v>
      </c>
      <c r="H1660" t="s">
        <v>1703</v>
      </c>
      <c r="I1660" t="str">
        <f t="shared" si="155"/>
        <v>15 - SECRETARIA DA CULTURA</v>
      </c>
      <c r="J1660" t="s">
        <v>20</v>
      </c>
      <c r="K1660" t="str">
        <f t="shared" si="163"/>
        <v>13-CULTURA</v>
      </c>
      <c r="L1660" t="str">
        <f t="shared" si="164"/>
        <v>131-COMUNICAÇÃO SOCIAL</v>
      </c>
      <c r="M1660" t="str">
        <f t="shared" si="165"/>
        <v>0009-Cultura, Economia Criativa e Patrimônio Histórico​</v>
      </c>
      <c r="N1660" t="str">
        <f t="shared" si="166"/>
        <v xml:space="preserve">2.005-Promoção de Eventos, Comunicação e Participação Social </v>
      </c>
      <c r="O1660" t="str">
        <f t="shared" si="167"/>
        <v>3.3.90.39.00-OUTROS SERVIÇOS DE TERCEIROS - PESSOA JURÍDICA</v>
      </c>
      <c r="R1660" s="25">
        <v>0</v>
      </c>
      <c r="S1660" t="s">
        <v>1035</v>
      </c>
    </row>
    <row r="1661" spans="1:19" x14ac:dyDescent="0.25">
      <c r="A1661" t="str">
        <f t="shared" si="156"/>
        <v>15</v>
      </c>
      <c r="B1661" t="str">
        <f t="shared" si="157"/>
        <v>001</v>
      </c>
      <c r="C1661" t="str">
        <f t="shared" si="158"/>
        <v>13</v>
      </c>
      <c r="D1661" t="str">
        <f t="shared" si="159"/>
        <v>392</v>
      </c>
      <c r="E1661" t="str">
        <f t="shared" si="160"/>
        <v>0001</v>
      </c>
      <c r="F1661" t="str">
        <f t="shared" si="161"/>
        <v>2.011</v>
      </c>
      <c r="G1661" t="str">
        <f t="shared" si="162"/>
        <v>3.3.90.30.00</v>
      </c>
      <c r="H1661" t="s">
        <v>1704</v>
      </c>
      <c r="I1661" t="str">
        <f t="shared" si="155"/>
        <v>15 - SECRETARIA DA CULTURA</v>
      </c>
      <c r="J1661" t="s">
        <v>20</v>
      </c>
      <c r="K1661" t="str">
        <f t="shared" si="163"/>
        <v>13-CULTURA</v>
      </c>
      <c r="L1661" t="str">
        <f t="shared" si="164"/>
        <v>392-DIFUSÃO CULTURAL</v>
      </c>
      <c r="M1661" t="str">
        <f t="shared" si="165"/>
        <v>0001-Administração e Coordenação Geral​</v>
      </c>
      <c r="N1661" t="str">
        <f t="shared" si="166"/>
        <v xml:space="preserve">2.011-Manutenção de Equipamentos Públicos </v>
      </c>
      <c r="O1661" t="str">
        <f t="shared" si="167"/>
        <v>3.3.90.30.00-MATERIAL DE CONSUMO</v>
      </c>
      <c r="R1661" s="25">
        <v>0</v>
      </c>
      <c r="S1661" t="s">
        <v>1035</v>
      </c>
    </row>
    <row r="1662" spans="1:19" x14ac:dyDescent="0.25">
      <c r="A1662" t="str">
        <f t="shared" si="156"/>
        <v>16</v>
      </c>
      <c r="B1662" t="str">
        <f t="shared" si="157"/>
        <v>001</v>
      </c>
      <c r="C1662" t="str">
        <f t="shared" si="158"/>
        <v>23</v>
      </c>
      <c r="D1662" t="str">
        <f t="shared" si="159"/>
        <v>131</v>
      </c>
      <c r="E1662" t="str">
        <f t="shared" si="160"/>
        <v>0002</v>
      </c>
      <c r="F1662" t="str">
        <f t="shared" si="161"/>
        <v>2.005</v>
      </c>
      <c r="G1662" t="str">
        <f t="shared" si="162"/>
        <v>3.3.90.39.00</v>
      </c>
      <c r="H1662" t="s">
        <v>1705</v>
      </c>
      <c r="I1662" t="str">
        <f t="shared" si="155"/>
        <v>16 - SECRETARIA DE TECNOLOGIA, INOVAÇÃO E DESENVOLVIMENTO ECONÔMICO</v>
      </c>
      <c r="J1662" t="s">
        <v>20</v>
      </c>
      <c r="K1662" t="str">
        <f t="shared" si="163"/>
        <v>23-COMÉRCIO E SERVIÇOS</v>
      </c>
      <c r="L1662" t="str">
        <f t="shared" si="164"/>
        <v>131-COMUNICAÇÃO SOCIAL</v>
      </c>
      <c r="M1662" t="str">
        <f t="shared" si="165"/>
        <v>0002-Governo Inteligente, Aberto e Inovador​</v>
      </c>
      <c r="N1662" t="str">
        <f t="shared" si="166"/>
        <v xml:space="preserve">2.005-Promoção de Eventos, Comunicação e Participação Social </v>
      </c>
      <c r="O1662" t="str">
        <f t="shared" si="167"/>
        <v>3.3.90.39.00-OUTROS SERVIÇOS DE TERCEIROS - PESSOA JURÍDICA</v>
      </c>
      <c r="R1662" s="25">
        <v>0</v>
      </c>
      <c r="S1662" t="s">
        <v>1035</v>
      </c>
    </row>
    <row r="1663" spans="1:19" x14ac:dyDescent="0.25">
      <c r="A1663" t="str">
        <f t="shared" si="156"/>
        <v>17</v>
      </c>
      <c r="B1663" t="str">
        <f t="shared" si="157"/>
        <v>001</v>
      </c>
      <c r="C1663" t="str">
        <f t="shared" si="158"/>
        <v>04</v>
      </c>
      <c r="D1663" t="str">
        <f t="shared" si="159"/>
        <v>122</v>
      </c>
      <c r="E1663" t="str">
        <f t="shared" si="160"/>
        <v>0007</v>
      </c>
      <c r="F1663" t="str">
        <f t="shared" si="161"/>
        <v>2.011</v>
      </c>
      <c r="G1663" t="str">
        <f t="shared" si="162"/>
        <v>3.3.90.30.00</v>
      </c>
      <c r="H1663" t="s">
        <v>1706</v>
      </c>
      <c r="I1663" t="str">
        <f t="shared" si="155"/>
        <v>17 - SECRETARIA DE MEIO AMBIENTE E RECURSOS HÍDRICOS</v>
      </c>
      <c r="J1663" t="s">
        <v>20</v>
      </c>
      <c r="K1663" t="str">
        <f t="shared" si="163"/>
        <v>4-ADMINISTRAÇÃO</v>
      </c>
      <c r="L1663" t="str">
        <f t="shared" si="164"/>
        <v>122-ADMINISTRAÇÃO GERAL</v>
      </c>
      <c r="M1663" t="str">
        <f t="shared" si="165"/>
        <v>0007-Meio Ambiente, Sustentabilidade e Bem-Estar Animal​</v>
      </c>
      <c r="N1663" t="str">
        <f t="shared" si="166"/>
        <v xml:space="preserve">2.011-Manutenção de Equipamentos Públicos </v>
      </c>
      <c r="O1663" t="str">
        <f t="shared" si="167"/>
        <v>3.3.90.30.00-MATERIAL DE CONSUMO</v>
      </c>
      <c r="R1663" s="25">
        <v>0</v>
      </c>
      <c r="S1663" t="s">
        <v>1035</v>
      </c>
    </row>
    <row r="1664" spans="1:19" x14ac:dyDescent="0.25">
      <c r="A1664" t="str">
        <f t="shared" si="156"/>
        <v>17</v>
      </c>
      <c r="B1664" t="str">
        <f t="shared" si="157"/>
        <v>001</v>
      </c>
      <c r="C1664" t="str">
        <f t="shared" si="158"/>
        <v>04</v>
      </c>
      <c r="D1664" t="str">
        <f t="shared" si="159"/>
        <v>541</v>
      </c>
      <c r="E1664" t="str">
        <f t="shared" si="160"/>
        <v>0007</v>
      </c>
      <c r="F1664" t="str">
        <f t="shared" si="161"/>
        <v>2.011</v>
      </c>
      <c r="G1664" t="str">
        <f t="shared" si="162"/>
        <v>3.3.50.85.00</v>
      </c>
      <c r="H1664" t="s">
        <v>1707</v>
      </c>
      <c r="I1664" t="str">
        <f t="shared" si="155"/>
        <v>17 - SECRETARIA DE MEIO AMBIENTE E RECURSOS HÍDRICOS</v>
      </c>
      <c r="J1664" t="s">
        <v>20</v>
      </c>
      <c r="K1664" t="str">
        <f t="shared" si="163"/>
        <v>4-ADMINISTRAÇÃO</v>
      </c>
      <c r="L1664" t="str">
        <f t="shared" si="164"/>
        <v>541-PRESERVAÇÃO E CONSERVAÇÃO AMBIENTAL</v>
      </c>
      <c r="M1664" t="str">
        <f t="shared" si="165"/>
        <v>0007-Meio Ambiente, Sustentabilidade e Bem-Estar Animal​</v>
      </c>
      <c r="N1664" t="str">
        <f t="shared" si="166"/>
        <v xml:space="preserve">2.011-Manutenção de Equipamentos Públicos </v>
      </c>
      <c r="O1664" t="str">
        <f t="shared" si="167"/>
        <v>3.3.50.85.00-CONTRATO DE GESTÃO</v>
      </c>
      <c r="R1664" s="25">
        <v>0</v>
      </c>
      <c r="S1664" t="s">
        <v>1035</v>
      </c>
    </row>
    <row r="1665" spans="1:19" x14ac:dyDescent="0.25">
      <c r="A1665" t="str">
        <f t="shared" si="156"/>
        <v>17</v>
      </c>
      <c r="B1665" t="str">
        <f t="shared" si="157"/>
        <v>001</v>
      </c>
      <c r="C1665" t="str">
        <f t="shared" si="158"/>
        <v>04</v>
      </c>
      <c r="D1665" t="str">
        <f t="shared" si="159"/>
        <v>541</v>
      </c>
      <c r="E1665" t="str">
        <f t="shared" si="160"/>
        <v>0007</v>
      </c>
      <c r="F1665" t="str">
        <f t="shared" si="161"/>
        <v>2.011</v>
      </c>
      <c r="G1665" t="str">
        <f t="shared" si="162"/>
        <v>3.3.90.39.00</v>
      </c>
      <c r="H1665" t="s">
        <v>1708</v>
      </c>
      <c r="I1665" t="str">
        <f t="shared" si="155"/>
        <v>17 - SECRETARIA DE MEIO AMBIENTE E RECURSOS HÍDRICOS</v>
      </c>
      <c r="J1665" t="s">
        <v>20</v>
      </c>
      <c r="K1665" t="str">
        <f t="shared" si="163"/>
        <v>4-ADMINISTRAÇÃO</v>
      </c>
      <c r="L1665" t="str">
        <f t="shared" si="164"/>
        <v>541-PRESERVAÇÃO E CONSERVAÇÃO AMBIENTAL</v>
      </c>
      <c r="M1665" t="str">
        <f t="shared" si="165"/>
        <v>0007-Meio Ambiente, Sustentabilidade e Bem-Estar Animal​</v>
      </c>
      <c r="N1665" t="str">
        <f t="shared" si="166"/>
        <v xml:space="preserve">2.011-Manutenção de Equipamentos Públicos </v>
      </c>
      <c r="O1665" t="str">
        <f t="shared" si="167"/>
        <v>3.3.90.39.00-OUTROS SERVIÇOS DE TERCEIROS - PESSOA JURÍDICA</v>
      </c>
      <c r="R1665" s="25">
        <v>0</v>
      </c>
      <c r="S1665" t="s">
        <v>1035</v>
      </c>
    </row>
    <row r="1666" spans="1:19" x14ac:dyDescent="0.25">
      <c r="A1666" t="str">
        <f t="shared" si="156"/>
        <v>17</v>
      </c>
      <c r="B1666" t="str">
        <f t="shared" si="157"/>
        <v>001</v>
      </c>
      <c r="C1666" t="str">
        <f t="shared" si="158"/>
        <v>04</v>
      </c>
      <c r="D1666" t="str">
        <f t="shared" si="159"/>
        <v>122</v>
      </c>
      <c r="E1666" t="str">
        <f t="shared" si="160"/>
        <v>0007</v>
      </c>
      <c r="F1666" t="str">
        <f t="shared" si="161"/>
        <v>2.011</v>
      </c>
      <c r="G1666" t="str">
        <f t="shared" si="162"/>
        <v>3.3.90.39.00</v>
      </c>
      <c r="H1666" t="s">
        <v>1709</v>
      </c>
      <c r="I1666" t="str">
        <f t="shared" si="155"/>
        <v>17 - SECRETARIA DE MEIO AMBIENTE E RECURSOS HÍDRICOS</v>
      </c>
      <c r="J1666" t="s">
        <v>20</v>
      </c>
      <c r="K1666" t="str">
        <f t="shared" si="163"/>
        <v>4-ADMINISTRAÇÃO</v>
      </c>
      <c r="L1666" t="str">
        <f t="shared" si="164"/>
        <v>122-ADMINISTRAÇÃO GERAL</v>
      </c>
      <c r="M1666" t="str">
        <f t="shared" si="165"/>
        <v>0007-Meio Ambiente, Sustentabilidade e Bem-Estar Animal​</v>
      </c>
      <c r="N1666" t="str">
        <f t="shared" si="166"/>
        <v xml:space="preserve">2.011-Manutenção de Equipamentos Públicos </v>
      </c>
      <c r="O1666" t="str">
        <f t="shared" si="167"/>
        <v>3.3.90.39.00-OUTROS SERVIÇOS DE TERCEIROS - PESSOA JURÍDICA</v>
      </c>
      <c r="R1666" s="25">
        <v>0</v>
      </c>
      <c r="S1666" t="s">
        <v>1035</v>
      </c>
    </row>
    <row r="1667" spans="1:19" x14ac:dyDescent="0.25">
      <c r="A1667" t="str">
        <f t="shared" si="156"/>
        <v>17</v>
      </c>
      <c r="B1667" t="str">
        <f t="shared" si="157"/>
        <v>001</v>
      </c>
      <c r="C1667" t="str">
        <f t="shared" si="158"/>
        <v>18</v>
      </c>
      <c r="D1667" t="str">
        <f t="shared" si="159"/>
        <v>122</v>
      </c>
      <c r="E1667" t="str">
        <f t="shared" si="160"/>
        <v>0001</v>
      </c>
      <c r="F1667" t="str">
        <f t="shared" si="161"/>
        <v>2.011</v>
      </c>
      <c r="G1667" t="str">
        <f t="shared" si="162"/>
        <v>3.3.90.93.00</v>
      </c>
      <c r="H1667" t="s">
        <v>1711</v>
      </c>
      <c r="I1667" t="str">
        <f t="shared" si="155"/>
        <v>17 - SECRETARIA DE MEIO AMBIENTE E RECURSOS HÍDRICOS</v>
      </c>
      <c r="J1667" t="s">
        <v>20</v>
      </c>
      <c r="K1667" t="str">
        <f t="shared" si="163"/>
        <v>18-GESTÃO AMBIENTAL</v>
      </c>
      <c r="L1667" t="str">
        <f t="shared" si="164"/>
        <v>122-ADMINISTRAÇÃO GERAL</v>
      </c>
      <c r="M1667" t="str">
        <f t="shared" si="165"/>
        <v>0001-Administração e Coordenação Geral​</v>
      </c>
      <c r="N1667" t="str">
        <f t="shared" si="166"/>
        <v xml:space="preserve">2.011-Manutenção de Equipamentos Públicos </v>
      </c>
      <c r="O1667" t="str">
        <f t="shared" si="167"/>
        <v>3.3.90.93.00-INDENIZAÇÕES E RESTITUIÇÕES</v>
      </c>
      <c r="R1667" s="25">
        <v>0</v>
      </c>
      <c r="S1667" t="s">
        <v>1035</v>
      </c>
    </row>
    <row r="1668" spans="1:19" x14ac:dyDescent="0.25">
      <c r="A1668" t="str">
        <f t="shared" si="156"/>
        <v>18</v>
      </c>
      <c r="B1668" t="str">
        <f t="shared" si="157"/>
        <v>002</v>
      </c>
      <c r="C1668" t="str">
        <f t="shared" si="158"/>
        <v>04</v>
      </c>
      <c r="D1668" t="str">
        <f t="shared" si="159"/>
        <v>122</v>
      </c>
      <c r="E1668" t="str">
        <f t="shared" si="160"/>
        <v>0001</v>
      </c>
      <c r="F1668" t="str">
        <f t="shared" si="161"/>
        <v>2.011</v>
      </c>
      <c r="G1668" t="str">
        <f t="shared" si="162"/>
        <v>3.3.90.92.00</v>
      </c>
      <c r="H1668" t="s">
        <v>1712</v>
      </c>
      <c r="I1668" t="str">
        <f t="shared" si="155"/>
        <v>18 - ENCARGOS/ADMINISTRAÇÃO</v>
      </c>
      <c r="J1668" t="s">
        <v>775</v>
      </c>
      <c r="K1668" t="str">
        <f t="shared" si="163"/>
        <v>4-ADMINISTRAÇÃO</v>
      </c>
      <c r="L1668" t="str">
        <f t="shared" si="164"/>
        <v>122-ADMINISTRAÇÃO GERAL</v>
      </c>
      <c r="M1668" t="str">
        <f t="shared" si="165"/>
        <v>0001-Administração e Coordenação Geral​</v>
      </c>
      <c r="N1668" t="str">
        <f t="shared" si="166"/>
        <v xml:space="preserve">2.011-Manutenção de Equipamentos Públicos </v>
      </c>
      <c r="O1668" t="str">
        <f t="shared" si="167"/>
        <v>3.3.90.92.00-DESPESAS DE EXERCÍCIOS ANTERIORES</v>
      </c>
      <c r="R1668" s="25">
        <v>0</v>
      </c>
      <c r="S1668" t="s">
        <v>1035</v>
      </c>
    </row>
    <row r="1669" spans="1:19" x14ac:dyDescent="0.25">
      <c r="A1669" t="str">
        <f t="shared" si="156"/>
        <v>18</v>
      </c>
      <c r="B1669" t="str">
        <f t="shared" si="157"/>
        <v>002</v>
      </c>
      <c r="C1669" t="str">
        <f t="shared" si="158"/>
        <v>04</v>
      </c>
      <c r="D1669" t="str">
        <f t="shared" si="159"/>
        <v>122</v>
      </c>
      <c r="E1669" t="str">
        <f t="shared" si="160"/>
        <v>0001</v>
      </c>
      <c r="F1669" t="str">
        <f t="shared" si="161"/>
        <v>2.011</v>
      </c>
      <c r="G1669" t="str">
        <f t="shared" si="162"/>
        <v>3.3.90.93.00</v>
      </c>
      <c r="H1669" t="s">
        <v>1713</v>
      </c>
      <c r="I1669" t="str">
        <f t="shared" si="155"/>
        <v>18 - ENCARGOS/ADMINISTRAÇÃO</v>
      </c>
      <c r="J1669" t="s">
        <v>775</v>
      </c>
      <c r="K1669" t="str">
        <f t="shared" si="163"/>
        <v>4-ADMINISTRAÇÃO</v>
      </c>
      <c r="L1669" t="str">
        <f t="shared" si="164"/>
        <v>122-ADMINISTRAÇÃO GERAL</v>
      </c>
      <c r="M1669" t="str">
        <f t="shared" si="165"/>
        <v>0001-Administração e Coordenação Geral​</v>
      </c>
      <c r="N1669" t="str">
        <f t="shared" si="166"/>
        <v xml:space="preserve">2.011-Manutenção de Equipamentos Públicos </v>
      </c>
      <c r="O1669" t="str">
        <f t="shared" si="167"/>
        <v>3.3.90.93.00-INDENIZAÇÕES E RESTITUIÇÕES</v>
      </c>
      <c r="R1669" s="25">
        <v>0</v>
      </c>
      <c r="S1669" t="s">
        <v>1035</v>
      </c>
    </row>
    <row r="1670" spans="1:19" x14ac:dyDescent="0.25">
      <c r="A1670" t="str">
        <f t="shared" si="156"/>
        <v>18</v>
      </c>
      <c r="B1670" t="str">
        <f t="shared" si="157"/>
        <v>002</v>
      </c>
      <c r="C1670" t="str">
        <f t="shared" si="158"/>
        <v>04</v>
      </c>
      <c r="D1670" t="str">
        <f t="shared" si="159"/>
        <v>122</v>
      </c>
      <c r="E1670" t="str">
        <f t="shared" si="160"/>
        <v>0001</v>
      </c>
      <c r="F1670" t="str">
        <f t="shared" si="161"/>
        <v>2.009</v>
      </c>
      <c r="G1670" t="str">
        <f t="shared" si="162"/>
        <v>3.3.90.92.00</v>
      </c>
      <c r="H1670" t="s">
        <v>1714</v>
      </c>
      <c r="I1670" t="str">
        <f t="shared" si="155"/>
        <v>18 - ENCARGOS/ADMINISTRAÇÃO</v>
      </c>
      <c r="J1670" t="s">
        <v>775</v>
      </c>
      <c r="K1670" t="str">
        <f t="shared" si="163"/>
        <v>4-ADMINISTRAÇÃO</v>
      </c>
      <c r="L1670" t="str">
        <f t="shared" si="164"/>
        <v>122-ADMINISTRAÇÃO GERAL</v>
      </c>
      <c r="M1670" t="str">
        <f t="shared" si="165"/>
        <v>0001-Administração e Coordenação Geral​</v>
      </c>
      <c r="N1670" t="str">
        <f t="shared" si="166"/>
        <v>2.009-Locação de Imóveis</v>
      </c>
      <c r="O1670" t="str">
        <f t="shared" si="167"/>
        <v>3.3.90.92.00-DESPESAS DE EXERCÍCIOS ANTERIORES</v>
      </c>
      <c r="R1670" s="25">
        <v>0</v>
      </c>
      <c r="S1670" t="s">
        <v>1035</v>
      </c>
    </row>
    <row r="1671" spans="1:19" x14ac:dyDescent="0.25">
      <c r="A1671" t="str">
        <f t="shared" si="156"/>
        <v>18</v>
      </c>
      <c r="B1671" t="str">
        <f t="shared" si="157"/>
        <v>001</v>
      </c>
      <c r="C1671" t="str">
        <f t="shared" si="158"/>
        <v>04</v>
      </c>
      <c r="D1671" t="str">
        <f t="shared" si="159"/>
        <v>122</v>
      </c>
      <c r="E1671" t="str">
        <f t="shared" si="160"/>
        <v>0001</v>
      </c>
      <c r="F1671" t="str">
        <f t="shared" si="161"/>
        <v>2.011</v>
      </c>
      <c r="G1671" t="str">
        <f t="shared" si="162"/>
        <v>3.3.90.91.00</v>
      </c>
      <c r="H1671" t="s">
        <v>1715</v>
      </c>
      <c r="I1671" t="s">
        <v>789</v>
      </c>
      <c r="J1671" t="s">
        <v>20</v>
      </c>
      <c r="K1671" t="str">
        <f t="shared" si="163"/>
        <v>4-ADMINISTRAÇÃO</v>
      </c>
      <c r="L1671" t="str">
        <f t="shared" si="164"/>
        <v>122-ADMINISTRAÇÃO GERAL</v>
      </c>
      <c r="M1671" t="str">
        <f t="shared" si="165"/>
        <v>0001-Administração e Coordenação Geral​</v>
      </c>
      <c r="N1671" t="str">
        <f t="shared" si="166"/>
        <v xml:space="preserve">2.011-Manutenção de Equipamentos Públicos </v>
      </c>
      <c r="O1671" t="str">
        <f t="shared" si="167"/>
        <v>3.3.90.91.00-SENTENÇAS JUDICIAIS</v>
      </c>
      <c r="R1671" s="25">
        <v>0</v>
      </c>
      <c r="S1671" t="s">
        <v>1035</v>
      </c>
    </row>
    <row r="1672" spans="1:19" x14ac:dyDescent="0.25">
      <c r="A1672" t="str">
        <f t="shared" si="156"/>
        <v>23</v>
      </c>
      <c r="B1672" t="str">
        <f t="shared" si="157"/>
        <v>001</v>
      </c>
      <c r="C1672" t="str">
        <f t="shared" si="158"/>
        <v>04</v>
      </c>
      <c r="D1672" t="str">
        <f t="shared" si="159"/>
        <v>122</v>
      </c>
      <c r="E1672" t="str">
        <f t="shared" si="160"/>
        <v>0001</v>
      </c>
      <c r="F1672" t="str">
        <f t="shared" si="161"/>
        <v>2.005</v>
      </c>
      <c r="G1672" t="str">
        <f t="shared" si="162"/>
        <v>4.4.90.52.00</v>
      </c>
      <c r="H1672" t="s">
        <v>1720</v>
      </c>
      <c r="I1672" t="str">
        <f t="shared" si="155"/>
        <v>23 - SECRETARIA DE COMUNICAÇÃO</v>
      </c>
      <c r="J1672" t="s">
        <v>20</v>
      </c>
      <c r="K1672" t="str">
        <f t="shared" si="163"/>
        <v>4-ADMINISTRAÇÃO</v>
      </c>
      <c r="L1672" t="str">
        <f t="shared" si="164"/>
        <v>122-ADMINISTRAÇÃO GERAL</v>
      </c>
      <c r="M1672" t="str">
        <f t="shared" si="165"/>
        <v>0001-Administração e Coordenação Geral​</v>
      </c>
      <c r="N1672" t="str">
        <f t="shared" si="166"/>
        <v xml:space="preserve">2.005-Promoção de Eventos, Comunicação e Participação Social </v>
      </c>
      <c r="O1672" t="str">
        <f t="shared" si="167"/>
        <v>4.4.90.52.00-EQUIPAMENTOS E MATERIAL PERMANENTE</v>
      </c>
      <c r="R1672" s="25">
        <v>0</v>
      </c>
      <c r="S1672" t="s">
        <v>1035</v>
      </c>
    </row>
    <row r="1673" spans="1:19" x14ac:dyDescent="0.25">
      <c r="A1673" t="str">
        <f t="shared" si="156"/>
        <v>23</v>
      </c>
      <c r="B1673" t="str">
        <f t="shared" si="157"/>
        <v>001</v>
      </c>
      <c r="C1673" t="str">
        <f t="shared" si="158"/>
        <v>04</v>
      </c>
      <c r="D1673" t="str">
        <f t="shared" si="159"/>
        <v>128</v>
      </c>
      <c r="E1673" t="str">
        <f t="shared" si="160"/>
        <v>0002</v>
      </c>
      <c r="F1673" t="str">
        <f t="shared" si="161"/>
        <v>2.003</v>
      </c>
      <c r="G1673" t="str">
        <f t="shared" si="162"/>
        <v>4.4.90.52.00</v>
      </c>
      <c r="H1673" t="s">
        <v>1721</v>
      </c>
      <c r="I1673" t="str">
        <f t="shared" si="155"/>
        <v>23 - SECRETARIA DE COMUNICAÇÃO</v>
      </c>
      <c r="J1673" t="s">
        <v>20</v>
      </c>
      <c r="K1673" t="str">
        <f t="shared" si="163"/>
        <v>4-ADMINISTRAÇÃO</v>
      </c>
      <c r="L1673" t="str">
        <f t="shared" si="164"/>
        <v>128-FORMAÇÃO DE RECURSOS HUMANOS</v>
      </c>
      <c r="M1673" t="str">
        <f t="shared" si="165"/>
        <v>0002-Governo Inteligente, Aberto e Inovador​</v>
      </c>
      <c r="N1673" t="str">
        <f t="shared" si="166"/>
        <v>2.003-Qualificação de Servidores e Processos Institucionais</v>
      </c>
      <c r="O1673" t="str">
        <f t="shared" si="167"/>
        <v>4.4.90.52.00-EQUIPAMENTOS E MATERIAL PERMANENTE</v>
      </c>
      <c r="R1673" s="25">
        <v>0</v>
      </c>
      <c r="S1673" t="s">
        <v>1035</v>
      </c>
    </row>
    <row r="1674" spans="1:19" x14ac:dyDescent="0.25">
      <c r="A1674" t="str">
        <f t="shared" si="156"/>
        <v>23</v>
      </c>
      <c r="B1674" t="str">
        <f t="shared" si="157"/>
        <v>001</v>
      </c>
      <c r="C1674" t="str">
        <f t="shared" si="158"/>
        <v>04</v>
      </c>
      <c r="D1674" t="str">
        <f t="shared" si="159"/>
        <v>131</v>
      </c>
      <c r="E1674" t="str">
        <f t="shared" si="160"/>
        <v>0002</v>
      </c>
      <c r="F1674" t="str">
        <f t="shared" si="161"/>
        <v>2.005</v>
      </c>
      <c r="G1674" t="str">
        <f t="shared" si="162"/>
        <v>4.4.90.52.00</v>
      </c>
      <c r="H1674" t="s">
        <v>1722</v>
      </c>
      <c r="I1674" t="str">
        <f t="shared" si="155"/>
        <v>23 - SECRETARIA DE COMUNICAÇÃO</v>
      </c>
      <c r="J1674" t="s">
        <v>20</v>
      </c>
      <c r="K1674" t="str">
        <f t="shared" si="163"/>
        <v>4-ADMINISTRAÇÃO</v>
      </c>
      <c r="L1674" t="str">
        <f t="shared" si="164"/>
        <v>131-COMUNICAÇÃO SOCIAL</v>
      </c>
      <c r="M1674" t="str">
        <f t="shared" si="165"/>
        <v>0002-Governo Inteligente, Aberto e Inovador​</v>
      </c>
      <c r="N1674" t="str">
        <f t="shared" si="166"/>
        <v xml:space="preserve">2.005-Promoção de Eventos, Comunicação e Participação Social </v>
      </c>
      <c r="O1674" t="str">
        <f t="shared" si="167"/>
        <v>4.4.90.52.00-EQUIPAMENTOS E MATERIAL PERMANENTE</v>
      </c>
      <c r="R1674" s="25">
        <v>0</v>
      </c>
      <c r="S1674" t="s">
        <v>1035</v>
      </c>
    </row>
    <row r="1675" spans="1:19" x14ac:dyDescent="0.25">
      <c r="A1675" t="str">
        <f t="shared" si="156"/>
        <v>24</v>
      </c>
      <c r="B1675" t="str">
        <f t="shared" si="157"/>
        <v>001</v>
      </c>
      <c r="C1675" t="str">
        <f t="shared" si="158"/>
        <v>04</v>
      </c>
      <c r="D1675" t="str">
        <f t="shared" si="159"/>
        <v>121</v>
      </c>
      <c r="E1675" t="str">
        <f t="shared" si="160"/>
        <v>0001</v>
      </c>
      <c r="F1675" t="str">
        <f t="shared" si="161"/>
        <v>2.011</v>
      </c>
      <c r="G1675" t="str">
        <f t="shared" si="162"/>
        <v>3.3.90.39.00</v>
      </c>
      <c r="H1675" t="s">
        <v>1723</v>
      </c>
      <c r="I1675" t="str">
        <f t="shared" si="155"/>
        <v>24 - SECRETARIA DE PLANEJAMENTO E GESTÃO</v>
      </c>
      <c r="J1675" t="s">
        <v>20</v>
      </c>
      <c r="K1675" t="str">
        <f t="shared" si="163"/>
        <v>4-ADMINISTRAÇÃO</v>
      </c>
      <c r="L1675" t="str">
        <f t="shared" si="164"/>
        <v>121-PLANEJAMENTO E ORÇAMENTO</v>
      </c>
      <c r="M1675" t="str">
        <f t="shared" si="165"/>
        <v>0001-Administração e Coordenação Geral​</v>
      </c>
      <c r="N1675" t="str">
        <f t="shared" si="166"/>
        <v xml:space="preserve">2.011-Manutenção de Equipamentos Públicos </v>
      </c>
      <c r="O1675" t="str">
        <f t="shared" si="167"/>
        <v>3.3.90.39.00-OUTROS SERVIÇOS DE TERCEIROS - PESSOA JURÍDICA</v>
      </c>
      <c r="R1675" s="25">
        <v>0</v>
      </c>
      <c r="S1675" t="s">
        <v>1035</v>
      </c>
    </row>
    <row r="1676" spans="1:19" x14ac:dyDescent="0.25">
      <c r="A1676" t="str">
        <f t="shared" si="156"/>
        <v>24</v>
      </c>
      <c r="B1676" t="str">
        <f t="shared" si="157"/>
        <v>001</v>
      </c>
      <c r="C1676" t="str">
        <f t="shared" si="158"/>
        <v>04</v>
      </c>
      <c r="D1676" t="str">
        <f t="shared" si="159"/>
        <v>121</v>
      </c>
      <c r="E1676" t="str">
        <f t="shared" si="160"/>
        <v>0001</v>
      </c>
      <c r="F1676" t="str">
        <f t="shared" si="161"/>
        <v>2.011</v>
      </c>
      <c r="G1676" t="str">
        <f t="shared" si="162"/>
        <v>3.3.90.30.00</v>
      </c>
      <c r="H1676" t="s">
        <v>1724</v>
      </c>
      <c r="I1676" t="str">
        <f t="shared" si="155"/>
        <v>24 - SECRETARIA DE PLANEJAMENTO E GESTÃO</v>
      </c>
      <c r="J1676" t="s">
        <v>20</v>
      </c>
      <c r="K1676" t="str">
        <f t="shared" si="163"/>
        <v>4-ADMINISTRAÇÃO</v>
      </c>
      <c r="L1676" t="str">
        <f t="shared" si="164"/>
        <v>121-PLANEJAMENTO E ORÇAMENTO</v>
      </c>
      <c r="M1676" t="str">
        <f t="shared" si="165"/>
        <v>0001-Administração e Coordenação Geral​</v>
      </c>
      <c r="N1676" t="str">
        <f t="shared" si="166"/>
        <v xml:space="preserve">2.011-Manutenção de Equipamentos Públicos </v>
      </c>
      <c r="O1676" t="str">
        <f t="shared" si="167"/>
        <v>3.3.90.30.00-MATERIAL DE CONSUMO</v>
      </c>
      <c r="R1676" s="25">
        <v>0</v>
      </c>
      <c r="S1676" t="s">
        <v>1035</v>
      </c>
    </row>
    <row r="1677" spans="1:19" x14ac:dyDescent="0.25">
      <c r="A1677" t="str">
        <f t="shared" si="156"/>
        <v>24</v>
      </c>
      <c r="B1677" t="str">
        <f t="shared" si="157"/>
        <v>001</v>
      </c>
      <c r="C1677" t="str">
        <f t="shared" si="158"/>
        <v>04</v>
      </c>
      <c r="D1677" t="str">
        <f t="shared" si="159"/>
        <v>121</v>
      </c>
      <c r="E1677" t="str">
        <f t="shared" si="160"/>
        <v>0001</v>
      </c>
      <c r="F1677" t="str">
        <f t="shared" si="161"/>
        <v>2.011</v>
      </c>
      <c r="G1677" t="str">
        <f t="shared" si="162"/>
        <v>4.4.90.52.00</v>
      </c>
      <c r="H1677" t="s">
        <v>1725</v>
      </c>
      <c r="I1677" t="str">
        <f t="shared" si="155"/>
        <v>24 - SECRETARIA DE PLANEJAMENTO E GESTÃO</v>
      </c>
      <c r="J1677" t="s">
        <v>20</v>
      </c>
      <c r="K1677" t="str">
        <f t="shared" si="163"/>
        <v>4-ADMINISTRAÇÃO</v>
      </c>
      <c r="L1677" t="str">
        <f t="shared" si="164"/>
        <v>121-PLANEJAMENTO E ORÇAMENTO</v>
      </c>
      <c r="M1677" t="str">
        <f t="shared" si="165"/>
        <v>0001-Administração e Coordenação Geral​</v>
      </c>
      <c r="N1677" t="str">
        <f t="shared" si="166"/>
        <v xml:space="preserve">2.011-Manutenção de Equipamentos Públicos </v>
      </c>
      <c r="O1677" t="str">
        <f t="shared" si="167"/>
        <v>4.4.90.52.00-EQUIPAMENTOS E MATERIAL PERMANENTE</v>
      </c>
      <c r="R1677" s="25">
        <v>0</v>
      </c>
      <c r="S1677" t="s">
        <v>1035</v>
      </c>
    </row>
    <row r="1678" spans="1:19" x14ac:dyDescent="0.25">
      <c r="A1678" t="str">
        <f t="shared" si="156"/>
        <v>24</v>
      </c>
      <c r="B1678" t="str">
        <f t="shared" si="157"/>
        <v>001</v>
      </c>
      <c r="C1678" t="str">
        <f t="shared" si="158"/>
        <v>04</v>
      </c>
      <c r="D1678" t="str">
        <f t="shared" si="159"/>
        <v>121</v>
      </c>
      <c r="E1678" t="str">
        <f t="shared" si="160"/>
        <v>0001</v>
      </c>
      <c r="F1678" t="str">
        <f t="shared" si="161"/>
        <v>2.007</v>
      </c>
      <c r="G1678" t="str">
        <f t="shared" si="162"/>
        <v>3.3.90.40.00</v>
      </c>
      <c r="H1678" t="s">
        <v>1726</v>
      </c>
      <c r="I1678" t="str">
        <f t="shared" si="155"/>
        <v>24 - SECRETARIA DE PLANEJAMENTO E GESTÃO</v>
      </c>
      <c r="J1678" t="s">
        <v>20</v>
      </c>
      <c r="K1678" t="str">
        <f t="shared" si="163"/>
        <v>4-ADMINISTRAÇÃO</v>
      </c>
      <c r="L1678" t="str">
        <f t="shared" si="164"/>
        <v>121-PLANEJAMENTO E ORÇAMENTO</v>
      </c>
      <c r="M1678" t="str">
        <f t="shared" si="165"/>
        <v>0001-Administração e Coordenação Geral​</v>
      </c>
      <c r="N1678" t="str">
        <f t="shared" si="166"/>
        <v>2.007-Ampliação e Manutenção de Sistemas de Inteligência, Fiscalização e Tecnologia</v>
      </c>
      <c r="O1678" t="str">
        <f t="shared" si="167"/>
        <v>3.3.90.40.00-SERVIÇOS DE TECNOLOGIA DA INFORMAÇÃO E COMUNICAÇÃO - PESSOA JURÍDICA</v>
      </c>
      <c r="R1678" s="25">
        <v>0</v>
      </c>
      <c r="S1678" t="s">
        <v>1035</v>
      </c>
    </row>
    <row r="1679" spans="1:19" x14ac:dyDescent="0.25">
      <c r="A1679" t="str">
        <f t="shared" si="156"/>
        <v>24</v>
      </c>
      <c r="B1679" t="str">
        <f t="shared" si="157"/>
        <v>001</v>
      </c>
      <c r="C1679" t="str">
        <f t="shared" si="158"/>
        <v>04</v>
      </c>
      <c r="D1679" t="str">
        <f t="shared" si="159"/>
        <v>121</v>
      </c>
      <c r="E1679" t="str">
        <f t="shared" si="160"/>
        <v>0001</v>
      </c>
      <c r="F1679" t="str">
        <f t="shared" si="161"/>
        <v>2.005</v>
      </c>
      <c r="G1679" t="str">
        <f t="shared" si="162"/>
        <v>3.3.90.31.00</v>
      </c>
      <c r="H1679" t="s">
        <v>1727</v>
      </c>
      <c r="I1679" t="str">
        <f t="shared" si="155"/>
        <v>24 - SECRETARIA DE PLANEJAMENTO E GESTÃO</v>
      </c>
      <c r="J1679" t="s">
        <v>20</v>
      </c>
      <c r="K1679" t="str">
        <f t="shared" si="163"/>
        <v>4-ADMINISTRAÇÃO</v>
      </c>
      <c r="L1679" t="str">
        <f t="shared" si="164"/>
        <v>121-PLANEJAMENTO E ORÇAMENTO</v>
      </c>
      <c r="M1679" t="str">
        <f t="shared" si="165"/>
        <v>0001-Administração e Coordenação Geral​</v>
      </c>
      <c r="N1679" t="str">
        <f t="shared" si="166"/>
        <v xml:space="preserve">2.005-Promoção de Eventos, Comunicação e Participação Social </v>
      </c>
      <c r="O1679" t="str">
        <f t="shared" si="167"/>
        <v>3.3.90.31.00-PREMIAÇÕES CULTURAIS, ARTÍSTICAS, CIENTÍFICAS, DESPORTIVAS E OUTRAS</v>
      </c>
      <c r="R1679" s="25">
        <v>0</v>
      </c>
      <c r="S1679" t="s">
        <v>1035</v>
      </c>
    </row>
    <row r="1680" spans="1:19" x14ac:dyDescent="0.25">
      <c r="A1680" t="str">
        <f t="shared" si="156"/>
        <v>24</v>
      </c>
      <c r="B1680" t="str">
        <f t="shared" si="157"/>
        <v>001</v>
      </c>
      <c r="C1680" t="str">
        <f t="shared" si="158"/>
        <v>04</v>
      </c>
      <c r="D1680" t="str">
        <f t="shared" si="159"/>
        <v>121</v>
      </c>
      <c r="E1680" t="str">
        <f t="shared" si="160"/>
        <v>0001</v>
      </c>
      <c r="F1680" t="str">
        <f t="shared" si="161"/>
        <v>2.005</v>
      </c>
      <c r="G1680" t="str">
        <f t="shared" si="162"/>
        <v>3.3.90.30.00</v>
      </c>
      <c r="H1680" t="s">
        <v>1728</v>
      </c>
      <c r="I1680" t="str">
        <f t="shared" si="155"/>
        <v>24 - SECRETARIA DE PLANEJAMENTO E GESTÃO</v>
      </c>
      <c r="J1680" t="s">
        <v>20</v>
      </c>
      <c r="K1680" t="str">
        <f t="shared" si="163"/>
        <v>4-ADMINISTRAÇÃO</v>
      </c>
      <c r="L1680" t="str">
        <f t="shared" si="164"/>
        <v>121-PLANEJAMENTO E ORÇAMENTO</v>
      </c>
      <c r="M1680" t="str">
        <f t="shared" si="165"/>
        <v>0001-Administração e Coordenação Geral​</v>
      </c>
      <c r="N1680" t="str">
        <f t="shared" si="166"/>
        <v xml:space="preserve">2.005-Promoção de Eventos, Comunicação e Participação Social </v>
      </c>
      <c r="O1680" t="str">
        <f t="shared" si="167"/>
        <v>3.3.90.30.00-MATERIAL DE CONSUMO</v>
      </c>
      <c r="R1680" s="25">
        <v>0</v>
      </c>
      <c r="S1680" t="s">
        <v>1035</v>
      </c>
    </row>
    <row r="1681" spans="1:19" x14ac:dyDescent="0.25">
      <c r="A1681" t="str">
        <f t="shared" si="156"/>
        <v>24</v>
      </c>
      <c r="B1681" t="str">
        <f t="shared" si="157"/>
        <v>001</v>
      </c>
      <c r="C1681" t="str">
        <f t="shared" si="158"/>
        <v>04</v>
      </c>
      <c r="D1681" t="str">
        <f t="shared" si="159"/>
        <v>121</v>
      </c>
      <c r="E1681" t="str">
        <f t="shared" si="160"/>
        <v>0001</v>
      </c>
      <c r="F1681" t="str">
        <f t="shared" si="161"/>
        <v>2.005</v>
      </c>
      <c r="G1681" t="str">
        <f t="shared" si="162"/>
        <v>3.3.90.39.00</v>
      </c>
      <c r="H1681" t="s">
        <v>1729</v>
      </c>
      <c r="I1681" t="str">
        <f t="shared" si="155"/>
        <v>24 - SECRETARIA DE PLANEJAMENTO E GESTÃO</v>
      </c>
      <c r="J1681" t="s">
        <v>20</v>
      </c>
      <c r="K1681" t="str">
        <f t="shared" si="163"/>
        <v>4-ADMINISTRAÇÃO</v>
      </c>
      <c r="L1681" t="str">
        <f t="shared" si="164"/>
        <v>121-PLANEJAMENTO E ORÇAMENTO</v>
      </c>
      <c r="M1681" t="str">
        <f t="shared" si="165"/>
        <v>0001-Administração e Coordenação Geral​</v>
      </c>
      <c r="N1681" t="str">
        <f t="shared" si="166"/>
        <v xml:space="preserve">2.005-Promoção de Eventos, Comunicação e Participação Social </v>
      </c>
      <c r="O1681" t="str">
        <f t="shared" si="167"/>
        <v>3.3.90.39.00-OUTROS SERVIÇOS DE TERCEIROS - PESSOA JURÍDICA</v>
      </c>
      <c r="R1681" s="25">
        <v>0</v>
      </c>
      <c r="S1681" t="s">
        <v>1035</v>
      </c>
    </row>
    <row r="1682" spans="1:19" x14ac:dyDescent="0.25">
      <c r="A1682" t="str">
        <f t="shared" si="156"/>
        <v>24</v>
      </c>
      <c r="B1682" t="str">
        <f t="shared" si="157"/>
        <v>001</v>
      </c>
      <c r="C1682" t="str">
        <f t="shared" si="158"/>
        <v>04</v>
      </c>
      <c r="D1682" t="str">
        <f t="shared" si="159"/>
        <v>121</v>
      </c>
      <c r="E1682" t="str">
        <f t="shared" si="160"/>
        <v>0001</v>
      </c>
      <c r="F1682" t="str">
        <f t="shared" si="161"/>
        <v>2.011</v>
      </c>
      <c r="G1682" t="str">
        <f t="shared" si="162"/>
        <v>4.4.90.51.00</v>
      </c>
      <c r="H1682" t="s">
        <v>1730</v>
      </c>
      <c r="I1682" t="str">
        <f t="shared" si="155"/>
        <v>24 - SECRETARIA DE PLANEJAMENTO E GESTÃO</v>
      </c>
      <c r="J1682" t="s">
        <v>20</v>
      </c>
      <c r="K1682" t="str">
        <f t="shared" si="163"/>
        <v>4-ADMINISTRAÇÃO</v>
      </c>
      <c r="L1682" t="str">
        <f t="shared" si="164"/>
        <v>121-PLANEJAMENTO E ORÇAMENTO</v>
      </c>
      <c r="M1682" t="str">
        <f t="shared" si="165"/>
        <v>0001-Administração e Coordenação Geral​</v>
      </c>
      <c r="N1682" t="str">
        <f t="shared" si="166"/>
        <v xml:space="preserve">2.011-Manutenção de Equipamentos Públicos </v>
      </c>
      <c r="O1682" t="str">
        <f t="shared" si="167"/>
        <v>4.4.90.51.00-OBRAS E INSTALAÇÕES</v>
      </c>
      <c r="R1682" s="25">
        <v>0</v>
      </c>
      <c r="S1682" t="s">
        <v>1035</v>
      </c>
    </row>
    <row r="1683" spans="1:19" x14ac:dyDescent="0.25">
      <c r="A1683" t="str">
        <f t="shared" si="156"/>
        <v>27</v>
      </c>
      <c r="B1683" t="str">
        <f t="shared" si="157"/>
        <v>001</v>
      </c>
      <c r="C1683" t="str">
        <f t="shared" si="158"/>
        <v>04</v>
      </c>
      <c r="D1683" t="str">
        <f t="shared" si="159"/>
        <v>126</v>
      </c>
      <c r="E1683" t="str">
        <f t="shared" si="160"/>
        <v>0001</v>
      </c>
      <c r="F1683" t="str">
        <f t="shared" si="161"/>
        <v>2.007</v>
      </c>
      <c r="G1683" t="str">
        <f t="shared" si="162"/>
        <v>3.3.90.39.00</v>
      </c>
      <c r="H1683" t="s">
        <v>1731</v>
      </c>
      <c r="I1683" t="str">
        <f t="shared" si="155"/>
        <v>27 - CONTROLADORIA GERAL DO MUNICÍPIO</v>
      </c>
      <c r="J1683" t="s">
        <v>20</v>
      </c>
      <c r="K1683" t="str">
        <f t="shared" si="163"/>
        <v>4-ADMINISTRAÇÃO</v>
      </c>
      <c r="L1683" t="str">
        <f t="shared" si="164"/>
        <v>126-TECNOLOGIA DA INFORMATIZAÇÃO</v>
      </c>
      <c r="M1683" t="str">
        <f t="shared" si="165"/>
        <v>0001-Administração e Coordenação Geral​</v>
      </c>
      <c r="N1683" t="str">
        <f t="shared" si="166"/>
        <v>2.007-Ampliação e Manutenção de Sistemas de Inteligência, Fiscalização e Tecnologia</v>
      </c>
      <c r="O1683" t="str">
        <f t="shared" si="167"/>
        <v>3.3.90.39.00-OUTROS SERVIÇOS DE TERCEIROS - PESSOA JURÍDICA</v>
      </c>
      <c r="R1683" s="25">
        <v>0</v>
      </c>
      <c r="S1683" t="s">
        <v>1035</v>
      </c>
    </row>
    <row r="1684" spans="1:19" x14ac:dyDescent="0.25">
      <c r="A1684" t="str">
        <f t="shared" si="156"/>
        <v>27</v>
      </c>
      <c r="B1684" t="str">
        <f t="shared" si="157"/>
        <v>001</v>
      </c>
      <c r="C1684" t="str">
        <f t="shared" si="158"/>
        <v>04</v>
      </c>
      <c r="D1684" t="str">
        <f t="shared" si="159"/>
        <v>126</v>
      </c>
      <c r="E1684" t="str">
        <f t="shared" si="160"/>
        <v>0001</v>
      </c>
      <c r="F1684" t="str">
        <f t="shared" si="161"/>
        <v>2.007</v>
      </c>
      <c r="G1684" t="str">
        <f t="shared" si="162"/>
        <v>3.3.90.40.00</v>
      </c>
      <c r="H1684" t="s">
        <v>1732</v>
      </c>
      <c r="I1684" t="str">
        <f t="shared" si="155"/>
        <v>27 - CONTROLADORIA GERAL DO MUNICÍPIO</v>
      </c>
      <c r="J1684" t="s">
        <v>20</v>
      </c>
      <c r="K1684" t="str">
        <f t="shared" si="163"/>
        <v>4-ADMINISTRAÇÃO</v>
      </c>
      <c r="L1684" t="str">
        <f t="shared" si="164"/>
        <v>126-TECNOLOGIA DA INFORMATIZAÇÃO</v>
      </c>
      <c r="M1684" t="str">
        <f t="shared" si="165"/>
        <v>0001-Administração e Coordenação Geral​</v>
      </c>
      <c r="N1684" t="str">
        <f t="shared" si="166"/>
        <v>2.007-Ampliação e Manutenção de Sistemas de Inteligência, Fiscalização e Tecnologia</v>
      </c>
      <c r="O1684" t="str">
        <f t="shared" si="167"/>
        <v>3.3.90.40.00-SERVIÇOS DE TECNOLOGIA DA INFORMAÇÃO E COMUNICAÇÃO - PESSOA JURÍDICA</v>
      </c>
      <c r="R1684" s="25">
        <v>0</v>
      </c>
      <c r="S1684" t="s">
        <v>1035</v>
      </c>
    </row>
    <row r="1685" spans="1:19" x14ac:dyDescent="0.25">
      <c r="A1685" t="str">
        <f t="shared" si="156"/>
        <v>27</v>
      </c>
      <c r="B1685" t="str">
        <f t="shared" si="157"/>
        <v>001</v>
      </c>
      <c r="C1685" t="str">
        <f t="shared" si="158"/>
        <v>04</v>
      </c>
      <c r="D1685" t="str">
        <f t="shared" si="159"/>
        <v>131</v>
      </c>
      <c r="E1685" t="str">
        <f t="shared" si="160"/>
        <v>0002</v>
      </c>
      <c r="F1685" t="str">
        <f t="shared" si="161"/>
        <v>2.005</v>
      </c>
      <c r="G1685" t="str">
        <f t="shared" si="162"/>
        <v>3.3.90.30.00</v>
      </c>
      <c r="H1685" t="s">
        <v>1733</v>
      </c>
      <c r="I1685" t="str">
        <f t="shared" ref="I1685:I1705" si="168">VLOOKUP(A1685,$A$1:$O$994,9,0)</f>
        <v>27 - CONTROLADORIA GERAL DO MUNICÍPIO</v>
      </c>
      <c r="J1685" t="s">
        <v>20</v>
      </c>
      <c r="K1685" t="str">
        <f t="shared" si="163"/>
        <v>4-ADMINISTRAÇÃO</v>
      </c>
      <c r="L1685" t="str">
        <f t="shared" si="164"/>
        <v>131-COMUNICAÇÃO SOCIAL</v>
      </c>
      <c r="M1685" t="str">
        <f t="shared" si="165"/>
        <v>0002-Governo Inteligente, Aberto e Inovador​</v>
      </c>
      <c r="N1685" t="str">
        <f t="shared" si="166"/>
        <v xml:space="preserve">2.005-Promoção de Eventos, Comunicação e Participação Social </v>
      </c>
      <c r="O1685" t="str">
        <f t="shared" si="167"/>
        <v>3.3.90.30.00-MATERIAL DE CONSUMO</v>
      </c>
      <c r="R1685" s="25">
        <v>0</v>
      </c>
      <c r="S1685" t="s">
        <v>1035</v>
      </c>
    </row>
    <row r="1686" spans="1:19" x14ac:dyDescent="0.25">
      <c r="A1686" t="str">
        <f t="shared" si="156"/>
        <v>27</v>
      </c>
      <c r="B1686" t="str">
        <f t="shared" si="157"/>
        <v>001</v>
      </c>
      <c r="C1686" t="str">
        <f t="shared" si="158"/>
        <v>04</v>
      </c>
      <c r="D1686" t="str">
        <f t="shared" si="159"/>
        <v>131</v>
      </c>
      <c r="E1686" t="str">
        <f t="shared" si="160"/>
        <v>0002</v>
      </c>
      <c r="F1686" t="str">
        <f t="shared" si="161"/>
        <v>2.005</v>
      </c>
      <c r="G1686" t="str">
        <f t="shared" si="162"/>
        <v>4.4.90.52.00</v>
      </c>
      <c r="H1686" t="s">
        <v>1734</v>
      </c>
      <c r="I1686" t="str">
        <f t="shared" si="168"/>
        <v>27 - CONTROLADORIA GERAL DO MUNICÍPIO</v>
      </c>
      <c r="J1686" t="s">
        <v>20</v>
      </c>
      <c r="K1686" t="str">
        <f t="shared" si="163"/>
        <v>4-ADMINISTRAÇÃO</v>
      </c>
      <c r="L1686" t="str">
        <f t="shared" si="164"/>
        <v>131-COMUNICAÇÃO SOCIAL</v>
      </c>
      <c r="M1686" t="str">
        <f t="shared" si="165"/>
        <v>0002-Governo Inteligente, Aberto e Inovador​</v>
      </c>
      <c r="N1686" t="str">
        <f t="shared" si="166"/>
        <v xml:space="preserve">2.005-Promoção de Eventos, Comunicação e Participação Social </v>
      </c>
      <c r="O1686" t="str">
        <f t="shared" si="167"/>
        <v>4.4.90.52.00-EQUIPAMENTOS E MATERIAL PERMANENTE</v>
      </c>
      <c r="R1686" s="25">
        <v>0</v>
      </c>
      <c r="S1686" t="s">
        <v>1035</v>
      </c>
    </row>
    <row r="1687" spans="1:19" x14ac:dyDescent="0.25">
      <c r="A1687" t="str">
        <f t="shared" si="156"/>
        <v>28</v>
      </c>
      <c r="B1687" t="str">
        <f t="shared" si="157"/>
        <v>001</v>
      </c>
      <c r="C1687" t="str">
        <f t="shared" si="158"/>
        <v>04</v>
      </c>
      <c r="D1687" t="str">
        <f t="shared" si="159"/>
        <v>122</v>
      </c>
      <c r="E1687" t="str">
        <f t="shared" si="160"/>
        <v>0001</v>
      </c>
      <c r="F1687" t="str">
        <f t="shared" si="161"/>
        <v>2.011</v>
      </c>
      <c r="G1687" t="str">
        <f t="shared" si="162"/>
        <v>4.4.90.52.00</v>
      </c>
      <c r="H1687" t="s">
        <v>1735</v>
      </c>
      <c r="I1687" t="str">
        <f t="shared" si="168"/>
        <v>28 - SECRETARIA DE GOVERNO</v>
      </c>
      <c r="J1687" t="s">
        <v>20</v>
      </c>
      <c r="K1687" t="str">
        <f t="shared" si="163"/>
        <v>4-ADMINISTRAÇÃO</v>
      </c>
      <c r="L1687" t="str">
        <f t="shared" si="164"/>
        <v>122-ADMINISTRAÇÃO GERAL</v>
      </c>
      <c r="M1687" t="str">
        <f t="shared" si="165"/>
        <v>0001-Administração e Coordenação Geral​</v>
      </c>
      <c r="N1687" t="str">
        <f t="shared" si="166"/>
        <v xml:space="preserve">2.011-Manutenção de Equipamentos Públicos </v>
      </c>
      <c r="O1687" t="str">
        <f t="shared" si="167"/>
        <v>4.4.90.52.00-EQUIPAMENTOS E MATERIAL PERMANENTE</v>
      </c>
      <c r="R1687" s="25">
        <v>0</v>
      </c>
      <c r="S1687" t="s">
        <v>1035</v>
      </c>
    </row>
    <row r="1688" spans="1:19" x14ac:dyDescent="0.25">
      <c r="A1688" t="str">
        <f t="shared" si="156"/>
        <v>28</v>
      </c>
      <c r="B1688" t="str">
        <f t="shared" si="157"/>
        <v>007</v>
      </c>
      <c r="C1688" t="str">
        <f t="shared" si="158"/>
        <v>04</v>
      </c>
      <c r="D1688" t="str">
        <f t="shared" si="159"/>
        <v>131</v>
      </c>
      <c r="E1688" t="str">
        <f t="shared" si="160"/>
        <v>0001</v>
      </c>
      <c r="F1688" t="str">
        <f t="shared" si="161"/>
        <v>2.005</v>
      </c>
      <c r="G1688" t="str">
        <f t="shared" si="162"/>
        <v>3.3.90.39.00</v>
      </c>
      <c r="H1688" t="s">
        <v>1736</v>
      </c>
      <c r="I1688" t="str">
        <f t="shared" si="168"/>
        <v>28 - SECRETARIA DE GOVERNO</v>
      </c>
      <c r="J1688" t="s">
        <v>660</v>
      </c>
      <c r="K1688" t="str">
        <f t="shared" si="163"/>
        <v>4-ADMINISTRAÇÃO</v>
      </c>
      <c r="L1688" t="str">
        <f t="shared" si="164"/>
        <v>131-COMUNICAÇÃO SOCIAL</v>
      </c>
      <c r="M1688" t="str">
        <f t="shared" si="165"/>
        <v>0001-Administração e Coordenação Geral​</v>
      </c>
      <c r="N1688" t="str">
        <f t="shared" si="166"/>
        <v xml:space="preserve">2.005-Promoção de Eventos, Comunicação e Participação Social </v>
      </c>
      <c r="O1688" t="str">
        <f t="shared" si="167"/>
        <v>3.3.90.39.00-OUTROS SERVIÇOS DE TERCEIROS - PESSOA JURÍDICA</v>
      </c>
      <c r="R1688" s="25">
        <v>0</v>
      </c>
      <c r="S1688" t="s">
        <v>1035</v>
      </c>
    </row>
    <row r="1689" spans="1:19" x14ac:dyDescent="0.25">
      <c r="A1689" t="str">
        <f t="shared" si="156"/>
        <v>28</v>
      </c>
      <c r="B1689" t="str">
        <f t="shared" si="157"/>
        <v>007</v>
      </c>
      <c r="C1689" t="str">
        <f t="shared" si="158"/>
        <v>04</v>
      </c>
      <c r="D1689" t="str">
        <f t="shared" si="159"/>
        <v>122</v>
      </c>
      <c r="E1689" t="str">
        <f t="shared" si="160"/>
        <v>0001</v>
      </c>
      <c r="F1689" t="str">
        <f t="shared" si="161"/>
        <v>2.005</v>
      </c>
      <c r="G1689" t="str">
        <f t="shared" si="162"/>
        <v>3.3.90.30.00</v>
      </c>
      <c r="H1689" t="s">
        <v>1737</v>
      </c>
      <c r="I1689" t="str">
        <f t="shared" si="168"/>
        <v>28 - SECRETARIA DE GOVERNO</v>
      </c>
      <c r="J1689" t="s">
        <v>660</v>
      </c>
      <c r="K1689" t="str">
        <f t="shared" si="163"/>
        <v>4-ADMINISTRAÇÃO</v>
      </c>
      <c r="L1689" t="str">
        <f t="shared" si="164"/>
        <v>122-ADMINISTRAÇÃO GERAL</v>
      </c>
      <c r="M1689" t="str">
        <f t="shared" si="165"/>
        <v>0001-Administração e Coordenação Geral​</v>
      </c>
      <c r="N1689" t="str">
        <f t="shared" si="166"/>
        <v xml:space="preserve">2.005-Promoção de Eventos, Comunicação e Participação Social </v>
      </c>
      <c r="O1689" t="str">
        <f t="shared" si="167"/>
        <v>3.3.90.30.00-MATERIAL DE CONSUMO</v>
      </c>
      <c r="R1689" s="25">
        <v>0</v>
      </c>
      <c r="S1689" t="s">
        <v>1035</v>
      </c>
    </row>
    <row r="1690" spans="1:19" x14ac:dyDescent="0.25">
      <c r="A1690" t="str">
        <f t="shared" si="156"/>
        <v>31</v>
      </c>
      <c r="B1690" t="str">
        <f t="shared" si="157"/>
        <v>001</v>
      </c>
      <c r="C1690" t="str">
        <f t="shared" si="158"/>
        <v>04</v>
      </c>
      <c r="D1690" t="str">
        <f t="shared" si="159"/>
        <v>122</v>
      </c>
      <c r="E1690" t="str">
        <f t="shared" si="160"/>
        <v>0001</v>
      </c>
      <c r="F1690" t="str">
        <f t="shared" si="161"/>
        <v>2.011</v>
      </c>
      <c r="G1690" t="str">
        <f t="shared" si="162"/>
        <v>3.3.90.30.00</v>
      </c>
      <c r="H1690" t="s">
        <v>1740</v>
      </c>
      <c r="I1690" t="str">
        <f t="shared" si="168"/>
        <v>31 - SECRETARIA EXECUTIVA DE POLITICAS DE PROMOÇÃO DA IGUALDADE RACIAL</v>
      </c>
      <c r="J1690" t="s">
        <v>20</v>
      </c>
      <c r="K1690" t="str">
        <f t="shared" si="163"/>
        <v>4-ADMINISTRAÇÃO</v>
      </c>
      <c r="L1690" t="str">
        <f t="shared" si="164"/>
        <v>122-ADMINISTRAÇÃO GERAL</v>
      </c>
      <c r="M1690" t="str">
        <f t="shared" si="165"/>
        <v>0001-Administração e Coordenação Geral​</v>
      </c>
      <c r="N1690" t="str">
        <f t="shared" si="166"/>
        <v xml:space="preserve">2.011-Manutenção de Equipamentos Públicos </v>
      </c>
      <c r="O1690" t="str">
        <f t="shared" si="167"/>
        <v>3.3.90.30.00-MATERIAL DE CONSUMO</v>
      </c>
      <c r="R1690" s="25">
        <v>0</v>
      </c>
      <c r="S1690" t="s">
        <v>1035</v>
      </c>
    </row>
    <row r="1691" spans="1:19" x14ac:dyDescent="0.25">
      <c r="A1691" t="str">
        <f t="shared" si="156"/>
        <v>31</v>
      </c>
      <c r="B1691" t="str">
        <f t="shared" si="157"/>
        <v>001</v>
      </c>
      <c r="C1691" t="str">
        <f t="shared" si="158"/>
        <v>04</v>
      </c>
      <c r="D1691" t="str">
        <f t="shared" si="159"/>
        <v>422</v>
      </c>
      <c r="E1691" t="str">
        <f t="shared" si="160"/>
        <v>0018</v>
      </c>
      <c r="F1691" t="str">
        <f t="shared" si="161"/>
        <v>2.005</v>
      </c>
      <c r="G1691" t="str">
        <f t="shared" si="162"/>
        <v>3.3.90.39.00</v>
      </c>
      <c r="H1691" t="s">
        <v>1741</v>
      </c>
      <c r="I1691" t="str">
        <f t="shared" si="168"/>
        <v>31 - SECRETARIA EXECUTIVA DE POLITICAS DE PROMOÇÃO DA IGUALDADE RACIAL</v>
      </c>
      <c r="J1691" t="s">
        <v>20</v>
      </c>
      <c r="K1691" t="str">
        <f t="shared" si="163"/>
        <v>4-ADMINISTRAÇÃO</v>
      </c>
      <c r="L1691" t="str">
        <f t="shared" si="164"/>
        <v>422-DIREITOS INDIVIDUAIS, COLETIVOS E DIFUSOS</v>
      </c>
      <c r="M1691" t="str">
        <f t="shared" si="165"/>
        <v>0018-Proteção Social e Garantia de Direitos​</v>
      </c>
      <c r="N1691" t="str">
        <f t="shared" si="166"/>
        <v xml:space="preserve">2.005-Promoção de Eventos, Comunicação e Participação Social </v>
      </c>
      <c r="O1691" t="str">
        <f t="shared" si="167"/>
        <v>3.3.90.39.00-OUTROS SERVIÇOS DE TERCEIROS - PESSOA JURÍDICA</v>
      </c>
      <c r="R1691" s="25">
        <v>0</v>
      </c>
      <c r="S1691" t="s">
        <v>1035</v>
      </c>
    </row>
    <row r="1692" spans="1:19" x14ac:dyDescent="0.25">
      <c r="A1692" t="str">
        <f t="shared" ref="A1692:A1755" si="169">LEFT(H1692,2)</f>
        <v>31</v>
      </c>
      <c r="B1692" t="str">
        <f t="shared" ref="B1692:B1755" si="170">MID(H1692,4,3)</f>
        <v>001</v>
      </c>
      <c r="C1692" t="str">
        <f t="shared" ref="C1692:C1755" si="171">MID(H1692,8,2)</f>
        <v>04</v>
      </c>
      <c r="D1692" t="str">
        <f t="shared" ref="D1692:D1755" si="172">MID(H1692,11,3)</f>
        <v>122</v>
      </c>
      <c r="E1692" t="str">
        <f t="shared" ref="E1692:E1755" si="173">MID(H1692,15,4)</f>
        <v>0001</v>
      </c>
      <c r="F1692" t="str">
        <f t="shared" ref="F1692:F1755" si="174">MID(H1692,20,5)</f>
        <v>2.011</v>
      </c>
      <c r="G1692" t="str">
        <f t="shared" ref="G1692:G1755" si="175">MID(H1692,26,12)</f>
        <v>4.4.90.52.00</v>
      </c>
      <c r="H1692" t="s">
        <v>1742</v>
      </c>
      <c r="I1692" t="str">
        <f t="shared" si="168"/>
        <v>31 - SECRETARIA EXECUTIVA DE POLITICAS DE PROMOÇÃO DA IGUALDADE RACIAL</v>
      </c>
      <c r="J1692" t="s">
        <v>20</v>
      </c>
      <c r="K1692" t="str">
        <f t="shared" ref="K1692:K1755" si="176">VLOOKUP(C1692,$C$1:$O$994,9,0)</f>
        <v>4-ADMINISTRAÇÃO</v>
      </c>
      <c r="L1692" t="str">
        <f t="shared" ref="L1692:L1755" si="177">VLOOKUP(D1692,$D$1:$O$994,9,0)</f>
        <v>122-ADMINISTRAÇÃO GERAL</v>
      </c>
      <c r="M1692" t="str">
        <f t="shared" ref="M1692:M1755" si="178">VLOOKUP(E1692,$E$1:$O$994,9,0)</f>
        <v>0001-Administração e Coordenação Geral​</v>
      </c>
      <c r="N1692" t="str">
        <f t="shared" ref="N1692:N1755" si="179">VLOOKUP(F1692,$F$1:$O$994,9,0)</f>
        <v xml:space="preserve">2.011-Manutenção de Equipamentos Públicos </v>
      </c>
      <c r="O1692" t="str">
        <f t="shared" ref="O1692:O1752" si="180">VLOOKUP(G1692,$G$1:$O$994,9,0)</f>
        <v>4.4.90.52.00-EQUIPAMENTOS E MATERIAL PERMANENTE</v>
      </c>
      <c r="R1692" s="25">
        <v>0</v>
      </c>
      <c r="S1692" t="s">
        <v>1035</v>
      </c>
    </row>
    <row r="1693" spans="1:19" x14ac:dyDescent="0.25">
      <c r="A1693" t="str">
        <f t="shared" si="169"/>
        <v>31</v>
      </c>
      <c r="B1693" t="str">
        <f t="shared" si="170"/>
        <v>001</v>
      </c>
      <c r="C1693" t="str">
        <f t="shared" si="171"/>
        <v>04</v>
      </c>
      <c r="D1693" t="str">
        <f t="shared" si="172"/>
        <v>122</v>
      </c>
      <c r="E1693" t="str">
        <f t="shared" si="173"/>
        <v>0001</v>
      </c>
      <c r="F1693" t="str">
        <f t="shared" si="174"/>
        <v>2.011</v>
      </c>
      <c r="G1693" t="str">
        <f t="shared" si="175"/>
        <v>3.3.90.39.00</v>
      </c>
      <c r="H1693" t="s">
        <v>1743</v>
      </c>
      <c r="I1693" t="str">
        <f t="shared" si="168"/>
        <v>31 - SECRETARIA EXECUTIVA DE POLITICAS DE PROMOÇÃO DA IGUALDADE RACIAL</v>
      </c>
      <c r="J1693" t="s">
        <v>20</v>
      </c>
      <c r="K1693" t="str">
        <f t="shared" si="176"/>
        <v>4-ADMINISTRAÇÃO</v>
      </c>
      <c r="L1693" t="str">
        <f t="shared" si="177"/>
        <v>122-ADMINISTRAÇÃO GERAL</v>
      </c>
      <c r="M1693" t="str">
        <f t="shared" si="178"/>
        <v>0001-Administração e Coordenação Geral​</v>
      </c>
      <c r="N1693" t="str">
        <f t="shared" si="179"/>
        <v xml:space="preserve">2.011-Manutenção de Equipamentos Públicos </v>
      </c>
      <c r="O1693" t="str">
        <f t="shared" si="180"/>
        <v>3.3.90.39.00-OUTROS SERVIÇOS DE TERCEIROS - PESSOA JURÍDICA</v>
      </c>
      <c r="R1693" s="25">
        <v>0</v>
      </c>
      <c r="S1693" t="s">
        <v>1035</v>
      </c>
    </row>
    <row r="1694" spans="1:19" x14ac:dyDescent="0.25">
      <c r="A1694" t="str">
        <f t="shared" si="169"/>
        <v>31</v>
      </c>
      <c r="B1694" t="str">
        <f t="shared" si="170"/>
        <v>001</v>
      </c>
      <c r="C1694" t="str">
        <f t="shared" si="171"/>
        <v>04</v>
      </c>
      <c r="D1694" t="str">
        <f t="shared" si="172"/>
        <v>128</v>
      </c>
      <c r="E1694" t="str">
        <f t="shared" si="173"/>
        <v>0001</v>
      </c>
      <c r="F1694" t="str">
        <f t="shared" si="174"/>
        <v>2.003</v>
      </c>
      <c r="G1694" t="str">
        <f t="shared" si="175"/>
        <v>3.3.90.39.00</v>
      </c>
      <c r="H1694" t="s">
        <v>1744</v>
      </c>
      <c r="I1694" t="str">
        <f t="shared" si="168"/>
        <v>31 - SECRETARIA EXECUTIVA DE POLITICAS DE PROMOÇÃO DA IGUALDADE RACIAL</v>
      </c>
      <c r="J1694" t="s">
        <v>20</v>
      </c>
      <c r="K1694" t="str">
        <f t="shared" si="176"/>
        <v>4-ADMINISTRAÇÃO</v>
      </c>
      <c r="L1694" t="str">
        <f t="shared" si="177"/>
        <v>128-FORMAÇÃO DE RECURSOS HUMANOS</v>
      </c>
      <c r="M1694" t="str">
        <f t="shared" si="178"/>
        <v>0001-Administração e Coordenação Geral​</v>
      </c>
      <c r="N1694" t="str">
        <f t="shared" si="179"/>
        <v>2.003-Qualificação de Servidores e Processos Institucionais</v>
      </c>
      <c r="O1694" t="str">
        <f t="shared" si="180"/>
        <v>3.3.90.39.00-OUTROS SERVIÇOS DE TERCEIROS - PESSOA JURÍDICA</v>
      </c>
      <c r="R1694" s="25">
        <v>0</v>
      </c>
      <c r="S1694" t="s">
        <v>1035</v>
      </c>
    </row>
    <row r="1695" spans="1:19" x14ac:dyDescent="0.25">
      <c r="A1695" t="str">
        <f t="shared" si="169"/>
        <v>31</v>
      </c>
      <c r="B1695" t="str">
        <f t="shared" si="170"/>
        <v>001</v>
      </c>
      <c r="C1695" t="str">
        <f t="shared" si="171"/>
        <v>04</v>
      </c>
      <c r="D1695" t="str">
        <f t="shared" si="172"/>
        <v>422</v>
      </c>
      <c r="E1695" t="str">
        <f t="shared" si="173"/>
        <v>0002</v>
      </c>
      <c r="F1695" t="str">
        <f t="shared" si="174"/>
        <v>2.003</v>
      </c>
      <c r="G1695" t="str">
        <f t="shared" si="175"/>
        <v>3.3.90.35.00</v>
      </c>
      <c r="H1695" t="s">
        <v>1745</v>
      </c>
      <c r="I1695" t="str">
        <f t="shared" si="168"/>
        <v>31 - SECRETARIA EXECUTIVA DE POLITICAS DE PROMOÇÃO DA IGUALDADE RACIAL</v>
      </c>
      <c r="J1695" t="s">
        <v>20</v>
      </c>
      <c r="K1695" t="str">
        <f t="shared" si="176"/>
        <v>4-ADMINISTRAÇÃO</v>
      </c>
      <c r="L1695" t="str">
        <f t="shared" si="177"/>
        <v>422-DIREITOS INDIVIDUAIS, COLETIVOS E DIFUSOS</v>
      </c>
      <c r="M1695" t="str">
        <f t="shared" si="178"/>
        <v>0002-Governo Inteligente, Aberto e Inovador​</v>
      </c>
      <c r="N1695" t="str">
        <f t="shared" si="179"/>
        <v>2.003-Qualificação de Servidores e Processos Institucionais</v>
      </c>
      <c r="O1695" t="str">
        <f t="shared" si="180"/>
        <v>3.3.90.35.00-SERVIÇOS DE CONSULTORIA</v>
      </c>
      <c r="R1695" s="25">
        <v>0</v>
      </c>
      <c r="S1695" t="s">
        <v>1035</v>
      </c>
    </row>
    <row r="1696" spans="1:19" x14ac:dyDescent="0.25">
      <c r="A1696" t="str">
        <f t="shared" si="169"/>
        <v>31</v>
      </c>
      <c r="B1696" t="str">
        <f t="shared" si="170"/>
        <v>001</v>
      </c>
      <c r="C1696" t="str">
        <f t="shared" si="171"/>
        <v>14</v>
      </c>
      <c r="D1696" t="str">
        <f t="shared" si="172"/>
        <v>391</v>
      </c>
      <c r="E1696" t="str">
        <f t="shared" si="173"/>
        <v>0009</v>
      </c>
      <c r="F1696" t="str">
        <f t="shared" si="174"/>
        <v>2.029</v>
      </c>
      <c r="G1696" t="str">
        <f t="shared" si="175"/>
        <v>4.4.90.52.00</v>
      </c>
      <c r="H1696" t="s">
        <v>1746</v>
      </c>
      <c r="I1696" t="str">
        <f t="shared" si="168"/>
        <v>31 - SECRETARIA EXECUTIVA DE POLITICAS DE PROMOÇÃO DA IGUALDADE RACIAL</v>
      </c>
      <c r="J1696" t="s">
        <v>20</v>
      </c>
      <c r="K1696" t="str">
        <f t="shared" si="176"/>
        <v>14-DIREITOS DA CIDADANIA</v>
      </c>
      <c r="L1696" t="str">
        <f t="shared" si="177"/>
        <v>391-PATRIMÔNIO HISTÓRICO, ARTÍSTICO E ARQUEOLÓGICO</v>
      </c>
      <c r="M1696" t="str">
        <f t="shared" si="178"/>
        <v>0009-Cultura, Economia Criativa e Patrimônio Histórico​</v>
      </c>
      <c r="N1696" t="str">
        <f t="shared" si="179"/>
        <v>2.029-Valorização do Patrimônio Histórico-Cultural</v>
      </c>
      <c r="O1696" t="str">
        <f t="shared" si="180"/>
        <v>4.4.90.52.00-EQUIPAMENTOS E MATERIAL PERMANENTE</v>
      </c>
      <c r="R1696" s="25">
        <v>0</v>
      </c>
      <c r="S1696" t="s">
        <v>1035</v>
      </c>
    </row>
    <row r="1697" spans="1:19" x14ac:dyDescent="0.25">
      <c r="A1697" t="str">
        <f t="shared" si="169"/>
        <v>31</v>
      </c>
      <c r="B1697" t="str">
        <f t="shared" si="170"/>
        <v>001</v>
      </c>
      <c r="C1697" t="str">
        <f t="shared" si="171"/>
        <v>14</v>
      </c>
      <c r="D1697" t="str">
        <f t="shared" si="172"/>
        <v>131</v>
      </c>
      <c r="E1697" t="str">
        <f t="shared" si="173"/>
        <v>0002</v>
      </c>
      <c r="F1697" t="str">
        <f t="shared" si="174"/>
        <v>2.005</v>
      </c>
      <c r="G1697" t="str">
        <f t="shared" si="175"/>
        <v>3.3.90.39.00</v>
      </c>
      <c r="H1697" t="s">
        <v>1747</v>
      </c>
      <c r="I1697" t="str">
        <f t="shared" si="168"/>
        <v>31 - SECRETARIA EXECUTIVA DE POLITICAS DE PROMOÇÃO DA IGUALDADE RACIAL</v>
      </c>
      <c r="J1697" t="s">
        <v>20</v>
      </c>
      <c r="K1697" t="str">
        <f t="shared" si="176"/>
        <v>14-DIREITOS DA CIDADANIA</v>
      </c>
      <c r="L1697" t="str">
        <f t="shared" si="177"/>
        <v>131-COMUNICAÇÃO SOCIAL</v>
      </c>
      <c r="M1697" t="str">
        <f t="shared" si="178"/>
        <v>0002-Governo Inteligente, Aberto e Inovador​</v>
      </c>
      <c r="N1697" t="str">
        <f t="shared" si="179"/>
        <v xml:space="preserve">2.005-Promoção de Eventos, Comunicação e Participação Social </v>
      </c>
      <c r="O1697" t="str">
        <f t="shared" si="180"/>
        <v>3.3.90.39.00-OUTROS SERVIÇOS DE TERCEIROS - PESSOA JURÍDICA</v>
      </c>
      <c r="R1697" s="25">
        <v>0</v>
      </c>
      <c r="S1697" t="s">
        <v>1035</v>
      </c>
    </row>
    <row r="1698" spans="1:19" x14ac:dyDescent="0.25">
      <c r="A1698" t="str">
        <f t="shared" si="169"/>
        <v>31</v>
      </c>
      <c r="B1698" t="str">
        <f t="shared" si="170"/>
        <v>001</v>
      </c>
      <c r="C1698" t="str">
        <f t="shared" si="171"/>
        <v>14</v>
      </c>
      <c r="D1698" t="str">
        <f t="shared" si="172"/>
        <v>422</v>
      </c>
      <c r="E1698" t="str">
        <f t="shared" si="173"/>
        <v>0009</v>
      </c>
      <c r="F1698" t="str">
        <f t="shared" si="174"/>
        <v>2.029</v>
      </c>
      <c r="G1698" t="str">
        <f t="shared" si="175"/>
        <v>3.3.90.31.00</v>
      </c>
      <c r="H1698" t="s">
        <v>1748</v>
      </c>
      <c r="I1698" t="str">
        <f t="shared" si="168"/>
        <v>31 - SECRETARIA EXECUTIVA DE POLITICAS DE PROMOÇÃO DA IGUALDADE RACIAL</v>
      </c>
      <c r="J1698" t="s">
        <v>20</v>
      </c>
      <c r="K1698" t="str">
        <f t="shared" si="176"/>
        <v>14-DIREITOS DA CIDADANIA</v>
      </c>
      <c r="L1698" t="str">
        <f t="shared" si="177"/>
        <v>422-DIREITOS INDIVIDUAIS, COLETIVOS E DIFUSOS</v>
      </c>
      <c r="M1698" t="str">
        <f t="shared" si="178"/>
        <v>0009-Cultura, Economia Criativa e Patrimônio Histórico​</v>
      </c>
      <c r="N1698" t="str">
        <f t="shared" si="179"/>
        <v>2.029-Valorização do Patrimônio Histórico-Cultural</v>
      </c>
      <c r="O1698" t="str">
        <f t="shared" si="180"/>
        <v>3.3.90.31.00-PREMIAÇÕES CULTURAIS, ARTÍSTICAS, CIENTÍFICAS, DESPORTIVAS E OUTRAS</v>
      </c>
      <c r="R1698" s="25">
        <v>0</v>
      </c>
      <c r="S1698" t="s">
        <v>1035</v>
      </c>
    </row>
    <row r="1699" spans="1:19" x14ac:dyDescent="0.25">
      <c r="A1699" t="str">
        <f t="shared" si="169"/>
        <v>31</v>
      </c>
      <c r="B1699" t="str">
        <f t="shared" si="170"/>
        <v>001</v>
      </c>
      <c r="C1699" t="str">
        <f t="shared" si="171"/>
        <v>14</v>
      </c>
      <c r="D1699" t="str">
        <f t="shared" si="172"/>
        <v>422</v>
      </c>
      <c r="E1699" t="str">
        <f t="shared" si="173"/>
        <v>0018</v>
      </c>
      <c r="F1699" t="str">
        <f t="shared" si="174"/>
        <v>2.005</v>
      </c>
      <c r="G1699" t="str">
        <f t="shared" si="175"/>
        <v>3.3.90.36.00</v>
      </c>
      <c r="H1699" t="s">
        <v>1749</v>
      </c>
      <c r="I1699" t="str">
        <f t="shared" si="168"/>
        <v>31 - SECRETARIA EXECUTIVA DE POLITICAS DE PROMOÇÃO DA IGUALDADE RACIAL</v>
      </c>
      <c r="J1699" t="s">
        <v>20</v>
      </c>
      <c r="K1699" t="str">
        <f t="shared" si="176"/>
        <v>14-DIREITOS DA CIDADANIA</v>
      </c>
      <c r="L1699" t="str">
        <f t="shared" si="177"/>
        <v>422-DIREITOS INDIVIDUAIS, COLETIVOS E DIFUSOS</v>
      </c>
      <c r="M1699" t="str">
        <f t="shared" si="178"/>
        <v>0018-Proteção Social e Garantia de Direitos​</v>
      </c>
      <c r="N1699" t="str">
        <f t="shared" si="179"/>
        <v xml:space="preserve">2.005-Promoção de Eventos, Comunicação e Participação Social </v>
      </c>
      <c r="O1699" t="str">
        <f t="shared" si="180"/>
        <v>3.3.90.36.00-OUTROS SERVIÇOS DE TERCEIROS - PESSOA FÍSICA</v>
      </c>
      <c r="R1699" s="25">
        <v>0</v>
      </c>
      <c r="S1699" t="s">
        <v>1035</v>
      </c>
    </row>
    <row r="1700" spans="1:19" x14ac:dyDescent="0.25">
      <c r="A1700" t="str">
        <f t="shared" si="169"/>
        <v>31</v>
      </c>
      <c r="B1700" t="str">
        <f t="shared" si="170"/>
        <v>001</v>
      </c>
      <c r="C1700" t="str">
        <f t="shared" si="171"/>
        <v>14</v>
      </c>
      <c r="D1700" t="str">
        <f t="shared" si="172"/>
        <v>422</v>
      </c>
      <c r="E1700" t="str">
        <f t="shared" si="173"/>
        <v>0018</v>
      </c>
      <c r="F1700" t="str">
        <f t="shared" si="174"/>
        <v>2.005</v>
      </c>
      <c r="G1700" t="str">
        <f t="shared" si="175"/>
        <v>3.3.90.39.00</v>
      </c>
      <c r="H1700" t="s">
        <v>1750</v>
      </c>
      <c r="I1700" t="str">
        <f t="shared" si="168"/>
        <v>31 - SECRETARIA EXECUTIVA DE POLITICAS DE PROMOÇÃO DA IGUALDADE RACIAL</v>
      </c>
      <c r="J1700" t="s">
        <v>20</v>
      </c>
      <c r="K1700" t="str">
        <f t="shared" si="176"/>
        <v>14-DIREITOS DA CIDADANIA</v>
      </c>
      <c r="L1700" t="str">
        <f t="shared" si="177"/>
        <v>422-DIREITOS INDIVIDUAIS, COLETIVOS E DIFUSOS</v>
      </c>
      <c r="M1700" t="str">
        <f t="shared" si="178"/>
        <v>0018-Proteção Social e Garantia de Direitos​</v>
      </c>
      <c r="N1700" t="str">
        <f t="shared" si="179"/>
        <v xml:space="preserve">2.005-Promoção de Eventos, Comunicação e Participação Social </v>
      </c>
      <c r="O1700" t="str">
        <f t="shared" si="180"/>
        <v>3.3.90.39.00-OUTROS SERVIÇOS DE TERCEIROS - PESSOA JURÍDICA</v>
      </c>
      <c r="R1700" s="25">
        <v>0</v>
      </c>
      <c r="S1700" t="s">
        <v>1035</v>
      </c>
    </row>
    <row r="1701" spans="1:19" x14ac:dyDescent="0.25">
      <c r="A1701" t="str">
        <f t="shared" si="169"/>
        <v>31</v>
      </c>
      <c r="B1701" t="str">
        <f t="shared" si="170"/>
        <v>001</v>
      </c>
      <c r="C1701" t="str">
        <f t="shared" si="171"/>
        <v>14</v>
      </c>
      <c r="D1701" t="str">
        <f t="shared" si="172"/>
        <v>422</v>
      </c>
      <c r="E1701" t="str">
        <f t="shared" si="173"/>
        <v>0018</v>
      </c>
      <c r="F1701" t="str">
        <f t="shared" si="174"/>
        <v>2.005</v>
      </c>
      <c r="G1701" t="str">
        <f t="shared" si="175"/>
        <v>3.3.90.30.00</v>
      </c>
      <c r="H1701" t="s">
        <v>1751</v>
      </c>
      <c r="I1701" t="str">
        <f t="shared" si="168"/>
        <v>31 - SECRETARIA EXECUTIVA DE POLITICAS DE PROMOÇÃO DA IGUALDADE RACIAL</v>
      </c>
      <c r="J1701" t="s">
        <v>20</v>
      </c>
      <c r="K1701" t="str">
        <f t="shared" si="176"/>
        <v>14-DIREITOS DA CIDADANIA</v>
      </c>
      <c r="L1701" t="str">
        <f t="shared" si="177"/>
        <v>422-DIREITOS INDIVIDUAIS, COLETIVOS E DIFUSOS</v>
      </c>
      <c r="M1701" t="str">
        <f t="shared" si="178"/>
        <v>0018-Proteção Social e Garantia de Direitos​</v>
      </c>
      <c r="N1701" t="str">
        <f t="shared" si="179"/>
        <v xml:space="preserve">2.005-Promoção de Eventos, Comunicação e Participação Social </v>
      </c>
      <c r="O1701" t="str">
        <f t="shared" si="180"/>
        <v>3.3.90.30.00-MATERIAL DE CONSUMO</v>
      </c>
      <c r="R1701" s="25">
        <v>0</v>
      </c>
      <c r="S1701" t="s">
        <v>1035</v>
      </c>
    </row>
    <row r="1702" spans="1:19" x14ac:dyDescent="0.25">
      <c r="A1702" t="str">
        <f t="shared" si="169"/>
        <v>31</v>
      </c>
      <c r="B1702" t="str">
        <f t="shared" si="170"/>
        <v>001</v>
      </c>
      <c r="C1702" t="str">
        <f t="shared" si="171"/>
        <v>14</v>
      </c>
      <c r="D1702" t="str">
        <f t="shared" si="172"/>
        <v>422</v>
      </c>
      <c r="E1702" t="str">
        <f t="shared" si="173"/>
        <v>0002</v>
      </c>
      <c r="F1702" t="str">
        <f t="shared" si="174"/>
        <v>2.011</v>
      </c>
      <c r="G1702" t="str">
        <f t="shared" si="175"/>
        <v>3.3.90.33.00</v>
      </c>
      <c r="H1702" t="s">
        <v>1752</v>
      </c>
      <c r="I1702" t="str">
        <f t="shared" si="168"/>
        <v>31 - SECRETARIA EXECUTIVA DE POLITICAS DE PROMOÇÃO DA IGUALDADE RACIAL</v>
      </c>
      <c r="J1702" t="s">
        <v>20</v>
      </c>
      <c r="K1702" t="str">
        <f t="shared" si="176"/>
        <v>14-DIREITOS DA CIDADANIA</v>
      </c>
      <c r="L1702" t="str">
        <f t="shared" si="177"/>
        <v>422-DIREITOS INDIVIDUAIS, COLETIVOS E DIFUSOS</v>
      </c>
      <c r="M1702" t="str">
        <f t="shared" si="178"/>
        <v>0002-Governo Inteligente, Aberto e Inovador​</v>
      </c>
      <c r="N1702" t="str">
        <f t="shared" si="179"/>
        <v xml:space="preserve">2.011-Manutenção de Equipamentos Públicos </v>
      </c>
      <c r="O1702" t="str">
        <f t="shared" si="180"/>
        <v>3.3.90.33.00-PASSAGENS E DESPESAS COM LOCOMOÇÃO</v>
      </c>
      <c r="R1702" s="25">
        <v>0</v>
      </c>
      <c r="S1702" t="s">
        <v>1035</v>
      </c>
    </row>
    <row r="1703" spans="1:19" x14ac:dyDescent="0.25">
      <c r="A1703" t="str">
        <f t="shared" si="169"/>
        <v>31</v>
      </c>
      <c r="B1703" t="str">
        <f t="shared" si="170"/>
        <v>001</v>
      </c>
      <c r="C1703" t="str">
        <f t="shared" si="171"/>
        <v>14</v>
      </c>
      <c r="D1703" t="str">
        <f t="shared" si="172"/>
        <v>422</v>
      </c>
      <c r="E1703" t="str">
        <f t="shared" si="173"/>
        <v>0002</v>
      </c>
      <c r="F1703" t="str">
        <f t="shared" si="174"/>
        <v>2.011</v>
      </c>
      <c r="G1703" t="str">
        <f t="shared" si="175"/>
        <v>3.3.90.39.00</v>
      </c>
      <c r="H1703" t="s">
        <v>1753</v>
      </c>
      <c r="I1703" t="str">
        <f t="shared" si="168"/>
        <v>31 - SECRETARIA EXECUTIVA DE POLITICAS DE PROMOÇÃO DA IGUALDADE RACIAL</v>
      </c>
      <c r="J1703" t="s">
        <v>20</v>
      </c>
      <c r="K1703" t="str">
        <f t="shared" si="176"/>
        <v>14-DIREITOS DA CIDADANIA</v>
      </c>
      <c r="L1703" t="str">
        <f t="shared" si="177"/>
        <v>422-DIREITOS INDIVIDUAIS, COLETIVOS E DIFUSOS</v>
      </c>
      <c r="M1703" t="str">
        <f t="shared" si="178"/>
        <v>0002-Governo Inteligente, Aberto e Inovador​</v>
      </c>
      <c r="N1703" t="str">
        <f t="shared" si="179"/>
        <v xml:space="preserve">2.011-Manutenção de Equipamentos Públicos </v>
      </c>
      <c r="O1703" t="str">
        <f t="shared" si="180"/>
        <v>3.3.90.39.00-OUTROS SERVIÇOS DE TERCEIROS - PESSOA JURÍDICA</v>
      </c>
      <c r="R1703" s="25">
        <v>0</v>
      </c>
      <c r="S1703" t="s">
        <v>1035</v>
      </c>
    </row>
    <row r="1704" spans="1:19" x14ac:dyDescent="0.25">
      <c r="A1704" t="str">
        <f t="shared" si="169"/>
        <v>32</v>
      </c>
      <c r="B1704" t="str">
        <f t="shared" si="170"/>
        <v>001</v>
      </c>
      <c r="C1704" t="str">
        <f t="shared" si="171"/>
        <v>04</v>
      </c>
      <c r="D1704" t="str">
        <f t="shared" si="172"/>
        <v>131</v>
      </c>
      <c r="E1704" t="str">
        <f t="shared" si="173"/>
        <v>0001</v>
      </c>
      <c r="F1704" t="str">
        <f t="shared" si="174"/>
        <v>2.005</v>
      </c>
      <c r="G1704" t="str">
        <f t="shared" si="175"/>
        <v>3.3.90.39.00</v>
      </c>
      <c r="H1704" t="s">
        <v>1754</v>
      </c>
      <c r="I1704" t="str">
        <f t="shared" si="168"/>
        <v>32 - SECRETARIA EXECUTIVA DE POLÍTICAS PARA MULHERES E DIVERSIDADE</v>
      </c>
      <c r="J1704" t="s">
        <v>20</v>
      </c>
      <c r="K1704" t="str">
        <f t="shared" si="176"/>
        <v>4-ADMINISTRAÇÃO</v>
      </c>
      <c r="L1704" t="str">
        <f t="shared" si="177"/>
        <v>131-COMUNICAÇÃO SOCIAL</v>
      </c>
      <c r="M1704" t="str">
        <f t="shared" si="178"/>
        <v>0001-Administração e Coordenação Geral​</v>
      </c>
      <c r="N1704" t="str">
        <f t="shared" si="179"/>
        <v xml:space="preserve">2.005-Promoção de Eventos, Comunicação e Participação Social </v>
      </c>
      <c r="O1704" t="str">
        <f t="shared" si="180"/>
        <v>3.3.90.39.00-OUTROS SERVIÇOS DE TERCEIROS - PESSOA JURÍDICA</v>
      </c>
      <c r="R1704" s="25">
        <v>0</v>
      </c>
      <c r="S1704" t="s">
        <v>1035</v>
      </c>
    </row>
    <row r="1705" spans="1:19" x14ac:dyDescent="0.25">
      <c r="A1705" t="str">
        <f t="shared" si="169"/>
        <v>33</v>
      </c>
      <c r="B1705" t="str">
        <f t="shared" si="170"/>
        <v>001</v>
      </c>
      <c r="C1705" t="str">
        <f t="shared" si="171"/>
        <v>04</v>
      </c>
      <c r="D1705" t="str">
        <f t="shared" si="172"/>
        <v>122</v>
      </c>
      <c r="E1705" t="str">
        <f t="shared" si="173"/>
        <v>0001</v>
      </c>
      <c r="F1705" t="str">
        <f t="shared" si="174"/>
        <v>2.006</v>
      </c>
      <c r="G1705" t="str">
        <f t="shared" si="175"/>
        <v>3.3.90.93.00</v>
      </c>
      <c r="H1705" t="s">
        <v>1755</v>
      </c>
      <c r="I1705" t="str">
        <f t="shared" si="168"/>
        <v>33 - SECRETARIA EXECUTIVA DE COMPRAS E LICITAÇÕES</v>
      </c>
      <c r="J1705" t="s">
        <v>20</v>
      </c>
      <c r="K1705" t="str">
        <f t="shared" si="176"/>
        <v>4-ADMINISTRAÇÃO</v>
      </c>
      <c r="L1705" t="str">
        <f t="shared" si="177"/>
        <v>122-ADMINISTRAÇÃO GERAL</v>
      </c>
      <c r="M1705" t="str">
        <f t="shared" si="178"/>
        <v>0001-Administração e Coordenação Geral​</v>
      </c>
      <c r="N1705" t="str">
        <f t="shared" si="179"/>
        <v xml:space="preserve">2.006-Representações Oficiais </v>
      </c>
      <c r="O1705" t="str">
        <f t="shared" si="180"/>
        <v>3.3.90.93.00-INDENIZAÇÕES E RESTITUIÇÕES</v>
      </c>
      <c r="R1705" s="25">
        <v>0</v>
      </c>
      <c r="S1705" t="s">
        <v>1035</v>
      </c>
    </row>
    <row r="1706" spans="1:19" x14ac:dyDescent="0.25">
      <c r="A1706" t="str">
        <f t="shared" si="169"/>
        <v>01</v>
      </c>
      <c r="B1706" t="str">
        <f t="shared" si="170"/>
        <v>001</v>
      </c>
      <c r="C1706" t="str">
        <f t="shared" si="171"/>
        <v>01</v>
      </c>
      <c r="D1706" t="str">
        <f t="shared" si="172"/>
        <v>031</v>
      </c>
      <c r="E1706" t="str">
        <f t="shared" si="173"/>
        <v>0003</v>
      </c>
      <c r="F1706" t="str">
        <f t="shared" si="174"/>
        <v>1.003</v>
      </c>
      <c r="G1706" t="str">
        <f t="shared" si="175"/>
        <v>3.3.90.39.00</v>
      </c>
      <c r="H1706" t="s">
        <v>1756</v>
      </c>
      <c r="I1706" t="s">
        <v>1034</v>
      </c>
      <c r="J1706" t="s">
        <v>20</v>
      </c>
      <c r="K1706" t="str">
        <f t="shared" ref="K1706:K1726" si="181">C1706</f>
        <v>01</v>
      </c>
      <c r="L1706" t="str">
        <f t="shared" ref="L1706:L1726" si="182">D1706</f>
        <v>031</v>
      </c>
      <c r="M1706" t="str">
        <f t="shared" ref="M1706:M1726" si="183">E1706</f>
        <v>0003</v>
      </c>
      <c r="N1706" t="str">
        <f t="shared" si="179"/>
        <v>1.003-Implantação de Novas Unidades</v>
      </c>
      <c r="O1706" t="str">
        <f t="shared" si="180"/>
        <v>3.3.90.39.00-OUTROS SERVIÇOS DE TERCEIROS - PESSOA JURÍDICA</v>
      </c>
      <c r="R1706" s="25">
        <v>2000000</v>
      </c>
      <c r="S1706" t="s">
        <v>1035</v>
      </c>
    </row>
    <row r="1707" spans="1:19" x14ac:dyDescent="0.25">
      <c r="A1707" t="str">
        <f t="shared" si="169"/>
        <v>01</v>
      </c>
      <c r="B1707" t="str">
        <f t="shared" si="170"/>
        <v>001</v>
      </c>
      <c r="C1707" t="str">
        <f t="shared" si="171"/>
        <v>01</v>
      </c>
      <c r="D1707" t="str">
        <f t="shared" si="172"/>
        <v>031</v>
      </c>
      <c r="E1707" t="str">
        <f t="shared" si="173"/>
        <v>0003</v>
      </c>
      <c r="F1707" t="str">
        <f t="shared" si="174"/>
        <v>1.003</v>
      </c>
      <c r="G1707" t="str">
        <f t="shared" si="175"/>
        <v>3.3.90.92.00</v>
      </c>
      <c r="H1707" t="s">
        <v>1757</v>
      </c>
      <c r="I1707" t="s">
        <v>1034</v>
      </c>
      <c r="J1707" t="s">
        <v>20</v>
      </c>
      <c r="K1707" t="str">
        <f t="shared" si="181"/>
        <v>01</v>
      </c>
      <c r="L1707" t="str">
        <f t="shared" si="182"/>
        <v>031</v>
      </c>
      <c r="M1707" t="str">
        <f t="shared" si="183"/>
        <v>0003</v>
      </c>
      <c r="N1707" t="str">
        <f t="shared" si="179"/>
        <v>1.003-Implantação de Novas Unidades</v>
      </c>
      <c r="O1707" t="str">
        <f t="shared" si="180"/>
        <v>3.3.90.92.00-DESPESAS DE EXERCÍCIOS ANTERIORES</v>
      </c>
      <c r="R1707" s="25">
        <v>1</v>
      </c>
      <c r="S1707" t="s">
        <v>1035</v>
      </c>
    </row>
    <row r="1708" spans="1:19" x14ac:dyDescent="0.25">
      <c r="A1708" t="str">
        <f t="shared" si="169"/>
        <v>01</v>
      </c>
      <c r="B1708" t="str">
        <f t="shared" si="170"/>
        <v>001</v>
      </c>
      <c r="C1708" t="str">
        <f t="shared" si="171"/>
        <v>01</v>
      </c>
      <c r="D1708" t="str">
        <f t="shared" si="172"/>
        <v>031</v>
      </c>
      <c r="E1708" t="str">
        <f t="shared" si="173"/>
        <v>0003</v>
      </c>
      <c r="F1708" t="str">
        <f t="shared" si="174"/>
        <v>1.003</v>
      </c>
      <c r="G1708" t="str">
        <f t="shared" si="175"/>
        <v>3.3.90.93.00</v>
      </c>
      <c r="H1708" t="s">
        <v>1758</v>
      </c>
      <c r="I1708" t="s">
        <v>1034</v>
      </c>
      <c r="J1708" t="s">
        <v>20</v>
      </c>
      <c r="K1708" t="str">
        <f t="shared" si="181"/>
        <v>01</v>
      </c>
      <c r="L1708" t="str">
        <f t="shared" si="182"/>
        <v>031</v>
      </c>
      <c r="M1708" t="str">
        <f t="shared" si="183"/>
        <v>0003</v>
      </c>
      <c r="N1708" t="str">
        <f t="shared" si="179"/>
        <v>1.003-Implantação de Novas Unidades</v>
      </c>
      <c r="O1708" t="str">
        <f t="shared" si="180"/>
        <v>3.3.90.93.00-INDENIZAÇÕES E RESTITUIÇÕES</v>
      </c>
      <c r="R1708" s="25">
        <v>1</v>
      </c>
      <c r="S1708" t="s">
        <v>1035</v>
      </c>
    </row>
    <row r="1709" spans="1:19" x14ac:dyDescent="0.25">
      <c r="A1709" t="str">
        <f t="shared" si="169"/>
        <v>01</v>
      </c>
      <c r="B1709" t="str">
        <f t="shared" si="170"/>
        <v>001</v>
      </c>
      <c r="C1709" t="str">
        <f t="shared" si="171"/>
        <v>01</v>
      </c>
      <c r="D1709" t="str">
        <f t="shared" si="172"/>
        <v>031</v>
      </c>
      <c r="E1709" t="str">
        <f t="shared" si="173"/>
        <v>0003</v>
      </c>
      <c r="F1709" t="str">
        <f t="shared" si="174"/>
        <v>1.003</v>
      </c>
      <c r="G1709" t="str">
        <f t="shared" si="175"/>
        <v>4.4.90.51.00</v>
      </c>
      <c r="H1709" t="s">
        <v>1759</v>
      </c>
      <c r="I1709" t="s">
        <v>1034</v>
      </c>
      <c r="J1709" t="s">
        <v>20</v>
      </c>
      <c r="K1709" t="str">
        <f t="shared" si="181"/>
        <v>01</v>
      </c>
      <c r="L1709" t="str">
        <f t="shared" si="182"/>
        <v>031</v>
      </c>
      <c r="M1709" t="str">
        <f t="shared" si="183"/>
        <v>0003</v>
      </c>
      <c r="N1709" t="str">
        <f t="shared" si="179"/>
        <v>1.003-Implantação de Novas Unidades</v>
      </c>
      <c r="O1709" t="str">
        <f t="shared" si="180"/>
        <v>4.4.90.51.00-OBRAS E INSTALAÇÕES</v>
      </c>
      <c r="R1709" s="25">
        <v>1000000</v>
      </c>
      <c r="S1709" t="s">
        <v>1035</v>
      </c>
    </row>
    <row r="1710" spans="1:19" x14ac:dyDescent="0.25">
      <c r="A1710" t="str">
        <f t="shared" si="169"/>
        <v>01</v>
      </c>
      <c r="B1710" t="str">
        <f t="shared" si="170"/>
        <v>001</v>
      </c>
      <c r="C1710" t="str">
        <f t="shared" si="171"/>
        <v>01</v>
      </c>
      <c r="D1710" t="str">
        <f t="shared" si="172"/>
        <v>031</v>
      </c>
      <c r="E1710" t="str">
        <f t="shared" si="173"/>
        <v>0003</v>
      </c>
      <c r="F1710" t="str">
        <f t="shared" si="174"/>
        <v>1.003</v>
      </c>
      <c r="G1710" t="str">
        <f t="shared" si="175"/>
        <v>4.4.90.52.00</v>
      </c>
      <c r="H1710" t="s">
        <v>1760</v>
      </c>
      <c r="I1710" t="s">
        <v>1034</v>
      </c>
      <c r="J1710" t="s">
        <v>20</v>
      </c>
      <c r="K1710" t="str">
        <f t="shared" si="181"/>
        <v>01</v>
      </c>
      <c r="L1710" t="str">
        <f t="shared" si="182"/>
        <v>031</v>
      </c>
      <c r="M1710" t="str">
        <f t="shared" si="183"/>
        <v>0003</v>
      </c>
      <c r="N1710" t="str">
        <f t="shared" si="179"/>
        <v>1.003-Implantação de Novas Unidades</v>
      </c>
      <c r="O1710" t="str">
        <f t="shared" si="180"/>
        <v>4.4.90.52.00-EQUIPAMENTOS E MATERIAL PERMANENTE</v>
      </c>
      <c r="R1710" s="25">
        <v>3500000</v>
      </c>
      <c r="S1710" t="s">
        <v>1035</v>
      </c>
    </row>
    <row r="1711" spans="1:19" x14ac:dyDescent="0.25">
      <c r="A1711" t="str">
        <f t="shared" si="169"/>
        <v>01</v>
      </c>
      <c r="B1711" t="str">
        <f t="shared" si="170"/>
        <v>001</v>
      </c>
      <c r="C1711" t="str">
        <f t="shared" si="171"/>
        <v>01</v>
      </c>
      <c r="D1711" t="str">
        <f t="shared" si="172"/>
        <v>031</v>
      </c>
      <c r="E1711" t="str">
        <f t="shared" si="173"/>
        <v>0003</v>
      </c>
      <c r="F1711" t="str">
        <f t="shared" si="174"/>
        <v>1.003</v>
      </c>
      <c r="G1711" t="str">
        <f t="shared" si="175"/>
        <v>4.4.90.92.00</v>
      </c>
      <c r="H1711" t="s">
        <v>1761</v>
      </c>
      <c r="I1711" t="s">
        <v>1034</v>
      </c>
      <c r="J1711" t="s">
        <v>20</v>
      </c>
      <c r="K1711" t="str">
        <f t="shared" si="181"/>
        <v>01</v>
      </c>
      <c r="L1711" t="str">
        <f t="shared" si="182"/>
        <v>031</v>
      </c>
      <c r="M1711" t="str">
        <f t="shared" si="183"/>
        <v>0003</v>
      </c>
      <c r="N1711" t="str">
        <f t="shared" si="179"/>
        <v>1.003-Implantação de Novas Unidades</v>
      </c>
      <c r="O1711" t="str">
        <f t="shared" ref="O1711:O1721" si="184">G1711</f>
        <v>4.4.90.92.00</v>
      </c>
      <c r="R1711" s="25">
        <v>1</v>
      </c>
      <c r="S1711" t="s">
        <v>1035</v>
      </c>
    </row>
    <row r="1712" spans="1:19" x14ac:dyDescent="0.25">
      <c r="A1712" t="str">
        <f t="shared" si="169"/>
        <v>01</v>
      </c>
      <c r="B1712" t="str">
        <f t="shared" si="170"/>
        <v>001</v>
      </c>
      <c r="C1712" t="str">
        <f t="shared" si="171"/>
        <v>01</v>
      </c>
      <c r="D1712" t="str">
        <f t="shared" si="172"/>
        <v>122</v>
      </c>
      <c r="E1712" t="str">
        <f t="shared" si="173"/>
        <v>0003</v>
      </c>
      <c r="F1712" t="str">
        <f t="shared" si="174"/>
        <v>2.001</v>
      </c>
      <c r="G1712" t="str">
        <f t="shared" si="175"/>
        <v>3.1.90.11.00</v>
      </c>
      <c r="H1712" t="s">
        <v>1762</v>
      </c>
      <c r="I1712" t="s">
        <v>1034</v>
      </c>
      <c r="J1712" t="s">
        <v>20</v>
      </c>
      <c r="K1712" t="str">
        <f t="shared" si="181"/>
        <v>01</v>
      </c>
      <c r="L1712" t="str">
        <f t="shared" si="182"/>
        <v>122</v>
      </c>
      <c r="M1712" t="str">
        <f t="shared" si="183"/>
        <v>0003</v>
      </c>
      <c r="N1712" t="str">
        <f t="shared" si="179"/>
        <v>2.001-Remuneração, Benefícios e Encargos</v>
      </c>
      <c r="O1712" t="str">
        <f t="shared" si="184"/>
        <v>3.1.90.11.00</v>
      </c>
      <c r="R1712" s="25">
        <v>72722107</v>
      </c>
      <c r="S1712" t="s">
        <v>1035</v>
      </c>
    </row>
    <row r="1713" spans="1:19" x14ac:dyDescent="0.25">
      <c r="A1713" t="str">
        <f t="shared" si="169"/>
        <v>01</v>
      </c>
      <c r="B1713" t="str">
        <f t="shared" si="170"/>
        <v>001</v>
      </c>
      <c r="C1713" t="str">
        <f t="shared" si="171"/>
        <v>01</v>
      </c>
      <c r="D1713" t="str">
        <f t="shared" si="172"/>
        <v>122</v>
      </c>
      <c r="E1713" t="str">
        <f t="shared" si="173"/>
        <v>0003</v>
      </c>
      <c r="F1713" t="str">
        <f t="shared" si="174"/>
        <v>2.001</v>
      </c>
      <c r="G1713" t="str">
        <f t="shared" si="175"/>
        <v>3.1.90.13.00</v>
      </c>
      <c r="H1713" t="s">
        <v>1763</v>
      </c>
      <c r="I1713" t="s">
        <v>1034</v>
      </c>
      <c r="J1713" t="s">
        <v>20</v>
      </c>
      <c r="K1713" t="str">
        <f t="shared" si="181"/>
        <v>01</v>
      </c>
      <c r="L1713" t="str">
        <f t="shared" si="182"/>
        <v>122</v>
      </c>
      <c r="M1713" t="str">
        <f t="shared" si="183"/>
        <v>0003</v>
      </c>
      <c r="N1713" t="str">
        <f t="shared" si="179"/>
        <v>2.001-Remuneração, Benefícios e Encargos</v>
      </c>
      <c r="O1713" t="str">
        <f t="shared" si="184"/>
        <v>3.1.90.13.00</v>
      </c>
      <c r="R1713" s="25">
        <v>8654868</v>
      </c>
      <c r="S1713" t="s">
        <v>1035</v>
      </c>
    </row>
    <row r="1714" spans="1:19" x14ac:dyDescent="0.25">
      <c r="A1714" t="str">
        <f t="shared" si="169"/>
        <v>01</v>
      </c>
      <c r="B1714" t="str">
        <f t="shared" si="170"/>
        <v>001</v>
      </c>
      <c r="C1714" t="str">
        <f t="shared" si="171"/>
        <v>01</v>
      </c>
      <c r="D1714" t="str">
        <f t="shared" si="172"/>
        <v>122</v>
      </c>
      <c r="E1714" t="str">
        <f t="shared" si="173"/>
        <v>0003</v>
      </c>
      <c r="F1714" t="str">
        <f t="shared" si="174"/>
        <v>2.001</v>
      </c>
      <c r="G1714" t="str">
        <f t="shared" si="175"/>
        <v>3.1.90.16.00</v>
      </c>
      <c r="H1714" t="s">
        <v>1764</v>
      </c>
      <c r="I1714" t="s">
        <v>1034</v>
      </c>
      <c r="J1714" t="s">
        <v>20</v>
      </c>
      <c r="K1714" t="str">
        <f t="shared" si="181"/>
        <v>01</v>
      </c>
      <c r="L1714" t="str">
        <f t="shared" si="182"/>
        <v>122</v>
      </c>
      <c r="M1714" t="str">
        <f t="shared" si="183"/>
        <v>0003</v>
      </c>
      <c r="N1714" t="str">
        <f t="shared" si="179"/>
        <v>2.001-Remuneração, Benefícios e Encargos</v>
      </c>
      <c r="O1714" t="str">
        <f t="shared" si="184"/>
        <v>3.1.90.16.00</v>
      </c>
      <c r="R1714" s="25">
        <v>1</v>
      </c>
      <c r="S1714" t="s">
        <v>1035</v>
      </c>
    </row>
    <row r="1715" spans="1:19" x14ac:dyDescent="0.25">
      <c r="A1715" t="str">
        <f t="shared" si="169"/>
        <v>01</v>
      </c>
      <c r="B1715" t="str">
        <f t="shared" si="170"/>
        <v>001</v>
      </c>
      <c r="C1715" t="str">
        <f t="shared" si="171"/>
        <v>01</v>
      </c>
      <c r="D1715" t="str">
        <f t="shared" si="172"/>
        <v>122</v>
      </c>
      <c r="E1715" t="str">
        <f t="shared" si="173"/>
        <v>0003</v>
      </c>
      <c r="F1715" t="str">
        <f t="shared" si="174"/>
        <v>2.001</v>
      </c>
      <c r="G1715" t="str">
        <f t="shared" si="175"/>
        <v>3.1.90.91.00</v>
      </c>
      <c r="H1715" t="s">
        <v>1765</v>
      </c>
      <c r="I1715" t="s">
        <v>1034</v>
      </c>
      <c r="J1715" t="s">
        <v>20</v>
      </c>
      <c r="K1715" t="str">
        <f t="shared" si="181"/>
        <v>01</v>
      </c>
      <c r="L1715" t="str">
        <f t="shared" si="182"/>
        <v>122</v>
      </c>
      <c r="M1715" t="str">
        <f t="shared" si="183"/>
        <v>0003</v>
      </c>
      <c r="N1715" t="str">
        <f t="shared" si="179"/>
        <v>2.001-Remuneração, Benefícios e Encargos</v>
      </c>
      <c r="O1715" t="str">
        <f t="shared" si="184"/>
        <v>3.1.90.91.00</v>
      </c>
      <c r="R1715" s="25">
        <v>1</v>
      </c>
      <c r="S1715" t="s">
        <v>1035</v>
      </c>
    </row>
    <row r="1716" spans="1:19" x14ac:dyDescent="0.25">
      <c r="A1716" t="str">
        <f t="shared" si="169"/>
        <v>01</v>
      </c>
      <c r="B1716" t="str">
        <f t="shared" si="170"/>
        <v>001</v>
      </c>
      <c r="C1716" t="str">
        <f t="shared" si="171"/>
        <v>01</v>
      </c>
      <c r="D1716" t="str">
        <f t="shared" si="172"/>
        <v>122</v>
      </c>
      <c r="E1716" t="str">
        <f t="shared" si="173"/>
        <v>0003</v>
      </c>
      <c r="F1716" t="str">
        <f t="shared" si="174"/>
        <v>2.001</v>
      </c>
      <c r="G1716" t="str">
        <f t="shared" si="175"/>
        <v>3.1.90.92.00</v>
      </c>
      <c r="H1716" t="s">
        <v>1766</v>
      </c>
      <c r="I1716" t="s">
        <v>1034</v>
      </c>
      <c r="J1716" t="s">
        <v>20</v>
      </c>
      <c r="K1716" t="str">
        <f t="shared" si="181"/>
        <v>01</v>
      </c>
      <c r="L1716" t="str">
        <f t="shared" si="182"/>
        <v>122</v>
      </c>
      <c r="M1716" t="str">
        <f t="shared" si="183"/>
        <v>0003</v>
      </c>
      <c r="N1716" t="str">
        <f t="shared" si="179"/>
        <v>2.001-Remuneração, Benefícios e Encargos</v>
      </c>
      <c r="O1716" t="str">
        <f t="shared" si="184"/>
        <v>3.1.90.92.00</v>
      </c>
      <c r="R1716" s="25">
        <v>1</v>
      </c>
      <c r="S1716" t="s">
        <v>1035</v>
      </c>
    </row>
    <row r="1717" spans="1:19" x14ac:dyDescent="0.25">
      <c r="A1717" t="str">
        <f t="shared" si="169"/>
        <v>01</v>
      </c>
      <c r="B1717" t="str">
        <f t="shared" si="170"/>
        <v>001</v>
      </c>
      <c r="C1717" t="str">
        <f t="shared" si="171"/>
        <v>01</v>
      </c>
      <c r="D1717" t="str">
        <f t="shared" si="172"/>
        <v>122</v>
      </c>
      <c r="E1717" t="str">
        <f t="shared" si="173"/>
        <v>0003</v>
      </c>
      <c r="F1717" t="str">
        <f t="shared" si="174"/>
        <v>2.001</v>
      </c>
      <c r="G1717" t="str">
        <f t="shared" si="175"/>
        <v>3.1.90.94.00</v>
      </c>
      <c r="H1717" t="s">
        <v>1767</v>
      </c>
      <c r="I1717" t="s">
        <v>1034</v>
      </c>
      <c r="J1717" t="s">
        <v>20</v>
      </c>
      <c r="K1717" t="str">
        <f t="shared" si="181"/>
        <v>01</v>
      </c>
      <c r="L1717" t="str">
        <f t="shared" si="182"/>
        <v>122</v>
      </c>
      <c r="M1717" t="str">
        <f t="shared" si="183"/>
        <v>0003</v>
      </c>
      <c r="N1717" t="str">
        <f t="shared" si="179"/>
        <v>2.001-Remuneração, Benefícios e Encargos</v>
      </c>
      <c r="O1717" t="str">
        <f t="shared" si="184"/>
        <v>3.1.90.94.00</v>
      </c>
      <c r="R1717" s="25">
        <v>1</v>
      </c>
      <c r="S1717" t="s">
        <v>1035</v>
      </c>
    </row>
    <row r="1718" spans="1:19" x14ac:dyDescent="0.25">
      <c r="A1718" t="str">
        <f t="shared" si="169"/>
        <v>01</v>
      </c>
      <c r="B1718" t="str">
        <f t="shared" si="170"/>
        <v>001</v>
      </c>
      <c r="C1718" t="str">
        <f t="shared" si="171"/>
        <v>01</v>
      </c>
      <c r="D1718" t="str">
        <f t="shared" si="172"/>
        <v>122</v>
      </c>
      <c r="E1718" t="str">
        <f t="shared" si="173"/>
        <v>0003</v>
      </c>
      <c r="F1718" t="str">
        <f t="shared" si="174"/>
        <v>2.001</v>
      </c>
      <c r="G1718" t="str">
        <f t="shared" si="175"/>
        <v>3.1.90.96.00</v>
      </c>
      <c r="H1718" t="s">
        <v>1768</v>
      </c>
      <c r="I1718" t="s">
        <v>1034</v>
      </c>
      <c r="J1718" t="s">
        <v>20</v>
      </c>
      <c r="K1718" t="str">
        <f t="shared" si="181"/>
        <v>01</v>
      </c>
      <c r="L1718" t="str">
        <f t="shared" si="182"/>
        <v>122</v>
      </c>
      <c r="M1718" t="str">
        <f t="shared" si="183"/>
        <v>0003</v>
      </c>
      <c r="N1718" t="str">
        <f t="shared" si="179"/>
        <v>2.001-Remuneração, Benefícios e Encargos</v>
      </c>
      <c r="O1718" t="str">
        <f t="shared" si="184"/>
        <v>3.1.90.96.00</v>
      </c>
      <c r="R1718" s="25">
        <v>1</v>
      </c>
      <c r="S1718" t="s">
        <v>1035</v>
      </c>
    </row>
    <row r="1719" spans="1:19" x14ac:dyDescent="0.25">
      <c r="A1719" t="str">
        <f t="shared" si="169"/>
        <v>01</v>
      </c>
      <c r="B1719" t="str">
        <f t="shared" si="170"/>
        <v>001</v>
      </c>
      <c r="C1719" t="str">
        <f t="shared" si="171"/>
        <v>01</v>
      </c>
      <c r="D1719" t="str">
        <f t="shared" si="172"/>
        <v>122</v>
      </c>
      <c r="E1719" t="str">
        <f t="shared" si="173"/>
        <v>0003</v>
      </c>
      <c r="F1719" t="str">
        <f t="shared" si="174"/>
        <v>2.001</v>
      </c>
      <c r="G1719" t="str">
        <f t="shared" si="175"/>
        <v>3.1.91.13.00</v>
      </c>
      <c r="H1719" t="s">
        <v>1769</v>
      </c>
      <c r="I1719" t="s">
        <v>1034</v>
      </c>
      <c r="J1719" t="s">
        <v>20</v>
      </c>
      <c r="K1719" t="str">
        <f t="shared" si="181"/>
        <v>01</v>
      </c>
      <c r="L1719" t="str">
        <f t="shared" si="182"/>
        <v>122</v>
      </c>
      <c r="M1719" t="str">
        <f t="shared" si="183"/>
        <v>0003</v>
      </c>
      <c r="N1719" t="str">
        <f t="shared" si="179"/>
        <v>2.001-Remuneração, Benefícios e Encargos</v>
      </c>
      <c r="O1719" t="str">
        <f t="shared" si="184"/>
        <v>3.1.91.13.00</v>
      </c>
      <c r="R1719" s="25">
        <v>4840368</v>
      </c>
      <c r="S1719" t="s">
        <v>1035</v>
      </c>
    </row>
    <row r="1720" spans="1:19" x14ac:dyDescent="0.25">
      <c r="A1720" t="str">
        <f t="shared" si="169"/>
        <v>01</v>
      </c>
      <c r="B1720" t="str">
        <f t="shared" si="170"/>
        <v>001</v>
      </c>
      <c r="C1720" t="str">
        <f t="shared" si="171"/>
        <v>01</v>
      </c>
      <c r="D1720" t="str">
        <f t="shared" si="172"/>
        <v>122</v>
      </c>
      <c r="E1720" t="str">
        <f t="shared" si="173"/>
        <v>0003</v>
      </c>
      <c r="F1720" t="str">
        <f t="shared" si="174"/>
        <v>2.001</v>
      </c>
      <c r="G1720" t="str">
        <f t="shared" si="175"/>
        <v>3.1.91.92.00</v>
      </c>
      <c r="H1720" t="s">
        <v>1770</v>
      </c>
      <c r="I1720" t="s">
        <v>1034</v>
      </c>
      <c r="J1720" t="s">
        <v>20</v>
      </c>
      <c r="K1720" t="str">
        <f t="shared" si="181"/>
        <v>01</v>
      </c>
      <c r="L1720" t="str">
        <f t="shared" si="182"/>
        <v>122</v>
      </c>
      <c r="M1720" t="str">
        <f t="shared" si="183"/>
        <v>0003</v>
      </c>
      <c r="N1720" t="str">
        <f t="shared" si="179"/>
        <v>2.001-Remuneração, Benefícios e Encargos</v>
      </c>
      <c r="O1720" t="str">
        <f t="shared" si="184"/>
        <v>3.1.91.92.00</v>
      </c>
      <c r="R1720" s="25">
        <v>1050</v>
      </c>
      <c r="S1720" t="s">
        <v>1035</v>
      </c>
    </row>
    <row r="1721" spans="1:19" x14ac:dyDescent="0.25">
      <c r="A1721" t="str">
        <f t="shared" si="169"/>
        <v>01</v>
      </c>
      <c r="B1721" t="str">
        <f t="shared" si="170"/>
        <v>001</v>
      </c>
      <c r="C1721" t="str">
        <f t="shared" si="171"/>
        <v>01</v>
      </c>
      <c r="D1721" t="str">
        <f t="shared" si="172"/>
        <v>122</v>
      </c>
      <c r="E1721" t="str">
        <f t="shared" si="173"/>
        <v>0003</v>
      </c>
      <c r="F1721" t="str">
        <f t="shared" si="174"/>
        <v>2.001</v>
      </c>
      <c r="G1721" t="str">
        <f t="shared" si="175"/>
        <v>3.3.90.08.00</v>
      </c>
      <c r="H1721" t="s">
        <v>1771</v>
      </c>
      <c r="I1721" t="s">
        <v>1034</v>
      </c>
      <c r="J1721" t="s">
        <v>20</v>
      </c>
      <c r="K1721" t="str">
        <f t="shared" si="181"/>
        <v>01</v>
      </c>
      <c r="L1721" t="str">
        <f t="shared" si="182"/>
        <v>122</v>
      </c>
      <c r="M1721" t="str">
        <f t="shared" si="183"/>
        <v>0003</v>
      </c>
      <c r="N1721" t="str">
        <f t="shared" si="179"/>
        <v>2.001-Remuneração, Benefícios e Encargos</v>
      </c>
      <c r="O1721" t="str">
        <f t="shared" si="184"/>
        <v>3.3.90.08.00</v>
      </c>
      <c r="R1721" s="25">
        <v>7002773</v>
      </c>
      <c r="S1721" t="s">
        <v>1035</v>
      </c>
    </row>
    <row r="1722" spans="1:19" x14ac:dyDescent="0.25">
      <c r="A1722" t="str">
        <f t="shared" si="169"/>
        <v>01</v>
      </c>
      <c r="B1722" t="str">
        <f t="shared" si="170"/>
        <v>001</v>
      </c>
      <c r="C1722" t="str">
        <f t="shared" si="171"/>
        <v>01</v>
      </c>
      <c r="D1722" t="str">
        <f t="shared" si="172"/>
        <v>122</v>
      </c>
      <c r="E1722" t="str">
        <f t="shared" si="173"/>
        <v>0003</v>
      </c>
      <c r="F1722" t="str">
        <f t="shared" si="174"/>
        <v>2.001</v>
      </c>
      <c r="G1722" t="str">
        <f t="shared" si="175"/>
        <v>3.3.90.39.00</v>
      </c>
      <c r="H1722" t="s">
        <v>1772</v>
      </c>
      <c r="I1722" t="s">
        <v>1034</v>
      </c>
      <c r="J1722" t="s">
        <v>20</v>
      </c>
      <c r="K1722" t="str">
        <f t="shared" si="181"/>
        <v>01</v>
      </c>
      <c r="L1722" t="str">
        <f t="shared" si="182"/>
        <v>122</v>
      </c>
      <c r="M1722" t="str">
        <f t="shared" si="183"/>
        <v>0003</v>
      </c>
      <c r="N1722" t="str">
        <f t="shared" si="179"/>
        <v>2.001-Remuneração, Benefícios e Encargos</v>
      </c>
      <c r="O1722" t="str">
        <f t="shared" si="180"/>
        <v>3.3.90.39.00-OUTROS SERVIÇOS DE TERCEIROS - PESSOA JURÍDICA</v>
      </c>
      <c r="R1722" s="25">
        <v>1</v>
      </c>
      <c r="S1722" t="s">
        <v>1035</v>
      </c>
    </row>
    <row r="1723" spans="1:19" x14ac:dyDescent="0.25">
      <c r="A1723" t="str">
        <f t="shared" si="169"/>
        <v>01</v>
      </c>
      <c r="B1723" t="str">
        <f t="shared" si="170"/>
        <v>001</v>
      </c>
      <c r="C1723" t="str">
        <f t="shared" si="171"/>
        <v>01</v>
      </c>
      <c r="D1723" t="str">
        <f t="shared" si="172"/>
        <v>122</v>
      </c>
      <c r="E1723" t="str">
        <f t="shared" si="173"/>
        <v>0003</v>
      </c>
      <c r="F1723" t="str">
        <f t="shared" si="174"/>
        <v>2.001</v>
      </c>
      <c r="G1723" t="str">
        <f t="shared" si="175"/>
        <v>3.3.90.46.00</v>
      </c>
      <c r="H1723" t="s">
        <v>1773</v>
      </c>
      <c r="I1723" t="s">
        <v>1034</v>
      </c>
      <c r="J1723" t="s">
        <v>20</v>
      </c>
      <c r="K1723" t="str">
        <f t="shared" si="181"/>
        <v>01</v>
      </c>
      <c r="L1723" t="str">
        <f t="shared" si="182"/>
        <v>122</v>
      </c>
      <c r="M1723" t="str">
        <f t="shared" si="183"/>
        <v>0003</v>
      </c>
      <c r="N1723" t="str">
        <f t="shared" si="179"/>
        <v>2.001-Remuneração, Benefícios e Encargos</v>
      </c>
      <c r="O1723" t="str">
        <f>G1723</f>
        <v>3.3.90.46.00</v>
      </c>
      <c r="R1723" s="25">
        <v>4480278</v>
      </c>
      <c r="S1723" t="s">
        <v>1035</v>
      </c>
    </row>
    <row r="1724" spans="1:19" x14ac:dyDescent="0.25">
      <c r="A1724" t="str">
        <f t="shared" si="169"/>
        <v>01</v>
      </c>
      <c r="B1724" t="str">
        <f t="shared" si="170"/>
        <v>001</v>
      </c>
      <c r="C1724" t="str">
        <f t="shared" si="171"/>
        <v>01</v>
      </c>
      <c r="D1724" t="str">
        <f t="shared" si="172"/>
        <v>122</v>
      </c>
      <c r="E1724" t="str">
        <f t="shared" si="173"/>
        <v>0003</v>
      </c>
      <c r="F1724" t="str">
        <f t="shared" si="174"/>
        <v>2.001</v>
      </c>
      <c r="G1724" t="str">
        <f t="shared" si="175"/>
        <v>3.3.90.47.00</v>
      </c>
      <c r="H1724" t="s">
        <v>1774</v>
      </c>
      <c r="I1724" t="s">
        <v>1034</v>
      </c>
      <c r="J1724" t="s">
        <v>20</v>
      </c>
      <c r="K1724" t="str">
        <f t="shared" si="181"/>
        <v>01</v>
      </c>
      <c r="L1724" t="str">
        <f t="shared" si="182"/>
        <v>122</v>
      </c>
      <c r="M1724" t="str">
        <f t="shared" si="183"/>
        <v>0003</v>
      </c>
      <c r="N1724" t="str">
        <f t="shared" si="179"/>
        <v>2.001-Remuneração, Benefícios e Encargos</v>
      </c>
      <c r="O1724" t="str">
        <f>G1724</f>
        <v>3.3.90.47.00</v>
      </c>
      <c r="R1724" s="25">
        <v>1</v>
      </c>
      <c r="S1724" t="s">
        <v>1035</v>
      </c>
    </row>
    <row r="1725" spans="1:19" x14ac:dyDescent="0.25">
      <c r="A1725" t="str">
        <f t="shared" si="169"/>
        <v>01</v>
      </c>
      <c r="B1725" t="str">
        <f t="shared" si="170"/>
        <v>001</v>
      </c>
      <c r="C1725" t="str">
        <f t="shared" si="171"/>
        <v>01</v>
      </c>
      <c r="D1725" t="str">
        <f t="shared" si="172"/>
        <v>122</v>
      </c>
      <c r="E1725" t="str">
        <f t="shared" si="173"/>
        <v>0003</v>
      </c>
      <c r="F1725" t="str">
        <f t="shared" si="174"/>
        <v>2.001</v>
      </c>
      <c r="G1725" t="str">
        <f t="shared" si="175"/>
        <v>3.3.90.49.00</v>
      </c>
      <c r="H1725" t="s">
        <v>1775</v>
      </c>
      <c r="I1725" t="s">
        <v>1034</v>
      </c>
      <c r="J1725" t="s">
        <v>20</v>
      </c>
      <c r="K1725" t="str">
        <f t="shared" si="181"/>
        <v>01</v>
      </c>
      <c r="L1725" t="str">
        <f t="shared" si="182"/>
        <v>122</v>
      </c>
      <c r="M1725" t="str">
        <f t="shared" si="183"/>
        <v>0003</v>
      </c>
      <c r="N1725" t="str">
        <f t="shared" si="179"/>
        <v>2.001-Remuneração, Benefícios e Encargos</v>
      </c>
      <c r="O1725" t="str">
        <f>G1725</f>
        <v>3.3.90.49.00</v>
      </c>
      <c r="R1725" s="25">
        <v>1</v>
      </c>
      <c r="S1725" t="s">
        <v>1035</v>
      </c>
    </row>
    <row r="1726" spans="1:19" x14ac:dyDescent="0.25">
      <c r="A1726" t="str">
        <f t="shared" si="169"/>
        <v>01</v>
      </c>
      <c r="B1726" t="str">
        <f t="shared" si="170"/>
        <v>001</v>
      </c>
      <c r="C1726" t="str">
        <f t="shared" si="171"/>
        <v>01</v>
      </c>
      <c r="D1726" t="str">
        <f t="shared" si="172"/>
        <v>122</v>
      </c>
      <c r="E1726" t="str">
        <f t="shared" si="173"/>
        <v>0003</v>
      </c>
      <c r="F1726" t="str">
        <f t="shared" si="174"/>
        <v>2.001</v>
      </c>
      <c r="G1726" t="str">
        <f t="shared" si="175"/>
        <v>3.3.90.92.00</v>
      </c>
      <c r="H1726" t="s">
        <v>1776</v>
      </c>
      <c r="I1726" t="s">
        <v>1034</v>
      </c>
      <c r="J1726" t="s">
        <v>20</v>
      </c>
      <c r="K1726" t="str">
        <f t="shared" si="181"/>
        <v>01</v>
      </c>
      <c r="L1726" t="str">
        <f t="shared" si="182"/>
        <v>122</v>
      </c>
      <c r="M1726" t="str">
        <f t="shared" si="183"/>
        <v>0003</v>
      </c>
      <c r="N1726" t="str">
        <f t="shared" si="179"/>
        <v>2.001-Remuneração, Benefícios e Encargos</v>
      </c>
      <c r="O1726" t="str">
        <f t="shared" si="180"/>
        <v>3.3.90.92.00-DESPESAS DE EXERCÍCIOS ANTERIORES</v>
      </c>
      <c r="R1726" s="25">
        <v>1</v>
      </c>
      <c r="S1726" t="s">
        <v>1035</v>
      </c>
    </row>
    <row r="1727" spans="1:19" x14ac:dyDescent="0.25">
      <c r="A1727" t="str">
        <f t="shared" si="169"/>
        <v>02</v>
      </c>
      <c r="B1727" t="str">
        <f t="shared" si="170"/>
        <v>001</v>
      </c>
      <c r="C1727" t="str">
        <f t="shared" si="171"/>
        <v>04</v>
      </c>
      <c r="D1727" t="str">
        <f t="shared" si="172"/>
        <v>121</v>
      </c>
      <c r="E1727" t="str">
        <f t="shared" si="173"/>
        <v>0004</v>
      </c>
      <c r="F1727" t="str">
        <f t="shared" si="174"/>
        <v>1.001</v>
      </c>
      <c r="G1727" t="str">
        <f t="shared" si="175"/>
        <v>3.3.80.35.00</v>
      </c>
      <c r="H1727" t="s">
        <v>1777</v>
      </c>
      <c r="I1727" t="str">
        <f t="shared" ref="I1727:I1790" si="185">VLOOKUP(A1727,$A$1:$O$994,9,0)</f>
        <v>02 - GABINETE DO PREFEITO</v>
      </c>
      <c r="J1727" t="s">
        <v>20</v>
      </c>
      <c r="K1727" t="str">
        <f t="shared" si="176"/>
        <v>4-ADMINISTRAÇÃO</v>
      </c>
      <c r="L1727" t="str">
        <f t="shared" si="177"/>
        <v>121-PLANEJAMENTO E ORÇAMENTO</v>
      </c>
      <c r="M1727" t="str">
        <f t="shared" si="178"/>
        <v xml:space="preserve">0004-Planejamento e Gestão de Políticas Públicas </v>
      </c>
      <c r="N1727" t="str">
        <f t="shared" si="179"/>
        <v xml:space="preserve">1.001-Estudos, Pesquisas, Planos e Projetos </v>
      </c>
      <c r="O1727" t="str">
        <f>G1727</f>
        <v>3.3.80.35.00</v>
      </c>
      <c r="R1727" s="25">
        <v>1</v>
      </c>
      <c r="S1727" t="s">
        <v>1035</v>
      </c>
    </row>
    <row r="1728" spans="1:19" x14ac:dyDescent="0.25">
      <c r="A1728" t="str">
        <f t="shared" si="169"/>
        <v>02</v>
      </c>
      <c r="B1728" t="str">
        <f t="shared" si="170"/>
        <v>001</v>
      </c>
      <c r="C1728" t="str">
        <f t="shared" si="171"/>
        <v>04</v>
      </c>
      <c r="D1728" t="str">
        <f t="shared" si="172"/>
        <v>122</v>
      </c>
      <c r="E1728" t="str">
        <f t="shared" si="173"/>
        <v>0001</v>
      </c>
      <c r="F1728" t="str">
        <f t="shared" si="174"/>
        <v>1.002</v>
      </c>
      <c r="G1728" t="str">
        <f t="shared" si="175"/>
        <v>3.3.90.39.00</v>
      </c>
      <c r="H1728" t="s">
        <v>1778</v>
      </c>
      <c r="I1728" t="str">
        <f t="shared" si="185"/>
        <v>02 - GABINETE DO PREFEITO</v>
      </c>
      <c r="J1728" t="s">
        <v>20</v>
      </c>
      <c r="K1728" t="str">
        <f t="shared" si="176"/>
        <v>4-ADMINISTRAÇÃO</v>
      </c>
      <c r="L1728" t="str">
        <f t="shared" si="177"/>
        <v>122-ADMINISTRAÇÃO GERAL</v>
      </c>
      <c r="M1728" t="str">
        <f t="shared" si="178"/>
        <v>0001-Administração e Coordenação Geral​</v>
      </c>
      <c r="N1728" t="str">
        <f t="shared" si="179"/>
        <v>1.002-Reforma e Ampliação de Unidades</v>
      </c>
      <c r="O1728" t="str">
        <f t="shared" si="180"/>
        <v>3.3.90.39.00-OUTROS SERVIÇOS DE TERCEIROS - PESSOA JURÍDICA</v>
      </c>
      <c r="R1728" s="25">
        <v>1</v>
      </c>
      <c r="S1728" t="s">
        <v>1035</v>
      </c>
    </row>
    <row r="1729" spans="1:19" x14ac:dyDescent="0.25">
      <c r="A1729" t="str">
        <f t="shared" si="169"/>
        <v>02</v>
      </c>
      <c r="B1729" t="str">
        <f t="shared" si="170"/>
        <v>001</v>
      </c>
      <c r="C1729" t="str">
        <f t="shared" si="171"/>
        <v>04</v>
      </c>
      <c r="D1729" t="str">
        <f t="shared" si="172"/>
        <v>122</v>
      </c>
      <c r="E1729" t="str">
        <f t="shared" si="173"/>
        <v>0001</v>
      </c>
      <c r="F1729" t="str">
        <f t="shared" si="174"/>
        <v>2.001</v>
      </c>
      <c r="G1729" t="str">
        <f t="shared" si="175"/>
        <v>3.1.90.11.00</v>
      </c>
      <c r="H1729" t="s">
        <v>1779</v>
      </c>
      <c r="I1729" t="str">
        <f t="shared" si="185"/>
        <v>02 - GABINETE DO PREFEITO</v>
      </c>
      <c r="J1729" t="s">
        <v>20</v>
      </c>
      <c r="K1729" t="str">
        <f t="shared" si="176"/>
        <v>4-ADMINISTRAÇÃO</v>
      </c>
      <c r="L1729" t="str">
        <f t="shared" si="177"/>
        <v>122-ADMINISTRAÇÃO GERAL</v>
      </c>
      <c r="M1729" t="str">
        <f t="shared" si="178"/>
        <v>0001-Administração e Coordenação Geral​</v>
      </c>
      <c r="N1729" t="str">
        <f t="shared" si="179"/>
        <v>2.001-Remuneração, Benefícios e Encargos</v>
      </c>
      <c r="O1729" t="str">
        <f>G1729</f>
        <v>3.1.90.11.00</v>
      </c>
      <c r="R1729" s="25">
        <v>7093550.9900000002</v>
      </c>
      <c r="S1729" t="s">
        <v>1035</v>
      </c>
    </row>
    <row r="1730" spans="1:19" x14ac:dyDescent="0.25">
      <c r="A1730" t="str">
        <f t="shared" si="169"/>
        <v>02</v>
      </c>
      <c r="B1730" t="str">
        <f t="shared" si="170"/>
        <v>001</v>
      </c>
      <c r="C1730" t="str">
        <f t="shared" si="171"/>
        <v>04</v>
      </c>
      <c r="D1730" t="str">
        <f t="shared" si="172"/>
        <v>122</v>
      </c>
      <c r="E1730" t="str">
        <f t="shared" si="173"/>
        <v>0001</v>
      </c>
      <c r="F1730" t="str">
        <f t="shared" si="174"/>
        <v>2.001</v>
      </c>
      <c r="G1730" t="str">
        <f t="shared" si="175"/>
        <v>3.1.90.13.00</v>
      </c>
      <c r="H1730" t="s">
        <v>1780</v>
      </c>
      <c r="I1730" t="str">
        <f t="shared" si="185"/>
        <v>02 - GABINETE DO PREFEITO</v>
      </c>
      <c r="J1730" t="s">
        <v>20</v>
      </c>
      <c r="K1730" t="str">
        <f t="shared" si="176"/>
        <v>4-ADMINISTRAÇÃO</v>
      </c>
      <c r="L1730" t="str">
        <f t="shared" si="177"/>
        <v>122-ADMINISTRAÇÃO GERAL</v>
      </c>
      <c r="M1730" t="str">
        <f t="shared" si="178"/>
        <v>0001-Administração e Coordenação Geral​</v>
      </c>
      <c r="N1730" t="str">
        <f t="shared" si="179"/>
        <v>2.001-Remuneração, Benefícios e Encargos</v>
      </c>
      <c r="O1730" t="str">
        <f>G1730</f>
        <v>3.1.90.13.00</v>
      </c>
      <c r="R1730" s="25">
        <v>1181039.1200000001</v>
      </c>
      <c r="S1730" t="s">
        <v>1035</v>
      </c>
    </row>
    <row r="1731" spans="1:19" x14ac:dyDescent="0.25">
      <c r="A1731" t="str">
        <f t="shared" si="169"/>
        <v>02</v>
      </c>
      <c r="B1731" t="str">
        <f t="shared" si="170"/>
        <v>001</v>
      </c>
      <c r="C1731" t="str">
        <f t="shared" si="171"/>
        <v>04</v>
      </c>
      <c r="D1731" t="str">
        <f t="shared" si="172"/>
        <v>122</v>
      </c>
      <c r="E1731" t="str">
        <f t="shared" si="173"/>
        <v>0001</v>
      </c>
      <c r="F1731" t="str">
        <f t="shared" si="174"/>
        <v>2.001</v>
      </c>
      <c r="G1731" t="str">
        <f t="shared" si="175"/>
        <v>3.1.91.13.00</v>
      </c>
      <c r="H1731" t="s">
        <v>1781</v>
      </c>
      <c r="I1731" t="str">
        <f t="shared" si="185"/>
        <v>02 - GABINETE DO PREFEITO</v>
      </c>
      <c r="J1731" t="s">
        <v>20</v>
      </c>
      <c r="K1731" t="str">
        <f t="shared" si="176"/>
        <v>4-ADMINISTRAÇÃO</v>
      </c>
      <c r="L1731" t="str">
        <f t="shared" si="177"/>
        <v>122-ADMINISTRAÇÃO GERAL</v>
      </c>
      <c r="M1731" t="str">
        <f t="shared" si="178"/>
        <v>0001-Administração e Coordenação Geral​</v>
      </c>
      <c r="N1731" t="str">
        <f t="shared" si="179"/>
        <v>2.001-Remuneração, Benefícios e Encargos</v>
      </c>
      <c r="O1731" t="str">
        <f>G1731</f>
        <v>3.1.91.13.00</v>
      </c>
      <c r="R1731" s="25">
        <v>341793.05</v>
      </c>
      <c r="S1731" t="s">
        <v>1035</v>
      </c>
    </row>
    <row r="1732" spans="1:19" x14ac:dyDescent="0.25">
      <c r="A1732" t="str">
        <f t="shared" si="169"/>
        <v>02</v>
      </c>
      <c r="B1732" t="str">
        <f t="shared" si="170"/>
        <v>001</v>
      </c>
      <c r="C1732" t="str">
        <f t="shared" si="171"/>
        <v>04</v>
      </c>
      <c r="D1732" t="str">
        <f t="shared" si="172"/>
        <v>122</v>
      </c>
      <c r="E1732" t="str">
        <f t="shared" si="173"/>
        <v>0001</v>
      </c>
      <c r="F1732" t="str">
        <f t="shared" si="174"/>
        <v>2.001</v>
      </c>
      <c r="G1732" t="str">
        <f t="shared" si="175"/>
        <v>3.3.90.46.00</v>
      </c>
      <c r="H1732" t="s">
        <v>1782</v>
      </c>
      <c r="I1732" t="str">
        <f t="shared" si="185"/>
        <v>02 - GABINETE DO PREFEITO</v>
      </c>
      <c r="J1732" t="s">
        <v>20</v>
      </c>
      <c r="K1732" t="str">
        <f t="shared" si="176"/>
        <v>4-ADMINISTRAÇÃO</v>
      </c>
      <c r="L1732" t="str">
        <f t="shared" si="177"/>
        <v>122-ADMINISTRAÇÃO GERAL</v>
      </c>
      <c r="M1732" t="str">
        <f t="shared" si="178"/>
        <v>0001-Administração e Coordenação Geral​</v>
      </c>
      <c r="N1732" t="str">
        <f t="shared" si="179"/>
        <v>2.001-Remuneração, Benefícios e Encargos</v>
      </c>
      <c r="O1732" t="str">
        <f>G1732</f>
        <v>3.3.90.46.00</v>
      </c>
      <c r="R1732" s="25">
        <v>2.15</v>
      </c>
      <c r="S1732" t="s">
        <v>1035</v>
      </c>
    </row>
    <row r="1733" spans="1:19" x14ac:dyDescent="0.25">
      <c r="A1733" t="str">
        <f t="shared" si="169"/>
        <v>02</v>
      </c>
      <c r="B1733" t="str">
        <f t="shared" si="170"/>
        <v>001</v>
      </c>
      <c r="C1733" t="str">
        <f t="shared" si="171"/>
        <v>04</v>
      </c>
      <c r="D1733" t="str">
        <f t="shared" si="172"/>
        <v>122</v>
      </c>
      <c r="E1733" t="str">
        <f t="shared" si="173"/>
        <v>0001</v>
      </c>
      <c r="F1733" t="str">
        <f t="shared" si="174"/>
        <v>2.001</v>
      </c>
      <c r="G1733" t="str">
        <f t="shared" si="175"/>
        <v>3.3.90.49.00</v>
      </c>
      <c r="H1733" t="s">
        <v>1783</v>
      </c>
      <c r="I1733" t="str">
        <f t="shared" si="185"/>
        <v>02 - GABINETE DO PREFEITO</v>
      </c>
      <c r="J1733" t="s">
        <v>20</v>
      </c>
      <c r="K1733" t="str">
        <f t="shared" si="176"/>
        <v>4-ADMINISTRAÇÃO</v>
      </c>
      <c r="L1733" t="str">
        <f t="shared" si="177"/>
        <v>122-ADMINISTRAÇÃO GERAL</v>
      </c>
      <c r="M1733" t="str">
        <f t="shared" si="178"/>
        <v>0001-Administração e Coordenação Geral​</v>
      </c>
      <c r="N1733" t="str">
        <f t="shared" si="179"/>
        <v>2.001-Remuneração, Benefícios e Encargos</v>
      </c>
      <c r="O1733" t="str">
        <f>G1733</f>
        <v>3.3.90.49.00</v>
      </c>
      <c r="R1733" s="25">
        <v>61243.360000000001</v>
      </c>
      <c r="S1733" t="s">
        <v>1035</v>
      </c>
    </row>
    <row r="1734" spans="1:19" x14ac:dyDescent="0.25">
      <c r="A1734" t="str">
        <f t="shared" si="169"/>
        <v>04</v>
      </c>
      <c r="B1734" t="str">
        <f t="shared" si="170"/>
        <v>001</v>
      </c>
      <c r="C1734" t="str">
        <f t="shared" si="171"/>
        <v>04</v>
      </c>
      <c r="D1734" t="str">
        <f t="shared" si="172"/>
        <v>122</v>
      </c>
      <c r="E1734" t="str">
        <f t="shared" si="173"/>
        <v>0001</v>
      </c>
      <c r="F1734" t="str">
        <f t="shared" si="174"/>
        <v>1.002</v>
      </c>
      <c r="G1734" t="str">
        <f t="shared" si="175"/>
        <v>3.3.90.39.00</v>
      </c>
      <c r="H1734" t="s">
        <v>1784</v>
      </c>
      <c r="I1734" t="str">
        <f t="shared" si="185"/>
        <v>04 - SECRETARIA DE FINANÇAS</v>
      </c>
      <c r="J1734" t="s">
        <v>20</v>
      </c>
      <c r="K1734" t="str">
        <f t="shared" si="176"/>
        <v>4-ADMINISTRAÇÃO</v>
      </c>
      <c r="L1734" t="str">
        <f t="shared" si="177"/>
        <v>122-ADMINISTRAÇÃO GERAL</v>
      </c>
      <c r="M1734" t="str">
        <f t="shared" si="178"/>
        <v>0001-Administração e Coordenação Geral​</v>
      </c>
      <c r="N1734" t="str">
        <f t="shared" si="179"/>
        <v>1.002-Reforma e Ampliação de Unidades</v>
      </c>
      <c r="O1734" t="str">
        <f t="shared" si="180"/>
        <v>3.3.90.39.00-OUTROS SERVIÇOS DE TERCEIROS - PESSOA JURÍDICA</v>
      </c>
      <c r="R1734" s="25">
        <v>0</v>
      </c>
      <c r="S1734" t="s">
        <v>1035</v>
      </c>
    </row>
    <row r="1735" spans="1:19" x14ac:dyDescent="0.25">
      <c r="A1735" t="str">
        <f t="shared" si="169"/>
        <v>04</v>
      </c>
      <c r="B1735" t="str">
        <f t="shared" si="170"/>
        <v>001</v>
      </c>
      <c r="C1735" t="str">
        <f t="shared" si="171"/>
        <v>04</v>
      </c>
      <c r="D1735" t="str">
        <f t="shared" si="172"/>
        <v>122</v>
      </c>
      <c r="E1735" t="str">
        <f t="shared" si="173"/>
        <v>0001</v>
      </c>
      <c r="F1735" t="str">
        <f t="shared" si="174"/>
        <v>2.001</v>
      </c>
      <c r="G1735" t="str">
        <f t="shared" si="175"/>
        <v>3.1.90.11.00</v>
      </c>
      <c r="H1735" t="s">
        <v>1785</v>
      </c>
      <c r="I1735" t="str">
        <f t="shared" si="185"/>
        <v>04 - SECRETARIA DE FINANÇAS</v>
      </c>
      <c r="J1735" t="s">
        <v>20</v>
      </c>
      <c r="K1735" t="str">
        <f t="shared" si="176"/>
        <v>4-ADMINISTRAÇÃO</v>
      </c>
      <c r="L1735" t="str">
        <f t="shared" si="177"/>
        <v>122-ADMINISTRAÇÃO GERAL</v>
      </c>
      <c r="M1735" t="str">
        <f t="shared" si="178"/>
        <v>0001-Administração e Coordenação Geral​</v>
      </c>
      <c r="N1735" t="str">
        <f t="shared" si="179"/>
        <v>2.001-Remuneração, Benefícios e Encargos</v>
      </c>
      <c r="O1735" t="str">
        <f>G1735</f>
        <v>3.1.90.11.00</v>
      </c>
      <c r="R1735" s="25">
        <v>24224156.579999998</v>
      </c>
      <c r="S1735" t="s">
        <v>1035</v>
      </c>
    </row>
    <row r="1736" spans="1:19" x14ac:dyDescent="0.25">
      <c r="A1736" t="str">
        <f t="shared" si="169"/>
        <v>04</v>
      </c>
      <c r="B1736" t="str">
        <f t="shared" si="170"/>
        <v>001</v>
      </c>
      <c r="C1736" t="str">
        <f t="shared" si="171"/>
        <v>04</v>
      </c>
      <c r="D1736" t="str">
        <f t="shared" si="172"/>
        <v>122</v>
      </c>
      <c r="E1736" t="str">
        <f t="shared" si="173"/>
        <v>0001</v>
      </c>
      <c r="F1736" t="str">
        <f t="shared" si="174"/>
        <v>2.001</v>
      </c>
      <c r="G1736" t="str">
        <f t="shared" si="175"/>
        <v>3.1.90.13.00</v>
      </c>
      <c r="H1736" t="s">
        <v>1786</v>
      </c>
      <c r="I1736" t="str">
        <f t="shared" si="185"/>
        <v>04 - SECRETARIA DE FINANÇAS</v>
      </c>
      <c r="J1736" t="s">
        <v>20</v>
      </c>
      <c r="K1736" t="str">
        <f t="shared" si="176"/>
        <v>4-ADMINISTRAÇÃO</v>
      </c>
      <c r="L1736" t="str">
        <f t="shared" si="177"/>
        <v>122-ADMINISTRAÇÃO GERAL</v>
      </c>
      <c r="M1736" t="str">
        <f t="shared" si="178"/>
        <v>0001-Administração e Coordenação Geral​</v>
      </c>
      <c r="N1736" t="str">
        <f t="shared" si="179"/>
        <v>2.001-Remuneração, Benefícios e Encargos</v>
      </c>
      <c r="O1736" t="str">
        <f>G1736</f>
        <v>3.1.90.13.00</v>
      </c>
      <c r="R1736" s="25">
        <v>990685.01</v>
      </c>
      <c r="S1736" t="s">
        <v>1035</v>
      </c>
    </row>
    <row r="1737" spans="1:19" x14ac:dyDescent="0.25">
      <c r="A1737" t="str">
        <f t="shared" si="169"/>
        <v>04</v>
      </c>
      <c r="B1737" t="str">
        <f t="shared" si="170"/>
        <v>001</v>
      </c>
      <c r="C1737" t="str">
        <f t="shared" si="171"/>
        <v>04</v>
      </c>
      <c r="D1737" t="str">
        <f t="shared" si="172"/>
        <v>122</v>
      </c>
      <c r="E1737" t="str">
        <f t="shared" si="173"/>
        <v>0001</v>
      </c>
      <c r="F1737" t="str">
        <f t="shared" si="174"/>
        <v>2.001</v>
      </c>
      <c r="G1737" t="str">
        <f t="shared" si="175"/>
        <v>3.1.91.13.00</v>
      </c>
      <c r="H1737" t="s">
        <v>1787</v>
      </c>
      <c r="I1737" t="str">
        <f t="shared" si="185"/>
        <v>04 - SECRETARIA DE FINANÇAS</v>
      </c>
      <c r="J1737" t="s">
        <v>20</v>
      </c>
      <c r="K1737" t="str">
        <f t="shared" si="176"/>
        <v>4-ADMINISTRAÇÃO</v>
      </c>
      <c r="L1737" t="str">
        <f t="shared" si="177"/>
        <v>122-ADMINISTRAÇÃO GERAL</v>
      </c>
      <c r="M1737" t="str">
        <f t="shared" si="178"/>
        <v>0001-Administração e Coordenação Geral​</v>
      </c>
      <c r="N1737" t="str">
        <f t="shared" si="179"/>
        <v>2.001-Remuneração, Benefícios e Encargos</v>
      </c>
      <c r="O1737" t="str">
        <f>G1737</f>
        <v>3.1.91.13.00</v>
      </c>
      <c r="R1737" s="25">
        <v>3143956.64</v>
      </c>
      <c r="S1737" t="s">
        <v>1035</v>
      </c>
    </row>
    <row r="1738" spans="1:19" x14ac:dyDescent="0.25">
      <c r="A1738" t="str">
        <f t="shared" si="169"/>
        <v>04</v>
      </c>
      <c r="B1738" t="str">
        <f t="shared" si="170"/>
        <v>001</v>
      </c>
      <c r="C1738" t="str">
        <f t="shared" si="171"/>
        <v>04</v>
      </c>
      <c r="D1738" t="str">
        <f t="shared" si="172"/>
        <v>122</v>
      </c>
      <c r="E1738" t="str">
        <f t="shared" si="173"/>
        <v>0001</v>
      </c>
      <c r="F1738" t="str">
        <f t="shared" si="174"/>
        <v>2.001</v>
      </c>
      <c r="G1738" t="str">
        <f t="shared" si="175"/>
        <v>3.3.90.46.00</v>
      </c>
      <c r="H1738" t="s">
        <v>1788</v>
      </c>
      <c r="I1738" t="str">
        <f t="shared" si="185"/>
        <v>04 - SECRETARIA DE FINANÇAS</v>
      </c>
      <c r="J1738" t="s">
        <v>20</v>
      </c>
      <c r="K1738" t="str">
        <f t="shared" si="176"/>
        <v>4-ADMINISTRAÇÃO</v>
      </c>
      <c r="L1738" t="str">
        <f t="shared" si="177"/>
        <v>122-ADMINISTRAÇÃO GERAL</v>
      </c>
      <c r="M1738" t="str">
        <f t="shared" si="178"/>
        <v>0001-Administração e Coordenação Geral​</v>
      </c>
      <c r="N1738" t="str">
        <f t="shared" si="179"/>
        <v>2.001-Remuneração, Benefícios e Encargos</v>
      </c>
      <c r="O1738" t="str">
        <f>G1738</f>
        <v>3.3.90.46.00</v>
      </c>
      <c r="R1738" s="25">
        <v>1.88</v>
      </c>
      <c r="S1738" t="s">
        <v>1035</v>
      </c>
    </row>
    <row r="1739" spans="1:19" x14ac:dyDescent="0.25">
      <c r="A1739" t="str">
        <f t="shared" si="169"/>
        <v>04</v>
      </c>
      <c r="B1739" t="str">
        <f t="shared" si="170"/>
        <v>001</v>
      </c>
      <c r="C1739" t="str">
        <f t="shared" si="171"/>
        <v>04</v>
      </c>
      <c r="D1739" t="str">
        <f t="shared" si="172"/>
        <v>122</v>
      </c>
      <c r="E1739" t="str">
        <f t="shared" si="173"/>
        <v>0001</v>
      </c>
      <c r="F1739" t="str">
        <f t="shared" si="174"/>
        <v>2.001</v>
      </c>
      <c r="G1739" t="str">
        <f t="shared" si="175"/>
        <v>3.3.90.49.00</v>
      </c>
      <c r="H1739" t="s">
        <v>1789</v>
      </c>
      <c r="I1739" t="str">
        <f t="shared" si="185"/>
        <v>04 - SECRETARIA DE FINANÇAS</v>
      </c>
      <c r="J1739" t="s">
        <v>20</v>
      </c>
      <c r="K1739" t="str">
        <f t="shared" si="176"/>
        <v>4-ADMINISTRAÇÃO</v>
      </c>
      <c r="L1739" t="str">
        <f t="shared" si="177"/>
        <v>122-ADMINISTRAÇÃO GERAL</v>
      </c>
      <c r="M1739" t="str">
        <f t="shared" si="178"/>
        <v>0001-Administração e Coordenação Geral​</v>
      </c>
      <c r="N1739" t="str">
        <f t="shared" si="179"/>
        <v>2.001-Remuneração, Benefícios e Encargos</v>
      </c>
      <c r="O1739" t="str">
        <f>G1739</f>
        <v>3.3.90.49.00</v>
      </c>
      <c r="R1739" s="25">
        <v>55270.9</v>
      </c>
      <c r="S1739" t="s">
        <v>1035</v>
      </c>
    </row>
    <row r="1740" spans="1:19" x14ac:dyDescent="0.25">
      <c r="A1740" t="str">
        <f t="shared" si="169"/>
        <v>05</v>
      </c>
      <c r="B1740" t="str">
        <f t="shared" si="170"/>
        <v>001</v>
      </c>
      <c r="C1740" t="str">
        <f t="shared" si="171"/>
        <v>04</v>
      </c>
      <c r="D1740" t="str">
        <f t="shared" si="172"/>
        <v>121</v>
      </c>
      <c r="E1740" t="str">
        <f t="shared" si="173"/>
        <v>0004</v>
      </c>
      <c r="F1740" t="str">
        <f t="shared" si="174"/>
        <v>1.001</v>
      </c>
      <c r="G1740" t="str">
        <f t="shared" si="175"/>
        <v>3.3.90.35.00</v>
      </c>
      <c r="H1740" t="s">
        <v>1790</v>
      </c>
      <c r="I1740" t="str">
        <f t="shared" si="185"/>
        <v>05 - PROCURADORIA GERAL DO MUNICÍPIO</v>
      </c>
      <c r="J1740" t="s">
        <v>20</v>
      </c>
      <c r="K1740" t="str">
        <f t="shared" si="176"/>
        <v>4-ADMINISTRAÇÃO</v>
      </c>
      <c r="L1740" t="str">
        <f t="shared" si="177"/>
        <v>121-PLANEJAMENTO E ORÇAMENTO</v>
      </c>
      <c r="M1740" t="str">
        <f t="shared" si="178"/>
        <v xml:space="preserve">0004-Planejamento e Gestão de Políticas Públicas </v>
      </c>
      <c r="N1740" t="str">
        <f t="shared" si="179"/>
        <v xml:space="preserve">1.001-Estudos, Pesquisas, Planos e Projetos </v>
      </c>
      <c r="O1740" t="str">
        <f t="shared" si="180"/>
        <v>3.3.90.35.00-SERVIÇOS DE CONSULTORIA</v>
      </c>
      <c r="R1740" s="25">
        <v>1</v>
      </c>
      <c r="S1740" t="s">
        <v>1035</v>
      </c>
    </row>
    <row r="1741" spans="1:19" x14ac:dyDescent="0.25">
      <c r="A1741" t="str">
        <f t="shared" si="169"/>
        <v>05</v>
      </c>
      <c r="B1741" t="str">
        <f t="shared" si="170"/>
        <v>001</v>
      </c>
      <c r="C1741" t="str">
        <f t="shared" si="171"/>
        <v>04</v>
      </c>
      <c r="D1741" t="str">
        <f t="shared" si="172"/>
        <v>122</v>
      </c>
      <c r="E1741" t="str">
        <f t="shared" si="173"/>
        <v>0001</v>
      </c>
      <c r="F1741" t="str">
        <f t="shared" si="174"/>
        <v>1.002</v>
      </c>
      <c r="G1741" t="str">
        <f t="shared" si="175"/>
        <v>3.3.90.39.00</v>
      </c>
      <c r="H1741" t="s">
        <v>1791</v>
      </c>
      <c r="I1741" t="str">
        <f t="shared" si="185"/>
        <v>05 - PROCURADORIA GERAL DO MUNICÍPIO</v>
      </c>
      <c r="J1741" t="s">
        <v>20</v>
      </c>
      <c r="K1741" t="str">
        <f t="shared" si="176"/>
        <v>4-ADMINISTRAÇÃO</v>
      </c>
      <c r="L1741" t="str">
        <f t="shared" si="177"/>
        <v>122-ADMINISTRAÇÃO GERAL</v>
      </c>
      <c r="M1741" t="str">
        <f t="shared" si="178"/>
        <v>0001-Administração e Coordenação Geral​</v>
      </c>
      <c r="N1741" t="str">
        <f t="shared" si="179"/>
        <v>1.002-Reforma e Ampliação de Unidades</v>
      </c>
      <c r="O1741" t="str">
        <f t="shared" si="180"/>
        <v>3.3.90.39.00-OUTROS SERVIÇOS DE TERCEIROS - PESSOA JURÍDICA</v>
      </c>
      <c r="R1741" s="25">
        <v>1</v>
      </c>
      <c r="S1741" t="s">
        <v>1035</v>
      </c>
    </row>
    <row r="1742" spans="1:19" x14ac:dyDescent="0.25">
      <c r="A1742" t="str">
        <f t="shared" si="169"/>
        <v>05</v>
      </c>
      <c r="B1742" t="str">
        <f t="shared" si="170"/>
        <v>001</v>
      </c>
      <c r="C1742" t="str">
        <f t="shared" si="171"/>
        <v>04</v>
      </c>
      <c r="D1742" t="str">
        <f t="shared" si="172"/>
        <v>122</v>
      </c>
      <c r="E1742" t="str">
        <f t="shared" si="173"/>
        <v>0001</v>
      </c>
      <c r="F1742" t="str">
        <f t="shared" si="174"/>
        <v>2.001</v>
      </c>
      <c r="G1742" t="str">
        <f t="shared" si="175"/>
        <v>3.1.90.11.00</v>
      </c>
      <c r="H1742" t="s">
        <v>1792</v>
      </c>
      <c r="I1742" t="str">
        <f t="shared" si="185"/>
        <v>05 - PROCURADORIA GERAL DO MUNICÍPIO</v>
      </c>
      <c r="J1742" t="s">
        <v>20</v>
      </c>
      <c r="K1742" t="str">
        <f t="shared" si="176"/>
        <v>4-ADMINISTRAÇÃO</v>
      </c>
      <c r="L1742" t="str">
        <f t="shared" si="177"/>
        <v>122-ADMINISTRAÇÃO GERAL</v>
      </c>
      <c r="M1742" t="str">
        <f t="shared" si="178"/>
        <v>0001-Administração e Coordenação Geral​</v>
      </c>
      <c r="N1742" t="str">
        <f t="shared" si="179"/>
        <v>2.001-Remuneração, Benefícios e Encargos</v>
      </c>
      <c r="O1742" t="str">
        <f t="shared" ref="O1742:O1751" si="186">G1742</f>
        <v>3.1.90.11.00</v>
      </c>
      <c r="R1742" s="25">
        <v>23139360.670000002</v>
      </c>
      <c r="S1742" t="s">
        <v>1035</v>
      </c>
    </row>
    <row r="1743" spans="1:19" x14ac:dyDescent="0.25">
      <c r="A1743" t="str">
        <f t="shared" si="169"/>
        <v>05</v>
      </c>
      <c r="B1743" t="str">
        <f t="shared" si="170"/>
        <v>001</v>
      </c>
      <c r="C1743" t="str">
        <f t="shared" si="171"/>
        <v>04</v>
      </c>
      <c r="D1743" t="str">
        <f t="shared" si="172"/>
        <v>122</v>
      </c>
      <c r="E1743" t="str">
        <f t="shared" si="173"/>
        <v>0001</v>
      </c>
      <c r="F1743" t="str">
        <f t="shared" si="174"/>
        <v>2.001</v>
      </c>
      <c r="G1743" t="str">
        <f t="shared" si="175"/>
        <v>3.1.90.13.00</v>
      </c>
      <c r="H1743" t="s">
        <v>1793</v>
      </c>
      <c r="I1743" t="str">
        <f t="shared" si="185"/>
        <v>05 - PROCURADORIA GERAL DO MUNICÍPIO</v>
      </c>
      <c r="J1743" t="s">
        <v>20</v>
      </c>
      <c r="K1743" t="str">
        <f t="shared" si="176"/>
        <v>4-ADMINISTRAÇÃO</v>
      </c>
      <c r="L1743" t="str">
        <f t="shared" si="177"/>
        <v>122-ADMINISTRAÇÃO GERAL</v>
      </c>
      <c r="M1743" t="str">
        <f t="shared" si="178"/>
        <v>0001-Administração e Coordenação Geral​</v>
      </c>
      <c r="N1743" t="str">
        <f t="shared" si="179"/>
        <v>2.001-Remuneração, Benefícios e Encargos</v>
      </c>
      <c r="O1743" t="str">
        <f t="shared" si="186"/>
        <v>3.1.90.13.00</v>
      </c>
      <c r="R1743" s="25">
        <v>2098906.02</v>
      </c>
      <c r="S1743" t="s">
        <v>1035</v>
      </c>
    </row>
    <row r="1744" spans="1:19" x14ac:dyDescent="0.25">
      <c r="A1744" t="str">
        <f t="shared" si="169"/>
        <v>05</v>
      </c>
      <c r="B1744" t="str">
        <f t="shared" si="170"/>
        <v>001</v>
      </c>
      <c r="C1744" t="str">
        <f t="shared" si="171"/>
        <v>04</v>
      </c>
      <c r="D1744" t="str">
        <f t="shared" si="172"/>
        <v>122</v>
      </c>
      <c r="E1744" t="str">
        <f t="shared" si="173"/>
        <v>0001</v>
      </c>
      <c r="F1744" t="str">
        <f t="shared" si="174"/>
        <v>2.001</v>
      </c>
      <c r="G1744" t="str">
        <f t="shared" si="175"/>
        <v>3.1.91.13.00</v>
      </c>
      <c r="H1744" t="s">
        <v>1794</v>
      </c>
      <c r="I1744" t="str">
        <f t="shared" si="185"/>
        <v>05 - PROCURADORIA GERAL DO MUNICÍPIO</v>
      </c>
      <c r="J1744" t="s">
        <v>20</v>
      </c>
      <c r="K1744" t="str">
        <f t="shared" si="176"/>
        <v>4-ADMINISTRAÇÃO</v>
      </c>
      <c r="L1744" t="str">
        <f t="shared" si="177"/>
        <v>122-ADMINISTRAÇÃO GERAL</v>
      </c>
      <c r="M1744" t="str">
        <f t="shared" si="178"/>
        <v>0001-Administração e Coordenação Geral​</v>
      </c>
      <c r="N1744" t="str">
        <f t="shared" si="179"/>
        <v>2.001-Remuneração, Benefícios e Encargos</v>
      </c>
      <c r="O1744" t="str">
        <f t="shared" si="186"/>
        <v>3.1.91.13.00</v>
      </c>
      <c r="R1744" s="25">
        <v>4344514.33</v>
      </c>
      <c r="S1744" t="s">
        <v>1035</v>
      </c>
    </row>
    <row r="1745" spans="1:19" x14ac:dyDescent="0.25">
      <c r="A1745" t="str">
        <f t="shared" si="169"/>
        <v>05</v>
      </c>
      <c r="B1745" t="str">
        <f t="shared" si="170"/>
        <v>001</v>
      </c>
      <c r="C1745" t="str">
        <f t="shared" si="171"/>
        <v>04</v>
      </c>
      <c r="D1745" t="str">
        <f t="shared" si="172"/>
        <v>122</v>
      </c>
      <c r="E1745" t="str">
        <f t="shared" si="173"/>
        <v>0001</v>
      </c>
      <c r="F1745" t="str">
        <f t="shared" si="174"/>
        <v>2.001</v>
      </c>
      <c r="G1745" t="str">
        <f t="shared" si="175"/>
        <v>3.3.90.46.00</v>
      </c>
      <c r="H1745" t="s">
        <v>1795</v>
      </c>
      <c r="I1745" t="str">
        <f t="shared" si="185"/>
        <v>05 - PROCURADORIA GERAL DO MUNICÍPIO</v>
      </c>
      <c r="J1745" t="s">
        <v>20</v>
      </c>
      <c r="K1745" t="str">
        <f t="shared" si="176"/>
        <v>4-ADMINISTRAÇÃO</v>
      </c>
      <c r="L1745" t="str">
        <f t="shared" si="177"/>
        <v>122-ADMINISTRAÇÃO GERAL</v>
      </c>
      <c r="M1745" t="str">
        <f t="shared" si="178"/>
        <v>0001-Administração e Coordenação Geral​</v>
      </c>
      <c r="N1745" t="str">
        <f t="shared" si="179"/>
        <v>2.001-Remuneração, Benefícios e Encargos</v>
      </c>
      <c r="O1745" t="str">
        <f t="shared" si="186"/>
        <v>3.3.90.46.00</v>
      </c>
      <c r="R1745" s="25">
        <v>2.04</v>
      </c>
      <c r="S1745" t="s">
        <v>1035</v>
      </c>
    </row>
    <row r="1746" spans="1:19" x14ac:dyDescent="0.25">
      <c r="A1746" t="str">
        <f t="shared" si="169"/>
        <v>05</v>
      </c>
      <c r="B1746" t="str">
        <f t="shared" si="170"/>
        <v>001</v>
      </c>
      <c r="C1746" t="str">
        <f t="shared" si="171"/>
        <v>04</v>
      </c>
      <c r="D1746" t="str">
        <f t="shared" si="172"/>
        <v>122</v>
      </c>
      <c r="E1746" t="str">
        <f t="shared" si="173"/>
        <v>0001</v>
      </c>
      <c r="F1746" t="str">
        <f t="shared" si="174"/>
        <v>2.001</v>
      </c>
      <c r="G1746" t="str">
        <f t="shared" si="175"/>
        <v>3.3.90.49.00</v>
      </c>
      <c r="H1746" t="s">
        <v>1796</v>
      </c>
      <c r="I1746" t="str">
        <f t="shared" si="185"/>
        <v>05 - PROCURADORIA GERAL DO MUNICÍPIO</v>
      </c>
      <c r="J1746" t="s">
        <v>20</v>
      </c>
      <c r="K1746" t="str">
        <f t="shared" si="176"/>
        <v>4-ADMINISTRAÇÃO</v>
      </c>
      <c r="L1746" t="str">
        <f t="shared" si="177"/>
        <v>122-ADMINISTRAÇÃO GERAL</v>
      </c>
      <c r="M1746" t="str">
        <f t="shared" si="178"/>
        <v>0001-Administração e Coordenação Geral​</v>
      </c>
      <c r="N1746" t="str">
        <f t="shared" si="179"/>
        <v>2.001-Remuneração, Benefícios e Encargos</v>
      </c>
      <c r="O1746" t="str">
        <f t="shared" si="186"/>
        <v>3.3.90.49.00</v>
      </c>
      <c r="R1746" s="25">
        <v>78337.27</v>
      </c>
      <c r="S1746" t="s">
        <v>1035</v>
      </c>
    </row>
    <row r="1747" spans="1:19" x14ac:dyDescent="0.25">
      <c r="A1747" t="str">
        <f t="shared" si="169"/>
        <v>06</v>
      </c>
      <c r="B1747" t="str">
        <f t="shared" si="170"/>
        <v>001</v>
      </c>
      <c r="C1747" t="str">
        <f t="shared" si="171"/>
        <v>04</v>
      </c>
      <c r="D1747" t="str">
        <f t="shared" si="172"/>
        <v>122</v>
      </c>
      <c r="E1747" t="str">
        <f t="shared" si="173"/>
        <v>0001</v>
      </c>
      <c r="F1747" t="str">
        <f t="shared" si="174"/>
        <v>2.001</v>
      </c>
      <c r="G1747" t="str">
        <f t="shared" si="175"/>
        <v>3.1.90.11.00</v>
      </c>
      <c r="H1747" t="s">
        <v>1797</v>
      </c>
      <c r="I1747" t="str">
        <f t="shared" si="185"/>
        <v>06 - SECRETARIA DE ADMINISTRAÇÃO</v>
      </c>
      <c r="J1747" t="s">
        <v>20</v>
      </c>
      <c r="K1747" t="str">
        <f t="shared" si="176"/>
        <v>4-ADMINISTRAÇÃO</v>
      </c>
      <c r="L1747" t="str">
        <f t="shared" si="177"/>
        <v>122-ADMINISTRAÇÃO GERAL</v>
      </c>
      <c r="M1747" t="str">
        <f t="shared" si="178"/>
        <v>0001-Administração e Coordenação Geral​</v>
      </c>
      <c r="N1747" t="str">
        <f t="shared" si="179"/>
        <v>2.001-Remuneração, Benefícios e Encargos</v>
      </c>
      <c r="O1747" t="str">
        <f t="shared" si="186"/>
        <v>3.1.90.11.00</v>
      </c>
      <c r="R1747" s="25">
        <v>18503574.289999999</v>
      </c>
      <c r="S1747" t="s">
        <v>1035</v>
      </c>
    </row>
    <row r="1748" spans="1:19" x14ac:dyDescent="0.25">
      <c r="A1748" t="str">
        <f t="shared" si="169"/>
        <v>06</v>
      </c>
      <c r="B1748" t="str">
        <f t="shared" si="170"/>
        <v>001</v>
      </c>
      <c r="C1748" t="str">
        <f t="shared" si="171"/>
        <v>04</v>
      </c>
      <c r="D1748" t="str">
        <f t="shared" si="172"/>
        <v>122</v>
      </c>
      <c r="E1748" t="str">
        <f t="shared" si="173"/>
        <v>0001</v>
      </c>
      <c r="F1748" t="str">
        <f t="shared" si="174"/>
        <v>2.001</v>
      </c>
      <c r="G1748" t="str">
        <f t="shared" si="175"/>
        <v>3.1.90.13.00</v>
      </c>
      <c r="H1748" t="s">
        <v>1798</v>
      </c>
      <c r="I1748" t="str">
        <f t="shared" si="185"/>
        <v>06 - SECRETARIA DE ADMINISTRAÇÃO</v>
      </c>
      <c r="J1748" t="s">
        <v>20</v>
      </c>
      <c r="K1748" t="str">
        <f t="shared" si="176"/>
        <v>4-ADMINISTRAÇÃO</v>
      </c>
      <c r="L1748" t="str">
        <f t="shared" si="177"/>
        <v>122-ADMINISTRAÇÃO GERAL</v>
      </c>
      <c r="M1748" t="str">
        <f t="shared" si="178"/>
        <v>0001-Administração e Coordenação Geral​</v>
      </c>
      <c r="N1748" t="str">
        <f t="shared" si="179"/>
        <v>2.001-Remuneração, Benefícios e Encargos</v>
      </c>
      <c r="O1748" t="str">
        <f t="shared" si="186"/>
        <v>3.1.90.13.00</v>
      </c>
      <c r="R1748" s="25">
        <v>864972.54</v>
      </c>
      <c r="S1748" t="s">
        <v>1035</v>
      </c>
    </row>
    <row r="1749" spans="1:19" x14ac:dyDescent="0.25">
      <c r="A1749" t="str">
        <f t="shared" si="169"/>
        <v>06</v>
      </c>
      <c r="B1749" t="str">
        <f t="shared" si="170"/>
        <v>001</v>
      </c>
      <c r="C1749" t="str">
        <f t="shared" si="171"/>
        <v>04</v>
      </c>
      <c r="D1749" t="str">
        <f t="shared" si="172"/>
        <v>122</v>
      </c>
      <c r="E1749" t="str">
        <f t="shared" si="173"/>
        <v>0001</v>
      </c>
      <c r="F1749" t="str">
        <f t="shared" si="174"/>
        <v>2.001</v>
      </c>
      <c r="G1749" t="str">
        <f t="shared" si="175"/>
        <v>3.1.91.13.00</v>
      </c>
      <c r="H1749" t="s">
        <v>1799</v>
      </c>
      <c r="I1749" t="str">
        <f t="shared" si="185"/>
        <v>06 - SECRETARIA DE ADMINISTRAÇÃO</v>
      </c>
      <c r="J1749" t="s">
        <v>20</v>
      </c>
      <c r="K1749" t="str">
        <f t="shared" si="176"/>
        <v>4-ADMINISTRAÇÃO</v>
      </c>
      <c r="L1749" t="str">
        <f t="shared" si="177"/>
        <v>122-ADMINISTRAÇÃO GERAL</v>
      </c>
      <c r="M1749" t="str">
        <f t="shared" si="178"/>
        <v>0001-Administração e Coordenação Geral​</v>
      </c>
      <c r="N1749" t="str">
        <f t="shared" si="179"/>
        <v>2.001-Remuneração, Benefícios e Encargos</v>
      </c>
      <c r="O1749" t="str">
        <f t="shared" si="186"/>
        <v>3.1.91.13.00</v>
      </c>
      <c r="R1749" s="25">
        <v>3288902.92</v>
      </c>
      <c r="S1749" t="s">
        <v>1035</v>
      </c>
    </row>
    <row r="1750" spans="1:19" x14ac:dyDescent="0.25">
      <c r="A1750" t="str">
        <f t="shared" si="169"/>
        <v>06</v>
      </c>
      <c r="B1750" t="str">
        <f t="shared" si="170"/>
        <v>001</v>
      </c>
      <c r="C1750" t="str">
        <f t="shared" si="171"/>
        <v>04</v>
      </c>
      <c r="D1750" t="str">
        <f t="shared" si="172"/>
        <v>122</v>
      </c>
      <c r="E1750" t="str">
        <f t="shared" si="173"/>
        <v>0001</v>
      </c>
      <c r="F1750" t="str">
        <f t="shared" si="174"/>
        <v>2.001</v>
      </c>
      <c r="G1750" t="str">
        <f t="shared" si="175"/>
        <v>3.3.90.46.00</v>
      </c>
      <c r="H1750" t="s">
        <v>1800</v>
      </c>
      <c r="I1750" t="str">
        <f t="shared" si="185"/>
        <v>06 - SECRETARIA DE ADMINISTRAÇÃO</v>
      </c>
      <c r="J1750" t="s">
        <v>20</v>
      </c>
      <c r="K1750" t="str">
        <f t="shared" si="176"/>
        <v>4-ADMINISTRAÇÃO</v>
      </c>
      <c r="L1750" t="str">
        <f t="shared" si="177"/>
        <v>122-ADMINISTRAÇÃO GERAL</v>
      </c>
      <c r="M1750" t="str">
        <f t="shared" si="178"/>
        <v>0001-Administração e Coordenação Geral​</v>
      </c>
      <c r="N1750" t="str">
        <f t="shared" si="179"/>
        <v>2.001-Remuneração, Benefícios e Encargos</v>
      </c>
      <c r="O1750" t="str">
        <f t="shared" si="186"/>
        <v>3.3.90.46.00</v>
      </c>
      <c r="R1750" s="25">
        <v>0</v>
      </c>
      <c r="S1750" t="s">
        <v>1035</v>
      </c>
    </row>
    <row r="1751" spans="1:19" x14ac:dyDescent="0.25">
      <c r="A1751" t="str">
        <f t="shared" si="169"/>
        <v>06</v>
      </c>
      <c r="B1751" t="str">
        <f t="shared" si="170"/>
        <v>001</v>
      </c>
      <c r="C1751" t="str">
        <f t="shared" si="171"/>
        <v>04</v>
      </c>
      <c r="D1751" t="str">
        <f t="shared" si="172"/>
        <v>122</v>
      </c>
      <c r="E1751" t="str">
        <f t="shared" si="173"/>
        <v>0001</v>
      </c>
      <c r="F1751" t="str">
        <f t="shared" si="174"/>
        <v>2.001</v>
      </c>
      <c r="G1751" t="str">
        <f t="shared" si="175"/>
        <v>3.3.90.49.00</v>
      </c>
      <c r="H1751" t="s">
        <v>1801</v>
      </c>
      <c r="I1751" t="str">
        <f t="shared" si="185"/>
        <v>06 - SECRETARIA DE ADMINISTRAÇÃO</v>
      </c>
      <c r="J1751" t="s">
        <v>20</v>
      </c>
      <c r="K1751" t="str">
        <f t="shared" si="176"/>
        <v>4-ADMINISTRAÇÃO</v>
      </c>
      <c r="L1751" t="str">
        <f t="shared" si="177"/>
        <v>122-ADMINISTRAÇÃO GERAL</v>
      </c>
      <c r="M1751" t="str">
        <f t="shared" si="178"/>
        <v>0001-Administração e Coordenação Geral​</v>
      </c>
      <c r="N1751" t="str">
        <f t="shared" si="179"/>
        <v>2.001-Remuneração, Benefícios e Encargos</v>
      </c>
      <c r="O1751" t="str">
        <f t="shared" si="186"/>
        <v>3.3.90.49.00</v>
      </c>
      <c r="R1751" s="25">
        <v>300820.8</v>
      </c>
      <c r="S1751" t="s">
        <v>1035</v>
      </c>
    </row>
    <row r="1752" spans="1:19" x14ac:dyDescent="0.25">
      <c r="A1752" t="str">
        <f t="shared" si="169"/>
        <v>07</v>
      </c>
      <c r="B1752" t="str">
        <f t="shared" si="170"/>
        <v>001</v>
      </c>
      <c r="C1752" t="str">
        <f t="shared" si="171"/>
        <v>04</v>
      </c>
      <c r="D1752" t="str">
        <f t="shared" si="172"/>
        <v>121</v>
      </c>
      <c r="E1752" t="str">
        <f t="shared" si="173"/>
        <v>0004</v>
      </c>
      <c r="F1752" t="str">
        <f t="shared" si="174"/>
        <v>1.001</v>
      </c>
      <c r="G1752" t="str">
        <f t="shared" si="175"/>
        <v>3.3.90.35.00</v>
      </c>
      <c r="H1752" t="s">
        <v>1802</v>
      </c>
      <c r="I1752" t="str">
        <f t="shared" si="185"/>
        <v>07 - SECRETARIA DE EMPREGO, TRABALHO E RENDA</v>
      </c>
      <c r="J1752" t="s">
        <v>20</v>
      </c>
      <c r="K1752" t="str">
        <f t="shared" si="176"/>
        <v>4-ADMINISTRAÇÃO</v>
      </c>
      <c r="L1752" t="str">
        <f t="shared" si="177"/>
        <v>121-PLANEJAMENTO E ORÇAMENTO</v>
      </c>
      <c r="M1752" t="str">
        <f t="shared" si="178"/>
        <v xml:space="preserve">0004-Planejamento e Gestão de Políticas Públicas </v>
      </c>
      <c r="N1752" t="str">
        <f t="shared" si="179"/>
        <v xml:space="preserve">1.001-Estudos, Pesquisas, Planos e Projetos </v>
      </c>
      <c r="O1752" t="str">
        <f t="shared" si="180"/>
        <v>3.3.90.35.00-SERVIÇOS DE CONSULTORIA</v>
      </c>
      <c r="R1752" s="25">
        <v>1</v>
      </c>
      <c r="S1752" t="s">
        <v>1035</v>
      </c>
    </row>
    <row r="1753" spans="1:19" x14ac:dyDescent="0.25">
      <c r="A1753" t="str">
        <f t="shared" si="169"/>
        <v>07</v>
      </c>
      <c r="B1753" t="str">
        <f t="shared" si="170"/>
        <v>001</v>
      </c>
      <c r="C1753" t="str">
        <f t="shared" si="171"/>
        <v>04</v>
      </c>
      <c r="D1753" t="str">
        <f t="shared" si="172"/>
        <v>122</v>
      </c>
      <c r="E1753" t="str">
        <f t="shared" si="173"/>
        <v>0001</v>
      </c>
      <c r="F1753" t="str">
        <f t="shared" si="174"/>
        <v>2.001</v>
      </c>
      <c r="G1753" t="str">
        <f t="shared" si="175"/>
        <v>3.1.90.11.00</v>
      </c>
      <c r="H1753" t="s">
        <v>1803</v>
      </c>
      <c r="I1753" t="str">
        <f t="shared" si="185"/>
        <v>07 - SECRETARIA DE EMPREGO, TRABALHO E RENDA</v>
      </c>
      <c r="J1753" t="s">
        <v>20</v>
      </c>
      <c r="K1753" t="str">
        <f t="shared" si="176"/>
        <v>4-ADMINISTRAÇÃO</v>
      </c>
      <c r="L1753" t="str">
        <f t="shared" si="177"/>
        <v>122-ADMINISTRAÇÃO GERAL</v>
      </c>
      <c r="M1753" t="str">
        <f t="shared" si="178"/>
        <v>0001-Administração e Coordenação Geral​</v>
      </c>
      <c r="N1753" t="str">
        <f t="shared" si="179"/>
        <v>2.001-Remuneração, Benefícios e Encargos</v>
      </c>
      <c r="O1753" t="str">
        <f>G1753</f>
        <v>3.1.90.11.00</v>
      </c>
      <c r="R1753" s="25">
        <v>5584691.7399999993</v>
      </c>
      <c r="S1753" t="s">
        <v>1035</v>
      </c>
    </row>
    <row r="1754" spans="1:19" x14ac:dyDescent="0.25">
      <c r="A1754" t="str">
        <f t="shared" si="169"/>
        <v>07</v>
      </c>
      <c r="B1754" t="str">
        <f t="shared" si="170"/>
        <v>001</v>
      </c>
      <c r="C1754" t="str">
        <f t="shared" si="171"/>
        <v>04</v>
      </c>
      <c r="D1754" t="str">
        <f t="shared" si="172"/>
        <v>122</v>
      </c>
      <c r="E1754" t="str">
        <f t="shared" si="173"/>
        <v>0001</v>
      </c>
      <c r="F1754" t="str">
        <f t="shared" si="174"/>
        <v>2.001</v>
      </c>
      <c r="G1754" t="str">
        <f t="shared" si="175"/>
        <v>3.1.90.13.00</v>
      </c>
      <c r="H1754" t="s">
        <v>1804</v>
      </c>
      <c r="I1754" t="str">
        <f t="shared" si="185"/>
        <v>07 - SECRETARIA DE EMPREGO, TRABALHO E RENDA</v>
      </c>
      <c r="J1754" t="s">
        <v>20</v>
      </c>
      <c r="K1754" t="str">
        <f t="shared" si="176"/>
        <v>4-ADMINISTRAÇÃO</v>
      </c>
      <c r="L1754" t="str">
        <f t="shared" si="177"/>
        <v>122-ADMINISTRAÇÃO GERAL</v>
      </c>
      <c r="M1754" t="str">
        <f t="shared" si="178"/>
        <v>0001-Administração e Coordenação Geral​</v>
      </c>
      <c r="N1754" t="str">
        <f t="shared" si="179"/>
        <v>2.001-Remuneração, Benefícios e Encargos</v>
      </c>
      <c r="O1754" t="str">
        <f>G1754</f>
        <v>3.1.90.13.00</v>
      </c>
      <c r="R1754" s="25">
        <v>711468.09</v>
      </c>
      <c r="S1754" t="s">
        <v>1035</v>
      </c>
    </row>
    <row r="1755" spans="1:19" x14ac:dyDescent="0.25">
      <c r="A1755" t="str">
        <f t="shared" si="169"/>
        <v>07</v>
      </c>
      <c r="B1755" t="str">
        <f t="shared" si="170"/>
        <v>001</v>
      </c>
      <c r="C1755" t="str">
        <f t="shared" si="171"/>
        <v>04</v>
      </c>
      <c r="D1755" t="str">
        <f t="shared" si="172"/>
        <v>122</v>
      </c>
      <c r="E1755" t="str">
        <f t="shared" si="173"/>
        <v>0001</v>
      </c>
      <c r="F1755" t="str">
        <f t="shared" si="174"/>
        <v>2.001</v>
      </c>
      <c r="G1755" t="str">
        <f t="shared" si="175"/>
        <v>3.1.91.13.00</v>
      </c>
      <c r="H1755" t="s">
        <v>1805</v>
      </c>
      <c r="I1755" t="str">
        <f t="shared" si="185"/>
        <v>07 - SECRETARIA DE EMPREGO, TRABALHO E RENDA</v>
      </c>
      <c r="J1755" t="s">
        <v>20</v>
      </c>
      <c r="K1755" t="str">
        <f t="shared" si="176"/>
        <v>4-ADMINISTRAÇÃO</v>
      </c>
      <c r="L1755" t="str">
        <f t="shared" si="177"/>
        <v>122-ADMINISTRAÇÃO GERAL</v>
      </c>
      <c r="M1755" t="str">
        <f t="shared" si="178"/>
        <v>0001-Administração e Coordenação Geral​</v>
      </c>
      <c r="N1755" t="str">
        <f t="shared" si="179"/>
        <v>2.001-Remuneração, Benefícios e Encargos</v>
      </c>
      <c r="O1755" t="str">
        <f>G1755</f>
        <v>3.1.91.13.00</v>
      </c>
      <c r="R1755" s="25">
        <v>449376.4</v>
      </c>
      <c r="S1755" t="s">
        <v>1035</v>
      </c>
    </row>
    <row r="1756" spans="1:19" x14ac:dyDescent="0.25">
      <c r="A1756" t="str">
        <f t="shared" ref="A1756:A1819" si="187">LEFT(H1756,2)</f>
        <v>07</v>
      </c>
      <c r="B1756" t="str">
        <f t="shared" ref="B1756:B1819" si="188">MID(H1756,4,3)</f>
        <v>001</v>
      </c>
      <c r="C1756" t="str">
        <f t="shared" ref="C1756:C1819" si="189">MID(H1756,8,2)</f>
        <v>04</v>
      </c>
      <c r="D1756" t="str">
        <f t="shared" ref="D1756:D1819" si="190">MID(H1756,11,3)</f>
        <v>122</v>
      </c>
      <c r="E1756" t="str">
        <f t="shared" ref="E1756:E1819" si="191">MID(H1756,15,4)</f>
        <v>0001</v>
      </c>
      <c r="F1756" t="str">
        <f t="shared" ref="F1756:F1819" si="192">MID(H1756,20,5)</f>
        <v>2.001</v>
      </c>
      <c r="G1756" t="str">
        <f t="shared" ref="G1756:G1819" si="193">MID(H1756,26,12)</f>
        <v>3.3.90.46.00</v>
      </c>
      <c r="H1756" t="s">
        <v>1806</v>
      </c>
      <c r="I1756" t="str">
        <f t="shared" si="185"/>
        <v>07 - SECRETARIA DE EMPREGO, TRABALHO E RENDA</v>
      </c>
      <c r="J1756" t="s">
        <v>20</v>
      </c>
      <c r="K1756" t="str">
        <f t="shared" ref="K1756:K1819" si="194">VLOOKUP(C1756,$C$1:$O$994,9,0)</f>
        <v>4-ADMINISTRAÇÃO</v>
      </c>
      <c r="L1756" t="str">
        <f t="shared" ref="L1756:L1819" si="195">VLOOKUP(D1756,$D$1:$O$994,9,0)</f>
        <v>122-ADMINISTRAÇÃO GERAL</v>
      </c>
      <c r="M1756" t="str">
        <f t="shared" ref="M1756:M1819" si="196">VLOOKUP(E1756,$E$1:$O$994,9,0)</f>
        <v>0001-Administração e Coordenação Geral​</v>
      </c>
      <c r="N1756" t="str">
        <f t="shared" ref="N1756:N1819" si="197">VLOOKUP(F1756,$F$1:$O$994,9,0)</f>
        <v>2.001-Remuneração, Benefícios e Encargos</v>
      </c>
      <c r="O1756" t="str">
        <f>G1756</f>
        <v>3.3.90.46.00</v>
      </c>
      <c r="R1756" s="25">
        <v>2.13</v>
      </c>
      <c r="S1756" t="s">
        <v>1035</v>
      </c>
    </row>
    <row r="1757" spans="1:19" x14ac:dyDescent="0.25">
      <c r="A1757" t="str">
        <f t="shared" si="187"/>
        <v>07</v>
      </c>
      <c r="B1757" t="str">
        <f t="shared" si="188"/>
        <v>001</v>
      </c>
      <c r="C1757" t="str">
        <f t="shared" si="189"/>
        <v>04</v>
      </c>
      <c r="D1757" t="str">
        <f t="shared" si="190"/>
        <v>122</v>
      </c>
      <c r="E1757" t="str">
        <f t="shared" si="191"/>
        <v>0001</v>
      </c>
      <c r="F1757" t="str">
        <f t="shared" si="192"/>
        <v>2.001</v>
      </c>
      <c r="G1757" t="str">
        <f t="shared" si="193"/>
        <v>3.3.90.49.00</v>
      </c>
      <c r="H1757" t="s">
        <v>1807</v>
      </c>
      <c r="I1757" t="str">
        <f t="shared" si="185"/>
        <v>07 - SECRETARIA DE EMPREGO, TRABALHO E RENDA</v>
      </c>
      <c r="J1757" t="s">
        <v>20</v>
      </c>
      <c r="K1757" t="str">
        <f t="shared" si="194"/>
        <v>4-ADMINISTRAÇÃO</v>
      </c>
      <c r="L1757" t="str">
        <f t="shared" si="195"/>
        <v>122-ADMINISTRAÇÃO GERAL</v>
      </c>
      <c r="M1757" t="str">
        <f t="shared" si="196"/>
        <v>0001-Administração e Coordenação Geral​</v>
      </c>
      <c r="N1757" t="str">
        <f t="shared" si="197"/>
        <v>2.001-Remuneração, Benefícios e Encargos</v>
      </c>
      <c r="O1757" t="str">
        <f>G1757</f>
        <v>3.3.90.49.00</v>
      </c>
      <c r="R1757" s="25">
        <v>63666.64</v>
      </c>
      <c r="S1757" t="s">
        <v>1035</v>
      </c>
    </row>
    <row r="1758" spans="1:19" x14ac:dyDescent="0.25">
      <c r="A1758" t="str">
        <f t="shared" si="187"/>
        <v>07</v>
      </c>
      <c r="B1758" t="str">
        <f t="shared" si="188"/>
        <v>001</v>
      </c>
      <c r="C1758" t="str">
        <f t="shared" si="189"/>
        <v>11</v>
      </c>
      <c r="D1758" t="str">
        <f t="shared" si="190"/>
        <v>122</v>
      </c>
      <c r="E1758" t="str">
        <f t="shared" si="191"/>
        <v>0017</v>
      </c>
      <c r="F1758" t="str">
        <f t="shared" si="192"/>
        <v>1.002</v>
      </c>
      <c r="G1758" t="str">
        <f t="shared" si="193"/>
        <v>3.3.90.39.00</v>
      </c>
      <c r="H1758" t="s">
        <v>1808</v>
      </c>
      <c r="I1758" t="str">
        <f t="shared" si="185"/>
        <v>07 - SECRETARIA DE EMPREGO, TRABALHO E RENDA</v>
      </c>
      <c r="J1758" t="s">
        <v>20</v>
      </c>
      <c r="K1758" t="str">
        <f t="shared" si="194"/>
        <v>11-TRABALHO</v>
      </c>
      <c r="L1758" t="str">
        <f t="shared" si="195"/>
        <v>122-ADMINISTRAÇÃO GERAL</v>
      </c>
      <c r="M1758" t="str">
        <f t="shared" si="196"/>
        <v>0017-Trabalho, Emprego e Renda​</v>
      </c>
      <c r="N1758" t="str">
        <f t="shared" si="197"/>
        <v>1.002-Reforma e Ampliação de Unidades</v>
      </c>
      <c r="O1758" t="str">
        <f t="shared" ref="O1758:O1819" si="198">VLOOKUP(G1758,$G$1:$O$994,9,0)</f>
        <v>3.3.90.39.00-OUTROS SERVIÇOS DE TERCEIROS - PESSOA JURÍDICA</v>
      </c>
      <c r="R1758" s="25">
        <v>1</v>
      </c>
      <c r="S1758" t="s">
        <v>1035</v>
      </c>
    </row>
    <row r="1759" spans="1:19" x14ac:dyDescent="0.25">
      <c r="A1759" t="str">
        <f t="shared" si="187"/>
        <v>07</v>
      </c>
      <c r="B1759" t="str">
        <f t="shared" si="188"/>
        <v>001</v>
      </c>
      <c r="C1759" t="str">
        <f t="shared" si="189"/>
        <v>18</v>
      </c>
      <c r="D1759" t="str">
        <f t="shared" si="190"/>
        <v>542</v>
      </c>
      <c r="E1759" t="str">
        <f t="shared" si="191"/>
        <v>0007</v>
      </c>
      <c r="F1759" t="str">
        <f t="shared" si="192"/>
        <v>1.003</v>
      </c>
      <c r="G1759" t="str">
        <f t="shared" si="193"/>
        <v>4.4.90.51.00</v>
      </c>
      <c r="H1759" t="s">
        <v>1809</v>
      </c>
      <c r="I1759" t="str">
        <f t="shared" si="185"/>
        <v>07 - SECRETARIA DE EMPREGO, TRABALHO E RENDA</v>
      </c>
      <c r="J1759" t="s">
        <v>20</v>
      </c>
      <c r="K1759" t="str">
        <f t="shared" si="194"/>
        <v>18-GESTÃO AMBIENTAL</v>
      </c>
      <c r="L1759" t="str">
        <f>D1759</f>
        <v>542</v>
      </c>
      <c r="M1759" t="str">
        <f t="shared" si="196"/>
        <v>0007-Meio Ambiente, Sustentabilidade e Bem-Estar Animal​</v>
      </c>
      <c r="N1759" t="str">
        <f t="shared" si="197"/>
        <v>1.003-Implantação de Novas Unidades</v>
      </c>
      <c r="O1759" t="str">
        <f t="shared" si="198"/>
        <v>4.4.90.51.00-OBRAS E INSTALAÇÕES</v>
      </c>
      <c r="R1759" s="25">
        <v>1</v>
      </c>
      <c r="S1759" t="s">
        <v>1035</v>
      </c>
    </row>
    <row r="1760" spans="1:19" x14ac:dyDescent="0.25">
      <c r="A1760" t="str">
        <f t="shared" si="187"/>
        <v>08</v>
      </c>
      <c r="B1760" t="str">
        <f t="shared" si="188"/>
        <v>001</v>
      </c>
      <c r="C1760" t="str">
        <f t="shared" si="189"/>
        <v>04</v>
      </c>
      <c r="D1760" t="str">
        <f t="shared" si="190"/>
        <v>121</v>
      </c>
      <c r="E1760" t="str">
        <f t="shared" si="191"/>
        <v>0004</v>
      </c>
      <c r="F1760" t="str">
        <f t="shared" si="192"/>
        <v>1.001</v>
      </c>
      <c r="G1760" t="str">
        <f t="shared" si="193"/>
        <v>3.3.90.35.00</v>
      </c>
      <c r="H1760" t="s">
        <v>1810</v>
      </c>
      <c r="I1760" t="str">
        <f t="shared" si="185"/>
        <v>08 - SECRETARIA DE EDUCAÇÃO</v>
      </c>
      <c r="J1760" t="s">
        <v>20</v>
      </c>
      <c r="K1760" t="str">
        <f t="shared" si="194"/>
        <v>4-ADMINISTRAÇÃO</v>
      </c>
      <c r="L1760" t="str">
        <f t="shared" si="195"/>
        <v>121-PLANEJAMENTO E ORÇAMENTO</v>
      </c>
      <c r="M1760" t="str">
        <f t="shared" si="196"/>
        <v xml:space="preserve">0004-Planejamento e Gestão de Políticas Públicas </v>
      </c>
      <c r="N1760" t="str">
        <f t="shared" si="197"/>
        <v xml:space="preserve">1.001-Estudos, Pesquisas, Planos e Projetos </v>
      </c>
      <c r="O1760" t="str">
        <f t="shared" si="198"/>
        <v>3.3.90.35.00-SERVIÇOS DE CONSULTORIA</v>
      </c>
      <c r="R1760" s="25">
        <v>1</v>
      </c>
      <c r="S1760" t="s">
        <v>1035</v>
      </c>
    </row>
    <row r="1761" spans="1:19" x14ac:dyDescent="0.25">
      <c r="A1761" t="str">
        <f t="shared" si="187"/>
        <v>08</v>
      </c>
      <c r="B1761" t="str">
        <f t="shared" si="188"/>
        <v>001</v>
      </c>
      <c r="C1761" t="str">
        <f t="shared" si="189"/>
        <v>04</v>
      </c>
      <c r="D1761" t="str">
        <f t="shared" si="190"/>
        <v>121</v>
      </c>
      <c r="E1761" t="str">
        <f t="shared" si="191"/>
        <v>0004</v>
      </c>
      <c r="F1761" t="str">
        <f t="shared" si="192"/>
        <v>1001.</v>
      </c>
      <c r="G1761" t="str">
        <f t="shared" si="193"/>
        <v>.3.90.35..00</v>
      </c>
      <c r="H1761" t="s">
        <v>1811</v>
      </c>
      <c r="I1761" t="str">
        <f t="shared" si="185"/>
        <v>08 - SECRETARIA DE EDUCAÇÃO</v>
      </c>
      <c r="J1761" t="s">
        <v>20</v>
      </c>
      <c r="K1761" t="str">
        <f t="shared" si="194"/>
        <v>4-ADMINISTRAÇÃO</v>
      </c>
      <c r="L1761" t="str">
        <f t="shared" si="195"/>
        <v>121-PLANEJAMENTO E ORÇAMENTO</v>
      </c>
      <c r="M1761" t="str">
        <f t="shared" si="196"/>
        <v xml:space="preserve">0004-Planejamento e Gestão de Políticas Públicas </v>
      </c>
      <c r="N1761" t="str">
        <f>F1761</f>
        <v>1001.</v>
      </c>
      <c r="O1761" t="str">
        <f>G1761</f>
        <v>.3.90.35..00</v>
      </c>
      <c r="R1761" s="25">
        <v>1</v>
      </c>
      <c r="S1761" t="s">
        <v>1035</v>
      </c>
    </row>
    <row r="1762" spans="1:19" x14ac:dyDescent="0.25">
      <c r="A1762" t="str">
        <f t="shared" si="187"/>
        <v>08</v>
      </c>
      <c r="B1762" t="str">
        <f t="shared" si="188"/>
        <v>001</v>
      </c>
      <c r="C1762" t="str">
        <f t="shared" si="189"/>
        <v>12</v>
      </c>
      <c r="D1762" t="str">
        <f t="shared" si="190"/>
        <v>122</v>
      </c>
      <c r="E1762" t="str">
        <f t="shared" si="191"/>
        <v>0001</v>
      </c>
      <c r="F1762" t="str">
        <f t="shared" si="192"/>
        <v>1.002</v>
      </c>
      <c r="G1762" t="str">
        <f t="shared" si="193"/>
        <v>3.3.90.39.00</v>
      </c>
      <c r="H1762" t="s">
        <v>1812</v>
      </c>
      <c r="I1762" t="str">
        <f t="shared" si="185"/>
        <v>08 - SECRETARIA DE EDUCAÇÃO</v>
      </c>
      <c r="J1762" t="s">
        <v>20</v>
      </c>
      <c r="K1762" t="str">
        <f t="shared" si="194"/>
        <v>12-EDUCAÇÃO</v>
      </c>
      <c r="L1762" t="str">
        <f t="shared" si="195"/>
        <v>122-ADMINISTRAÇÃO GERAL</v>
      </c>
      <c r="M1762" t="str">
        <f t="shared" si="196"/>
        <v>0001-Administração e Coordenação Geral​</v>
      </c>
      <c r="N1762" t="str">
        <f t="shared" si="197"/>
        <v>1.002-Reforma e Ampliação de Unidades</v>
      </c>
      <c r="O1762" t="str">
        <f t="shared" si="198"/>
        <v>3.3.90.39.00-OUTROS SERVIÇOS DE TERCEIROS - PESSOA JURÍDICA</v>
      </c>
      <c r="R1762" s="25">
        <v>1</v>
      </c>
      <c r="S1762" t="s">
        <v>1035</v>
      </c>
    </row>
    <row r="1763" spans="1:19" x14ac:dyDescent="0.25">
      <c r="A1763" t="str">
        <f t="shared" si="187"/>
        <v>08</v>
      </c>
      <c r="B1763" t="str">
        <f t="shared" si="188"/>
        <v>001</v>
      </c>
      <c r="C1763" t="str">
        <f t="shared" si="189"/>
        <v>12</v>
      </c>
      <c r="D1763" t="str">
        <f t="shared" si="190"/>
        <v>122</v>
      </c>
      <c r="E1763" t="str">
        <f t="shared" si="191"/>
        <v>0001</v>
      </c>
      <c r="F1763" t="str">
        <f t="shared" si="192"/>
        <v>1.002</v>
      </c>
      <c r="G1763" t="str">
        <f t="shared" si="193"/>
        <v>4.4.90.51.00</v>
      </c>
      <c r="H1763" t="s">
        <v>1813</v>
      </c>
      <c r="I1763" t="str">
        <f t="shared" si="185"/>
        <v>08 - SECRETARIA DE EDUCAÇÃO</v>
      </c>
      <c r="J1763" t="s">
        <v>20</v>
      </c>
      <c r="K1763" t="str">
        <f t="shared" si="194"/>
        <v>12-EDUCAÇÃO</v>
      </c>
      <c r="L1763" t="str">
        <f t="shared" si="195"/>
        <v>122-ADMINISTRAÇÃO GERAL</v>
      </c>
      <c r="M1763" t="str">
        <f t="shared" si="196"/>
        <v>0001-Administração e Coordenação Geral​</v>
      </c>
      <c r="N1763" t="str">
        <f t="shared" si="197"/>
        <v>1.002-Reforma e Ampliação de Unidades</v>
      </c>
      <c r="O1763" t="str">
        <f t="shared" si="198"/>
        <v>4.4.90.51.00-OBRAS E INSTALAÇÕES</v>
      </c>
      <c r="R1763" s="25">
        <v>0</v>
      </c>
      <c r="S1763" t="s">
        <v>1035</v>
      </c>
    </row>
    <row r="1764" spans="1:19" x14ac:dyDescent="0.25">
      <c r="A1764" t="str">
        <f t="shared" si="187"/>
        <v>08</v>
      </c>
      <c r="B1764" t="str">
        <f t="shared" si="188"/>
        <v>001</v>
      </c>
      <c r="C1764" t="str">
        <f t="shared" si="189"/>
        <v>12</v>
      </c>
      <c r="D1764" t="str">
        <f t="shared" si="190"/>
        <v>122</v>
      </c>
      <c r="E1764" t="str">
        <f t="shared" si="191"/>
        <v>0001</v>
      </c>
      <c r="F1764" t="str">
        <f t="shared" si="192"/>
        <v>2.001</v>
      </c>
      <c r="G1764" t="str">
        <f t="shared" si="193"/>
        <v>3.1.90.11.00</v>
      </c>
      <c r="H1764" t="s">
        <v>1814</v>
      </c>
      <c r="I1764" t="str">
        <f t="shared" si="185"/>
        <v>08 - SECRETARIA DE EDUCAÇÃO</v>
      </c>
      <c r="J1764" t="s">
        <v>20</v>
      </c>
      <c r="K1764" t="str">
        <f t="shared" si="194"/>
        <v>12-EDUCAÇÃO</v>
      </c>
      <c r="L1764" t="str">
        <f t="shared" si="195"/>
        <v>122-ADMINISTRAÇÃO GERAL</v>
      </c>
      <c r="M1764" t="str">
        <f t="shared" si="196"/>
        <v>0001-Administração e Coordenação Geral​</v>
      </c>
      <c r="N1764" t="str">
        <f t="shared" si="197"/>
        <v>2.001-Remuneração, Benefícios e Encargos</v>
      </c>
      <c r="O1764" t="str">
        <f t="shared" ref="O1764:O1773" si="199">G1764</f>
        <v>3.1.90.11.00</v>
      </c>
      <c r="R1764" s="25">
        <v>33838768.43</v>
      </c>
      <c r="S1764" t="s">
        <v>1035</v>
      </c>
    </row>
    <row r="1765" spans="1:19" x14ac:dyDescent="0.25">
      <c r="A1765" t="str">
        <f t="shared" si="187"/>
        <v>08</v>
      </c>
      <c r="B1765" t="str">
        <f t="shared" si="188"/>
        <v>001</v>
      </c>
      <c r="C1765" t="str">
        <f t="shared" si="189"/>
        <v>12</v>
      </c>
      <c r="D1765" t="str">
        <f t="shared" si="190"/>
        <v>122</v>
      </c>
      <c r="E1765" t="str">
        <f t="shared" si="191"/>
        <v>0001</v>
      </c>
      <c r="F1765" t="str">
        <f t="shared" si="192"/>
        <v>2.001</v>
      </c>
      <c r="G1765" t="str">
        <f t="shared" si="193"/>
        <v>3.1.90.13.00</v>
      </c>
      <c r="H1765" t="s">
        <v>1815</v>
      </c>
      <c r="I1765" t="str">
        <f t="shared" si="185"/>
        <v>08 - SECRETARIA DE EDUCAÇÃO</v>
      </c>
      <c r="J1765" t="s">
        <v>20</v>
      </c>
      <c r="K1765" t="str">
        <f t="shared" si="194"/>
        <v>12-EDUCAÇÃO</v>
      </c>
      <c r="L1765" t="str">
        <f t="shared" si="195"/>
        <v>122-ADMINISTRAÇÃO GERAL</v>
      </c>
      <c r="M1765" t="str">
        <f t="shared" si="196"/>
        <v>0001-Administração e Coordenação Geral​</v>
      </c>
      <c r="N1765" t="str">
        <f t="shared" si="197"/>
        <v>2.001-Remuneração, Benefícios e Encargos</v>
      </c>
      <c r="O1765" t="str">
        <f t="shared" si="199"/>
        <v>3.1.90.13.00</v>
      </c>
      <c r="R1765" s="25">
        <v>3174539.85</v>
      </c>
      <c r="S1765" t="s">
        <v>1035</v>
      </c>
    </row>
    <row r="1766" spans="1:19" x14ac:dyDescent="0.25">
      <c r="A1766" t="str">
        <f t="shared" si="187"/>
        <v>08</v>
      </c>
      <c r="B1766" t="str">
        <f t="shared" si="188"/>
        <v>001</v>
      </c>
      <c r="C1766" t="str">
        <f t="shared" si="189"/>
        <v>12</v>
      </c>
      <c r="D1766" t="str">
        <f t="shared" si="190"/>
        <v>122</v>
      </c>
      <c r="E1766" t="str">
        <f t="shared" si="191"/>
        <v>0001</v>
      </c>
      <c r="F1766" t="str">
        <f t="shared" si="192"/>
        <v>2.001</v>
      </c>
      <c r="G1766" t="str">
        <f t="shared" si="193"/>
        <v>3.1.91.13.00</v>
      </c>
      <c r="H1766" t="s">
        <v>1816</v>
      </c>
      <c r="I1766" t="str">
        <f t="shared" si="185"/>
        <v>08 - SECRETARIA DE EDUCAÇÃO</v>
      </c>
      <c r="J1766" t="s">
        <v>20</v>
      </c>
      <c r="K1766" t="str">
        <f t="shared" si="194"/>
        <v>12-EDUCAÇÃO</v>
      </c>
      <c r="L1766" t="str">
        <f t="shared" si="195"/>
        <v>122-ADMINISTRAÇÃO GERAL</v>
      </c>
      <c r="M1766" t="str">
        <f t="shared" si="196"/>
        <v>0001-Administração e Coordenação Geral​</v>
      </c>
      <c r="N1766" t="str">
        <f t="shared" si="197"/>
        <v>2.001-Remuneração, Benefícios e Encargos</v>
      </c>
      <c r="O1766" t="str">
        <f t="shared" si="199"/>
        <v>3.1.91.13.00</v>
      </c>
      <c r="R1766" s="25">
        <v>4945566.1100000003</v>
      </c>
      <c r="S1766" t="s">
        <v>1035</v>
      </c>
    </row>
    <row r="1767" spans="1:19" x14ac:dyDescent="0.25">
      <c r="A1767" t="str">
        <f t="shared" si="187"/>
        <v>08</v>
      </c>
      <c r="B1767" t="str">
        <f t="shared" si="188"/>
        <v>001</v>
      </c>
      <c r="C1767" t="str">
        <f t="shared" si="189"/>
        <v>12</v>
      </c>
      <c r="D1767" t="str">
        <f t="shared" si="190"/>
        <v>122</v>
      </c>
      <c r="E1767" t="str">
        <f t="shared" si="191"/>
        <v>0001</v>
      </c>
      <c r="F1767" t="str">
        <f t="shared" si="192"/>
        <v>2.001</v>
      </c>
      <c r="G1767" t="str">
        <f t="shared" si="193"/>
        <v>3.3.90.46.00</v>
      </c>
      <c r="H1767" t="s">
        <v>1817</v>
      </c>
      <c r="I1767" t="str">
        <f t="shared" si="185"/>
        <v>08 - SECRETARIA DE EDUCAÇÃO</v>
      </c>
      <c r="J1767" t="s">
        <v>20</v>
      </c>
      <c r="K1767" t="str">
        <f t="shared" si="194"/>
        <v>12-EDUCAÇÃO</v>
      </c>
      <c r="L1767" t="str">
        <f t="shared" si="195"/>
        <v>122-ADMINISTRAÇÃO GERAL</v>
      </c>
      <c r="M1767" t="str">
        <f t="shared" si="196"/>
        <v>0001-Administração e Coordenação Geral​</v>
      </c>
      <c r="N1767" t="str">
        <f t="shared" si="197"/>
        <v>2.001-Remuneração, Benefícios e Encargos</v>
      </c>
      <c r="O1767" t="str">
        <f t="shared" si="199"/>
        <v>3.3.90.46.00</v>
      </c>
      <c r="R1767" s="25">
        <v>8417047.5700000003</v>
      </c>
      <c r="S1767" t="s">
        <v>1035</v>
      </c>
    </row>
    <row r="1768" spans="1:19" x14ac:dyDescent="0.25">
      <c r="A1768" t="str">
        <f t="shared" si="187"/>
        <v>08</v>
      </c>
      <c r="B1768" t="str">
        <f t="shared" si="188"/>
        <v>001</v>
      </c>
      <c r="C1768" t="str">
        <f t="shared" si="189"/>
        <v>12</v>
      </c>
      <c r="D1768" t="str">
        <f t="shared" si="190"/>
        <v>122</v>
      </c>
      <c r="E1768" t="str">
        <f t="shared" si="191"/>
        <v>0001</v>
      </c>
      <c r="F1768" t="str">
        <f t="shared" si="192"/>
        <v>2.001</v>
      </c>
      <c r="G1768" t="str">
        <f t="shared" si="193"/>
        <v>3.3.90.49.00</v>
      </c>
      <c r="H1768" t="s">
        <v>1818</v>
      </c>
      <c r="I1768" t="str">
        <f t="shared" si="185"/>
        <v>08 - SECRETARIA DE EDUCAÇÃO</v>
      </c>
      <c r="J1768" t="s">
        <v>20</v>
      </c>
      <c r="K1768" t="str">
        <f t="shared" si="194"/>
        <v>12-EDUCAÇÃO</v>
      </c>
      <c r="L1768" t="str">
        <f t="shared" si="195"/>
        <v>122-ADMINISTRAÇÃO GERAL</v>
      </c>
      <c r="M1768" t="str">
        <f t="shared" si="196"/>
        <v>0001-Administração e Coordenação Geral​</v>
      </c>
      <c r="N1768" t="str">
        <f t="shared" si="197"/>
        <v>2.001-Remuneração, Benefícios e Encargos</v>
      </c>
      <c r="O1768" t="str">
        <f t="shared" si="199"/>
        <v>3.3.90.49.00</v>
      </c>
      <c r="R1768" s="25">
        <v>515236.52</v>
      </c>
      <c r="S1768" t="s">
        <v>1035</v>
      </c>
    </row>
    <row r="1769" spans="1:19" x14ac:dyDescent="0.25">
      <c r="A1769" t="str">
        <f t="shared" si="187"/>
        <v>08</v>
      </c>
      <c r="B1769" t="str">
        <f t="shared" si="188"/>
        <v>001</v>
      </c>
      <c r="C1769" t="str">
        <f t="shared" si="189"/>
        <v>12</v>
      </c>
      <c r="D1769" t="str">
        <f t="shared" si="190"/>
        <v>361</v>
      </c>
      <c r="E1769" t="str">
        <f t="shared" si="191"/>
        <v>0001</v>
      </c>
      <c r="F1769" t="str">
        <f t="shared" si="192"/>
        <v>2.001</v>
      </c>
      <c r="G1769" t="str">
        <f t="shared" si="193"/>
        <v>3.1.90.11.00</v>
      </c>
      <c r="H1769" t="s">
        <v>1819</v>
      </c>
      <c r="I1769" t="str">
        <f t="shared" si="185"/>
        <v>08 - SECRETARIA DE EDUCAÇÃO</v>
      </c>
      <c r="J1769" t="s">
        <v>20</v>
      </c>
      <c r="K1769" t="str">
        <f t="shared" si="194"/>
        <v>12-EDUCAÇÃO</v>
      </c>
      <c r="L1769" t="str">
        <f t="shared" si="195"/>
        <v>361-ENSINO FUNDAMENTAL</v>
      </c>
      <c r="M1769" t="str">
        <f t="shared" si="196"/>
        <v>0001-Administração e Coordenação Geral​</v>
      </c>
      <c r="N1769" t="str">
        <f t="shared" si="197"/>
        <v>2.001-Remuneração, Benefícios e Encargos</v>
      </c>
      <c r="O1769" t="str">
        <f t="shared" si="199"/>
        <v>3.1.90.11.00</v>
      </c>
      <c r="R1769" s="25">
        <v>361313313.75</v>
      </c>
      <c r="S1769" t="s">
        <v>1035</v>
      </c>
    </row>
    <row r="1770" spans="1:19" x14ac:dyDescent="0.25">
      <c r="A1770" t="str">
        <f t="shared" si="187"/>
        <v>08</v>
      </c>
      <c r="B1770" t="str">
        <f t="shared" si="188"/>
        <v>001</v>
      </c>
      <c r="C1770" t="str">
        <f t="shared" si="189"/>
        <v>12</v>
      </c>
      <c r="D1770" t="str">
        <f t="shared" si="190"/>
        <v>361</v>
      </c>
      <c r="E1770" t="str">
        <f t="shared" si="191"/>
        <v>0001</v>
      </c>
      <c r="F1770" t="str">
        <f t="shared" si="192"/>
        <v>2.001</v>
      </c>
      <c r="G1770" t="str">
        <f t="shared" si="193"/>
        <v>3.1.90.13.00</v>
      </c>
      <c r="H1770" t="s">
        <v>1820</v>
      </c>
      <c r="I1770" t="str">
        <f t="shared" si="185"/>
        <v>08 - SECRETARIA DE EDUCAÇÃO</v>
      </c>
      <c r="J1770" t="s">
        <v>20</v>
      </c>
      <c r="K1770" t="str">
        <f t="shared" si="194"/>
        <v>12-EDUCAÇÃO</v>
      </c>
      <c r="L1770" t="str">
        <f t="shared" si="195"/>
        <v>361-ENSINO FUNDAMENTAL</v>
      </c>
      <c r="M1770" t="str">
        <f t="shared" si="196"/>
        <v>0001-Administração e Coordenação Geral​</v>
      </c>
      <c r="N1770" t="str">
        <f t="shared" si="197"/>
        <v>2.001-Remuneração, Benefícios e Encargos</v>
      </c>
      <c r="O1770" t="str">
        <f t="shared" si="199"/>
        <v>3.1.90.13.00</v>
      </c>
      <c r="R1770" s="25">
        <v>6.44</v>
      </c>
      <c r="S1770" t="s">
        <v>1035</v>
      </c>
    </row>
    <row r="1771" spans="1:19" x14ac:dyDescent="0.25">
      <c r="A1771" t="str">
        <f t="shared" si="187"/>
        <v>08</v>
      </c>
      <c r="B1771" t="str">
        <f t="shared" si="188"/>
        <v>001</v>
      </c>
      <c r="C1771" t="str">
        <f t="shared" si="189"/>
        <v>12</v>
      </c>
      <c r="D1771" t="str">
        <f t="shared" si="190"/>
        <v>361</v>
      </c>
      <c r="E1771" t="str">
        <f t="shared" si="191"/>
        <v>0001</v>
      </c>
      <c r="F1771" t="str">
        <f t="shared" si="192"/>
        <v>2.001</v>
      </c>
      <c r="G1771" t="str">
        <f t="shared" si="193"/>
        <v>3.1.91.13.00</v>
      </c>
      <c r="H1771" t="s">
        <v>1821</v>
      </c>
      <c r="I1771" t="str">
        <f t="shared" si="185"/>
        <v>08 - SECRETARIA DE EDUCAÇÃO</v>
      </c>
      <c r="J1771" t="s">
        <v>20</v>
      </c>
      <c r="K1771" t="str">
        <f t="shared" si="194"/>
        <v>12-EDUCAÇÃO</v>
      </c>
      <c r="L1771" t="str">
        <f t="shared" si="195"/>
        <v>361-ENSINO FUNDAMENTAL</v>
      </c>
      <c r="M1771" t="str">
        <f t="shared" si="196"/>
        <v>0001-Administração e Coordenação Geral​</v>
      </c>
      <c r="N1771" t="str">
        <f t="shared" si="197"/>
        <v>2.001-Remuneração, Benefícios e Encargos</v>
      </c>
      <c r="O1771" t="str">
        <f t="shared" si="199"/>
        <v>3.1.91.13.00</v>
      </c>
      <c r="R1771" s="25">
        <v>66109641.840000004</v>
      </c>
      <c r="S1771" t="s">
        <v>1035</v>
      </c>
    </row>
    <row r="1772" spans="1:19" x14ac:dyDescent="0.25">
      <c r="A1772" t="str">
        <f t="shared" si="187"/>
        <v>08</v>
      </c>
      <c r="B1772" t="str">
        <f t="shared" si="188"/>
        <v>001</v>
      </c>
      <c r="C1772" t="str">
        <f t="shared" si="189"/>
        <v>12</v>
      </c>
      <c r="D1772" t="str">
        <f t="shared" si="190"/>
        <v>361</v>
      </c>
      <c r="E1772" t="str">
        <f t="shared" si="191"/>
        <v>0001</v>
      </c>
      <c r="F1772" t="str">
        <f t="shared" si="192"/>
        <v>2.001</v>
      </c>
      <c r="G1772" t="str">
        <f t="shared" si="193"/>
        <v>3.3.90.46.00</v>
      </c>
      <c r="H1772" t="s">
        <v>1822</v>
      </c>
      <c r="I1772" t="str">
        <f t="shared" si="185"/>
        <v>08 - SECRETARIA DE EDUCAÇÃO</v>
      </c>
      <c r="J1772" t="s">
        <v>20</v>
      </c>
      <c r="K1772" t="str">
        <f t="shared" si="194"/>
        <v>12-EDUCAÇÃO</v>
      </c>
      <c r="L1772" t="str">
        <f t="shared" si="195"/>
        <v>361-ENSINO FUNDAMENTAL</v>
      </c>
      <c r="M1772" t="str">
        <f t="shared" si="196"/>
        <v>0001-Administração e Coordenação Geral​</v>
      </c>
      <c r="N1772" t="str">
        <f t="shared" si="197"/>
        <v>2.001-Remuneração, Benefícios e Encargos</v>
      </c>
      <c r="O1772" t="str">
        <f t="shared" si="199"/>
        <v>3.3.90.46.00</v>
      </c>
      <c r="R1772" s="25">
        <v>34721295.099999994</v>
      </c>
      <c r="S1772" t="s">
        <v>1035</v>
      </c>
    </row>
    <row r="1773" spans="1:19" x14ac:dyDescent="0.25">
      <c r="A1773" t="str">
        <f t="shared" si="187"/>
        <v>08</v>
      </c>
      <c r="B1773" t="str">
        <f t="shared" si="188"/>
        <v>001</v>
      </c>
      <c r="C1773" t="str">
        <f t="shared" si="189"/>
        <v>12</v>
      </c>
      <c r="D1773" t="str">
        <f t="shared" si="190"/>
        <v>361</v>
      </c>
      <c r="E1773" t="str">
        <f t="shared" si="191"/>
        <v>0001</v>
      </c>
      <c r="F1773" t="str">
        <f t="shared" si="192"/>
        <v>2.001</v>
      </c>
      <c r="G1773" t="str">
        <f t="shared" si="193"/>
        <v>3.3.90.49.00</v>
      </c>
      <c r="H1773" t="s">
        <v>1823</v>
      </c>
      <c r="I1773" t="str">
        <f t="shared" si="185"/>
        <v>08 - SECRETARIA DE EDUCAÇÃO</v>
      </c>
      <c r="J1773" t="s">
        <v>20</v>
      </c>
      <c r="K1773" t="str">
        <f t="shared" si="194"/>
        <v>12-EDUCAÇÃO</v>
      </c>
      <c r="L1773" t="str">
        <f t="shared" si="195"/>
        <v>361-ENSINO FUNDAMENTAL</v>
      </c>
      <c r="M1773" t="str">
        <f t="shared" si="196"/>
        <v>0001-Administração e Coordenação Geral​</v>
      </c>
      <c r="N1773" t="str">
        <f t="shared" si="197"/>
        <v>2.001-Remuneração, Benefícios e Encargos</v>
      </c>
      <c r="O1773" t="str">
        <f t="shared" si="199"/>
        <v>3.3.90.49.00</v>
      </c>
      <c r="R1773" s="25">
        <v>6055417.4299999997</v>
      </c>
      <c r="S1773" t="s">
        <v>1035</v>
      </c>
    </row>
    <row r="1774" spans="1:19" x14ac:dyDescent="0.25">
      <c r="A1774" t="str">
        <f t="shared" si="187"/>
        <v>08</v>
      </c>
      <c r="B1774" t="str">
        <f t="shared" si="188"/>
        <v>001</v>
      </c>
      <c r="C1774" t="str">
        <f t="shared" si="189"/>
        <v>12</v>
      </c>
      <c r="D1774" t="str">
        <f t="shared" si="190"/>
        <v>361</v>
      </c>
      <c r="E1774" t="str">
        <f t="shared" si="191"/>
        <v>0016</v>
      </c>
      <c r="F1774" t="str">
        <f t="shared" si="192"/>
        <v>1.002</v>
      </c>
      <c r="G1774" t="str">
        <f t="shared" si="193"/>
        <v>3.3.90.39.00</v>
      </c>
      <c r="H1774" t="s">
        <v>1824</v>
      </c>
      <c r="I1774" t="str">
        <f t="shared" si="185"/>
        <v>08 - SECRETARIA DE EDUCAÇÃO</v>
      </c>
      <c r="J1774" t="s">
        <v>20</v>
      </c>
      <c r="K1774" t="str">
        <f t="shared" si="194"/>
        <v>12-EDUCAÇÃO</v>
      </c>
      <c r="L1774" t="str">
        <f t="shared" si="195"/>
        <v>361-ENSINO FUNDAMENTAL</v>
      </c>
      <c r="M1774" t="str">
        <f t="shared" si="196"/>
        <v>0016-Escola para Todos​</v>
      </c>
      <c r="N1774" t="str">
        <f t="shared" si="197"/>
        <v>1.002-Reforma e Ampliação de Unidades</v>
      </c>
      <c r="O1774" t="str">
        <f t="shared" si="198"/>
        <v>3.3.90.39.00-OUTROS SERVIÇOS DE TERCEIROS - PESSOA JURÍDICA</v>
      </c>
      <c r="R1774" s="25">
        <v>20</v>
      </c>
      <c r="S1774" t="s">
        <v>1035</v>
      </c>
    </row>
    <row r="1775" spans="1:19" x14ac:dyDescent="0.25">
      <c r="A1775" t="str">
        <f t="shared" si="187"/>
        <v>08</v>
      </c>
      <c r="B1775" t="str">
        <f t="shared" si="188"/>
        <v>001</v>
      </c>
      <c r="C1775" t="str">
        <f t="shared" si="189"/>
        <v>12</v>
      </c>
      <c r="D1775" t="str">
        <f t="shared" si="190"/>
        <v>361</v>
      </c>
      <c r="E1775" t="str">
        <f t="shared" si="191"/>
        <v>0016</v>
      </c>
      <c r="F1775" t="str">
        <f t="shared" si="192"/>
        <v>1.003</v>
      </c>
      <c r="G1775" t="str">
        <f t="shared" si="193"/>
        <v>4.4.90.51.00</v>
      </c>
      <c r="H1775" t="s">
        <v>1825</v>
      </c>
      <c r="I1775" t="str">
        <f t="shared" si="185"/>
        <v>08 - SECRETARIA DE EDUCAÇÃO</v>
      </c>
      <c r="J1775" t="s">
        <v>20</v>
      </c>
      <c r="K1775" t="str">
        <f t="shared" si="194"/>
        <v>12-EDUCAÇÃO</v>
      </c>
      <c r="L1775" t="str">
        <f t="shared" si="195"/>
        <v>361-ENSINO FUNDAMENTAL</v>
      </c>
      <c r="M1775" t="str">
        <f t="shared" si="196"/>
        <v>0016-Escola para Todos​</v>
      </c>
      <c r="N1775" t="str">
        <f t="shared" si="197"/>
        <v>1.003-Implantação de Novas Unidades</v>
      </c>
      <c r="O1775" t="str">
        <f t="shared" si="198"/>
        <v>4.4.90.51.00-OBRAS E INSTALAÇÕES</v>
      </c>
      <c r="R1775" s="25">
        <v>1</v>
      </c>
      <c r="S1775" t="s">
        <v>1035</v>
      </c>
    </row>
    <row r="1776" spans="1:19" x14ac:dyDescent="0.25">
      <c r="A1776" t="str">
        <f t="shared" si="187"/>
        <v>08</v>
      </c>
      <c r="B1776" t="str">
        <f t="shared" si="188"/>
        <v>001</v>
      </c>
      <c r="C1776" t="str">
        <f t="shared" si="189"/>
        <v>12</v>
      </c>
      <c r="D1776" t="str">
        <f t="shared" si="190"/>
        <v>361</v>
      </c>
      <c r="E1776" t="str">
        <f t="shared" si="191"/>
        <v>0016</v>
      </c>
      <c r="F1776" t="str">
        <f t="shared" si="192"/>
        <v>1.003</v>
      </c>
      <c r="G1776" t="str">
        <f t="shared" si="193"/>
        <v>4.4.90.52.00</v>
      </c>
      <c r="H1776" t="s">
        <v>1826</v>
      </c>
      <c r="I1776" t="str">
        <f t="shared" si="185"/>
        <v>08 - SECRETARIA DE EDUCAÇÃO</v>
      </c>
      <c r="J1776" t="s">
        <v>20</v>
      </c>
      <c r="K1776" t="str">
        <f t="shared" si="194"/>
        <v>12-EDUCAÇÃO</v>
      </c>
      <c r="L1776" t="str">
        <f t="shared" si="195"/>
        <v>361-ENSINO FUNDAMENTAL</v>
      </c>
      <c r="M1776" t="str">
        <f t="shared" si="196"/>
        <v>0016-Escola para Todos​</v>
      </c>
      <c r="N1776" t="str">
        <f t="shared" si="197"/>
        <v>1.003-Implantação de Novas Unidades</v>
      </c>
      <c r="O1776" t="str">
        <f t="shared" si="198"/>
        <v>4.4.90.52.00-EQUIPAMENTOS E MATERIAL PERMANENTE</v>
      </c>
      <c r="R1776" s="25">
        <v>2</v>
      </c>
      <c r="S1776" t="s">
        <v>1035</v>
      </c>
    </row>
    <row r="1777" spans="1:19" x14ac:dyDescent="0.25">
      <c r="A1777" t="str">
        <f t="shared" si="187"/>
        <v>08</v>
      </c>
      <c r="B1777" t="str">
        <f t="shared" si="188"/>
        <v>001</v>
      </c>
      <c r="C1777" t="str">
        <f t="shared" si="189"/>
        <v>12</v>
      </c>
      <c r="D1777" t="str">
        <f t="shared" si="190"/>
        <v>365</v>
      </c>
      <c r="E1777" t="str">
        <f t="shared" si="191"/>
        <v>0001</v>
      </c>
      <c r="F1777" t="str">
        <f t="shared" si="192"/>
        <v>2.001</v>
      </c>
      <c r="G1777" t="str">
        <f t="shared" si="193"/>
        <v>3.1.90.11.00</v>
      </c>
      <c r="H1777" t="s">
        <v>1827</v>
      </c>
      <c r="I1777" t="str">
        <f t="shared" si="185"/>
        <v>08 - SECRETARIA DE EDUCAÇÃO</v>
      </c>
      <c r="J1777" t="s">
        <v>20</v>
      </c>
      <c r="K1777" t="str">
        <f t="shared" si="194"/>
        <v>12-EDUCAÇÃO</v>
      </c>
      <c r="L1777" t="str">
        <f t="shared" si="195"/>
        <v>365-EDUCAÇÃO INFANTIL</v>
      </c>
      <c r="M1777" t="str">
        <f t="shared" si="196"/>
        <v>0001-Administração e Coordenação Geral​</v>
      </c>
      <c r="N1777" t="str">
        <f t="shared" si="197"/>
        <v>2.001-Remuneração, Benefícios e Encargos</v>
      </c>
      <c r="O1777" t="str">
        <f>G1777</f>
        <v>3.1.90.11.00</v>
      </c>
      <c r="R1777" s="25">
        <v>542545488.96000004</v>
      </c>
      <c r="S1777" t="s">
        <v>1035</v>
      </c>
    </row>
    <row r="1778" spans="1:19" x14ac:dyDescent="0.25">
      <c r="A1778" t="str">
        <f t="shared" si="187"/>
        <v>08</v>
      </c>
      <c r="B1778" t="str">
        <f t="shared" si="188"/>
        <v>001</v>
      </c>
      <c r="C1778" t="str">
        <f t="shared" si="189"/>
        <v>12</v>
      </c>
      <c r="D1778" t="str">
        <f t="shared" si="190"/>
        <v>365</v>
      </c>
      <c r="E1778" t="str">
        <f t="shared" si="191"/>
        <v>0001</v>
      </c>
      <c r="F1778" t="str">
        <f t="shared" si="192"/>
        <v>2.001</v>
      </c>
      <c r="G1778" t="str">
        <f t="shared" si="193"/>
        <v>3.1.90.13.00</v>
      </c>
      <c r="H1778" t="s">
        <v>1828</v>
      </c>
      <c r="I1778" t="str">
        <f t="shared" si="185"/>
        <v>08 - SECRETARIA DE EDUCAÇÃO</v>
      </c>
      <c r="J1778" t="s">
        <v>20</v>
      </c>
      <c r="K1778" t="str">
        <f t="shared" si="194"/>
        <v>12-EDUCAÇÃO</v>
      </c>
      <c r="L1778" t="str">
        <f t="shared" si="195"/>
        <v>365-EDUCAÇÃO INFANTIL</v>
      </c>
      <c r="M1778" t="str">
        <f t="shared" si="196"/>
        <v>0001-Administração e Coordenação Geral​</v>
      </c>
      <c r="N1778" t="str">
        <f t="shared" si="197"/>
        <v>2.001-Remuneração, Benefícios e Encargos</v>
      </c>
      <c r="O1778" t="str">
        <f>G1778</f>
        <v>3.1.90.13.00</v>
      </c>
      <c r="R1778" s="25">
        <v>107421.77</v>
      </c>
      <c r="S1778" t="s">
        <v>1035</v>
      </c>
    </row>
    <row r="1779" spans="1:19" x14ac:dyDescent="0.25">
      <c r="A1779" t="str">
        <f t="shared" si="187"/>
        <v>08</v>
      </c>
      <c r="B1779" t="str">
        <f t="shared" si="188"/>
        <v>001</v>
      </c>
      <c r="C1779" t="str">
        <f t="shared" si="189"/>
        <v>12</v>
      </c>
      <c r="D1779" t="str">
        <f t="shared" si="190"/>
        <v>365</v>
      </c>
      <c r="E1779" t="str">
        <f t="shared" si="191"/>
        <v>0001</v>
      </c>
      <c r="F1779" t="str">
        <f t="shared" si="192"/>
        <v>2.001</v>
      </c>
      <c r="G1779" t="str">
        <f t="shared" si="193"/>
        <v>3.1.91.13.00</v>
      </c>
      <c r="H1779" t="s">
        <v>1829</v>
      </c>
      <c r="I1779" t="str">
        <f t="shared" si="185"/>
        <v>08 - SECRETARIA DE EDUCAÇÃO</v>
      </c>
      <c r="J1779" t="s">
        <v>20</v>
      </c>
      <c r="K1779" t="str">
        <f t="shared" si="194"/>
        <v>12-EDUCAÇÃO</v>
      </c>
      <c r="L1779" t="str">
        <f t="shared" si="195"/>
        <v>365-EDUCAÇÃO INFANTIL</v>
      </c>
      <c r="M1779" t="str">
        <f t="shared" si="196"/>
        <v>0001-Administração e Coordenação Geral​</v>
      </c>
      <c r="N1779" t="str">
        <f t="shared" si="197"/>
        <v>2.001-Remuneração, Benefícios e Encargos</v>
      </c>
      <c r="O1779" t="str">
        <f>G1779</f>
        <v>3.1.91.13.00</v>
      </c>
      <c r="R1779" s="25">
        <v>91966996.149999991</v>
      </c>
      <c r="S1779" t="s">
        <v>1035</v>
      </c>
    </row>
    <row r="1780" spans="1:19" x14ac:dyDescent="0.25">
      <c r="A1780" t="str">
        <f t="shared" si="187"/>
        <v>08</v>
      </c>
      <c r="B1780" t="str">
        <f t="shared" si="188"/>
        <v>001</v>
      </c>
      <c r="C1780" t="str">
        <f t="shared" si="189"/>
        <v>12</v>
      </c>
      <c r="D1780" t="str">
        <f t="shared" si="190"/>
        <v>365</v>
      </c>
      <c r="E1780" t="str">
        <f t="shared" si="191"/>
        <v>0001</v>
      </c>
      <c r="F1780" t="str">
        <f t="shared" si="192"/>
        <v>2.001</v>
      </c>
      <c r="G1780" t="str">
        <f t="shared" si="193"/>
        <v>3.3.90.46.00</v>
      </c>
      <c r="H1780" t="s">
        <v>1830</v>
      </c>
      <c r="I1780" t="str">
        <f t="shared" si="185"/>
        <v>08 - SECRETARIA DE EDUCAÇÃO</v>
      </c>
      <c r="J1780" t="s">
        <v>20</v>
      </c>
      <c r="K1780" t="str">
        <f t="shared" si="194"/>
        <v>12-EDUCAÇÃO</v>
      </c>
      <c r="L1780" t="str">
        <f t="shared" si="195"/>
        <v>365-EDUCAÇÃO INFANTIL</v>
      </c>
      <c r="M1780" t="str">
        <f t="shared" si="196"/>
        <v>0001-Administração e Coordenação Geral​</v>
      </c>
      <c r="N1780" t="str">
        <f t="shared" si="197"/>
        <v>2.001-Remuneração, Benefícios e Encargos</v>
      </c>
      <c r="O1780" t="str">
        <f>G1780</f>
        <v>3.3.90.46.00</v>
      </c>
      <c r="R1780" s="25">
        <v>54509554.509999998</v>
      </c>
      <c r="S1780" t="s">
        <v>1035</v>
      </c>
    </row>
    <row r="1781" spans="1:19" x14ac:dyDescent="0.25">
      <c r="A1781" t="str">
        <f t="shared" si="187"/>
        <v>08</v>
      </c>
      <c r="B1781" t="str">
        <f t="shared" si="188"/>
        <v>001</v>
      </c>
      <c r="C1781" t="str">
        <f t="shared" si="189"/>
        <v>12</v>
      </c>
      <c r="D1781" t="str">
        <f t="shared" si="190"/>
        <v>365</v>
      </c>
      <c r="E1781" t="str">
        <f t="shared" si="191"/>
        <v>0001</v>
      </c>
      <c r="F1781" t="str">
        <f t="shared" si="192"/>
        <v>2.001</v>
      </c>
      <c r="G1781" t="str">
        <f t="shared" si="193"/>
        <v>3.3.90.49.00</v>
      </c>
      <c r="H1781" t="s">
        <v>1831</v>
      </c>
      <c r="I1781" t="str">
        <f t="shared" si="185"/>
        <v>08 - SECRETARIA DE EDUCAÇÃO</v>
      </c>
      <c r="J1781" t="s">
        <v>20</v>
      </c>
      <c r="K1781" t="str">
        <f t="shared" si="194"/>
        <v>12-EDUCAÇÃO</v>
      </c>
      <c r="L1781" t="str">
        <f t="shared" si="195"/>
        <v>365-EDUCAÇÃO INFANTIL</v>
      </c>
      <c r="M1781" t="str">
        <f t="shared" si="196"/>
        <v>0001-Administração e Coordenação Geral​</v>
      </c>
      <c r="N1781" t="str">
        <f t="shared" si="197"/>
        <v>2.001-Remuneração, Benefícios e Encargos</v>
      </c>
      <c r="O1781" t="str">
        <f>G1781</f>
        <v>3.3.90.49.00</v>
      </c>
      <c r="R1781" s="25">
        <v>9221301.5500000007</v>
      </c>
      <c r="S1781" t="s">
        <v>1035</v>
      </c>
    </row>
    <row r="1782" spans="1:19" x14ac:dyDescent="0.25">
      <c r="A1782" t="str">
        <f t="shared" si="187"/>
        <v>08</v>
      </c>
      <c r="B1782" t="str">
        <f t="shared" si="188"/>
        <v>001</v>
      </c>
      <c r="C1782" t="str">
        <f t="shared" si="189"/>
        <v>12</v>
      </c>
      <c r="D1782" t="str">
        <f t="shared" si="190"/>
        <v>365</v>
      </c>
      <c r="E1782" t="str">
        <f t="shared" si="191"/>
        <v>0016</v>
      </c>
      <c r="F1782" t="str">
        <f t="shared" si="192"/>
        <v>1.002</v>
      </c>
      <c r="G1782" t="str">
        <f t="shared" si="193"/>
        <v>3.3.90.39.00</v>
      </c>
      <c r="H1782" t="s">
        <v>1832</v>
      </c>
      <c r="I1782" t="str">
        <f t="shared" si="185"/>
        <v>08 - SECRETARIA DE EDUCAÇÃO</v>
      </c>
      <c r="J1782" t="s">
        <v>20</v>
      </c>
      <c r="K1782" t="str">
        <f t="shared" si="194"/>
        <v>12-EDUCAÇÃO</v>
      </c>
      <c r="L1782" t="str">
        <f t="shared" si="195"/>
        <v>365-EDUCAÇÃO INFANTIL</v>
      </c>
      <c r="M1782" t="str">
        <f t="shared" si="196"/>
        <v>0016-Escola para Todos​</v>
      </c>
      <c r="N1782" t="str">
        <f t="shared" si="197"/>
        <v>1.002-Reforma e Ampliação de Unidades</v>
      </c>
      <c r="O1782" t="str">
        <f t="shared" si="198"/>
        <v>3.3.90.39.00-OUTROS SERVIÇOS DE TERCEIROS - PESSOA JURÍDICA</v>
      </c>
      <c r="R1782" s="25">
        <v>16</v>
      </c>
      <c r="S1782" t="s">
        <v>1035</v>
      </c>
    </row>
    <row r="1783" spans="1:19" x14ac:dyDescent="0.25">
      <c r="A1783" t="str">
        <f t="shared" si="187"/>
        <v>08</v>
      </c>
      <c r="B1783" t="str">
        <f t="shared" si="188"/>
        <v>001</v>
      </c>
      <c r="C1783" t="str">
        <f t="shared" si="189"/>
        <v>12</v>
      </c>
      <c r="D1783" t="str">
        <f t="shared" si="190"/>
        <v>365</v>
      </c>
      <c r="E1783" t="str">
        <f t="shared" si="191"/>
        <v>0016</v>
      </c>
      <c r="F1783" t="str">
        <f t="shared" si="192"/>
        <v>1.003</v>
      </c>
      <c r="G1783" t="str">
        <f t="shared" si="193"/>
        <v>4.4.90.51.00</v>
      </c>
      <c r="H1783" t="s">
        <v>1833</v>
      </c>
      <c r="I1783" t="str">
        <f t="shared" si="185"/>
        <v>08 - SECRETARIA DE EDUCAÇÃO</v>
      </c>
      <c r="J1783" t="s">
        <v>20</v>
      </c>
      <c r="K1783" t="str">
        <f t="shared" si="194"/>
        <v>12-EDUCAÇÃO</v>
      </c>
      <c r="L1783" t="str">
        <f t="shared" si="195"/>
        <v>365-EDUCAÇÃO INFANTIL</v>
      </c>
      <c r="M1783" t="str">
        <f t="shared" si="196"/>
        <v>0016-Escola para Todos​</v>
      </c>
      <c r="N1783" t="str">
        <f t="shared" si="197"/>
        <v>1.003-Implantação de Novas Unidades</v>
      </c>
      <c r="O1783" t="str">
        <f t="shared" si="198"/>
        <v>4.4.90.51.00-OBRAS E INSTALAÇÕES</v>
      </c>
      <c r="R1783" s="25">
        <v>0</v>
      </c>
      <c r="S1783" t="s">
        <v>1035</v>
      </c>
    </row>
    <row r="1784" spans="1:19" x14ac:dyDescent="0.25">
      <c r="A1784" t="str">
        <f t="shared" si="187"/>
        <v>08</v>
      </c>
      <c r="B1784" t="str">
        <f t="shared" si="188"/>
        <v>001</v>
      </c>
      <c r="C1784" t="str">
        <f t="shared" si="189"/>
        <v>12</v>
      </c>
      <c r="D1784" t="str">
        <f t="shared" si="190"/>
        <v>365</v>
      </c>
      <c r="E1784" t="str">
        <f t="shared" si="191"/>
        <v>0016</v>
      </c>
      <c r="F1784" t="str">
        <f t="shared" si="192"/>
        <v>1.003</v>
      </c>
      <c r="G1784" t="str">
        <f t="shared" si="193"/>
        <v>4.4.90.52.00</v>
      </c>
      <c r="H1784" t="s">
        <v>1834</v>
      </c>
      <c r="I1784" t="str">
        <f t="shared" si="185"/>
        <v>08 - SECRETARIA DE EDUCAÇÃO</v>
      </c>
      <c r="J1784" t="s">
        <v>20</v>
      </c>
      <c r="K1784" t="str">
        <f t="shared" si="194"/>
        <v>12-EDUCAÇÃO</v>
      </c>
      <c r="L1784" t="str">
        <f t="shared" si="195"/>
        <v>365-EDUCAÇÃO INFANTIL</v>
      </c>
      <c r="M1784" t="str">
        <f t="shared" si="196"/>
        <v>0016-Escola para Todos​</v>
      </c>
      <c r="N1784" t="str">
        <f t="shared" si="197"/>
        <v>1.003-Implantação de Novas Unidades</v>
      </c>
      <c r="O1784" t="str">
        <f t="shared" si="198"/>
        <v>4.4.90.52.00-EQUIPAMENTOS E MATERIAL PERMANENTE</v>
      </c>
      <c r="R1784" s="25">
        <v>1</v>
      </c>
      <c r="S1784" t="s">
        <v>1035</v>
      </c>
    </row>
    <row r="1785" spans="1:19" x14ac:dyDescent="0.25">
      <c r="A1785" t="str">
        <f t="shared" si="187"/>
        <v>08</v>
      </c>
      <c r="B1785" t="str">
        <f t="shared" si="188"/>
        <v>001</v>
      </c>
      <c r="C1785" t="str">
        <f t="shared" si="189"/>
        <v>12</v>
      </c>
      <c r="D1785" t="str">
        <f t="shared" si="190"/>
        <v>366</v>
      </c>
      <c r="E1785" t="str">
        <f t="shared" si="191"/>
        <v>0001</v>
      </c>
      <c r="F1785" t="str">
        <f t="shared" si="192"/>
        <v>2.001</v>
      </c>
      <c r="G1785" t="str">
        <f t="shared" si="193"/>
        <v>3.1.90.11.00</v>
      </c>
      <c r="H1785" t="s">
        <v>1835</v>
      </c>
      <c r="I1785" t="str">
        <f t="shared" si="185"/>
        <v>08 - SECRETARIA DE EDUCAÇÃO</v>
      </c>
      <c r="J1785" t="s">
        <v>20</v>
      </c>
      <c r="K1785" t="str">
        <f t="shared" si="194"/>
        <v>12-EDUCAÇÃO</v>
      </c>
      <c r="L1785" t="str">
        <f t="shared" si="195"/>
        <v>366-EDUCAÇÃO DE JOVENS E ADULTOS</v>
      </c>
      <c r="M1785" t="str">
        <f t="shared" si="196"/>
        <v>0001-Administração e Coordenação Geral​</v>
      </c>
      <c r="N1785" t="str">
        <f t="shared" si="197"/>
        <v>2.001-Remuneração, Benefícios e Encargos</v>
      </c>
      <c r="O1785" t="str">
        <f t="shared" ref="O1785:O1804" si="200">G1785</f>
        <v>3.1.90.11.00</v>
      </c>
      <c r="R1785" s="25">
        <v>3.22</v>
      </c>
      <c r="S1785" t="s">
        <v>1035</v>
      </c>
    </row>
    <row r="1786" spans="1:19" x14ac:dyDescent="0.25">
      <c r="A1786" t="str">
        <f t="shared" si="187"/>
        <v>08</v>
      </c>
      <c r="B1786" t="str">
        <f t="shared" si="188"/>
        <v>001</v>
      </c>
      <c r="C1786" t="str">
        <f t="shared" si="189"/>
        <v>12</v>
      </c>
      <c r="D1786" t="str">
        <f t="shared" si="190"/>
        <v>366</v>
      </c>
      <c r="E1786" t="str">
        <f t="shared" si="191"/>
        <v>0001</v>
      </c>
      <c r="F1786" t="str">
        <f t="shared" si="192"/>
        <v>2.001</v>
      </c>
      <c r="G1786" t="str">
        <f t="shared" si="193"/>
        <v>3.1.90.13.00</v>
      </c>
      <c r="H1786" t="s">
        <v>1836</v>
      </c>
      <c r="I1786" t="str">
        <f t="shared" si="185"/>
        <v>08 - SECRETARIA DE EDUCAÇÃO</v>
      </c>
      <c r="J1786" t="s">
        <v>20</v>
      </c>
      <c r="K1786" t="str">
        <f t="shared" si="194"/>
        <v>12-EDUCAÇÃO</v>
      </c>
      <c r="L1786" t="str">
        <f t="shared" si="195"/>
        <v>366-EDUCAÇÃO DE JOVENS E ADULTOS</v>
      </c>
      <c r="M1786" t="str">
        <f t="shared" si="196"/>
        <v>0001-Administração e Coordenação Geral​</v>
      </c>
      <c r="N1786" t="str">
        <f t="shared" si="197"/>
        <v>2.001-Remuneração, Benefícios e Encargos</v>
      </c>
      <c r="O1786" t="str">
        <f t="shared" si="200"/>
        <v>3.1.90.13.00</v>
      </c>
      <c r="R1786" s="25">
        <v>3.22</v>
      </c>
      <c r="S1786" t="s">
        <v>1035</v>
      </c>
    </row>
    <row r="1787" spans="1:19" x14ac:dyDescent="0.25">
      <c r="A1787" t="str">
        <f t="shared" si="187"/>
        <v>08</v>
      </c>
      <c r="B1787" t="str">
        <f t="shared" si="188"/>
        <v>001</v>
      </c>
      <c r="C1787" t="str">
        <f t="shared" si="189"/>
        <v>12</v>
      </c>
      <c r="D1787" t="str">
        <f t="shared" si="190"/>
        <v>366</v>
      </c>
      <c r="E1787" t="str">
        <f t="shared" si="191"/>
        <v>0001</v>
      </c>
      <c r="F1787" t="str">
        <f t="shared" si="192"/>
        <v>2.001</v>
      </c>
      <c r="G1787" t="str">
        <f t="shared" si="193"/>
        <v>3.1.91.13.00</v>
      </c>
      <c r="H1787" t="s">
        <v>1837</v>
      </c>
      <c r="I1787" t="str">
        <f t="shared" si="185"/>
        <v>08 - SECRETARIA DE EDUCAÇÃO</v>
      </c>
      <c r="J1787" t="s">
        <v>20</v>
      </c>
      <c r="K1787" t="str">
        <f t="shared" si="194"/>
        <v>12-EDUCAÇÃO</v>
      </c>
      <c r="L1787" t="str">
        <f t="shared" si="195"/>
        <v>366-EDUCAÇÃO DE JOVENS E ADULTOS</v>
      </c>
      <c r="M1787" t="str">
        <f t="shared" si="196"/>
        <v>0001-Administração e Coordenação Geral​</v>
      </c>
      <c r="N1787" t="str">
        <f t="shared" si="197"/>
        <v>2.001-Remuneração, Benefícios e Encargos</v>
      </c>
      <c r="O1787" t="str">
        <f t="shared" si="200"/>
        <v>3.1.91.13.00</v>
      </c>
      <c r="R1787" s="25">
        <v>3.22</v>
      </c>
      <c r="S1787" t="s">
        <v>1035</v>
      </c>
    </row>
    <row r="1788" spans="1:19" x14ac:dyDescent="0.25">
      <c r="A1788" t="str">
        <f t="shared" si="187"/>
        <v>08</v>
      </c>
      <c r="B1788" t="str">
        <f t="shared" si="188"/>
        <v>001</v>
      </c>
      <c r="C1788" t="str">
        <f t="shared" si="189"/>
        <v>12</v>
      </c>
      <c r="D1788" t="str">
        <f t="shared" si="190"/>
        <v>366</v>
      </c>
      <c r="E1788" t="str">
        <f t="shared" si="191"/>
        <v>0001</v>
      </c>
      <c r="F1788" t="str">
        <f t="shared" si="192"/>
        <v>2.001</v>
      </c>
      <c r="G1788" t="str">
        <f t="shared" si="193"/>
        <v>3.3.90.46.00</v>
      </c>
      <c r="H1788" t="s">
        <v>1838</v>
      </c>
      <c r="I1788" t="str">
        <f t="shared" si="185"/>
        <v>08 - SECRETARIA DE EDUCAÇÃO</v>
      </c>
      <c r="J1788" t="s">
        <v>20</v>
      </c>
      <c r="K1788" t="str">
        <f t="shared" si="194"/>
        <v>12-EDUCAÇÃO</v>
      </c>
      <c r="L1788" t="str">
        <f t="shared" si="195"/>
        <v>366-EDUCAÇÃO DE JOVENS E ADULTOS</v>
      </c>
      <c r="M1788" t="str">
        <f t="shared" si="196"/>
        <v>0001-Administração e Coordenação Geral​</v>
      </c>
      <c r="N1788" t="str">
        <f t="shared" si="197"/>
        <v>2.001-Remuneração, Benefícios e Encargos</v>
      </c>
      <c r="O1788" t="str">
        <f t="shared" si="200"/>
        <v>3.3.90.46.00</v>
      </c>
      <c r="R1788" s="25">
        <v>311830.78000000003</v>
      </c>
      <c r="S1788" t="s">
        <v>1035</v>
      </c>
    </row>
    <row r="1789" spans="1:19" x14ac:dyDescent="0.25">
      <c r="A1789" t="str">
        <f t="shared" si="187"/>
        <v>08</v>
      </c>
      <c r="B1789" t="str">
        <f t="shared" si="188"/>
        <v>001</v>
      </c>
      <c r="C1789" t="str">
        <f t="shared" si="189"/>
        <v>12</v>
      </c>
      <c r="D1789" t="str">
        <f t="shared" si="190"/>
        <v>366</v>
      </c>
      <c r="E1789" t="str">
        <f t="shared" si="191"/>
        <v>0001</v>
      </c>
      <c r="F1789" t="str">
        <f t="shared" si="192"/>
        <v>2.001</v>
      </c>
      <c r="G1789" t="str">
        <f t="shared" si="193"/>
        <v>3.3.90.49.00</v>
      </c>
      <c r="H1789" t="s">
        <v>1839</v>
      </c>
      <c r="I1789" t="str">
        <f t="shared" si="185"/>
        <v>08 - SECRETARIA DE EDUCAÇÃO</v>
      </c>
      <c r="J1789" t="s">
        <v>20</v>
      </c>
      <c r="K1789" t="str">
        <f t="shared" si="194"/>
        <v>12-EDUCAÇÃO</v>
      </c>
      <c r="L1789" t="str">
        <f t="shared" si="195"/>
        <v>366-EDUCAÇÃO DE JOVENS E ADULTOS</v>
      </c>
      <c r="M1789" t="str">
        <f t="shared" si="196"/>
        <v>0001-Administração e Coordenação Geral​</v>
      </c>
      <c r="N1789" t="str">
        <f t="shared" si="197"/>
        <v>2.001-Remuneração, Benefícios e Encargos</v>
      </c>
      <c r="O1789" t="str">
        <f t="shared" si="200"/>
        <v>3.3.90.49.00</v>
      </c>
      <c r="R1789" s="25">
        <v>0</v>
      </c>
      <c r="S1789" t="s">
        <v>1035</v>
      </c>
    </row>
    <row r="1790" spans="1:19" x14ac:dyDescent="0.25">
      <c r="A1790" t="str">
        <f t="shared" si="187"/>
        <v>09</v>
      </c>
      <c r="B1790" t="str">
        <f t="shared" si="188"/>
        <v>001</v>
      </c>
      <c r="C1790" t="str">
        <f t="shared" si="189"/>
        <v>04</v>
      </c>
      <c r="D1790" t="str">
        <f t="shared" si="190"/>
        <v>122</v>
      </c>
      <c r="E1790" t="str">
        <f t="shared" si="191"/>
        <v>0001</v>
      </c>
      <c r="F1790" t="str">
        <f t="shared" si="192"/>
        <v>2.001</v>
      </c>
      <c r="G1790" t="str">
        <f t="shared" si="193"/>
        <v>3.1.90.94.00</v>
      </c>
      <c r="H1790" t="s">
        <v>1840</v>
      </c>
      <c r="I1790" t="str">
        <f t="shared" si="185"/>
        <v>09 - SECRETARIA DA SAÚDE</v>
      </c>
      <c r="J1790" t="s">
        <v>20</v>
      </c>
      <c r="K1790" t="str">
        <f t="shared" si="194"/>
        <v>4-ADMINISTRAÇÃO</v>
      </c>
      <c r="L1790" t="str">
        <f t="shared" si="195"/>
        <v>122-ADMINISTRAÇÃO GERAL</v>
      </c>
      <c r="M1790" t="str">
        <f t="shared" si="196"/>
        <v>0001-Administração e Coordenação Geral​</v>
      </c>
      <c r="N1790" t="str">
        <f t="shared" si="197"/>
        <v>2.001-Remuneração, Benefícios e Encargos</v>
      </c>
      <c r="O1790" t="str">
        <f t="shared" si="200"/>
        <v>3.1.90.94.00</v>
      </c>
      <c r="R1790" s="25">
        <v>656345.55171899986</v>
      </c>
      <c r="S1790" t="s">
        <v>1035</v>
      </c>
    </row>
    <row r="1791" spans="1:19" x14ac:dyDescent="0.25">
      <c r="A1791" t="str">
        <f t="shared" si="187"/>
        <v>09</v>
      </c>
      <c r="B1791" t="str">
        <f t="shared" si="188"/>
        <v>001</v>
      </c>
      <c r="C1791" t="str">
        <f t="shared" si="189"/>
        <v>10</v>
      </c>
      <c r="D1791" t="str">
        <f t="shared" si="190"/>
        <v>122</v>
      </c>
      <c r="E1791" t="str">
        <f t="shared" si="191"/>
        <v>0001</v>
      </c>
      <c r="F1791" t="str">
        <f t="shared" si="192"/>
        <v>2.001</v>
      </c>
      <c r="G1791" t="str">
        <f t="shared" si="193"/>
        <v>3.1.90.11.00</v>
      </c>
      <c r="H1791" t="s">
        <v>1841</v>
      </c>
      <c r="I1791" t="str">
        <f t="shared" ref="I1791:I1854" si="201">VLOOKUP(A1791,$A$1:$O$994,9,0)</f>
        <v>09 - SECRETARIA DA SAÚDE</v>
      </c>
      <c r="J1791" t="s">
        <v>20</v>
      </c>
      <c r="K1791" t="str">
        <f t="shared" si="194"/>
        <v>10-SAÚDE</v>
      </c>
      <c r="L1791" t="str">
        <f t="shared" si="195"/>
        <v>122-ADMINISTRAÇÃO GERAL</v>
      </c>
      <c r="M1791" t="str">
        <f t="shared" si="196"/>
        <v>0001-Administração e Coordenação Geral​</v>
      </c>
      <c r="N1791" t="str">
        <f t="shared" si="197"/>
        <v>2.001-Remuneração, Benefícios e Encargos</v>
      </c>
      <c r="O1791" t="str">
        <f t="shared" si="200"/>
        <v>3.1.90.11.00</v>
      </c>
      <c r="R1791" s="25">
        <v>367779473.06415337</v>
      </c>
      <c r="S1791" t="s">
        <v>1035</v>
      </c>
    </row>
    <row r="1792" spans="1:19" x14ac:dyDescent="0.25">
      <c r="A1792" t="str">
        <f t="shared" si="187"/>
        <v>09</v>
      </c>
      <c r="B1792" t="str">
        <f t="shared" si="188"/>
        <v>001</v>
      </c>
      <c r="C1792" t="str">
        <f t="shared" si="189"/>
        <v>10</v>
      </c>
      <c r="D1792" t="str">
        <f t="shared" si="190"/>
        <v>122</v>
      </c>
      <c r="E1792" t="str">
        <f t="shared" si="191"/>
        <v>0001</v>
      </c>
      <c r="F1792" t="str">
        <f t="shared" si="192"/>
        <v>2.001</v>
      </c>
      <c r="G1792" t="str">
        <f t="shared" si="193"/>
        <v>3.1.90.13.00</v>
      </c>
      <c r="H1792" t="s">
        <v>1842</v>
      </c>
      <c r="I1792" t="str">
        <f t="shared" si="201"/>
        <v>09 - SECRETARIA DA SAÚDE</v>
      </c>
      <c r="J1792" t="s">
        <v>20</v>
      </c>
      <c r="K1792" t="str">
        <f t="shared" si="194"/>
        <v>10-SAÚDE</v>
      </c>
      <c r="L1792" t="str">
        <f t="shared" si="195"/>
        <v>122-ADMINISTRAÇÃO GERAL</v>
      </c>
      <c r="M1792" t="str">
        <f t="shared" si="196"/>
        <v>0001-Administração e Coordenação Geral​</v>
      </c>
      <c r="N1792" t="str">
        <f t="shared" si="197"/>
        <v>2.001-Remuneração, Benefícios e Encargos</v>
      </c>
      <c r="O1792" t="str">
        <f t="shared" si="200"/>
        <v>3.1.90.13.00</v>
      </c>
      <c r="R1792" s="25">
        <v>6249877.5300000003</v>
      </c>
      <c r="S1792" t="s">
        <v>1035</v>
      </c>
    </row>
    <row r="1793" spans="1:19" x14ac:dyDescent="0.25">
      <c r="A1793" t="str">
        <f t="shared" si="187"/>
        <v>09</v>
      </c>
      <c r="B1793" t="str">
        <f t="shared" si="188"/>
        <v>001</v>
      </c>
      <c r="C1793" t="str">
        <f t="shared" si="189"/>
        <v>10</v>
      </c>
      <c r="D1793" t="str">
        <f t="shared" si="190"/>
        <v>122</v>
      </c>
      <c r="E1793" t="str">
        <f t="shared" si="191"/>
        <v>0001</v>
      </c>
      <c r="F1793" t="str">
        <f t="shared" si="192"/>
        <v>2.001</v>
      </c>
      <c r="G1793" t="str">
        <f t="shared" si="193"/>
        <v>3.1.91.13.00</v>
      </c>
      <c r="H1793" t="s">
        <v>1843</v>
      </c>
      <c r="I1793" t="str">
        <f t="shared" si="201"/>
        <v>09 - SECRETARIA DA SAÚDE</v>
      </c>
      <c r="J1793" t="s">
        <v>20</v>
      </c>
      <c r="K1793" t="str">
        <f t="shared" si="194"/>
        <v>10-SAÚDE</v>
      </c>
      <c r="L1793" t="str">
        <f t="shared" si="195"/>
        <v>122-ADMINISTRAÇÃO GERAL</v>
      </c>
      <c r="M1793" t="str">
        <f t="shared" si="196"/>
        <v>0001-Administração e Coordenação Geral​</v>
      </c>
      <c r="N1793" t="str">
        <f t="shared" si="197"/>
        <v>2.001-Remuneração, Benefícios e Encargos</v>
      </c>
      <c r="O1793" t="str">
        <f t="shared" si="200"/>
        <v>3.1.91.13.00</v>
      </c>
      <c r="R1793" s="25">
        <v>58903253.309999995</v>
      </c>
      <c r="S1793" t="s">
        <v>1035</v>
      </c>
    </row>
    <row r="1794" spans="1:19" x14ac:dyDescent="0.25">
      <c r="A1794" t="str">
        <f t="shared" si="187"/>
        <v>09</v>
      </c>
      <c r="B1794" t="str">
        <f t="shared" si="188"/>
        <v>001</v>
      </c>
      <c r="C1794" t="str">
        <f t="shared" si="189"/>
        <v>10</v>
      </c>
      <c r="D1794" t="str">
        <f t="shared" si="190"/>
        <v>122</v>
      </c>
      <c r="E1794" t="str">
        <f t="shared" si="191"/>
        <v>0001</v>
      </c>
      <c r="F1794" t="str">
        <f t="shared" si="192"/>
        <v>2.001</v>
      </c>
      <c r="G1794" t="str">
        <f t="shared" si="193"/>
        <v>3.3.90.46.00</v>
      </c>
      <c r="H1794" t="s">
        <v>1844</v>
      </c>
      <c r="I1794" t="str">
        <f t="shared" si="201"/>
        <v>09 - SECRETARIA DA SAÚDE</v>
      </c>
      <c r="J1794" t="s">
        <v>20</v>
      </c>
      <c r="K1794" t="str">
        <f t="shared" si="194"/>
        <v>10-SAÚDE</v>
      </c>
      <c r="L1794" t="str">
        <f t="shared" si="195"/>
        <v>122-ADMINISTRAÇÃO GERAL</v>
      </c>
      <c r="M1794" t="str">
        <f t="shared" si="196"/>
        <v>0001-Administração e Coordenação Geral​</v>
      </c>
      <c r="N1794" t="str">
        <f t="shared" si="197"/>
        <v>2.001-Remuneração, Benefícios e Encargos</v>
      </c>
      <c r="O1794" t="str">
        <f t="shared" si="200"/>
        <v>3.3.90.46.00</v>
      </c>
      <c r="R1794" s="25">
        <v>47814345.989999995</v>
      </c>
      <c r="S1794" t="s">
        <v>1035</v>
      </c>
    </row>
    <row r="1795" spans="1:19" x14ac:dyDescent="0.25">
      <c r="A1795" t="str">
        <f t="shared" si="187"/>
        <v>09</v>
      </c>
      <c r="B1795" t="str">
        <f t="shared" si="188"/>
        <v>001</v>
      </c>
      <c r="C1795" t="str">
        <f t="shared" si="189"/>
        <v>10</v>
      </c>
      <c r="D1795" t="str">
        <f t="shared" si="190"/>
        <v>122</v>
      </c>
      <c r="E1795" t="str">
        <f t="shared" si="191"/>
        <v>0001</v>
      </c>
      <c r="F1795" t="str">
        <f t="shared" si="192"/>
        <v>2.001</v>
      </c>
      <c r="G1795" t="str">
        <f t="shared" si="193"/>
        <v>3.3.90.49.00</v>
      </c>
      <c r="H1795" t="s">
        <v>1845</v>
      </c>
      <c r="I1795" t="str">
        <f t="shared" si="201"/>
        <v>09 - SECRETARIA DA SAÚDE</v>
      </c>
      <c r="J1795" t="s">
        <v>20</v>
      </c>
      <c r="K1795" t="str">
        <f t="shared" si="194"/>
        <v>10-SAÚDE</v>
      </c>
      <c r="L1795" t="str">
        <f t="shared" si="195"/>
        <v>122-ADMINISTRAÇÃO GERAL</v>
      </c>
      <c r="M1795" t="str">
        <f t="shared" si="196"/>
        <v>0001-Administração e Coordenação Geral​</v>
      </c>
      <c r="N1795" t="str">
        <f t="shared" si="197"/>
        <v>2.001-Remuneração, Benefícios e Encargos</v>
      </c>
      <c r="O1795" t="str">
        <f t="shared" si="200"/>
        <v>3.3.90.49.00</v>
      </c>
      <c r="R1795" s="25">
        <v>5874729.4800000004</v>
      </c>
      <c r="S1795" t="s">
        <v>1035</v>
      </c>
    </row>
    <row r="1796" spans="1:19" x14ac:dyDescent="0.25">
      <c r="A1796" t="str">
        <f t="shared" si="187"/>
        <v>09</v>
      </c>
      <c r="B1796" t="str">
        <f t="shared" si="188"/>
        <v>001</v>
      </c>
      <c r="C1796" t="str">
        <f t="shared" si="189"/>
        <v>10</v>
      </c>
      <c r="D1796" t="str">
        <f t="shared" si="190"/>
        <v>304</v>
      </c>
      <c r="E1796" t="str">
        <f t="shared" si="191"/>
        <v>0001</v>
      </c>
      <c r="F1796" t="str">
        <f t="shared" si="192"/>
        <v>2.001</v>
      </c>
      <c r="G1796" t="str">
        <f t="shared" si="193"/>
        <v>3.1.90.11.00</v>
      </c>
      <c r="H1796" t="s">
        <v>1846</v>
      </c>
      <c r="I1796" t="str">
        <f t="shared" si="201"/>
        <v>09 - SECRETARIA DA SAÚDE</v>
      </c>
      <c r="J1796" t="s">
        <v>20</v>
      </c>
      <c r="K1796" t="str">
        <f t="shared" si="194"/>
        <v>10-SAÚDE</v>
      </c>
      <c r="L1796" t="str">
        <f t="shared" ref="L1796:L1804" si="202">D1796</f>
        <v>304</v>
      </c>
      <c r="M1796" t="str">
        <f t="shared" si="196"/>
        <v>0001-Administração e Coordenação Geral​</v>
      </c>
      <c r="N1796" t="str">
        <f t="shared" si="197"/>
        <v>2.001-Remuneração, Benefícios e Encargos</v>
      </c>
      <c r="O1796" t="str">
        <f t="shared" si="200"/>
        <v>3.1.90.11.00</v>
      </c>
      <c r="R1796" s="25">
        <v>0</v>
      </c>
      <c r="S1796" t="s">
        <v>1035</v>
      </c>
    </row>
    <row r="1797" spans="1:19" x14ac:dyDescent="0.25">
      <c r="A1797" t="str">
        <f t="shared" si="187"/>
        <v>09</v>
      </c>
      <c r="B1797" t="str">
        <f t="shared" si="188"/>
        <v>001</v>
      </c>
      <c r="C1797" t="str">
        <f t="shared" si="189"/>
        <v>10</v>
      </c>
      <c r="D1797" t="str">
        <f t="shared" si="190"/>
        <v>304</v>
      </c>
      <c r="E1797" t="str">
        <f t="shared" si="191"/>
        <v>0001</v>
      </c>
      <c r="F1797" t="str">
        <f t="shared" si="192"/>
        <v>2.001</v>
      </c>
      <c r="G1797" t="str">
        <f t="shared" si="193"/>
        <v>3.1.90.13.00</v>
      </c>
      <c r="H1797" t="s">
        <v>1847</v>
      </c>
      <c r="I1797" t="str">
        <f t="shared" si="201"/>
        <v>09 - SECRETARIA DA SAÚDE</v>
      </c>
      <c r="J1797" t="s">
        <v>20</v>
      </c>
      <c r="K1797" t="str">
        <f t="shared" si="194"/>
        <v>10-SAÚDE</v>
      </c>
      <c r="L1797" t="str">
        <f t="shared" si="202"/>
        <v>304</v>
      </c>
      <c r="M1797" t="str">
        <f t="shared" si="196"/>
        <v>0001-Administração e Coordenação Geral​</v>
      </c>
      <c r="N1797" t="str">
        <f t="shared" si="197"/>
        <v>2.001-Remuneração, Benefícios e Encargos</v>
      </c>
      <c r="O1797" t="str">
        <f t="shared" si="200"/>
        <v>3.1.90.13.00</v>
      </c>
      <c r="R1797" s="25">
        <v>0</v>
      </c>
      <c r="S1797" t="s">
        <v>1035</v>
      </c>
    </row>
    <row r="1798" spans="1:19" x14ac:dyDescent="0.25">
      <c r="A1798" t="str">
        <f t="shared" si="187"/>
        <v>09</v>
      </c>
      <c r="B1798" t="str">
        <f t="shared" si="188"/>
        <v>001</v>
      </c>
      <c r="C1798" t="str">
        <f t="shared" si="189"/>
        <v>10</v>
      </c>
      <c r="D1798" t="str">
        <f t="shared" si="190"/>
        <v>304</v>
      </c>
      <c r="E1798" t="str">
        <f t="shared" si="191"/>
        <v>0001</v>
      </c>
      <c r="F1798" t="str">
        <f t="shared" si="192"/>
        <v>2.001</v>
      </c>
      <c r="G1798" t="str">
        <f t="shared" si="193"/>
        <v>3.1.91.13.00</v>
      </c>
      <c r="H1798" t="s">
        <v>1848</v>
      </c>
      <c r="I1798" t="str">
        <f t="shared" si="201"/>
        <v>09 - SECRETARIA DA SAÚDE</v>
      </c>
      <c r="J1798" t="s">
        <v>20</v>
      </c>
      <c r="K1798" t="str">
        <f t="shared" si="194"/>
        <v>10-SAÚDE</v>
      </c>
      <c r="L1798" t="str">
        <f t="shared" si="202"/>
        <v>304</v>
      </c>
      <c r="M1798" t="str">
        <f t="shared" si="196"/>
        <v>0001-Administração e Coordenação Geral​</v>
      </c>
      <c r="N1798" t="str">
        <f t="shared" si="197"/>
        <v>2.001-Remuneração, Benefícios e Encargos</v>
      </c>
      <c r="O1798" t="str">
        <f t="shared" si="200"/>
        <v>3.1.91.13.00</v>
      </c>
      <c r="R1798" s="25">
        <v>0</v>
      </c>
      <c r="S1798" t="s">
        <v>1035</v>
      </c>
    </row>
    <row r="1799" spans="1:19" x14ac:dyDescent="0.25">
      <c r="A1799" t="str">
        <f t="shared" si="187"/>
        <v>09</v>
      </c>
      <c r="B1799" t="str">
        <f t="shared" si="188"/>
        <v>001</v>
      </c>
      <c r="C1799" t="str">
        <f t="shared" si="189"/>
        <v>10</v>
      </c>
      <c r="D1799" t="str">
        <f t="shared" si="190"/>
        <v>304</v>
      </c>
      <c r="E1799" t="str">
        <f t="shared" si="191"/>
        <v>0001</v>
      </c>
      <c r="F1799" t="str">
        <f t="shared" si="192"/>
        <v>2.001</v>
      </c>
      <c r="G1799" t="str">
        <f t="shared" si="193"/>
        <v>3.3.90.49.00</v>
      </c>
      <c r="H1799" t="s">
        <v>1849</v>
      </c>
      <c r="I1799" t="str">
        <f t="shared" si="201"/>
        <v>09 - SECRETARIA DA SAÚDE</v>
      </c>
      <c r="J1799" t="s">
        <v>20</v>
      </c>
      <c r="K1799" t="str">
        <f t="shared" si="194"/>
        <v>10-SAÚDE</v>
      </c>
      <c r="L1799" t="str">
        <f t="shared" si="202"/>
        <v>304</v>
      </c>
      <c r="M1799" t="str">
        <f t="shared" si="196"/>
        <v>0001-Administração e Coordenação Geral​</v>
      </c>
      <c r="N1799" t="str">
        <f t="shared" si="197"/>
        <v>2.001-Remuneração, Benefícios e Encargos</v>
      </c>
      <c r="O1799" t="str">
        <f t="shared" si="200"/>
        <v>3.3.90.49.00</v>
      </c>
      <c r="R1799" s="25">
        <v>0</v>
      </c>
      <c r="S1799" t="s">
        <v>1035</v>
      </c>
    </row>
    <row r="1800" spans="1:19" x14ac:dyDescent="0.25">
      <c r="A1800" t="str">
        <f t="shared" si="187"/>
        <v>09</v>
      </c>
      <c r="B1800" t="str">
        <f t="shared" si="188"/>
        <v>001</v>
      </c>
      <c r="C1800" t="str">
        <f t="shared" si="189"/>
        <v>10</v>
      </c>
      <c r="D1800" t="str">
        <f t="shared" si="190"/>
        <v>305</v>
      </c>
      <c r="E1800" t="str">
        <f t="shared" si="191"/>
        <v>0001</v>
      </c>
      <c r="F1800" t="str">
        <f t="shared" si="192"/>
        <v>2.001</v>
      </c>
      <c r="G1800" t="str">
        <f t="shared" si="193"/>
        <v>3.1.90.11.00</v>
      </c>
      <c r="H1800" t="s">
        <v>1850</v>
      </c>
      <c r="I1800" t="str">
        <f t="shared" si="201"/>
        <v>09 - SECRETARIA DA SAÚDE</v>
      </c>
      <c r="J1800" t="s">
        <v>20</v>
      </c>
      <c r="K1800" t="str">
        <f t="shared" si="194"/>
        <v>10-SAÚDE</v>
      </c>
      <c r="L1800" t="str">
        <f t="shared" si="202"/>
        <v>305</v>
      </c>
      <c r="M1800" t="str">
        <f t="shared" si="196"/>
        <v>0001-Administração e Coordenação Geral​</v>
      </c>
      <c r="N1800" t="str">
        <f t="shared" si="197"/>
        <v>2.001-Remuneração, Benefícios e Encargos</v>
      </c>
      <c r="O1800" t="str">
        <f t="shared" si="200"/>
        <v>3.1.90.11.00</v>
      </c>
      <c r="R1800" s="25">
        <v>0</v>
      </c>
      <c r="S1800" t="s">
        <v>1035</v>
      </c>
    </row>
    <row r="1801" spans="1:19" x14ac:dyDescent="0.25">
      <c r="A1801" t="str">
        <f t="shared" si="187"/>
        <v>09</v>
      </c>
      <c r="B1801" t="str">
        <f t="shared" si="188"/>
        <v>001</v>
      </c>
      <c r="C1801" t="str">
        <f t="shared" si="189"/>
        <v>10</v>
      </c>
      <c r="D1801" t="str">
        <f t="shared" si="190"/>
        <v>305</v>
      </c>
      <c r="E1801" t="str">
        <f t="shared" si="191"/>
        <v>0001</v>
      </c>
      <c r="F1801" t="str">
        <f t="shared" si="192"/>
        <v>2.001</v>
      </c>
      <c r="G1801" t="str">
        <f t="shared" si="193"/>
        <v>3.1.90.13.00</v>
      </c>
      <c r="H1801" t="s">
        <v>1851</v>
      </c>
      <c r="I1801" t="str">
        <f t="shared" si="201"/>
        <v>09 - SECRETARIA DA SAÚDE</v>
      </c>
      <c r="J1801" t="s">
        <v>20</v>
      </c>
      <c r="K1801" t="str">
        <f t="shared" si="194"/>
        <v>10-SAÚDE</v>
      </c>
      <c r="L1801" t="str">
        <f t="shared" si="202"/>
        <v>305</v>
      </c>
      <c r="M1801" t="str">
        <f t="shared" si="196"/>
        <v>0001-Administração e Coordenação Geral​</v>
      </c>
      <c r="N1801" t="str">
        <f t="shared" si="197"/>
        <v>2.001-Remuneração, Benefícios e Encargos</v>
      </c>
      <c r="O1801" t="str">
        <f t="shared" si="200"/>
        <v>3.1.90.13.00</v>
      </c>
      <c r="R1801" s="25">
        <v>0</v>
      </c>
      <c r="S1801" t="s">
        <v>1035</v>
      </c>
    </row>
    <row r="1802" spans="1:19" x14ac:dyDescent="0.25">
      <c r="A1802" t="str">
        <f t="shared" si="187"/>
        <v>09</v>
      </c>
      <c r="B1802" t="str">
        <f t="shared" si="188"/>
        <v>001</v>
      </c>
      <c r="C1802" t="str">
        <f t="shared" si="189"/>
        <v>10</v>
      </c>
      <c r="D1802" t="str">
        <f t="shared" si="190"/>
        <v>305</v>
      </c>
      <c r="E1802" t="str">
        <f t="shared" si="191"/>
        <v>0001</v>
      </c>
      <c r="F1802" t="str">
        <f t="shared" si="192"/>
        <v>2.001</v>
      </c>
      <c r="G1802" t="str">
        <f t="shared" si="193"/>
        <v>3.1.91.13.00</v>
      </c>
      <c r="H1802" t="s">
        <v>1852</v>
      </c>
      <c r="I1802" t="str">
        <f t="shared" si="201"/>
        <v>09 - SECRETARIA DA SAÚDE</v>
      </c>
      <c r="J1802" t="s">
        <v>20</v>
      </c>
      <c r="K1802" t="str">
        <f t="shared" si="194"/>
        <v>10-SAÚDE</v>
      </c>
      <c r="L1802" t="str">
        <f t="shared" si="202"/>
        <v>305</v>
      </c>
      <c r="M1802" t="str">
        <f t="shared" si="196"/>
        <v>0001-Administração e Coordenação Geral​</v>
      </c>
      <c r="N1802" t="str">
        <f t="shared" si="197"/>
        <v>2.001-Remuneração, Benefícios e Encargos</v>
      </c>
      <c r="O1802" t="str">
        <f t="shared" si="200"/>
        <v>3.1.91.13.00</v>
      </c>
      <c r="R1802" s="25">
        <v>0</v>
      </c>
      <c r="S1802" t="s">
        <v>1035</v>
      </c>
    </row>
    <row r="1803" spans="1:19" x14ac:dyDescent="0.25">
      <c r="A1803" t="str">
        <f t="shared" si="187"/>
        <v>09</v>
      </c>
      <c r="B1803" t="str">
        <f t="shared" si="188"/>
        <v>001</v>
      </c>
      <c r="C1803" t="str">
        <f t="shared" si="189"/>
        <v>10</v>
      </c>
      <c r="D1803" t="str">
        <f t="shared" si="190"/>
        <v>305</v>
      </c>
      <c r="E1803" t="str">
        <f t="shared" si="191"/>
        <v>0001</v>
      </c>
      <c r="F1803" t="str">
        <f t="shared" si="192"/>
        <v>2.001</v>
      </c>
      <c r="G1803" t="str">
        <f t="shared" si="193"/>
        <v>3.3.90.46.00</v>
      </c>
      <c r="H1803" t="s">
        <v>1853</v>
      </c>
      <c r="I1803" t="str">
        <f t="shared" si="201"/>
        <v>09 - SECRETARIA DA SAÚDE</v>
      </c>
      <c r="J1803" t="s">
        <v>20</v>
      </c>
      <c r="K1803" t="str">
        <f t="shared" si="194"/>
        <v>10-SAÚDE</v>
      </c>
      <c r="L1803" t="str">
        <f t="shared" si="202"/>
        <v>305</v>
      </c>
      <c r="M1803" t="str">
        <f t="shared" si="196"/>
        <v>0001-Administração e Coordenação Geral​</v>
      </c>
      <c r="N1803" t="str">
        <f t="shared" si="197"/>
        <v>2.001-Remuneração, Benefícios e Encargos</v>
      </c>
      <c r="O1803" t="str">
        <f t="shared" si="200"/>
        <v>3.3.90.46.00</v>
      </c>
      <c r="R1803" s="25">
        <v>0</v>
      </c>
      <c r="S1803" t="s">
        <v>1035</v>
      </c>
    </row>
    <row r="1804" spans="1:19" x14ac:dyDescent="0.25">
      <c r="A1804" t="str">
        <f t="shared" si="187"/>
        <v>09</v>
      </c>
      <c r="B1804" t="str">
        <f t="shared" si="188"/>
        <v>001</v>
      </c>
      <c r="C1804" t="str">
        <f t="shared" si="189"/>
        <v>10</v>
      </c>
      <c r="D1804" t="str">
        <f t="shared" si="190"/>
        <v>305</v>
      </c>
      <c r="E1804" t="str">
        <f t="shared" si="191"/>
        <v>0001</v>
      </c>
      <c r="F1804" t="str">
        <f t="shared" si="192"/>
        <v>2.001</v>
      </c>
      <c r="G1804" t="str">
        <f t="shared" si="193"/>
        <v>3.3.90.49.00</v>
      </c>
      <c r="H1804" t="s">
        <v>1854</v>
      </c>
      <c r="I1804" t="str">
        <f t="shared" si="201"/>
        <v>09 - SECRETARIA DA SAÚDE</v>
      </c>
      <c r="J1804" t="s">
        <v>20</v>
      </c>
      <c r="K1804" t="str">
        <f t="shared" si="194"/>
        <v>10-SAÚDE</v>
      </c>
      <c r="L1804" t="str">
        <f t="shared" si="202"/>
        <v>305</v>
      </c>
      <c r="M1804" t="str">
        <f t="shared" si="196"/>
        <v>0001-Administração e Coordenação Geral​</v>
      </c>
      <c r="N1804" t="str">
        <f t="shared" si="197"/>
        <v>2.001-Remuneração, Benefícios e Encargos</v>
      </c>
      <c r="O1804" t="str">
        <f t="shared" si="200"/>
        <v>3.3.90.49.00</v>
      </c>
      <c r="R1804" s="25">
        <v>0</v>
      </c>
      <c r="S1804" t="s">
        <v>1035</v>
      </c>
    </row>
    <row r="1805" spans="1:19" x14ac:dyDescent="0.25">
      <c r="A1805" t="str">
        <f t="shared" si="187"/>
        <v>09</v>
      </c>
      <c r="B1805" t="str">
        <f t="shared" si="188"/>
        <v>006</v>
      </c>
      <c r="C1805" t="str">
        <f t="shared" si="189"/>
        <v>10</v>
      </c>
      <c r="D1805" t="str">
        <f t="shared" si="190"/>
        <v>302</v>
      </c>
      <c r="E1805" t="str">
        <f t="shared" si="191"/>
        <v>0015</v>
      </c>
      <c r="F1805" t="str">
        <f t="shared" si="192"/>
        <v>1.002</v>
      </c>
      <c r="G1805" t="str">
        <f t="shared" si="193"/>
        <v>3.3.90.30.00</v>
      </c>
      <c r="H1805" t="s">
        <v>1855</v>
      </c>
      <c r="I1805" t="str">
        <f t="shared" si="201"/>
        <v>09 - SECRETARIA DA SAÚDE</v>
      </c>
      <c r="J1805" t="s">
        <v>348</v>
      </c>
      <c r="K1805" t="str">
        <f t="shared" si="194"/>
        <v>10-SAÚDE</v>
      </c>
      <c r="L1805" t="str">
        <f t="shared" si="195"/>
        <v>302-ASSISTÊNCIA HOSPITALAR E AMBULATORIAL</v>
      </c>
      <c r="M1805" t="str">
        <f t="shared" si="196"/>
        <v>0015-Atenção e Cuidado em Saúde​</v>
      </c>
      <c r="N1805" t="str">
        <f t="shared" si="197"/>
        <v>1.002-Reforma e Ampliação de Unidades</v>
      </c>
      <c r="O1805" t="str">
        <f t="shared" si="198"/>
        <v>3.3.90.30.00-MATERIAL DE CONSUMO</v>
      </c>
      <c r="R1805" s="25">
        <v>2</v>
      </c>
      <c r="S1805" t="s">
        <v>1035</v>
      </c>
    </row>
    <row r="1806" spans="1:19" x14ac:dyDescent="0.25">
      <c r="A1806" t="str">
        <f t="shared" si="187"/>
        <v>09</v>
      </c>
      <c r="B1806" t="str">
        <f t="shared" si="188"/>
        <v>006</v>
      </c>
      <c r="C1806" t="str">
        <f t="shared" si="189"/>
        <v>10</v>
      </c>
      <c r="D1806" t="str">
        <f t="shared" si="190"/>
        <v>302</v>
      </c>
      <c r="E1806" t="str">
        <f t="shared" si="191"/>
        <v>0015</v>
      </c>
      <c r="F1806" t="str">
        <f t="shared" si="192"/>
        <v>1.002</v>
      </c>
      <c r="G1806" t="str">
        <f t="shared" si="193"/>
        <v>3.3.90.39.00</v>
      </c>
      <c r="H1806" t="s">
        <v>1856</v>
      </c>
      <c r="I1806" t="str">
        <f t="shared" si="201"/>
        <v>09 - SECRETARIA DA SAÚDE</v>
      </c>
      <c r="J1806" t="s">
        <v>348</v>
      </c>
      <c r="K1806" t="str">
        <f t="shared" si="194"/>
        <v>10-SAÚDE</v>
      </c>
      <c r="L1806" t="str">
        <f t="shared" si="195"/>
        <v>302-ASSISTÊNCIA HOSPITALAR E AMBULATORIAL</v>
      </c>
      <c r="M1806" t="str">
        <f t="shared" si="196"/>
        <v>0015-Atenção e Cuidado em Saúde​</v>
      </c>
      <c r="N1806" t="str">
        <f t="shared" si="197"/>
        <v>1.002-Reforma e Ampliação de Unidades</v>
      </c>
      <c r="O1806" t="str">
        <f t="shared" si="198"/>
        <v>3.3.90.39.00-OUTROS SERVIÇOS DE TERCEIROS - PESSOA JURÍDICA</v>
      </c>
      <c r="R1806" s="25">
        <v>4</v>
      </c>
      <c r="S1806" t="s">
        <v>1035</v>
      </c>
    </row>
    <row r="1807" spans="1:19" x14ac:dyDescent="0.25">
      <c r="A1807" t="str">
        <f t="shared" si="187"/>
        <v>09</v>
      </c>
      <c r="B1807" t="str">
        <f t="shared" si="188"/>
        <v>006</v>
      </c>
      <c r="C1807" t="str">
        <f t="shared" si="189"/>
        <v>10</v>
      </c>
      <c r="D1807" t="str">
        <f t="shared" si="190"/>
        <v>302</v>
      </c>
      <c r="E1807" t="str">
        <f t="shared" si="191"/>
        <v>0015</v>
      </c>
      <c r="F1807" t="str">
        <f t="shared" si="192"/>
        <v>1.002</v>
      </c>
      <c r="G1807" t="str">
        <f t="shared" si="193"/>
        <v>4.4.90.51.00</v>
      </c>
      <c r="H1807" t="s">
        <v>1857</v>
      </c>
      <c r="I1807" t="str">
        <f t="shared" si="201"/>
        <v>09 - SECRETARIA DA SAÚDE</v>
      </c>
      <c r="J1807" t="s">
        <v>348</v>
      </c>
      <c r="K1807" t="str">
        <f t="shared" si="194"/>
        <v>10-SAÚDE</v>
      </c>
      <c r="L1807" t="str">
        <f t="shared" si="195"/>
        <v>302-ASSISTÊNCIA HOSPITALAR E AMBULATORIAL</v>
      </c>
      <c r="M1807" t="str">
        <f t="shared" si="196"/>
        <v>0015-Atenção e Cuidado em Saúde​</v>
      </c>
      <c r="N1807" t="str">
        <f t="shared" si="197"/>
        <v>1.002-Reforma e Ampliação de Unidades</v>
      </c>
      <c r="O1807" t="str">
        <f t="shared" si="198"/>
        <v>4.4.90.51.00-OBRAS E INSTALAÇÕES</v>
      </c>
      <c r="R1807" s="25">
        <v>2</v>
      </c>
      <c r="S1807" t="s">
        <v>1035</v>
      </c>
    </row>
    <row r="1808" spans="1:19" x14ac:dyDescent="0.25">
      <c r="A1808" t="str">
        <f t="shared" si="187"/>
        <v>09</v>
      </c>
      <c r="B1808" t="str">
        <f t="shared" si="188"/>
        <v>006</v>
      </c>
      <c r="C1808" t="str">
        <f t="shared" si="189"/>
        <v>10</v>
      </c>
      <c r="D1808" t="str">
        <f t="shared" si="190"/>
        <v>302</v>
      </c>
      <c r="E1808" t="str">
        <f t="shared" si="191"/>
        <v>0015</v>
      </c>
      <c r="F1808" t="str">
        <f t="shared" si="192"/>
        <v>1.002</v>
      </c>
      <c r="G1808" t="str">
        <f t="shared" si="193"/>
        <v>4.4.90.52.00</v>
      </c>
      <c r="H1808" t="s">
        <v>1858</v>
      </c>
      <c r="I1808" t="str">
        <f t="shared" si="201"/>
        <v>09 - SECRETARIA DA SAÚDE</v>
      </c>
      <c r="J1808" t="s">
        <v>348</v>
      </c>
      <c r="K1808" t="str">
        <f t="shared" si="194"/>
        <v>10-SAÚDE</v>
      </c>
      <c r="L1808" t="str">
        <f t="shared" si="195"/>
        <v>302-ASSISTÊNCIA HOSPITALAR E AMBULATORIAL</v>
      </c>
      <c r="M1808" t="str">
        <f t="shared" si="196"/>
        <v>0015-Atenção e Cuidado em Saúde​</v>
      </c>
      <c r="N1808" t="str">
        <f t="shared" si="197"/>
        <v>1.002-Reforma e Ampliação de Unidades</v>
      </c>
      <c r="O1808" t="str">
        <f t="shared" si="198"/>
        <v>4.4.90.52.00-EQUIPAMENTOS E MATERIAL PERMANENTE</v>
      </c>
      <c r="R1808" s="25">
        <v>2</v>
      </c>
      <c r="S1808" t="s">
        <v>1035</v>
      </c>
    </row>
    <row r="1809" spans="1:19" x14ac:dyDescent="0.25">
      <c r="A1809" t="str">
        <f t="shared" si="187"/>
        <v>09</v>
      </c>
      <c r="B1809" t="str">
        <f t="shared" si="188"/>
        <v>008</v>
      </c>
      <c r="C1809" t="str">
        <f t="shared" si="189"/>
        <v>10</v>
      </c>
      <c r="D1809" t="str">
        <f t="shared" si="190"/>
        <v>301</v>
      </c>
      <c r="E1809" t="str">
        <f t="shared" si="191"/>
        <v>0015</v>
      </c>
      <c r="F1809" t="str">
        <f t="shared" si="192"/>
        <v>1.002</v>
      </c>
      <c r="G1809" t="str">
        <f t="shared" si="193"/>
        <v>3.3.90.30.00</v>
      </c>
      <c r="H1809" t="s">
        <v>1859</v>
      </c>
      <c r="I1809" t="str">
        <f t="shared" si="201"/>
        <v>09 - SECRETARIA DA SAÚDE</v>
      </c>
      <c r="J1809" t="s">
        <v>355</v>
      </c>
      <c r="K1809" t="str">
        <f t="shared" si="194"/>
        <v>10-SAÚDE</v>
      </c>
      <c r="L1809" t="str">
        <f t="shared" si="195"/>
        <v>301-ATENÇÃO BÁSICA</v>
      </c>
      <c r="M1809" t="str">
        <f t="shared" si="196"/>
        <v>0015-Atenção e Cuidado em Saúde​</v>
      </c>
      <c r="N1809" t="str">
        <f t="shared" si="197"/>
        <v>1.002-Reforma e Ampliação de Unidades</v>
      </c>
      <c r="O1809" t="str">
        <f t="shared" si="198"/>
        <v>3.3.90.30.00-MATERIAL DE CONSUMO</v>
      </c>
      <c r="R1809" s="25">
        <v>2</v>
      </c>
      <c r="S1809" t="s">
        <v>1035</v>
      </c>
    </row>
    <row r="1810" spans="1:19" x14ac:dyDescent="0.25">
      <c r="A1810" t="str">
        <f t="shared" si="187"/>
        <v>09</v>
      </c>
      <c r="B1810" t="str">
        <f t="shared" si="188"/>
        <v>008</v>
      </c>
      <c r="C1810" t="str">
        <f t="shared" si="189"/>
        <v>10</v>
      </c>
      <c r="D1810" t="str">
        <f t="shared" si="190"/>
        <v>301</v>
      </c>
      <c r="E1810" t="str">
        <f t="shared" si="191"/>
        <v>0015</v>
      </c>
      <c r="F1810" t="str">
        <f t="shared" si="192"/>
        <v>1.002</v>
      </c>
      <c r="G1810" t="str">
        <f t="shared" si="193"/>
        <v>3.3.90.39.00</v>
      </c>
      <c r="H1810" t="s">
        <v>1860</v>
      </c>
      <c r="I1810" t="str">
        <f t="shared" si="201"/>
        <v>09 - SECRETARIA DA SAÚDE</v>
      </c>
      <c r="J1810" t="s">
        <v>355</v>
      </c>
      <c r="K1810" t="str">
        <f t="shared" si="194"/>
        <v>10-SAÚDE</v>
      </c>
      <c r="L1810" t="str">
        <f t="shared" si="195"/>
        <v>301-ATENÇÃO BÁSICA</v>
      </c>
      <c r="M1810" t="str">
        <f t="shared" si="196"/>
        <v>0015-Atenção e Cuidado em Saúde​</v>
      </c>
      <c r="N1810" t="str">
        <f t="shared" si="197"/>
        <v>1.002-Reforma e Ampliação de Unidades</v>
      </c>
      <c r="O1810" t="str">
        <f t="shared" si="198"/>
        <v>3.3.90.39.00-OUTROS SERVIÇOS DE TERCEIROS - PESSOA JURÍDICA</v>
      </c>
      <c r="R1810" s="25">
        <v>4</v>
      </c>
      <c r="S1810" t="s">
        <v>1035</v>
      </c>
    </row>
    <row r="1811" spans="1:19" x14ac:dyDescent="0.25">
      <c r="A1811" t="str">
        <f t="shared" si="187"/>
        <v>09</v>
      </c>
      <c r="B1811" t="str">
        <f t="shared" si="188"/>
        <v>008</v>
      </c>
      <c r="C1811" t="str">
        <f t="shared" si="189"/>
        <v>10</v>
      </c>
      <c r="D1811" t="str">
        <f t="shared" si="190"/>
        <v>301</v>
      </c>
      <c r="E1811" t="str">
        <f t="shared" si="191"/>
        <v>0015</v>
      </c>
      <c r="F1811" t="str">
        <f t="shared" si="192"/>
        <v>1.002</v>
      </c>
      <c r="G1811" t="str">
        <f t="shared" si="193"/>
        <v>4.4.90.51.00</v>
      </c>
      <c r="H1811" t="s">
        <v>1861</v>
      </c>
      <c r="I1811" t="str">
        <f t="shared" si="201"/>
        <v>09 - SECRETARIA DA SAÚDE</v>
      </c>
      <c r="J1811" t="s">
        <v>355</v>
      </c>
      <c r="K1811" t="str">
        <f t="shared" si="194"/>
        <v>10-SAÚDE</v>
      </c>
      <c r="L1811" t="str">
        <f t="shared" si="195"/>
        <v>301-ATENÇÃO BÁSICA</v>
      </c>
      <c r="M1811" t="str">
        <f t="shared" si="196"/>
        <v>0015-Atenção e Cuidado em Saúde​</v>
      </c>
      <c r="N1811" t="str">
        <f t="shared" si="197"/>
        <v>1.002-Reforma e Ampliação de Unidades</v>
      </c>
      <c r="O1811" t="str">
        <f t="shared" si="198"/>
        <v>4.4.90.51.00-OBRAS E INSTALAÇÕES</v>
      </c>
      <c r="R1811" s="25">
        <v>2</v>
      </c>
      <c r="S1811" t="s">
        <v>1035</v>
      </c>
    </row>
    <row r="1812" spans="1:19" x14ac:dyDescent="0.25">
      <c r="A1812" t="str">
        <f t="shared" si="187"/>
        <v>09</v>
      </c>
      <c r="B1812" t="str">
        <f t="shared" si="188"/>
        <v>008</v>
      </c>
      <c r="C1812" t="str">
        <f t="shared" si="189"/>
        <v>10</v>
      </c>
      <c r="D1812" t="str">
        <f t="shared" si="190"/>
        <v>301</v>
      </c>
      <c r="E1812" t="str">
        <f t="shared" si="191"/>
        <v>0015</v>
      </c>
      <c r="F1812" t="str">
        <f t="shared" si="192"/>
        <v>1.002</v>
      </c>
      <c r="G1812" t="str">
        <f t="shared" si="193"/>
        <v>4.4.90.52.00</v>
      </c>
      <c r="H1812" t="s">
        <v>1862</v>
      </c>
      <c r="I1812" t="str">
        <f t="shared" si="201"/>
        <v>09 - SECRETARIA DA SAÚDE</v>
      </c>
      <c r="J1812" t="s">
        <v>355</v>
      </c>
      <c r="K1812" t="str">
        <f t="shared" si="194"/>
        <v>10-SAÚDE</v>
      </c>
      <c r="L1812" t="str">
        <f t="shared" si="195"/>
        <v>301-ATENÇÃO BÁSICA</v>
      </c>
      <c r="M1812" t="str">
        <f t="shared" si="196"/>
        <v>0015-Atenção e Cuidado em Saúde​</v>
      </c>
      <c r="N1812" t="str">
        <f t="shared" si="197"/>
        <v>1.002-Reforma e Ampliação de Unidades</v>
      </c>
      <c r="O1812" t="str">
        <f t="shared" si="198"/>
        <v>4.4.90.52.00-EQUIPAMENTOS E MATERIAL PERMANENTE</v>
      </c>
      <c r="R1812" s="25">
        <v>2</v>
      </c>
      <c r="S1812" t="s">
        <v>1035</v>
      </c>
    </row>
    <row r="1813" spans="1:19" x14ac:dyDescent="0.25">
      <c r="A1813" t="str">
        <f t="shared" si="187"/>
        <v>09</v>
      </c>
      <c r="B1813" t="str">
        <f t="shared" si="188"/>
        <v>008</v>
      </c>
      <c r="C1813" t="str">
        <f t="shared" si="189"/>
        <v>10</v>
      </c>
      <c r="D1813" t="str">
        <f t="shared" si="190"/>
        <v>301</v>
      </c>
      <c r="E1813" t="str">
        <f t="shared" si="191"/>
        <v>0015</v>
      </c>
      <c r="F1813" t="str">
        <f t="shared" si="192"/>
        <v>1.003</v>
      </c>
      <c r="G1813" t="str">
        <f t="shared" si="193"/>
        <v>4.4.90.51.00</v>
      </c>
      <c r="H1813" t="s">
        <v>1863</v>
      </c>
      <c r="I1813" t="str">
        <f t="shared" si="201"/>
        <v>09 - SECRETARIA DA SAÚDE</v>
      </c>
      <c r="J1813" t="s">
        <v>355</v>
      </c>
      <c r="K1813" t="str">
        <f t="shared" si="194"/>
        <v>10-SAÚDE</v>
      </c>
      <c r="L1813" t="str">
        <f t="shared" si="195"/>
        <v>301-ATENÇÃO BÁSICA</v>
      </c>
      <c r="M1813" t="str">
        <f t="shared" si="196"/>
        <v>0015-Atenção e Cuidado em Saúde​</v>
      </c>
      <c r="N1813" t="str">
        <f t="shared" si="197"/>
        <v>1.003-Implantação de Novas Unidades</v>
      </c>
      <c r="O1813" t="str">
        <f t="shared" si="198"/>
        <v>4.4.90.51.00-OBRAS E INSTALAÇÕES</v>
      </c>
      <c r="R1813" s="25">
        <v>2</v>
      </c>
      <c r="S1813" t="s">
        <v>1035</v>
      </c>
    </row>
    <row r="1814" spans="1:19" x14ac:dyDescent="0.25">
      <c r="A1814" t="str">
        <f t="shared" si="187"/>
        <v>09</v>
      </c>
      <c r="B1814" t="str">
        <f t="shared" si="188"/>
        <v>009</v>
      </c>
      <c r="C1814" t="str">
        <f t="shared" si="189"/>
        <v>10</v>
      </c>
      <c r="D1814" t="str">
        <f t="shared" si="190"/>
        <v>302</v>
      </c>
      <c r="E1814" t="str">
        <f t="shared" si="191"/>
        <v>0015</v>
      </c>
      <c r="F1814" t="str">
        <f t="shared" si="192"/>
        <v>1.002</v>
      </c>
      <c r="G1814" t="str">
        <f t="shared" si="193"/>
        <v>3.3.90.30.00</v>
      </c>
      <c r="H1814" t="s">
        <v>1864</v>
      </c>
      <c r="I1814" t="str">
        <f t="shared" si="201"/>
        <v>09 - SECRETARIA DA SAÚDE</v>
      </c>
      <c r="J1814" t="s">
        <v>336</v>
      </c>
      <c r="K1814" t="str">
        <f t="shared" si="194"/>
        <v>10-SAÚDE</v>
      </c>
      <c r="L1814" t="str">
        <f t="shared" si="195"/>
        <v>302-ASSISTÊNCIA HOSPITALAR E AMBULATORIAL</v>
      </c>
      <c r="M1814" t="str">
        <f t="shared" si="196"/>
        <v>0015-Atenção e Cuidado em Saúde​</v>
      </c>
      <c r="N1814" t="str">
        <f t="shared" si="197"/>
        <v>1.002-Reforma e Ampliação de Unidades</v>
      </c>
      <c r="O1814" t="str">
        <f t="shared" si="198"/>
        <v>3.3.90.30.00-MATERIAL DE CONSUMO</v>
      </c>
      <c r="R1814" s="25">
        <v>2</v>
      </c>
      <c r="S1814" t="s">
        <v>1035</v>
      </c>
    </row>
    <row r="1815" spans="1:19" x14ac:dyDescent="0.25">
      <c r="A1815" t="str">
        <f t="shared" si="187"/>
        <v>09</v>
      </c>
      <c r="B1815" t="str">
        <f t="shared" si="188"/>
        <v>009</v>
      </c>
      <c r="C1815" t="str">
        <f t="shared" si="189"/>
        <v>10</v>
      </c>
      <c r="D1815" t="str">
        <f t="shared" si="190"/>
        <v>302</v>
      </c>
      <c r="E1815" t="str">
        <f t="shared" si="191"/>
        <v>0015</v>
      </c>
      <c r="F1815" t="str">
        <f t="shared" si="192"/>
        <v>1.002</v>
      </c>
      <c r="G1815" t="str">
        <f t="shared" si="193"/>
        <v>3.3.90.39.00</v>
      </c>
      <c r="H1815" t="s">
        <v>1865</v>
      </c>
      <c r="I1815" t="str">
        <f t="shared" si="201"/>
        <v>09 - SECRETARIA DA SAÚDE</v>
      </c>
      <c r="J1815" t="s">
        <v>336</v>
      </c>
      <c r="K1815" t="str">
        <f t="shared" si="194"/>
        <v>10-SAÚDE</v>
      </c>
      <c r="L1815" t="str">
        <f t="shared" si="195"/>
        <v>302-ASSISTÊNCIA HOSPITALAR E AMBULATORIAL</v>
      </c>
      <c r="M1815" t="str">
        <f t="shared" si="196"/>
        <v>0015-Atenção e Cuidado em Saúde​</v>
      </c>
      <c r="N1815" t="str">
        <f t="shared" si="197"/>
        <v>1.002-Reforma e Ampliação de Unidades</v>
      </c>
      <c r="O1815" t="str">
        <f t="shared" si="198"/>
        <v>3.3.90.39.00-OUTROS SERVIÇOS DE TERCEIROS - PESSOA JURÍDICA</v>
      </c>
      <c r="R1815" s="25">
        <v>4</v>
      </c>
      <c r="S1815" t="s">
        <v>1035</v>
      </c>
    </row>
    <row r="1816" spans="1:19" x14ac:dyDescent="0.25">
      <c r="A1816" t="str">
        <f t="shared" si="187"/>
        <v>09</v>
      </c>
      <c r="B1816" t="str">
        <f t="shared" si="188"/>
        <v>009</v>
      </c>
      <c r="C1816" t="str">
        <f t="shared" si="189"/>
        <v>10</v>
      </c>
      <c r="D1816" t="str">
        <f t="shared" si="190"/>
        <v>302</v>
      </c>
      <c r="E1816" t="str">
        <f t="shared" si="191"/>
        <v>0015</v>
      </c>
      <c r="F1816" t="str">
        <f t="shared" si="192"/>
        <v>1.002</v>
      </c>
      <c r="G1816" t="str">
        <f t="shared" si="193"/>
        <v>4.4.90.51.00</v>
      </c>
      <c r="H1816" t="s">
        <v>1866</v>
      </c>
      <c r="I1816" t="str">
        <f t="shared" si="201"/>
        <v>09 - SECRETARIA DA SAÚDE</v>
      </c>
      <c r="J1816" t="s">
        <v>336</v>
      </c>
      <c r="K1816" t="str">
        <f t="shared" si="194"/>
        <v>10-SAÚDE</v>
      </c>
      <c r="L1816" t="str">
        <f t="shared" si="195"/>
        <v>302-ASSISTÊNCIA HOSPITALAR E AMBULATORIAL</v>
      </c>
      <c r="M1816" t="str">
        <f t="shared" si="196"/>
        <v>0015-Atenção e Cuidado em Saúde​</v>
      </c>
      <c r="N1816" t="str">
        <f t="shared" si="197"/>
        <v>1.002-Reforma e Ampliação de Unidades</v>
      </c>
      <c r="O1816" t="str">
        <f t="shared" si="198"/>
        <v>4.4.90.51.00-OBRAS E INSTALAÇÕES</v>
      </c>
      <c r="R1816" s="25">
        <v>2</v>
      </c>
      <c r="S1816" t="s">
        <v>1035</v>
      </c>
    </row>
    <row r="1817" spans="1:19" x14ac:dyDescent="0.25">
      <c r="A1817" t="str">
        <f t="shared" si="187"/>
        <v>09</v>
      </c>
      <c r="B1817" t="str">
        <f t="shared" si="188"/>
        <v>009</v>
      </c>
      <c r="C1817" t="str">
        <f t="shared" si="189"/>
        <v>10</v>
      </c>
      <c r="D1817" t="str">
        <f t="shared" si="190"/>
        <v>302</v>
      </c>
      <c r="E1817" t="str">
        <f t="shared" si="191"/>
        <v>0015</v>
      </c>
      <c r="F1817" t="str">
        <f t="shared" si="192"/>
        <v>1.002</v>
      </c>
      <c r="G1817" t="str">
        <f t="shared" si="193"/>
        <v>4.4.90.52.00</v>
      </c>
      <c r="H1817" t="s">
        <v>1867</v>
      </c>
      <c r="I1817" t="str">
        <f t="shared" si="201"/>
        <v>09 - SECRETARIA DA SAÚDE</v>
      </c>
      <c r="J1817" t="s">
        <v>336</v>
      </c>
      <c r="K1817" t="str">
        <f t="shared" si="194"/>
        <v>10-SAÚDE</v>
      </c>
      <c r="L1817" t="str">
        <f t="shared" si="195"/>
        <v>302-ASSISTÊNCIA HOSPITALAR E AMBULATORIAL</v>
      </c>
      <c r="M1817" t="str">
        <f t="shared" si="196"/>
        <v>0015-Atenção e Cuidado em Saúde​</v>
      </c>
      <c r="N1817" t="str">
        <f t="shared" si="197"/>
        <v>1.002-Reforma e Ampliação de Unidades</v>
      </c>
      <c r="O1817" t="str">
        <f t="shared" si="198"/>
        <v>4.4.90.52.00-EQUIPAMENTOS E MATERIAL PERMANENTE</v>
      </c>
      <c r="R1817" s="25">
        <v>2</v>
      </c>
      <c r="S1817" t="s">
        <v>1035</v>
      </c>
    </row>
    <row r="1818" spans="1:19" x14ac:dyDescent="0.25">
      <c r="A1818" t="str">
        <f t="shared" si="187"/>
        <v>09</v>
      </c>
      <c r="B1818" t="str">
        <f t="shared" si="188"/>
        <v>009</v>
      </c>
      <c r="C1818" t="str">
        <f t="shared" si="189"/>
        <v>10</v>
      </c>
      <c r="D1818" t="str">
        <f t="shared" si="190"/>
        <v>302</v>
      </c>
      <c r="E1818" t="str">
        <f t="shared" si="191"/>
        <v>0015</v>
      </c>
      <c r="F1818" t="str">
        <f t="shared" si="192"/>
        <v>1.003</v>
      </c>
      <c r="G1818" t="str">
        <f t="shared" si="193"/>
        <v>4.4.90.51.00</v>
      </c>
      <c r="H1818" t="s">
        <v>1868</v>
      </c>
      <c r="I1818" t="str">
        <f t="shared" si="201"/>
        <v>09 - SECRETARIA DA SAÚDE</v>
      </c>
      <c r="J1818" t="s">
        <v>336</v>
      </c>
      <c r="K1818" t="str">
        <f t="shared" si="194"/>
        <v>10-SAÚDE</v>
      </c>
      <c r="L1818" t="str">
        <f t="shared" si="195"/>
        <v>302-ASSISTÊNCIA HOSPITALAR E AMBULATORIAL</v>
      </c>
      <c r="M1818" t="str">
        <f t="shared" si="196"/>
        <v>0015-Atenção e Cuidado em Saúde​</v>
      </c>
      <c r="N1818" t="str">
        <f t="shared" si="197"/>
        <v>1.003-Implantação de Novas Unidades</v>
      </c>
      <c r="O1818" t="str">
        <f t="shared" si="198"/>
        <v>4.4.90.51.00-OBRAS E INSTALAÇÕES</v>
      </c>
      <c r="R1818" s="25">
        <v>3</v>
      </c>
      <c r="S1818" t="s">
        <v>1035</v>
      </c>
    </row>
    <row r="1819" spans="1:19" x14ac:dyDescent="0.25">
      <c r="A1819" t="str">
        <f t="shared" si="187"/>
        <v>09</v>
      </c>
      <c r="B1819" t="str">
        <f t="shared" si="188"/>
        <v>010</v>
      </c>
      <c r="C1819" t="str">
        <f t="shared" si="189"/>
        <v>10</v>
      </c>
      <c r="D1819" t="str">
        <f t="shared" si="190"/>
        <v>302</v>
      </c>
      <c r="E1819" t="str">
        <f t="shared" si="191"/>
        <v>0015</v>
      </c>
      <c r="F1819" t="str">
        <f t="shared" si="192"/>
        <v>1.002</v>
      </c>
      <c r="G1819" t="str">
        <f t="shared" si="193"/>
        <v>3.3.90.30.00</v>
      </c>
      <c r="H1819" t="s">
        <v>1869</v>
      </c>
      <c r="I1819" t="str">
        <f t="shared" si="201"/>
        <v>09 - SECRETARIA DA SAÚDE</v>
      </c>
      <c r="J1819" t="s">
        <v>324</v>
      </c>
      <c r="K1819" t="str">
        <f t="shared" si="194"/>
        <v>10-SAÚDE</v>
      </c>
      <c r="L1819" t="str">
        <f t="shared" si="195"/>
        <v>302-ASSISTÊNCIA HOSPITALAR E AMBULATORIAL</v>
      </c>
      <c r="M1819" t="str">
        <f t="shared" si="196"/>
        <v>0015-Atenção e Cuidado em Saúde​</v>
      </c>
      <c r="N1819" t="str">
        <f t="shared" si="197"/>
        <v>1.002-Reforma e Ampliação de Unidades</v>
      </c>
      <c r="O1819" t="str">
        <f t="shared" si="198"/>
        <v>3.3.90.30.00-MATERIAL DE CONSUMO</v>
      </c>
      <c r="R1819" s="25">
        <v>2</v>
      </c>
      <c r="S1819" t="s">
        <v>1035</v>
      </c>
    </row>
    <row r="1820" spans="1:19" x14ac:dyDescent="0.25">
      <c r="A1820" t="str">
        <f t="shared" ref="A1820:A1883" si="203">LEFT(H1820,2)</f>
        <v>09</v>
      </c>
      <c r="B1820" t="str">
        <f t="shared" ref="B1820:B1883" si="204">MID(H1820,4,3)</f>
        <v>010</v>
      </c>
      <c r="C1820" t="str">
        <f t="shared" ref="C1820:C1883" si="205">MID(H1820,8,2)</f>
        <v>10</v>
      </c>
      <c r="D1820" t="str">
        <f t="shared" ref="D1820:D1883" si="206">MID(H1820,11,3)</f>
        <v>302</v>
      </c>
      <c r="E1820" t="str">
        <f t="shared" ref="E1820:E1883" si="207">MID(H1820,15,4)</f>
        <v>0015</v>
      </c>
      <c r="F1820" t="str">
        <f t="shared" ref="F1820:F1883" si="208">MID(H1820,20,5)</f>
        <v>1.002</v>
      </c>
      <c r="G1820" t="str">
        <f t="shared" ref="G1820:G1883" si="209">MID(H1820,26,12)</f>
        <v>3.3.90.39.00</v>
      </c>
      <c r="H1820" t="s">
        <v>1870</v>
      </c>
      <c r="I1820" t="str">
        <f t="shared" si="201"/>
        <v>09 - SECRETARIA DA SAÚDE</v>
      </c>
      <c r="J1820" t="s">
        <v>324</v>
      </c>
      <c r="K1820" t="str">
        <f t="shared" ref="K1820:K1883" si="210">VLOOKUP(C1820,$C$1:$O$994,9,0)</f>
        <v>10-SAÚDE</v>
      </c>
      <c r="L1820" t="str">
        <f t="shared" ref="L1820:L1883" si="211">VLOOKUP(D1820,$D$1:$O$994,9,0)</f>
        <v>302-ASSISTÊNCIA HOSPITALAR E AMBULATORIAL</v>
      </c>
      <c r="M1820" t="str">
        <f t="shared" ref="M1820:M1883" si="212">VLOOKUP(E1820,$E$1:$O$994,9,0)</f>
        <v>0015-Atenção e Cuidado em Saúde​</v>
      </c>
      <c r="N1820" t="str">
        <f t="shared" ref="N1820:N1883" si="213">VLOOKUP(F1820,$F$1:$O$994,9,0)</f>
        <v>1.002-Reforma e Ampliação de Unidades</v>
      </c>
      <c r="O1820" t="str">
        <f t="shared" ref="O1820:O1880" si="214">VLOOKUP(G1820,$G$1:$O$994,9,0)</f>
        <v>3.3.90.39.00-OUTROS SERVIÇOS DE TERCEIROS - PESSOA JURÍDICA</v>
      </c>
      <c r="R1820" s="25">
        <v>4</v>
      </c>
      <c r="S1820" t="s">
        <v>1035</v>
      </c>
    </row>
    <row r="1821" spans="1:19" x14ac:dyDescent="0.25">
      <c r="A1821" t="str">
        <f t="shared" si="203"/>
        <v>09</v>
      </c>
      <c r="B1821" t="str">
        <f t="shared" si="204"/>
        <v>010</v>
      </c>
      <c r="C1821" t="str">
        <f t="shared" si="205"/>
        <v>10</v>
      </c>
      <c r="D1821" t="str">
        <f t="shared" si="206"/>
        <v>302</v>
      </c>
      <c r="E1821" t="str">
        <f t="shared" si="207"/>
        <v>0015</v>
      </c>
      <c r="F1821" t="str">
        <f t="shared" si="208"/>
        <v>1.002</v>
      </c>
      <c r="G1821" t="str">
        <f t="shared" si="209"/>
        <v>4.4.90.51.00</v>
      </c>
      <c r="H1821" t="s">
        <v>1871</v>
      </c>
      <c r="I1821" t="str">
        <f t="shared" si="201"/>
        <v>09 - SECRETARIA DA SAÚDE</v>
      </c>
      <c r="J1821" t="s">
        <v>324</v>
      </c>
      <c r="K1821" t="str">
        <f t="shared" si="210"/>
        <v>10-SAÚDE</v>
      </c>
      <c r="L1821" t="str">
        <f t="shared" si="211"/>
        <v>302-ASSISTÊNCIA HOSPITALAR E AMBULATORIAL</v>
      </c>
      <c r="M1821" t="str">
        <f t="shared" si="212"/>
        <v>0015-Atenção e Cuidado em Saúde​</v>
      </c>
      <c r="N1821" t="str">
        <f t="shared" si="213"/>
        <v>1.002-Reforma e Ampliação de Unidades</v>
      </c>
      <c r="O1821" t="str">
        <f t="shared" si="214"/>
        <v>4.4.90.51.00-OBRAS E INSTALAÇÕES</v>
      </c>
      <c r="R1821" s="25">
        <v>2</v>
      </c>
      <c r="S1821" t="s">
        <v>1035</v>
      </c>
    </row>
    <row r="1822" spans="1:19" x14ac:dyDescent="0.25">
      <c r="A1822" t="str">
        <f t="shared" si="203"/>
        <v>09</v>
      </c>
      <c r="B1822" t="str">
        <f t="shared" si="204"/>
        <v>010</v>
      </c>
      <c r="C1822" t="str">
        <f t="shared" si="205"/>
        <v>10</v>
      </c>
      <c r="D1822" t="str">
        <f t="shared" si="206"/>
        <v>302</v>
      </c>
      <c r="E1822" t="str">
        <f t="shared" si="207"/>
        <v>0015</v>
      </c>
      <c r="F1822" t="str">
        <f t="shared" si="208"/>
        <v>1.002</v>
      </c>
      <c r="G1822" t="str">
        <f t="shared" si="209"/>
        <v>4.4.90.52.00</v>
      </c>
      <c r="H1822" t="s">
        <v>1872</v>
      </c>
      <c r="I1822" t="str">
        <f t="shared" si="201"/>
        <v>09 - SECRETARIA DA SAÚDE</v>
      </c>
      <c r="J1822" t="s">
        <v>324</v>
      </c>
      <c r="K1822" t="str">
        <f t="shared" si="210"/>
        <v>10-SAÚDE</v>
      </c>
      <c r="L1822" t="str">
        <f t="shared" si="211"/>
        <v>302-ASSISTÊNCIA HOSPITALAR E AMBULATORIAL</v>
      </c>
      <c r="M1822" t="str">
        <f t="shared" si="212"/>
        <v>0015-Atenção e Cuidado em Saúde​</v>
      </c>
      <c r="N1822" t="str">
        <f t="shared" si="213"/>
        <v>1.002-Reforma e Ampliação de Unidades</v>
      </c>
      <c r="O1822" t="str">
        <f t="shared" si="214"/>
        <v>4.4.90.52.00-EQUIPAMENTOS E MATERIAL PERMANENTE</v>
      </c>
      <c r="R1822" s="25">
        <v>2</v>
      </c>
      <c r="S1822" t="s">
        <v>1035</v>
      </c>
    </row>
    <row r="1823" spans="1:19" x14ac:dyDescent="0.25">
      <c r="A1823" t="str">
        <f t="shared" si="203"/>
        <v>09</v>
      </c>
      <c r="B1823" t="str">
        <f t="shared" si="204"/>
        <v>015</v>
      </c>
      <c r="C1823" t="str">
        <f t="shared" si="205"/>
        <v>04</v>
      </c>
      <c r="D1823" t="str">
        <f t="shared" si="206"/>
        <v>121</v>
      </c>
      <c r="E1823" t="str">
        <f t="shared" si="207"/>
        <v>0004</v>
      </c>
      <c r="F1823" t="str">
        <f t="shared" si="208"/>
        <v>1.001</v>
      </c>
      <c r="G1823" t="str">
        <f t="shared" si="209"/>
        <v>3.3.90.35.00</v>
      </c>
      <c r="H1823" t="s">
        <v>1873</v>
      </c>
      <c r="I1823" t="str">
        <f t="shared" si="201"/>
        <v>09 - SECRETARIA DA SAÚDE</v>
      </c>
      <c r="J1823" t="s">
        <v>361</v>
      </c>
      <c r="K1823" t="str">
        <f t="shared" si="210"/>
        <v>4-ADMINISTRAÇÃO</v>
      </c>
      <c r="L1823" t="str">
        <f t="shared" si="211"/>
        <v>121-PLANEJAMENTO E ORÇAMENTO</v>
      </c>
      <c r="M1823" t="str">
        <f t="shared" si="212"/>
        <v xml:space="preserve">0004-Planejamento e Gestão de Políticas Públicas </v>
      </c>
      <c r="N1823" t="str">
        <f t="shared" si="213"/>
        <v xml:space="preserve">1.001-Estudos, Pesquisas, Planos e Projetos </v>
      </c>
      <c r="O1823" t="str">
        <f t="shared" si="214"/>
        <v>3.3.90.35.00-SERVIÇOS DE CONSULTORIA</v>
      </c>
      <c r="R1823" s="25">
        <v>1</v>
      </c>
      <c r="S1823" t="s">
        <v>1035</v>
      </c>
    </row>
    <row r="1824" spans="1:19" x14ac:dyDescent="0.25">
      <c r="A1824" t="str">
        <f t="shared" si="203"/>
        <v>09</v>
      </c>
      <c r="B1824" t="str">
        <f t="shared" si="204"/>
        <v>015</v>
      </c>
      <c r="C1824" t="str">
        <f t="shared" si="205"/>
        <v>10</v>
      </c>
      <c r="D1824" t="str">
        <f t="shared" si="206"/>
        <v>122</v>
      </c>
      <c r="E1824" t="str">
        <f t="shared" si="207"/>
        <v>0014</v>
      </c>
      <c r="F1824" t="str">
        <f t="shared" si="208"/>
        <v>1.002</v>
      </c>
      <c r="G1824" t="str">
        <f t="shared" si="209"/>
        <v>3.3.90.30.00</v>
      </c>
      <c r="H1824" t="s">
        <v>1874</v>
      </c>
      <c r="I1824" t="str">
        <f t="shared" si="201"/>
        <v>09 - SECRETARIA DA SAÚDE</v>
      </c>
      <c r="J1824" t="s">
        <v>361</v>
      </c>
      <c r="K1824" t="str">
        <f t="shared" si="210"/>
        <v>10-SAÚDE</v>
      </c>
      <c r="L1824" t="str">
        <f t="shared" si="211"/>
        <v>122-ADMINISTRAÇÃO GERAL</v>
      </c>
      <c r="M1824" t="str">
        <f t="shared" si="212"/>
        <v>0014-Gestão em Saúde​</v>
      </c>
      <c r="N1824" t="str">
        <f t="shared" si="213"/>
        <v>1.002-Reforma e Ampliação de Unidades</v>
      </c>
      <c r="O1824" t="str">
        <f t="shared" si="214"/>
        <v>3.3.90.30.00-MATERIAL DE CONSUMO</v>
      </c>
      <c r="R1824" s="25">
        <v>2</v>
      </c>
      <c r="S1824" t="s">
        <v>1035</v>
      </c>
    </row>
    <row r="1825" spans="1:19" x14ac:dyDescent="0.25">
      <c r="A1825" t="str">
        <f t="shared" si="203"/>
        <v>09</v>
      </c>
      <c r="B1825" t="str">
        <f t="shared" si="204"/>
        <v>015</v>
      </c>
      <c r="C1825" t="str">
        <f t="shared" si="205"/>
        <v>10</v>
      </c>
      <c r="D1825" t="str">
        <f t="shared" si="206"/>
        <v>122</v>
      </c>
      <c r="E1825" t="str">
        <f t="shared" si="207"/>
        <v>0014</v>
      </c>
      <c r="F1825" t="str">
        <f t="shared" si="208"/>
        <v>1.002</v>
      </c>
      <c r="G1825" t="str">
        <f t="shared" si="209"/>
        <v>3.3.90.39.00</v>
      </c>
      <c r="H1825" t="s">
        <v>1875</v>
      </c>
      <c r="I1825" t="str">
        <f t="shared" si="201"/>
        <v>09 - SECRETARIA DA SAÚDE</v>
      </c>
      <c r="J1825" t="s">
        <v>361</v>
      </c>
      <c r="K1825" t="str">
        <f t="shared" si="210"/>
        <v>10-SAÚDE</v>
      </c>
      <c r="L1825" t="str">
        <f t="shared" si="211"/>
        <v>122-ADMINISTRAÇÃO GERAL</v>
      </c>
      <c r="M1825" t="str">
        <f t="shared" si="212"/>
        <v>0014-Gestão em Saúde​</v>
      </c>
      <c r="N1825" t="str">
        <f t="shared" si="213"/>
        <v>1.002-Reforma e Ampliação de Unidades</v>
      </c>
      <c r="O1825" t="str">
        <f t="shared" si="214"/>
        <v>3.3.90.39.00-OUTROS SERVIÇOS DE TERCEIROS - PESSOA JURÍDICA</v>
      </c>
      <c r="R1825" s="25">
        <v>4</v>
      </c>
      <c r="S1825" t="s">
        <v>1035</v>
      </c>
    </row>
    <row r="1826" spans="1:19" x14ac:dyDescent="0.25">
      <c r="A1826" t="str">
        <f t="shared" si="203"/>
        <v>09</v>
      </c>
      <c r="B1826" t="str">
        <f t="shared" si="204"/>
        <v>015</v>
      </c>
      <c r="C1826" t="str">
        <f t="shared" si="205"/>
        <v>10</v>
      </c>
      <c r="D1826" t="str">
        <f t="shared" si="206"/>
        <v>122</v>
      </c>
      <c r="E1826" t="str">
        <f t="shared" si="207"/>
        <v>0014</v>
      </c>
      <c r="F1826" t="str">
        <f t="shared" si="208"/>
        <v>1.002</v>
      </c>
      <c r="G1826" t="str">
        <f t="shared" si="209"/>
        <v>4.4.90.51.00</v>
      </c>
      <c r="H1826" t="s">
        <v>1876</v>
      </c>
      <c r="I1826" t="str">
        <f t="shared" si="201"/>
        <v>09 - SECRETARIA DA SAÚDE</v>
      </c>
      <c r="J1826" t="s">
        <v>361</v>
      </c>
      <c r="K1826" t="str">
        <f t="shared" si="210"/>
        <v>10-SAÚDE</v>
      </c>
      <c r="L1826" t="str">
        <f t="shared" si="211"/>
        <v>122-ADMINISTRAÇÃO GERAL</v>
      </c>
      <c r="M1826" t="str">
        <f t="shared" si="212"/>
        <v>0014-Gestão em Saúde​</v>
      </c>
      <c r="N1826" t="str">
        <f t="shared" si="213"/>
        <v>1.002-Reforma e Ampliação de Unidades</v>
      </c>
      <c r="O1826" t="str">
        <f t="shared" si="214"/>
        <v>4.4.90.51.00-OBRAS E INSTALAÇÕES</v>
      </c>
      <c r="R1826" s="25">
        <v>2</v>
      </c>
      <c r="S1826" t="s">
        <v>1035</v>
      </c>
    </row>
    <row r="1827" spans="1:19" x14ac:dyDescent="0.25">
      <c r="A1827" t="str">
        <f t="shared" si="203"/>
        <v>09</v>
      </c>
      <c r="B1827" t="str">
        <f t="shared" si="204"/>
        <v>015</v>
      </c>
      <c r="C1827" t="str">
        <f t="shared" si="205"/>
        <v>10</v>
      </c>
      <c r="D1827" t="str">
        <f t="shared" si="206"/>
        <v>122</v>
      </c>
      <c r="E1827" t="str">
        <f t="shared" si="207"/>
        <v>0014</v>
      </c>
      <c r="F1827" t="str">
        <f t="shared" si="208"/>
        <v>1.002</v>
      </c>
      <c r="G1827" t="str">
        <f t="shared" si="209"/>
        <v>4.4.90.52.00</v>
      </c>
      <c r="H1827" t="s">
        <v>1877</v>
      </c>
      <c r="I1827" t="str">
        <f t="shared" si="201"/>
        <v>09 - SECRETARIA DA SAÚDE</v>
      </c>
      <c r="J1827" t="s">
        <v>361</v>
      </c>
      <c r="K1827" t="str">
        <f t="shared" si="210"/>
        <v>10-SAÚDE</v>
      </c>
      <c r="L1827" t="str">
        <f t="shared" si="211"/>
        <v>122-ADMINISTRAÇÃO GERAL</v>
      </c>
      <c r="M1827" t="str">
        <f t="shared" si="212"/>
        <v>0014-Gestão em Saúde​</v>
      </c>
      <c r="N1827" t="str">
        <f t="shared" si="213"/>
        <v>1.002-Reforma e Ampliação de Unidades</v>
      </c>
      <c r="O1827" t="str">
        <f t="shared" si="214"/>
        <v>4.4.90.52.00-EQUIPAMENTOS E MATERIAL PERMANENTE</v>
      </c>
      <c r="R1827" s="25">
        <v>2</v>
      </c>
      <c r="S1827" t="s">
        <v>1035</v>
      </c>
    </row>
    <row r="1828" spans="1:19" x14ac:dyDescent="0.25">
      <c r="A1828" t="str">
        <f t="shared" si="203"/>
        <v>11</v>
      </c>
      <c r="B1828" t="str">
        <f t="shared" si="204"/>
        <v>001</v>
      </c>
      <c r="C1828" t="str">
        <f t="shared" si="205"/>
        <v>04</v>
      </c>
      <c r="D1828" t="str">
        <f t="shared" si="206"/>
        <v>121</v>
      </c>
      <c r="E1828" t="str">
        <f t="shared" si="207"/>
        <v>0004</v>
      </c>
      <c r="F1828" t="str">
        <f t="shared" si="208"/>
        <v>1.001</v>
      </c>
      <c r="G1828" t="str">
        <f t="shared" si="209"/>
        <v>3.3.90.39.00</v>
      </c>
      <c r="H1828" t="s">
        <v>1878</v>
      </c>
      <c r="I1828" t="str">
        <f t="shared" si="201"/>
        <v>11 - SECRETARIA DE SERVIÇOS E OBRAS</v>
      </c>
      <c r="J1828" t="s">
        <v>20</v>
      </c>
      <c r="K1828" t="str">
        <f t="shared" si="210"/>
        <v>4-ADMINISTRAÇÃO</v>
      </c>
      <c r="L1828" t="str">
        <f t="shared" si="211"/>
        <v>121-PLANEJAMENTO E ORÇAMENTO</v>
      </c>
      <c r="M1828" t="str">
        <f t="shared" si="212"/>
        <v xml:space="preserve">0004-Planejamento e Gestão de Políticas Públicas </v>
      </c>
      <c r="N1828" t="str">
        <f t="shared" si="213"/>
        <v xml:space="preserve">1.001-Estudos, Pesquisas, Planos e Projetos </v>
      </c>
      <c r="O1828" t="str">
        <f t="shared" si="214"/>
        <v>3.3.90.39.00-OUTROS SERVIÇOS DE TERCEIROS - PESSOA JURÍDICA</v>
      </c>
      <c r="R1828" s="25">
        <v>0</v>
      </c>
      <c r="S1828" t="s">
        <v>1035</v>
      </c>
    </row>
    <row r="1829" spans="1:19" x14ac:dyDescent="0.25">
      <c r="A1829" t="str">
        <f t="shared" si="203"/>
        <v>11</v>
      </c>
      <c r="B1829" t="str">
        <f t="shared" si="204"/>
        <v>001</v>
      </c>
      <c r="C1829" t="str">
        <f t="shared" si="205"/>
        <v>04</v>
      </c>
      <c r="D1829" t="str">
        <f t="shared" si="206"/>
        <v>121</v>
      </c>
      <c r="E1829" t="str">
        <f t="shared" si="207"/>
        <v>0004</v>
      </c>
      <c r="F1829" t="str">
        <f t="shared" si="208"/>
        <v>1.001</v>
      </c>
      <c r="G1829" t="str">
        <f t="shared" si="209"/>
        <v>3.3.90.40.00</v>
      </c>
      <c r="H1829" t="s">
        <v>1879</v>
      </c>
      <c r="I1829" t="str">
        <f t="shared" si="201"/>
        <v>11 - SECRETARIA DE SERVIÇOS E OBRAS</v>
      </c>
      <c r="J1829" t="s">
        <v>20</v>
      </c>
      <c r="K1829" t="str">
        <f t="shared" si="210"/>
        <v>4-ADMINISTRAÇÃO</v>
      </c>
      <c r="L1829" t="str">
        <f t="shared" si="211"/>
        <v>121-PLANEJAMENTO E ORÇAMENTO</v>
      </c>
      <c r="M1829" t="str">
        <f t="shared" si="212"/>
        <v xml:space="preserve">0004-Planejamento e Gestão de Políticas Públicas </v>
      </c>
      <c r="N1829" t="str">
        <f t="shared" si="213"/>
        <v xml:space="preserve">1.001-Estudos, Pesquisas, Planos e Projetos </v>
      </c>
      <c r="O1829" t="str">
        <f t="shared" si="214"/>
        <v>3.3.90.40.00-SERVIÇOS DE TECNOLOGIA DA INFORMAÇÃO E COMUNICAÇÃO - PESSOA JURÍDICA</v>
      </c>
      <c r="R1829" s="25">
        <v>4690</v>
      </c>
      <c r="S1829" t="s">
        <v>1035</v>
      </c>
    </row>
    <row r="1830" spans="1:19" x14ac:dyDescent="0.25">
      <c r="A1830" t="str">
        <f t="shared" si="203"/>
        <v>11</v>
      </c>
      <c r="B1830" t="str">
        <f t="shared" si="204"/>
        <v>001</v>
      </c>
      <c r="C1830" t="str">
        <f t="shared" si="205"/>
        <v>04</v>
      </c>
      <c r="D1830" t="str">
        <f t="shared" si="206"/>
        <v>122</v>
      </c>
      <c r="E1830" t="str">
        <f t="shared" si="207"/>
        <v>0001</v>
      </c>
      <c r="F1830" t="str">
        <f t="shared" si="208"/>
        <v>2.001</v>
      </c>
      <c r="G1830" t="str">
        <f t="shared" si="209"/>
        <v>3.1.90.11.00</v>
      </c>
      <c r="H1830" t="s">
        <v>1880</v>
      </c>
      <c r="I1830" t="str">
        <f t="shared" si="201"/>
        <v>11 - SECRETARIA DE SERVIÇOS E OBRAS</v>
      </c>
      <c r="J1830" t="s">
        <v>20</v>
      </c>
      <c r="K1830" t="str">
        <f t="shared" si="210"/>
        <v>4-ADMINISTRAÇÃO</v>
      </c>
      <c r="L1830" t="str">
        <f t="shared" si="211"/>
        <v>122-ADMINISTRAÇÃO GERAL</v>
      </c>
      <c r="M1830" t="str">
        <f t="shared" si="212"/>
        <v>0001-Administração e Coordenação Geral​</v>
      </c>
      <c r="N1830" t="str">
        <f t="shared" si="213"/>
        <v>2.001-Remuneração, Benefícios e Encargos</v>
      </c>
      <c r="O1830" t="str">
        <f>G1830</f>
        <v>3.1.90.11.00</v>
      </c>
      <c r="R1830" s="25">
        <v>25807024.859999999</v>
      </c>
      <c r="S1830" t="s">
        <v>1035</v>
      </c>
    </row>
    <row r="1831" spans="1:19" x14ac:dyDescent="0.25">
      <c r="A1831" t="str">
        <f t="shared" si="203"/>
        <v>11</v>
      </c>
      <c r="B1831" t="str">
        <f t="shared" si="204"/>
        <v>001</v>
      </c>
      <c r="C1831" t="str">
        <f t="shared" si="205"/>
        <v>04</v>
      </c>
      <c r="D1831" t="str">
        <f t="shared" si="206"/>
        <v>122</v>
      </c>
      <c r="E1831" t="str">
        <f t="shared" si="207"/>
        <v>0001</v>
      </c>
      <c r="F1831" t="str">
        <f t="shared" si="208"/>
        <v>2.001</v>
      </c>
      <c r="G1831" t="str">
        <f t="shared" si="209"/>
        <v>3.1.90.13.00</v>
      </c>
      <c r="H1831" t="s">
        <v>1881</v>
      </c>
      <c r="I1831" t="str">
        <f t="shared" si="201"/>
        <v>11 - SECRETARIA DE SERVIÇOS E OBRAS</v>
      </c>
      <c r="J1831" t="s">
        <v>20</v>
      </c>
      <c r="K1831" t="str">
        <f t="shared" si="210"/>
        <v>4-ADMINISTRAÇÃO</v>
      </c>
      <c r="L1831" t="str">
        <f t="shared" si="211"/>
        <v>122-ADMINISTRAÇÃO GERAL</v>
      </c>
      <c r="M1831" t="str">
        <f t="shared" si="212"/>
        <v>0001-Administração e Coordenação Geral​</v>
      </c>
      <c r="N1831" t="str">
        <f t="shared" si="213"/>
        <v>2.001-Remuneração, Benefícios e Encargos</v>
      </c>
      <c r="O1831" t="str">
        <f>G1831</f>
        <v>3.1.90.13.00</v>
      </c>
      <c r="R1831" s="25">
        <v>1811535.26</v>
      </c>
      <c r="S1831" t="s">
        <v>1035</v>
      </c>
    </row>
    <row r="1832" spans="1:19" x14ac:dyDescent="0.25">
      <c r="A1832" t="str">
        <f t="shared" si="203"/>
        <v>11</v>
      </c>
      <c r="B1832" t="str">
        <f t="shared" si="204"/>
        <v>001</v>
      </c>
      <c r="C1832" t="str">
        <f t="shared" si="205"/>
        <v>04</v>
      </c>
      <c r="D1832" t="str">
        <f t="shared" si="206"/>
        <v>122</v>
      </c>
      <c r="E1832" t="str">
        <f t="shared" si="207"/>
        <v>0001</v>
      </c>
      <c r="F1832" t="str">
        <f t="shared" si="208"/>
        <v>2.001</v>
      </c>
      <c r="G1832" t="str">
        <f t="shared" si="209"/>
        <v>3.1.91.13.00</v>
      </c>
      <c r="H1832" t="s">
        <v>1882</v>
      </c>
      <c r="I1832" t="str">
        <f t="shared" si="201"/>
        <v>11 - SECRETARIA DE SERVIÇOS E OBRAS</v>
      </c>
      <c r="J1832" t="s">
        <v>20</v>
      </c>
      <c r="K1832" t="str">
        <f t="shared" si="210"/>
        <v>4-ADMINISTRAÇÃO</v>
      </c>
      <c r="L1832" t="str">
        <f t="shared" si="211"/>
        <v>122-ADMINISTRAÇÃO GERAL</v>
      </c>
      <c r="M1832" t="str">
        <f t="shared" si="212"/>
        <v>0001-Administração e Coordenação Geral​</v>
      </c>
      <c r="N1832" t="str">
        <f t="shared" si="213"/>
        <v>2.001-Remuneração, Benefícios e Encargos</v>
      </c>
      <c r="O1832" t="str">
        <f>G1832</f>
        <v>3.1.91.13.00</v>
      </c>
      <c r="R1832" s="25">
        <v>3163361.7</v>
      </c>
      <c r="S1832" t="s">
        <v>1035</v>
      </c>
    </row>
    <row r="1833" spans="1:19" x14ac:dyDescent="0.25">
      <c r="A1833" t="str">
        <f t="shared" si="203"/>
        <v>11</v>
      </c>
      <c r="B1833" t="str">
        <f t="shared" si="204"/>
        <v>001</v>
      </c>
      <c r="C1833" t="str">
        <f t="shared" si="205"/>
        <v>04</v>
      </c>
      <c r="D1833" t="str">
        <f t="shared" si="206"/>
        <v>122</v>
      </c>
      <c r="E1833" t="str">
        <f t="shared" si="207"/>
        <v>0001</v>
      </c>
      <c r="F1833" t="str">
        <f t="shared" si="208"/>
        <v>2.001</v>
      </c>
      <c r="G1833" t="str">
        <f t="shared" si="209"/>
        <v>3.3.90.46.00</v>
      </c>
      <c r="H1833" t="s">
        <v>1883</v>
      </c>
      <c r="I1833" t="str">
        <f t="shared" si="201"/>
        <v>11 - SECRETARIA DE SERVIÇOS E OBRAS</v>
      </c>
      <c r="J1833" t="s">
        <v>20</v>
      </c>
      <c r="K1833" t="str">
        <f t="shared" si="210"/>
        <v>4-ADMINISTRAÇÃO</v>
      </c>
      <c r="L1833" t="str">
        <f t="shared" si="211"/>
        <v>122-ADMINISTRAÇÃO GERAL</v>
      </c>
      <c r="M1833" t="str">
        <f t="shared" si="212"/>
        <v>0001-Administração e Coordenação Geral​</v>
      </c>
      <c r="N1833" t="str">
        <f t="shared" si="213"/>
        <v>2.001-Remuneração, Benefícios e Encargos</v>
      </c>
      <c r="O1833" t="str">
        <f>G1833</f>
        <v>3.3.90.46.00</v>
      </c>
      <c r="R1833" s="25">
        <v>10.119999999999999</v>
      </c>
      <c r="S1833" t="s">
        <v>1035</v>
      </c>
    </row>
    <row r="1834" spans="1:19" x14ac:dyDescent="0.25">
      <c r="A1834" t="str">
        <f t="shared" si="203"/>
        <v>11</v>
      </c>
      <c r="B1834" t="str">
        <f t="shared" si="204"/>
        <v>001</v>
      </c>
      <c r="C1834" t="str">
        <f t="shared" si="205"/>
        <v>04</v>
      </c>
      <c r="D1834" t="str">
        <f t="shared" si="206"/>
        <v>122</v>
      </c>
      <c r="E1834" t="str">
        <f t="shared" si="207"/>
        <v>0001</v>
      </c>
      <c r="F1834" t="str">
        <f t="shared" si="208"/>
        <v>2.001</v>
      </c>
      <c r="G1834" t="str">
        <f t="shared" si="209"/>
        <v>3.3.90.49.00</v>
      </c>
      <c r="H1834" t="s">
        <v>1884</v>
      </c>
      <c r="I1834" t="str">
        <f t="shared" si="201"/>
        <v>11 - SECRETARIA DE SERVIÇOS E OBRAS</v>
      </c>
      <c r="J1834" t="s">
        <v>20</v>
      </c>
      <c r="K1834" t="str">
        <f t="shared" si="210"/>
        <v>4-ADMINISTRAÇÃO</v>
      </c>
      <c r="L1834" t="str">
        <f t="shared" si="211"/>
        <v>122-ADMINISTRAÇÃO GERAL</v>
      </c>
      <c r="M1834" t="str">
        <f t="shared" si="212"/>
        <v>0001-Administração e Coordenação Geral​</v>
      </c>
      <c r="N1834" t="str">
        <f t="shared" si="213"/>
        <v>2.001-Remuneração, Benefícios e Encargos</v>
      </c>
      <c r="O1834" t="str">
        <f>G1834</f>
        <v>3.3.90.49.00</v>
      </c>
      <c r="R1834" s="25">
        <v>523801.67</v>
      </c>
      <c r="S1834" t="s">
        <v>1035</v>
      </c>
    </row>
    <row r="1835" spans="1:19" x14ac:dyDescent="0.25">
      <c r="A1835" t="str">
        <f t="shared" si="203"/>
        <v>11</v>
      </c>
      <c r="B1835" t="str">
        <f t="shared" si="204"/>
        <v>001</v>
      </c>
      <c r="C1835" t="str">
        <f t="shared" si="205"/>
        <v>04</v>
      </c>
      <c r="D1835" t="str">
        <f t="shared" si="206"/>
        <v>122</v>
      </c>
      <c r="E1835" t="str">
        <f t="shared" si="207"/>
        <v>0011</v>
      </c>
      <c r="F1835" t="str">
        <f t="shared" si="208"/>
        <v>1.002</v>
      </c>
      <c r="G1835" t="str">
        <f t="shared" si="209"/>
        <v>3.3.90.39.00</v>
      </c>
      <c r="H1835" t="s">
        <v>1885</v>
      </c>
      <c r="I1835" t="str">
        <f t="shared" si="201"/>
        <v>11 - SECRETARIA DE SERVIÇOS E OBRAS</v>
      </c>
      <c r="J1835" t="s">
        <v>20</v>
      </c>
      <c r="K1835" t="str">
        <f t="shared" si="210"/>
        <v>4-ADMINISTRAÇÃO</v>
      </c>
      <c r="L1835" t="str">
        <f t="shared" si="211"/>
        <v>122-ADMINISTRAÇÃO GERAL</v>
      </c>
      <c r="M1835" t="str">
        <f t="shared" si="212"/>
        <v>0011-Zeladoria Urbana e Cuidados com a Cidade​</v>
      </c>
      <c r="N1835" t="str">
        <f t="shared" si="213"/>
        <v>1.002-Reforma e Ampliação de Unidades</v>
      </c>
      <c r="O1835" t="str">
        <f t="shared" si="214"/>
        <v>3.3.90.39.00-OUTROS SERVIÇOS DE TERCEIROS - PESSOA JURÍDICA</v>
      </c>
      <c r="R1835" s="25">
        <v>4731238.6900000004</v>
      </c>
      <c r="S1835" t="s">
        <v>1035</v>
      </c>
    </row>
    <row r="1836" spans="1:19" x14ac:dyDescent="0.25">
      <c r="A1836" t="str">
        <f t="shared" si="203"/>
        <v>11</v>
      </c>
      <c r="B1836" t="str">
        <f t="shared" si="204"/>
        <v>001</v>
      </c>
      <c r="C1836" t="str">
        <f t="shared" si="205"/>
        <v>04</v>
      </c>
      <c r="D1836" t="str">
        <f t="shared" si="206"/>
        <v>122</v>
      </c>
      <c r="E1836" t="str">
        <f t="shared" si="207"/>
        <v>0011</v>
      </c>
      <c r="F1836" t="str">
        <f t="shared" si="208"/>
        <v>1.003</v>
      </c>
      <c r="G1836" t="str">
        <f t="shared" si="209"/>
        <v>4.4.90.51.00</v>
      </c>
      <c r="H1836" t="s">
        <v>1886</v>
      </c>
      <c r="I1836" t="str">
        <f t="shared" si="201"/>
        <v>11 - SECRETARIA DE SERVIÇOS E OBRAS</v>
      </c>
      <c r="J1836" t="s">
        <v>20</v>
      </c>
      <c r="K1836" t="str">
        <f t="shared" si="210"/>
        <v>4-ADMINISTRAÇÃO</v>
      </c>
      <c r="L1836" t="str">
        <f t="shared" si="211"/>
        <v>122-ADMINISTRAÇÃO GERAL</v>
      </c>
      <c r="M1836" t="str">
        <f t="shared" si="212"/>
        <v>0011-Zeladoria Urbana e Cuidados com a Cidade​</v>
      </c>
      <c r="N1836" t="str">
        <f t="shared" si="213"/>
        <v>1.003-Implantação de Novas Unidades</v>
      </c>
      <c r="O1836" t="str">
        <f t="shared" si="214"/>
        <v>4.4.90.51.00-OBRAS E INSTALAÇÕES</v>
      </c>
      <c r="R1836" s="25">
        <v>0</v>
      </c>
      <c r="S1836" t="s">
        <v>1035</v>
      </c>
    </row>
    <row r="1837" spans="1:19" x14ac:dyDescent="0.25">
      <c r="A1837" t="str">
        <f t="shared" si="203"/>
        <v>11</v>
      </c>
      <c r="B1837" t="str">
        <f t="shared" si="204"/>
        <v>001</v>
      </c>
      <c r="C1837" t="str">
        <f t="shared" si="205"/>
        <v>15</v>
      </c>
      <c r="D1837" t="str">
        <f t="shared" si="206"/>
        <v>451</v>
      </c>
      <c r="E1837" t="str">
        <f t="shared" si="207"/>
        <v>0011</v>
      </c>
      <c r="F1837" t="str">
        <f t="shared" si="208"/>
        <v>1.005</v>
      </c>
      <c r="G1837" t="str">
        <f t="shared" si="209"/>
        <v>3.3.90.39.00</v>
      </c>
      <c r="H1837" t="s">
        <v>1887</v>
      </c>
      <c r="I1837" t="str">
        <f t="shared" si="201"/>
        <v>11 - SECRETARIA DE SERVIÇOS E OBRAS</v>
      </c>
      <c r="J1837" t="s">
        <v>20</v>
      </c>
      <c r="K1837" t="str">
        <f t="shared" si="210"/>
        <v>15-URBANISMO</v>
      </c>
      <c r="L1837" t="str">
        <f t="shared" si="211"/>
        <v>451-INFRA-ESTRUTURA URBANA</v>
      </c>
      <c r="M1837" t="str">
        <f t="shared" si="212"/>
        <v>0011-Zeladoria Urbana e Cuidados com a Cidade​</v>
      </c>
      <c r="N1837" t="str">
        <f>F1837</f>
        <v>1.005</v>
      </c>
      <c r="O1837" t="str">
        <f t="shared" si="214"/>
        <v>3.3.90.39.00-OUTROS SERVIÇOS DE TERCEIROS - PESSOA JURÍDICA</v>
      </c>
      <c r="R1837" s="25">
        <v>64945.02</v>
      </c>
      <c r="S1837" t="s">
        <v>1035</v>
      </c>
    </row>
    <row r="1838" spans="1:19" x14ac:dyDescent="0.25">
      <c r="A1838" t="str">
        <f t="shared" si="203"/>
        <v>11</v>
      </c>
      <c r="B1838" t="str">
        <f t="shared" si="204"/>
        <v>001</v>
      </c>
      <c r="C1838" t="str">
        <f t="shared" si="205"/>
        <v>15</v>
      </c>
      <c r="D1838" t="str">
        <f t="shared" si="206"/>
        <v>451</v>
      </c>
      <c r="E1838" t="str">
        <f t="shared" si="207"/>
        <v>0013</v>
      </c>
      <c r="F1838" t="str">
        <f t="shared" si="208"/>
        <v>1.005</v>
      </c>
      <c r="G1838" t="str">
        <f t="shared" si="209"/>
        <v>4.4.90.51.00</v>
      </c>
      <c r="H1838" t="s">
        <v>1888</v>
      </c>
      <c r="I1838" t="str">
        <f t="shared" si="201"/>
        <v>11 - SECRETARIA DE SERVIÇOS E OBRAS</v>
      </c>
      <c r="J1838" t="s">
        <v>20</v>
      </c>
      <c r="K1838" t="str">
        <f t="shared" si="210"/>
        <v>15-URBANISMO</v>
      </c>
      <c r="L1838" t="str">
        <f t="shared" si="211"/>
        <v>451-INFRA-ESTRUTURA URBANA</v>
      </c>
      <c r="M1838" t="str">
        <f t="shared" si="212"/>
        <v>0013-Mobilidade Urbana e Infraestrutura Viária​</v>
      </c>
      <c r="N1838" t="str">
        <f>F1838</f>
        <v>1.005</v>
      </c>
      <c r="O1838" t="str">
        <f t="shared" si="214"/>
        <v>4.4.90.51.00-OBRAS E INSTALAÇÕES</v>
      </c>
      <c r="R1838" s="25">
        <v>2</v>
      </c>
      <c r="S1838" t="s">
        <v>1035</v>
      </c>
    </row>
    <row r="1839" spans="1:19" x14ac:dyDescent="0.25">
      <c r="A1839" t="str">
        <f t="shared" si="203"/>
        <v>11</v>
      </c>
      <c r="B1839" t="str">
        <f t="shared" si="204"/>
        <v>001</v>
      </c>
      <c r="C1839" t="str">
        <f t="shared" si="205"/>
        <v>15</v>
      </c>
      <c r="D1839" t="str">
        <f t="shared" si="206"/>
        <v>451</v>
      </c>
      <c r="E1839" t="str">
        <f t="shared" si="207"/>
        <v>0013</v>
      </c>
      <c r="F1839" t="str">
        <f t="shared" si="208"/>
        <v>1.006</v>
      </c>
      <c r="G1839" t="str">
        <f t="shared" si="209"/>
        <v>4.4.90.51.00</v>
      </c>
      <c r="H1839" t="s">
        <v>1889</v>
      </c>
      <c r="I1839" t="str">
        <f t="shared" si="201"/>
        <v>11 - SECRETARIA DE SERVIÇOS E OBRAS</v>
      </c>
      <c r="J1839" t="s">
        <v>20</v>
      </c>
      <c r="K1839" t="str">
        <f t="shared" si="210"/>
        <v>15-URBANISMO</v>
      </c>
      <c r="L1839" t="str">
        <f t="shared" si="211"/>
        <v>451-INFRA-ESTRUTURA URBANA</v>
      </c>
      <c r="M1839" t="str">
        <f t="shared" si="212"/>
        <v>0013-Mobilidade Urbana e Infraestrutura Viária​</v>
      </c>
      <c r="N1839" t="str">
        <f t="shared" si="213"/>
        <v>1.006-Desenvolvimento da Infraestrutura Viária</v>
      </c>
      <c r="O1839" t="str">
        <f t="shared" si="214"/>
        <v>4.4.90.51.00-OBRAS E INSTALAÇÕES</v>
      </c>
      <c r="R1839" s="25">
        <v>2208743.86</v>
      </c>
      <c r="S1839" t="s">
        <v>1035</v>
      </c>
    </row>
    <row r="1840" spans="1:19" x14ac:dyDescent="0.25">
      <c r="A1840" t="str">
        <f t="shared" si="203"/>
        <v>11</v>
      </c>
      <c r="B1840" t="str">
        <f t="shared" si="204"/>
        <v>001</v>
      </c>
      <c r="C1840" t="str">
        <f t="shared" si="205"/>
        <v>18</v>
      </c>
      <c r="D1840" t="str">
        <f t="shared" si="206"/>
        <v>452</v>
      </c>
      <c r="E1840" t="str">
        <f t="shared" si="207"/>
        <v>0007</v>
      </c>
      <c r="F1840" t="str">
        <f t="shared" si="208"/>
        <v>1.003</v>
      </c>
      <c r="G1840" t="str">
        <f t="shared" si="209"/>
        <v>3.3.90.39.00</v>
      </c>
      <c r="H1840" t="s">
        <v>1890</v>
      </c>
      <c r="I1840" t="str">
        <f t="shared" si="201"/>
        <v>11 - SECRETARIA DE SERVIÇOS E OBRAS</v>
      </c>
      <c r="J1840" t="s">
        <v>20</v>
      </c>
      <c r="K1840" t="str">
        <f t="shared" si="210"/>
        <v>18-GESTÃO AMBIENTAL</v>
      </c>
      <c r="L1840" t="str">
        <f t="shared" si="211"/>
        <v>452-SERVIÇOS URBNOS</v>
      </c>
      <c r="M1840" t="str">
        <f t="shared" si="212"/>
        <v>0007-Meio Ambiente, Sustentabilidade e Bem-Estar Animal​</v>
      </c>
      <c r="N1840" t="str">
        <f t="shared" si="213"/>
        <v>1.003-Implantação de Novas Unidades</v>
      </c>
      <c r="O1840" t="str">
        <f t="shared" si="214"/>
        <v>3.3.90.39.00-OUTROS SERVIÇOS DE TERCEIROS - PESSOA JURÍDICA</v>
      </c>
      <c r="R1840" s="25">
        <v>1</v>
      </c>
      <c r="S1840" t="s">
        <v>1035</v>
      </c>
    </row>
    <row r="1841" spans="1:19" x14ac:dyDescent="0.25">
      <c r="A1841" t="str">
        <f t="shared" si="203"/>
        <v>11</v>
      </c>
      <c r="B1841" t="str">
        <f t="shared" si="204"/>
        <v>001</v>
      </c>
      <c r="C1841" t="str">
        <f t="shared" si="205"/>
        <v>18</v>
      </c>
      <c r="D1841" t="str">
        <f t="shared" si="206"/>
        <v>544</v>
      </c>
      <c r="E1841" t="str">
        <f t="shared" si="207"/>
        <v>0005</v>
      </c>
      <c r="F1841" t="str">
        <f t="shared" si="208"/>
        <v>1.007</v>
      </c>
      <c r="G1841" t="str">
        <f t="shared" si="209"/>
        <v>4.4.90.51.00</v>
      </c>
      <c r="H1841" t="s">
        <v>1891</v>
      </c>
      <c r="I1841" t="str">
        <f t="shared" si="201"/>
        <v>11 - SECRETARIA DE SERVIÇOS E OBRAS</v>
      </c>
      <c r="J1841" t="s">
        <v>20</v>
      </c>
      <c r="K1841" t="str">
        <f t="shared" si="210"/>
        <v>18-GESTÃO AMBIENTAL</v>
      </c>
      <c r="L1841" t="str">
        <f t="shared" si="211"/>
        <v>544-RECURSOS HÍDRICOS</v>
      </c>
      <c r="M1841" t="str">
        <f t="shared" si="212"/>
        <v>0005-Resiliência Urbana​</v>
      </c>
      <c r="N1841" t="str">
        <f>F1841</f>
        <v>1.007</v>
      </c>
      <c r="O1841" t="str">
        <f t="shared" si="214"/>
        <v>4.4.90.51.00-OBRAS E INSTALAÇÕES</v>
      </c>
      <c r="R1841" s="25">
        <v>809561.8</v>
      </c>
      <c r="S1841" t="s">
        <v>1035</v>
      </c>
    </row>
    <row r="1842" spans="1:19" x14ac:dyDescent="0.25">
      <c r="A1842" t="str">
        <f t="shared" si="203"/>
        <v>11</v>
      </c>
      <c r="B1842" t="str">
        <f t="shared" si="204"/>
        <v>001</v>
      </c>
      <c r="C1842" t="str">
        <f t="shared" si="205"/>
        <v>18</v>
      </c>
      <c r="D1842" t="str">
        <f t="shared" si="206"/>
        <v>544</v>
      </c>
      <c r="E1842" t="str">
        <f t="shared" si="207"/>
        <v>0005</v>
      </c>
      <c r="F1842" t="str">
        <f t="shared" si="208"/>
        <v>1.008</v>
      </c>
      <c r="G1842" t="str">
        <f t="shared" si="209"/>
        <v>4.4.90.51.00</v>
      </c>
      <c r="H1842" t="s">
        <v>1892</v>
      </c>
      <c r="I1842" t="str">
        <f t="shared" si="201"/>
        <v>11 - SECRETARIA DE SERVIÇOS E OBRAS</v>
      </c>
      <c r="J1842" t="s">
        <v>20</v>
      </c>
      <c r="K1842" t="str">
        <f t="shared" si="210"/>
        <v>18-GESTÃO AMBIENTAL</v>
      </c>
      <c r="L1842" t="str">
        <f t="shared" si="211"/>
        <v>544-RECURSOS HÍDRICOS</v>
      </c>
      <c r="M1842" t="str">
        <f t="shared" si="212"/>
        <v>0005-Resiliência Urbana​</v>
      </c>
      <c r="N1842" t="str">
        <f>F1842</f>
        <v>1.008</v>
      </c>
      <c r="O1842" t="str">
        <f t="shared" si="214"/>
        <v>4.4.90.51.00-OBRAS E INSTALAÇÕES</v>
      </c>
      <c r="R1842" s="25">
        <v>2</v>
      </c>
      <c r="S1842" t="s">
        <v>1035</v>
      </c>
    </row>
    <row r="1843" spans="1:19" x14ac:dyDescent="0.25">
      <c r="A1843" t="str">
        <f t="shared" si="203"/>
        <v>11</v>
      </c>
      <c r="B1843" t="str">
        <f t="shared" si="204"/>
        <v>014</v>
      </c>
      <c r="C1843" t="str">
        <f t="shared" si="205"/>
        <v>04</v>
      </c>
      <c r="D1843" t="str">
        <f t="shared" si="206"/>
        <v>122</v>
      </c>
      <c r="E1843" t="str">
        <f t="shared" si="207"/>
        <v>0011</v>
      </c>
      <c r="F1843" t="str">
        <f t="shared" si="208"/>
        <v>1.003</v>
      </c>
      <c r="G1843" t="str">
        <f t="shared" si="209"/>
        <v>4.4.90.51.00</v>
      </c>
      <c r="H1843" t="s">
        <v>1893</v>
      </c>
      <c r="I1843" t="str">
        <f t="shared" si="201"/>
        <v>11 - SECRETARIA DE SERVIÇOS E OBRAS</v>
      </c>
      <c r="J1843" t="s">
        <v>474</v>
      </c>
      <c r="K1843" t="str">
        <f t="shared" si="210"/>
        <v>4-ADMINISTRAÇÃO</v>
      </c>
      <c r="L1843" t="str">
        <f t="shared" si="211"/>
        <v>122-ADMINISTRAÇÃO GERAL</v>
      </c>
      <c r="M1843" t="str">
        <f t="shared" si="212"/>
        <v>0011-Zeladoria Urbana e Cuidados com a Cidade​</v>
      </c>
      <c r="N1843" t="str">
        <f t="shared" si="213"/>
        <v>1.003-Implantação de Novas Unidades</v>
      </c>
      <c r="O1843" t="str">
        <f t="shared" si="214"/>
        <v>4.4.90.51.00-OBRAS E INSTALAÇÕES</v>
      </c>
      <c r="R1843" s="25">
        <v>385317.12000000104</v>
      </c>
      <c r="S1843" t="s">
        <v>1035</v>
      </c>
    </row>
    <row r="1844" spans="1:19" x14ac:dyDescent="0.25">
      <c r="A1844" t="str">
        <f t="shared" si="203"/>
        <v>12</v>
      </c>
      <c r="B1844" t="str">
        <f t="shared" si="204"/>
        <v>001</v>
      </c>
      <c r="C1844" t="str">
        <f t="shared" si="205"/>
        <v>04</v>
      </c>
      <c r="D1844" t="str">
        <f t="shared" si="206"/>
        <v>121</v>
      </c>
      <c r="E1844" t="str">
        <f t="shared" si="207"/>
        <v>0004</v>
      </c>
      <c r="F1844" t="str">
        <f t="shared" si="208"/>
        <v>1.001</v>
      </c>
      <c r="G1844" t="str">
        <f t="shared" si="209"/>
        <v>3.3.90.35.00</v>
      </c>
      <c r="H1844" t="s">
        <v>1894</v>
      </c>
      <c r="I1844" t="str">
        <f t="shared" si="201"/>
        <v>12 - SECRETARIA DE ESPORTE, RECREAÇÃO E LAZER</v>
      </c>
      <c r="J1844" t="s">
        <v>20</v>
      </c>
      <c r="K1844" t="str">
        <f t="shared" si="210"/>
        <v>4-ADMINISTRAÇÃO</v>
      </c>
      <c r="L1844" t="str">
        <f t="shared" si="211"/>
        <v>121-PLANEJAMENTO E ORÇAMENTO</v>
      </c>
      <c r="M1844" t="str">
        <f t="shared" si="212"/>
        <v xml:space="preserve">0004-Planejamento e Gestão de Políticas Públicas </v>
      </c>
      <c r="N1844" t="str">
        <f t="shared" si="213"/>
        <v xml:space="preserve">1.001-Estudos, Pesquisas, Planos e Projetos </v>
      </c>
      <c r="O1844" t="str">
        <f t="shared" si="214"/>
        <v>3.3.90.35.00-SERVIÇOS DE CONSULTORIA</v>
      </c>
      <c r="R1844" s="25">
        <v>1</v>
      </c>
      <c r="S1844" t="s">
        <v>1035</v>
      </c>
    </row>
    <row r="1845" spans="1:19" x14ac:dyDescent="0.25">
      <c r="A1845" t="str">
        <f t="shared" si="203"/>
        <v>12</v>
      </c>
      <c r="B1845" t="str">
        <f t="shared" si="204"/>
        <v>001</v>
      </c>
      <c r="C1845" t="str">
        <f t="shared" si="205"/>
        <v>04</v>
      </c>
      <c r="D1845" t="str">
        <f t="shared" si="206"/>
        <v>122</v>
      </c>
      <c r="E1845" t="str">
        <f t="shared" si="207"/>
        <v>0001</v>
      </c>
      <c r="F1845" t="str">
        <f t="shared" si="208"/>
        <v>2.001</v>
      </c>
      <c r="G1845" t="str">
        <f t="shared" si="209"/>
        <v>3.1.90.11.00</v>
      </c>
      <c r="H1845" t="s">
        <v>1895</v>
      </c>
      <c r="I1845" t="str">
        <f t="shared" si="201"/>
        <v>12 - SECRETARIA DE ESPORTE, RECREAÇÃO E LAZER</v>
      </c>
      <c r="J1845" t="s">
        <v>20</v>
      </c>
      <c r="K1845" t="str">
        <f t="shared" si="210"/>
        <v>4-ADMINISTRAÇÃO</v>
      </c>
      <c r="L1845" t="str">
        <f t="shared" si="211"/>
        <v>122-ADMINISTRAÇÃO GERAL</v>
      </c>
      <c r="M1845" t="str">
        <f t="shared" si="212"/>
        <v>0001-Administração e Coordenação Geral​</v>
      </c>
      <c r="N1845" t="str">
        <f t="shared" si="213"/>
        <v>2.001-Remuneração, Benefícios e Encargos</v>
      </c>
      <c r="O1845" t="str">
        <f>G1845</f>
        <v>3.1.90.11.00</v>
      </c>
      <c r="R1845" s="25">
        <v>14586441.27</v>
      </c>
      <c r="S1845" t="s">
        <v>1035</v>
      </c>
    </row>
    <row r="1846" spans="1:19" x14ac:dyDescent="0.25">
      <c r="A1846" t="str">
        <f t="shared" si="203"/>
        <v>12</v>
      </c>
      <c r="B1846" t="str">
        <f t="shared" si="204"/>
        <v>001</v>
      </c>
      <c r="C1846" t="str">
        <f t="shared" si="205"/>
        <v>04</v>
      </c>
      <c r="D1846" t="str">
        <f t="shared" si="206"/>
        <v>122</v>
      </c>
      <c r="E1846" t="str">
        <f t="shared" si="207"/>
        <v>0001</v>
      </c>
      <c r="F1846" t="str">
        <f t="shared" si="208"/>
        <v>2.001</v>
      </c>
      <c r="G1846" t="str">
        <f t="shared" si="209"/>
        <v>3.1.90.13.00</v>
      </c>
      <c r="H1846" t="s">
        <v>1896</v>
      </c>
      <c r="I1846" t="str">
        <f t="shared" si="201"/>
        <v>12 - SECRETARIA DE ESPORTE, RECREAÇÃO E LAZER</v>
      </c>
      <c r="J1846" t="s">
        <v>20</v>
      </c>
      <c r="K1846" t="str">
        <f t="shared" si="210"/>
        <v>4-ADMINISTRAÇÃO</v>
      </c>
      <c r="L1846" t="str">
        <f t="shared" si="211"/>
        <v>122-ADMINISTRAÇÃO GERAL</v>
      </c>
      <c r="M1846" t="str">
        <f t="shared" si="212"/>
        <v>0001-Administração e Coordenação Geral​</v>
      </c>
      <c r="N1846" t="str">
        <f t="shared" si="213"/>
        <v>2.001-Remuneração, Benefícios e Encargos</v>
      </c>
      <c r="O1846" t="str">
        <f>G1846</f>
        <v>3.1.90.13.00</v>
      </c>
      <c r="R1846" s="25">
        <v>1228912.97</v>
      </c>
      <c r="S1846" t="s">
        <v>1035</v>
      </c>
    </row>
    <row r="1847" spans="1:19" x14ac:dyDescent="0.25">
      <c r="A1847" t="str">
        <f t="shared" si="203"/>
        <v>12</v>
      </c>
      <c r="B1847" t="str">
        <f t="shared" si="204"/>
        <v>001</v>
      </c>
      <c r="C1847" t="str">
        <f t="shared" si="205"/>
        <v>04</v>
      </c>
      <c r="D1847" t="str">
        <f t="shared" si="206"/>
        <v>122</v>
      </c>
      <c r="E1847" t="str">
        <f t="shared" si="207"/>
        <v>0001</v>
      </c>
      <c r="F1847" t="str">
        <f t="shared" si="208"/>
        <v>2.001</v>
      </c>
      <c r="G1847" t="str">
        <f t="shared" si="209"/>
        <v>3.1.91.13.00</v>
      </c>
      <c r="H1847" t="s">
        <v>1897</v>
      </c>
      <c r="I1847" t="str">
        <f t="shared" si="201"/>
        <v>12 - SECRETARIA DE ESPORTE, RECREAÇÃO E LAZER</v>
      </c>
      <c r="J1847" t="s">
        <v>20</v>
      </c>
      <c r="K1847" t="str">
        <f t="shared" si="210"/>
        <v>4-ADMINISTRAÇÃO</v>
      </c>
      <c r="L1847" t="str">
        <f t="shared" si="211"/>
        <v>122-ADMINISTRAÇÃO GERAL</v>
      </c>
      <c r="M1847" t="str">
        <f t="shared" si="212"/>
        <v>0001-Administração e Coordenação Geral​</v>
      </c>
      <c r="N1847" t="str">
        <f t="shared" si="213"/>
        <v>2.001-Remuneração, Benefícios e Encargos</v>
      </c>
      <c r="O1847" t="str">
        <f>G1847</f>
        <v>3.1.91.13.00</v>
      </c>
      <c r="R1847" s="25">
        <v>1986891.85</v>
      </c>
      <c r="S1847" t="s">
        <v>1035</v>
      </c>
    </row>
    <row r="1848" spans="1:19" x14ac:dyDescent="0.25">
      <c r="A1848" t="str">
        <f t="shared" si="203"/>
        <v>12</v>
      </c>
      <c r="B1848" t="str">
        <f t="shared" si="204"/>
        <v>001</v>
      </c>
      <c r="C1848" t="str">
        <f t="shared" si="205"/>
        <v>04</v>
      </c>
      <c r="D1848" t="str">
        <f t="shared" si="206"/>
        <v>122</v>
      </c>
      <c r="E1848" t="str">
        <f t="shared" si="207"/>
        <v>0001</v>
      </c>
      <c r="F1848" t="str">
        <f t="shared" si="208"/>
        <v>2.001</v>
      </c>
      <c r="G1848" t="str">
        <f t="shared" si="209"/>
        <v>3.3.90.46.00</v>
      </c>
      <c r="H1848" t="s">
        <v>1898</v>
      </c>
      <c r="I1848" t="str">
        <f t="shared" si="201"/>
        <v>12 - SECRETARIA DE ESPORTE, RECREAÇÃO E LAZER</v>
      </c>
      <c r="J1848" t="s">
        <v>20</v>
      </c>
      <c r="K1848" t="str">
        <f t="shared" si="210"/>
        <v>4-ADMINISTRAÇÃO</v>
      </c>
      <c r="L1848" t="str">
        <f t="shared" si="211"/>
        <v>122-ADMINISTRAÇÃO GERAL</v>
      </c>
      <c r="M1848" t="str">
        <f t="shared" si="212"/>
        <v>0001-Administração e Coordenação Geral​</v>
      </c>
      <c r="N1848" t="str">
        <f t="shared" si="213"/>
        <v>2.001-Remuneração, Benefícios e Encargos</v>
      </c>
      <c r="O1848" t="str">
        <f>G1848</f>
        <v>3.3.90.46.00</v>
      </c>
      <c r="R1848" s="25">
        <v>2.11</v>
      </c>
      <c r="S1848" t="s">
        <v>1035</v>
      </c>
    </row>
    <row r="1849" spans="1:19" x14ac:dyDescent="0.25">
      <c r="A1849" t="str">
        <f t="shared" si="203"/>
        <v>12</v>
      </c>
      <c r="B1849" t="str">
        <f t="shared" si="204"/>
        <v>001</v>
      </c>
      <c r="C1849" t="str">
        <f t="shared" si="205"/>
        <v>04</v>
      </c>
      <c r="D1849" t="str">
        <f t="shared" si="206"/>
        <v>122</v>
      </c>
      <c r="E1849" t="str">
        <f t="shared" si="207"/>
        <v>0001</v>
      </c>
      <c r="F1849" t="str">
        <f t="shared" si="208"/>
        <v>2.001</v>
      </c>
      <c r="G1849" t="str">
        <f t="shared" si="209"/>
        <v>3.3.90.49.00</v>
      </c>
      <c r="H1849" t="s">
        <v>1899</v>
      </c>
      <c r="I1849" t="str">
        <f t="shared" si="201"/>
        <v>12 - SECRETARIA DE ESPORTE, RECREAÇÃO E LAZER</v>
      </c>
      <c r="J1849" t="s">
        <v>20</v>
      </c>
      <c r="K1849" t="str">
        <f t="shared" si="210"/>
        <v>4-ADMINISTRAÇÃO</v>
      </c>
      <c r="L1849" t="str">
        <f t="shared" si="211"/>
        <v>122-ADMINISTRAÇÃO GERAL</v>
      </c>
      <c r="M1849" t="str">
        <f t="shared" si="212"/>
        <v>0001-Administração e Coordenação Geral​</v>
      </c>
      <c r="N1849" t="str">
        <f t="shared" si="213"/>
        <v>2.001-Remuneração, Benefícios e Encargos</v>
      </c>
      <c r="O1849" t="str">
        <f>G1849</f>
        <v>3.3.90.49.00</v>
      </c>
      <c r="R1849" s="25">
        <v>160614.35999999999</v>
      </c>
      <c r="S1849" t="s">
        <v>1035</v>
      </c>
    </row>
    <row r="1850" spans="1:19" x14ac:dyDescent="0.25">
      <c r="A1850" t="str">
        <f t="shared" si="203"/>
        <v>12</v>
      </c>
      <c r="B1850" t="str">
        <f t="shared" si="204"/>
        <v>001</v>
      </c>
      <c r="C1850" t="str">
        <f t="shared" si="205"/>
        <v>27</v>
      </c>
      <c r="D1850" t="str">
        <f t="shared" si="206"/>
        <v>812</v>
      </c>
      <c r="E1850" t="str">
        <f t="shared" si="207"/>
        <v>0010</v>
      </c>
      <c r="F1850" t="str">
        <f t="shared" si="208"/>
        <v>1.002</v>
      </c>
      <c r="G1850" t="str">
        <f t="shared" si="209"/>
        <v>3.3.90.39.00</v>
      </c>
      <c r="H1850" t="s">
        <v>1900</v>
      </c>
      <c r="I1850" t="str">
        <f t="shared" si="201"/>
        <v>12 - SECRETARIA DE ESPORTE, RECREAÇÃO E LAZER</v>
      </c>
      <c r="J1850" t="s">
        <v>20</v>
      </c>
      <c r="K1850" t="str">
        <f t="shared" si="210"/>
        <v>27-DESPORTO E LAZER</v>
      </c>
      <c r="L1850" t="str">
        <f t="shared" si="211"/>
        <v>812-DESPORTO COMUNITÁRIO</v>
      </c>
      <c r="M1850" t="str">
        <f t="shared" si="212"/>
        <v>0010-Esporte, Lazer e Bem-Estar​</v>
      </c>
      <c r="N1850" t="str">
        <f t="shared" si="213"/>
        <v>1.002-Reforma e Ampliação de Unidades</v>
      </c>
      <c r="O1850" t="str">
        <f t="shared" si="214"/>
        <v>3.3.90.39.00-OUTROS SERVIÇOS DE TERCEIROS - PESSOA JURÍDICA</v>
      </c>
      <c r="R1850" s="25">
        <v>3</v>
      </c>
      <c r="S1850" t="s">
        <v>1035</v>
      </c>
    </row>
    <row r="1851" spans="1:19" x14ac:dyDescent="0.25">
      <c r="A1851" t="str">
        <f t="shared" si="203"/>
        <v>12</v>
      </c>
      <c r="B1851" t="str">
        <f t="shared" si="204"/>
        <v>001</v>
      </c>
      <c r="C1851" t="str">
        <f t="shared" si="205"/>
        <v>27</v>
      </c>
      <c r="D1851" t="str">
        <f t="shared" si="206"/>
        <v>812</v>
      </c>
      <c r="E1851" t="str">
        <f t="shared" si="207"/>
        <v>0010</v>
      </c>
      <c r="F1851" t="str">
        <f t="shared" si="208"/>
        <v>1.002</v>
      </c>
      <c r="G1851" t="str">
        <f t="shared" si="209"/>
        <v>4.4.90.51.00</v>
      </c>
      <c r="H1851" t="s">
        <v>1901</v>
      </c>
      <c r="I1851" t="str">
        <f t="shared" si="201"/>
        <v>12 - SECRETARIA DE ESPORTE, RECREAÇÃO E LAZER</v>
      </c>
      <c r="J1851" t="s">
        <v>20</v>
      </c>
      <c r="K1851" t="str">
        <f t="shared" si="210"/>
        <v>27-DESPORTO E LAZER</v>
      </c>
      <c r="L1851" t="str">
        <f t="shared" si="211"/>
        <v>812-DESPORTO COMUNITÁRIO</v>
      </c>
      <c r="M1851" t="str">
        <f t="shared" si="212"/>
        <v>0010-Esporte, Lazer e Bem-Estar​</v>
      </c>
      <c r="N1851" t="str">
        <f t="shared" si="213"/>
        <v>1.002-Reforma e Ampliação de Unidades</v>
      </c>
      <c r="O1851" t="str">
        <f t="shared" si="214"/>
        <v>4.4.90.51.00-OBRAS E INSTALAÇÕES</v>
      </c>
      <c r="R1851" s="25">
        <v>1</v>
      </c>
      <c r="S1851" t="s">
        <v>1035</v>
      </c>
    </row>
    <row r="1852" spans="1:19" x14ac:dyDescent="0.25">
      <c r="A1852" t="str">
        <f t="shared" si="203"/>
        <v>12</v>
      </c>
      <c r="B1852" t="str">
        <f t="shared" si="204"/>
        <v>001</v>
      </c>
      <c r="C1852" t="str">
        <f t="shared" si="205"/>
        <v>27</v>
      </c>
      <c r="D1852" t="str">
        <f t="shared" si="206"/>
        <v>812</v>
      </c>
      <c r="E1852" t="str">
        <f t="shared" si="207"/>
        <v>0010</v>
      </c>
      <c r="F1852" t="str">
        <f t="shared" si="208"/>
        <v>1.003</v>
      </c>
      <c r="G1852" t="str">
        <f t="shared" si="209"/>
        <v>3.3.90.39.00</v>
      </c>
      <c r="H1852" t="s">
        <v>1902</v>
      </c>
      <c r="I1852" t="str">
        <f t="shared" si="201"/>
        <v>12 - SECRETARIA DE ESPORTE, RECREAÇÃO E LAZER</v>
      </c>
      <c r="J1852" t="s">
        <v>20</v>
      </c>
      <c r="K1852" t="str">
        <f t="shared" si="210"/>
        <v>27-DESPORTO E LAZER</v>
      </c>
      <c r="L1852" t="str">
        <f t="shared" si="211"/>
        <v>812-DESPORTO COMUNITÁRIO</v>
      </c>
      <c r="M1852" t="str">
        <f t="shared" si="212"/>
        <v>0010-Esporte, Lazer e Bem-Estar​</v>
      </c>
      <c r="N1852" t="str">
        <f t="shared" si="213"/>
        <v>1.003-Implantação de Novas Unidades</v>
      </c>
      <c r="O1852" t="str">
        <f t="shared" si="214"/>
        <v>3.3.90.39.00-OUTROS SERVIÇOS DE TERCEIROS - PESSOA JURÍDICA</v>
      </c>
      <c r="R1852" s="25">
        <v>1</v>
      </c>
      <c r="S1852" t="s">
        <v>1035</v>
      </c>
    </row>
    <row r="1853" spans="1:19" x14ac:dyDescent="0.25">
      <c r="A1853" t="str">
        <f t="shared" si="203"/>
        <v>12</v>
      </c>
      <c r="B1853" t="str">
        <f t="shared" si="204"/>
        <v>001</v>
      </c>
      <c r="C1853" t="str">
        <f t="shared" si="205"/>
        <v>27</v>
      </c>
      <c r="D1853" t="str">
        <f t="shared" si="206"/>
        <v>812</v>
      </c>
      <c r="E1853" t="str">
        <f t="shared" si="207"/>
        <v>0010</v>
      </c>
      <c r="F1853" t="str">
        <f t="shared" si="208"/>
        <v>1.003</v>
      </c>
      <c r="G1853" t="str">
        <f t="shared" si="209"/>
        <v>4.4.90.51.00</v>
      </c>
      <c r="H1853" t="s">
        <v>1903</v>
      </c>
      <c r="I1853" t="str">
        <f t="shared" si="201"/>
        <v>12 - SECRETARIA DE ESPORTE, RECREAÇÃO E LAZER</v>
      </c>
      <c r="J1853" t="s">
        <v>20</v>
      </c>
      <c r="K1853" t="str">
        <f t="shared" si="210"/>
        <v>27-DESPORTO E LAZER</v>
      </c>
      <c r="L1853" t="str">
        <f t="shared" si="211"/>
        <v>812-DESPORTO COMUNITÁRIO</v>
      </c>
      <c r="M1853" t="str">
        <f t="shared" si="212"/>
        <v>0010-Esporte, Lazer e Bem-Estar​</v>
      </c>
      <c r="N1853" t="str">
        <f t="shared" si="213"/>
        <v>1.003-Implantação de Novas Unidades</v>
      </c>
      <c r="O1853" t="str">
        <f t="shared" si="214"/>
        <v>4.4.90.51.00-OBRAS E INSTALAÇÕES</v>
      </c>
      <c r="R1853" s="25">
        <v>1</v>
      </c>
      <c r="S1853" t="s">
        <v>1035</v>
      </c>
    </row>
    <row r="1854" spans="1:19" x14ac:dyDescent="0.25">
      <c r="A1854" t="str">
        <f t="shared" si="203"/>
        <v>13</v>
      </c>
      <c r="B1854" t="str">
        <f t="shared" si="204"/>
        <v>001</v>
      </c>
      <c r="C1854" t="str">
        <f t="shared" si="205"/>
        <v>04</v>
      </c>
      <c r="D1854" t="str">
        <f t="shared" si="206"/>
        <v>121</v>
      </c>
      <c r="E1854" t="str">
        <f t="shared" si="207"/>
        <v>0004</v>
      </c>
      <c r="F1854" t="str">
        <f t="shared" si="208"/>
        <v>1.001</v>
      </c>
      <c r="G1854" t="str">
        <f t="shared" si="209"/>
        <v>3.3.90.35.00</v>
      </c>
      <c r="H1854" t="s">
        <v>1904</v>
      </c>
      <c r="I1854" t="str">
        <f t="shared" si="201"/>
        <v>13 - SECRETARIA DE HABITAÇÃO</v>
      </c>
      <c r="J1854" t="s">
        <v>20</v>
      </c>
      <c r="K1854" t="str">
        <f t="shared" si="210"/>
        <v>4-ADMINISTRAÇÃO</v>
      </c>
      <c r="L1854" t="str">
        <f t="shared" si="211"/>
        <v>121-PLANEJAMENTO E ORÇAMENTO</v>
      </c>
      <c r="M1854" t="str">
        <f t="shared" si="212"/>
        <v xml:space="preserve">0004-Planejamento e Gestão de Políticas Públicas </v>
      </c>
      <c r="N1854" t="str">
        <f t="shared" si="213"/>
        <v xml:space="preserve">1.001-Estudos, Pesquisas, Planos e Projetos </v>
      </c>
      <c r="O1854" t="str">
        <f t="shared" si="214"/>
        <v>3.3.90.35.00-SERVIÇOS DE CONSULTORIA</v>
      </c>
      <c r="R1854" s="25">
        <v>1</v>
      </c>
      <c r="S1854" t="s">
        <v>1035</v>
      </c>
    </row>
    <row r="1855" spans="1:19" x14ac:dyDescent="0.25">
      <c r="A1855" t="str">
        <f t="shared" si="203"/>
        <v>13</v>
      </c>
      <c r="B1855" t="str">
        <f t="shared" si="204"/>
        <v>001</v>
      </c>
      <c r="C1855" t="str">
        <f t="shared" si="205"/>
        <v>04</v>
      </c>
      <c r="D1855" t="str">
        <f t="shared" si="206"/>
        <v>122</v>
      </c>
      <c r="E1855" t="str">
        <f t="shared" si="207"/>
        <v>0001</v>
      </c>
      <c r="F1855" t="str">
        <f t="shared" si="208"/>
        <v>1.002</v>
      </c>
      <c r="G1855" t="str">
        <f t="shared" si="209"/>
        <v>3.3.90.39.00</v>
      </c>
      <c r="H1855" t="s">
        <v>1905</v>
      </c>
      <c r="I1855" t="str">
        <f t="shared" ref="I1855:I1904" si="215">VLOOKUP(A1855,$A$1:$O$994,9,0)</f>
        <v>13 - SECRETARIA DE HABITAÇÃO</v>
      </c>
      <c r="J1855" t="s">
        <v>20</v>
      </c>
      <c r="K1855" t="str">
        <f t="shared" si="210"/>
        <v>4-ADMINISTRAÇÃO</v>
      </c>
      <c r="L1855" t="str">
        <f t="shared" si="211"/>
        <v>122-ADMINISTRAÇÃO GERAL</v>
      </c>
      <c r="M1855" t="str">
        <f t="shared" si="212"/>
        <v>0001-Administração e Coordenação Geral​</v>
      </c>
      <c r="N1855" t="str">
        <f t="shared" si="213"/>
        <v>1.002-Reforma e Ampliação de Unidades</v>
      </c>
      <c r="O1855" t="str">
        <f t="shared" si="214"/>
        <v>3.3.90.39.00-OUTROS SERVIÇOS DE TERCEIROS - PESSOA JURÍDICA</v>
      </c>
      <c r="R1855" s="25">
        <v>1</v>
      </c>
      <c r="S1855" t="s">
        <v>1035</v>
      </c>
    </row>
    <row r="1856" spans="1:19" x14ac:dyDescent="0.25">
      <c r="A1856" t="str">
        <f t="shared" si="203"/>
        <v>13</v>
      </c>
      <c r="B1856" t="str">
        <f t="shared" si="204"/>
        <v>001</v>
      </c>
      <c r="C1856" t="str">
        <f t="shared" si="205"/>
        <v>04</v>
      </c>
      <c r="D1856" t="str">
        <f t="shared" si="206"/>
        <v>122</v>
      </c>
      <c r="E1856" t="str">
        <f t="shared" si="207"/>
        <v>0001</v>
      </c>
      <c r="F1856" t="str">
        <f t="shared" si="208"/>
        <v>2.001</v>
      </c>
      <c r="G1856" t="str">
        <f t="shared" si="209"/>
        <v>3.1.90.11.00</v>
      </c>
      <c r="H1856" t="s">
        <v>1906</v>
      </c>
      <c r="I1856" t="str">
        <f t="shared" si="215"/>
        <v>13 - SECRETARIA DE HABITAÇÃO</v>
      </c>
      <c r="J1856" t="s">
        <v>20</v>
      </c>
      <c r="K1856" t="str">
        <f t="shared" si="210"/>
        <v>4-ADMINISTRAÇÃO</v>
      </c>
      <c r="L1856" t="str">
        <f t="shared" si="211"/>
        <v>122-ADMINISTRAÇÃO GERAL</v>
      </c>
      <c r="M1856" t="str">
        <f t="shared" si="212"/>
        <v>0001-Administração e Coordenação Geral​</v>
      </c>
      <c r="N1856" t="str">
        <f t="shared" si="213"/>
        <v>2.001-Remuneração, Benefícios e Encargos</v>
      </c>
      <c r="O1856" t="str">
        <f>G1856</f>
        <v>3.1.90.11.00</v>
      </c>
      <c r="R1856" s="25">
        <v>13887930.15</v>
      </c>
      <c r="S1856" t="s">
        <v>1035</v>
      </c>
    </row>
    <row r="1857" spans="1:19" x14ac:dyDescent="0.25">
      <c r="A1857" t="str">
        <f t="shared" si="203"/>
        <v>13</v>
      </c>
      <c r="B1857" t="str">
        <f t="shared" si="204"/>
        <v>001</v>
      </c>
      <c r="C1857" t="str">
        <f t="shared" si="205"/>
        <v>04</v>
      </c>
      <c r="D1857" t="str">
        <f t="shared" si="206"/>
        <v>122</v>
      </c>
      <c r="E1857" t="str">
        <f t="shared" si="207"/>
        <v>0001</v>
      </c>
      <c r="F1857" t="str">
        <f t="shared" si="208"/>
        <v>2.001</v>
      </c>
      <c r="G1857" t="str">
        <f t="shared" si="209"/>
        <v>3.1.90.13.00</v>
      </c>
      <c r="H1857" t="s">
        <v>1907</v>
      </c>
      <c r="I1857" t="str">
        <f t="shared" si="215"/>
        <v>13 - SECRETARIA DE HABITAÇÃO</v>
      </c>
      <c r="J1857" t="s">
        <v>20</v>
      </c>
      <c r="K1857" t="str">
        <f t="shared" si="210"/>
        <v>4-ADMINISTRAÇÃO</v>
      </c>
      <c r="L1857" t="str">
        <f t="shared" si="211"/>
        <v>122-ADMINISTRAÇÃO GERAL</v>
      </c>
      <c r="M1857" t="str">
        <f t="shared" si="212"/>
        <v>0001-Administração e Coordenação Geral​</v>
      </c>
      <c r="N1857" t="str">
        <f t="shared" si="213"/>
        <v>2.001-Remuneração, Benefícios e Encargos</v>
      </c>
      <c r="O1857" t="str">
        <f>G1857</f>
        <v>3.1.90.13.00</v>
      </c>
      <c r="R1857" s="25">
        <v>1477097.15</v>
      </c>
      <c r="S1857" t="s">
        <v>1035</v>
      </c>
    </row>
    <row r="1858" spans="1:19" x14ac:dyDescent="0.25">
      <c r="A1858" t="str">
        <f t="shared" si="203"/>
        <v>13</v>
      </c>
      <c r="B1858" t="str">
        <f t="shared" si="204"/>
        <v>001</v>
      </c>
      <c r="C1858" t="str">
        <f t="shared" si="205"/>
        <v>04</v>
      </c>
      <c r="D1858" t="str">
        <f t="shared" si="206"/>
        <v>122</v>
      </c>
      <c r="E1858" t="str">
        <f t="shared" si="207"/>
        <v>0001</v>
      </c>
      <c r="F1858" t="str">
        <f t="shared" si="208"/>
        <v>2.001</v>
      </c>
      <c r="G1858" t="str">
        <f t="shared" si="209"/>
        <v>3.1.91.13.00</v>
      </c>
      <c r="H1858" t="s">
        <v>1908</v>
      </c>
      <c r="I1858" t="str">
        <f t="shared" si="215"/>
        <v>13 - SECRETARIA DE HABITAÇÃO</v>
      </c>
      <c r="J1858" t="s">
        <v>20</v>
      </c>
      <c r="K1858" t="str">
        <f t="shared" si="210"/>
        <v>4-ADMINISTRAÇÃO</v>
      </c>
      <c r="L1858" t="str">
        <f t="shared" si="211"/>
        <v>122-ADMINISTRAÇÃO GERAL</v>
      </c>
      <c r="M1858" t="str">
        <f t="shared" si="212"/>
        <v>0001-Administração e Coordenação Geral​</v>
      </c>
      <c r="N1858" t="str">
        <f t="shared" si="213"/>
        <v>2.001-Remuneração, Benefícios e Encargos</v>
      </c>
      <c r="O1858" t="str">
        <f>G1858</f>
        <v>3.1.91.13.00</v>
      </c>
      <c r="R1858" s="25">
        <v>1166361.26</v>
      </c>
      <c r="S1858" t="s">
        <v>1035</v>
      </c>
    </row>
    <row r="1859" spans="1:19" x14ac:dyDescent="0.25">
      <c r="A1859" t="str">
        <f t="shared" si="203"/>
        <v>13</v>
      </c>
      <c r="B1859" t="str">
        <f t="shared" si="204"/>
        <v>001</v>
      </c>
      <c r="C1859" t="str">
        <f t="shared" si="205"/>
        <v>04</v>
      </c>
      <c r="D1859" t="str">
        <f t="shared" si="206"/>
        <v>122</v>
      </c>
      <c r="E1859" t="str">
        <f t="shared" si="207"/>
        <v>0001</v>
      </c>
      <c r="F1859" t="str">
        <f t="shared" si="208"/>
        <v>2.001</v>
      </c>
      <c r="G1859" t="str">
        <f t="shared" si="209"/>
        <v>3.3.90.46.00</v>
      </c>
      <c r="H1859" t="s">
        <v>1909</v>
      </c>
      <c r="I1859" t="str">
        <f t="shared" si="215"/>
        <v>13 - SECRETARIA DE HABITAÇÃO</v>
      </c>
      <c r="J1859" t="s">
        <v>20</v>
      </c>
      <c r="K1859" t="str">
        <f t="shared" si="210"/>
        <v>4-ADMINISTRAÇÃO</v>
      </c>
      <c r="L1859" t="str">
        <f t="shared" si="211"/>
        <v>122-ADMINISTRAÇÃO GERAL</v>
      </c>
      <c r="M1859" t="str">
        <f t="shared" si="212"/>
        <v>0001-Administração e Coordenação Geral​</v>
      </c>
      <c r="N1859" t="str">
        <f t="shared" si="213"/>
        <v>2.001-Remuneração, Benefícios e Encargos</v>
      </c>
      <c r="O1859" t="str">
        <f>G1859</f>
        <v>3.3.90.46.00</v>
      </c>
      <c r="R1859" s="25">
        <v>2.1800000000000002</v>
      </c>
      <c r="S1859" t="s">
        <v>1035</v>
      </c>
    </row>
    <row r="1860" spans="1:19" x14ac:dyDescent="0.25">
      <c r="A1860" t="str">
        <f t="shared" si="203"/>
        <v>13</v>
      </c>
      <c r="B1860" t="str">
        <f t="shared" si="204"/>
        <v>001</v>
      </c>
      <c r="C1860" t="str">
        <f t="shared" si="205"/>
        <v>04</v>
      </c>
      <c r="D1860" t="str">
        <f t="shared" si="206"/>
        <v>122</v>
      </c>
      <c r="E1860" t="str">
        <f t="shared" si="207"/>
        <v>0001</v>
      </c>
      <c r="F1860" t="str">
        <f t="shared" si="208"/>
        <v>2.001</v>
      </c>
      <c r="G1860" t="str">
        <f t="shared" si="209"/>
        <v>3.3.90.49.00</v>
      </c>
      <c r="H1860" t="s">
        <v>1910</v>
      </c>
      <c r="I1860" t="str">
        <f t="shared" si="215"/>
        <v>13 - SECRETARIA DE HABITAÇÃO</v>
      </c>
      <c r="J1860" t="s">
        <v>20</v>
      </c>
      <c r="K1860" t="str">
        <f t="shared" si="210"/>
        <v>4-ADMINISTRAÇÃO</v>
      </c>
      <c r="L1860" t="str">
        <f t="shared" si="211"/>
        <v>122-ADMINISTRAÇÃO GERAL</v>
      </c>
      <c r="M1860" t="str">
        <f t="shared" si="212"/>
        <v>0001-Administração e Coordenação Geral​</v>
      </c>
      <c r="N1860" t="str">
        <f t="shared" si="213"/>
        <v>2.001-Remuneração, Benefícios e Encargos</v>
      </c>
      <c r="O1860" t="str">
        <f>G1860</f>
        <v>3.3.90.49.00</v>
      </c>
      <c r="R1860" s="25">
        <v>65720.88</v>
      </c>
      <c r="S1860" t="s">
        <v>1035</v>
      </c>
    </row>
    <row r="1861" spans="1:19" x14ac:dyDescent="0.25">
      <c r="A1861" t="str">
        <f t="shared" si="203"/>
        <v>13</v>
      </c>
      <c r="B1861" t="str">
        <f t="shared" si="204"/>
        <v>001</v>
      </c>
      <c r="C1861" t="str">
        <f t="shared" si="205"/>
        <v>15</v>
      </c>
      <c r="D1861" t="str">
        <f t="shared" si="206"/>
        <v>451</v>
      </c>
      <c r="E1861" t="str">
        <f t="shared" si="207"/>
        <v>0005</v>
      </c>
      <c r="F1861" t="str">
        <f t="shared" si="208"/>
        <v>1.009</v>
      </c>
      <c r="G1861" t="str">
        <f t="shared" si="209"/>
        <v>4.4.90.51.00</v>
      </c>
      <c r="H1861" t="s">
        <v>1911</v>
      </c>
      <c r="I1861" t="str">
        <f t="shared" si="215"/>
        <v>13 - SECRETARIA DE HABITAÇÃO</v>
      </c>
      <c r="J1861" t="s">
        <v>20</v>
      </c>
      <c r="K1861" t="str">
        <f t="shared" si="210"/>
        <v>15-URBANISMO</v>
      </c>
      <c r="L1861" t="str">
        <f t="shared" si="211"/>
        <v>451-INFRA-ESTRUTURA URBANA</v>
      </c>
      <c r="M1861" t="str">
        <f t="shared" si="212"/>
        <v>0005-Resiliência Urbana​</v>
      </c>
      <c r="N1861" t="str">
        <f t="shared" si="213"/>
        <v xml:space="preserve">1.009-Urbanização de Favelas e Comunidades </v>
      </c>
      <c r="O1861" t="str">
        <f t="shared" si="214"/>
        <v>4.4.90.51.00-OBRAS E INSTALAÇÕES</v>
      </c>
      <c r="R1861" s="25">
        <v>798099.79</v>
      </c>
      <c r="S1861" t="s">
        <v>1035</v>
      </c>
    </row>
    <row r="1862" spans="1:19" x14ac:dyDescent="0.25">
      <c r="A1862" t="str">
        <f t="shared" si="203"/>
        <v>13</v>
      </c>
      <c r="B1862" t="str">
        <f t="shared" si="204"/>
        <v>001</v>
      </c>
      <c r="C1862" t="str">
        <f t="shared" si="205"/>
        <v>16</v>
      </c>
      <c r="D1862" t="str">
        <f t="shared" si="206"/>
        <v>482</v>
      </c>
      <c r="E1862" t="str">
        <f t="shared" si="207"/>
        <v>0012</v>
      </c>
      <c r="F1862" t="str">
        <f t="shared" si="208"/>
        <v>1.009</v>
      </c>
      <c r="G1862" t="str">
        <f t="shared" si="209"/>
        <v>4.4.90.51.00</v>
      </c>
      <c r="H1862" t="s">
        <v>1912</v>
      </c>
      <c r="I1862" t="str">
        <f t="shared" si="215"/>
        <v>13 - SECRETARIA DE HABITAÇÃO</v>
      </c>
      <c r="J1862" t="s">
        <v>20</v>
      </c>
      <c r="K1862" t="str">
        <f t="shared" si="210"/>
        <v>16-HABITAÇÃO</v>
      </c>
      <c r="L1862" t="str">
        <f t="shared" si="211"/>
        <v>482-HABITAÇÃO URBANA</v>
      </c>
      <c r="M1862" t="str">
        <f t="shared" si="212"/>
        <v>0012-Moradia Digna​</v>
      </c>
      <c r="N1862" t="str">
        <f t="shared" si="213"/>
        <v xml:space="preserve">1.009-Urbanização de Favelas e Comunidades </v>
      </c>
      <c r="O1862" t="str">
        <f t="shared" si="214"/>
        <v>4.4.90.51.00-OBRAS E INSTALAÇÕES</v>
      </c>
      <c r="R1862" s="25">
        <v>18831833</v>
      </c>
      <c r="S1862" t="s">
        <v>1035</v>
      </c>
    </row>
    <row r="1863" spans="1:19" x14ac:dyDescent="0.25">
      <c r="A1863" t="str">
        <f t="shared" si="203"/>
        <v>13</v>
      </c>
      <c r="B1863" t="str">
        <f t="shared" si="204"/>
        <v>001</v>
      </c>
      <c r="C1863" t="str">
        <f t="shared" si="205"/>
        <v>16</v>
      </c>
      <c r="D1863" t="str">
        <f t="shared" si="206"/>
        <v>482</v>
      </c>
      <c r="E1863" t="str">
        <f t="shared" si="207"/>
        <v>0012</v>
      </c>
      <c r="F1863" t="str">
        <f t="shared" si="208"/>
        <v>1.009</v>
      </c>
      <c r="G1863" t="str">
        <f t="shared" si="209"/>
        <v>4.4.90.52.00</v>
      </c>
      <c r="H1863" t="s">
        <v>1913</v>
      </c>
      <c r="I1863" t="str">
        <f t="shared" si="215"/>
        <v>13 - SECRETARIA DE HABITAÇÃO</v>
      </c>
      <c r="J1863" t="s">
        <v>20</v>
      </c>
      <c r="K1863" t="str">
        <f t="shared" si="210"/>
        <v>16-HABITAÇÃO</v>
      </c>
      <c r="L1863" t="str">
        <f t="shared" si="211"/>
        <v>482-HABITAÇÃO URBANA</v>
      </c>
      <c r="M1863" t="str">
        <f t="shared" si="212"/>
        <v>0012-Moradia Digna​</v>
      </c>
      <c r="N1863" t="str">
        <f t="shared" si="213"/>
        <v xml:space="preserve">1.009-Urbanização de Favelas e Comunidades </v>
      </c>
      <c r="O1863" t="str">
        <f t="shared" si="214"/>
        <v>4.4.90.52.00-EQUIPAMENTOS E MATERIAL PERMANENTE</v>
      </c>
      <c r="R1863" s="25">
        <v>0</v>
      </c>
      <c r="S1863" t="s">
        <v>1035</v>
      </c>
    </row>
    <row r="1864" spans="1:19" x14ac:dyDescent="0.25">
      <c r="A1864" t="str">
        <f t="shared" si="203"/>
        <v>13</v>
      </c>
      <c r="B1864" t="str">
        <f t="shared" si="204"/>
        <v>001</v>
      </c>
      <c r="C1864" t="str">
        <f t="shared" si="205"/>
        <v>16</v>
      </c>
      <c r="D1864" t="str">
        <f t="shared" si="206"/>
        <v>482</v>
      </c>
      <c r="E1864" t="str">
        <f t="shared" si="207"/>
        <v>0012</v>
      </c>
      <c r="F1864" t="str">
        <f t="shared" si="208"/>
        <v>1.010</v>
      </c>
      <c r="G1864" t="str">
        <f t="shared" si="209"/>
        <v>4.4.90.51.00</v>
      </c>
      <c r="H1864" t="s">
        <v>1914</v>
      </c>
      <c r="I1864" t="str">
        <f t="shared" si="215"/>
        <v>13 - SECRETARIA DE HABITAÇÃO</v>
      </c>
      <c r="J1864" t="s">
        <v>20</v>
      </c>
      <c r="K1864" t="str">
        <f t="shared" si="210"/>
        <v>16-HABITAÇÃO</v>
      </c>
      <c r="L1864" t="str">
        <f t="shared" si="211"/>
        <v>482-HABITAÇÃO URBANA</v>
      </c>
      <c r="M1864" t="str">
        <f t="shared" si="212"/>
        <v>0012-Moradia Digna​</v>
      </c>
      <c r="N1864" t="str">
        <f t="shared" si="213"/>
        <v>1.010-Requalificação de Favelas e Comunidades</v>
      </c>
      <c r="O1864" t="str">
        <f t="shared" si="214"/>
        <v>4.4.90.51.00-OBRAS E INSTALAÇÕES</v>
      </c>
      <c r="R1864" s="25">
        <v>9164000</v>
      </c>
      <c r="S1864" t="s">
        <v>1035</v>
      </c>
    </row>
    <row r="1865" spans="1:19" x14ac:dyDescent="0.25">
      <c r="A1865" t="str">
        <f t="shared" si="203"/>
        <v>13</v>
      </c>
      <c r="B1865" t="str">
        <f t="shared" si="204"/>
        <v>001</v>
      </c>
      <c r="C1865" t="str">
        <f t="shared" si="205"/>
        <v>16</v>
      </c>
      <c r="D1865" t="str">
        <f t="shared" si="206"/>
        <v>482</v>
      </c>
      <c r="E1865" t="str">
        <f t="shared" si="207"/>
        <v>0012</v>
      </c>
      <c r="F1865" t="str">
        <f t="shared" si="208"/>
        <v>1.011</v>
      </c>
      <c r="G1865" t="str">
        <f t="shared" si="209"/>
        <v>3.3.90.39.00</v>
      </c>
      <c r="H1865" t="s">
        <v>1915</v>
      </c>
      <c r="I1865" t="str">
        <f t="shared" si="215"/>
        <v>13 - SECRETARIA DE HABITAÇÃO</v>
      </c>
      <c r="J1865" t="s">
        <v>20</v>
      </c>
      <c r="K1865" t="str">
        <f t="shared" si="210"/>
        <v>16-HABITAÇÃO</v>
      </c>
      <c r="L1865" t="str">
        <f t="shared" si="211"/>
        <v>482-HABITAÇÃO URBANA</v>
      </c>
      <c r="M1865" t="str">
        <f t="shared" si="212"/>
        <v>0012-Moradia Digna​</v>
      </c>
      <c r="N1865" t="str">
        <f t="shared" si="213"/>
        <v xml:space="preserve">1.011-Regularização Fundiária de Assentamentos Precários, Loteamentos e Conjuntos Habitacionais </v>
      </c>
      <c r="O1865" t="str">
        <f t="shared" si="214"/>
        <v>3.3.90.39.00-OUTROS SERVIÇOS DE TERCEIROS - PESSOA JURÍDICA</v>
      </c>
      <c r="R1865" s="25">
        <v>30752</v>
      </c>
      <c r="S1865" t="s">
        <v>1035</v>
      </c>
    </row>
    <row r="1866" spans="1:19" x14ac:dyDescent="0.25">
      <c r="A1866" t="str">
        <f t="shared" si="203"/>
        <v>13</v>
      </c>
      <c r="B1866" t="str">
        <f t="shared" si="204"/>
        <v>001</v>
      </c>
      <c r="C1866" t="str">
        <f t="shared" si="205"/>
        <v>16</v>
      </c>
      <c r="D1866" t="str">
        <f t="shared" si="206"/>
        <v>482</v>
      </c>
      <c r="E1866" t="str">
        <f t="shared" si="207"/>
        <v>0012</v>
      </c>
      <c r="F1866" t="str">
        <f t="shared" si="208"/>
        <v>1.012</v>
      </c>
      <c r="G1866" t="str">
        <f t="shared" si="209"/>
        <v>4.4.90.51.00</v>
      </c>
      <c r="H1866" t="s">
        <v>1916</v>
      </c>
      <c r="I1866" t="str">
        <f t="shared" si="215"/>
        <v>13 - SECRETARIA DE HABITAÇÃO</v>
      </c>
      <c r="J1866" t="s">
        <v>20</v>
      </c>
      <c r="K1866" t="str">
        <f t="shared" si="210"/>
        <v>16-HABITAÇÃO</v>
      </c>
      <c r="L1866" t="str">
        <f t="shared" si="211"/>
        <v>482-HABITAÇÃO URBANA</v>
      </c>
      <c r="M1866" t="str">
        <f t="shared" si="212"/>
        <v>0012-Moradia Digna​</v>
      </c>
      <c r="N1866" t="str">
        <f>F1866</f>
        <v>1.012</v>
      </c>
      <c r="O1866" t="str">
        <f t="shared" si="214"/>
        <v>4.4.90.51.00-OBRAS E INSTALAÇÕES</v>
      </c>
      <c r="R1866" s="25">
        <v>2</v>
      </c>
      <c r="S1866" t="s">
        <v>1035</v>
      </c>
    </row>
    <row r="1867" spans="1:19" x14ac:dyDescent="0.25">
      <c r="A1867" t="str">
        <f t="shared" si="203"/>
        <v>13</v>
      </c>
      <c r="B1867" t="str">
        <f t="shared" si="204"/>
        <v>001</v>
      </c>
      <c r="C1867" t="str">
        <f t="shared" si="205"/>
        <v>16</v>
      </c>
      <c r="D1867" t="str">
        <f t="shared" si="206"/>
        <v>482</v>
      </c>
      <c r="E1867" t="str">
        <f t="shared" si="207"/>
        <v>0012</v>
      </c>
      <c r="F1867" t="str">
        <f t="shared" si="208"/>
        <v>1.013</v>
      </c>
      <c r="G1867" t="str">
        <f t="shared" si="209"/>
        <v>4.4.90.51.00</v>
      </c>
      <c r="H1867" t="s">
        <v>1917</v>
      </c>
      <c r="I1867" t="str">
        <f t="shared" si="215"/>
        <v>13 - SECRETARIA DE HABITAÇÃO</v>
      </c>
      <c r="J1867" t="s">
        <v>20</v>
      </c>
      <c r="K1867" t="str">
        <f t="shared" si="210"/>
        <v>16-HABITAÇÃO</v>
      </c>
      <c r="L1867" t="str">
        <f t="shared" si="211"/>
        <v>482-HABITAÇÃO URBANA</v>
      </c>
      <c r="M1867" t="str">
        <f t="shared" si="212"/>
        <v>0012-Moradia Digna​</v>
      </c>
      <c r="N1867" t="str">
        <f>F1867</f>
        <v>1.013</v>
      </c>
      <c r="O1867" t="str">
        <f t="shared" si="214"/>
        <v>4.4.90.51.00-OBRAS E INSTALAÇÕES</v>
      </c>
      <c r="R1867" s="25">
        <v>1</v>
      </c>
      <c r="S1867" t="s">
        <v>1035</v>
      </c>
    </row>
    <row r="1868" spans="1:19" x14ac:dyDescent="0.25">
      <c r="A1868" t="str">
        <f t="shared" si="203"/>
        <v>13</v>
      </c>
      <c r="B1868" t="str">
        <f t="shared" si="204"/>
        <v>001</v>
      </c>
      <c r="C1868" t="str">
        <f t="shared" si="205"/>
        <v>16</v>
      </c>
      <c r="D1868" t="str">
        <f t="shared" si="206"/>
        <v>482</v>
      </c>
      <c r="E1868" t="str">
        <f t="shared" si="207"/>
        <v>0012</v>
      </c>
      <c r="F1868" t="str">
        <f t="shared" si="208"/>
        <v>1.014</v>
      </c>
      <c r="G1868" t="str">
        <f t="shared" si="209"/>
        <v>4.4.90.51.00</v>
      </c>
      <c r="H1868" t="s">
        <v>1918</v>
      </c>
      <c r="I1868" t="str">
        <f t="shared" si="215"/>
        <v>13 - SECRETARIA DE HABITAÇÃO</v>
      </c>
      <c r="J1868" t="s">
        <v>20</v>
      </c>
      <c r="K1868" t="str">
        <f t="shared" si="210"/>
        <v>16-HABITAÇÃO</v>
      </c>
      <c r="L1868" t="str">
        <f t="shared" si="211"/>
        <v>482-HABITAÇÃO URBANA</v>
      </c>
      <c r="M1868" t="str">
        <f t="shared" si="212"/>
        <v>0012-Moradia Digna​</v>
      </c>
      <c r="N1868" t="str">
        <f t="shared" si="213"/>
        <v>1.014-Recuperação de Conjuntos Habitacionais</v>
      </c>
      <c r="O1868" t="str">
        <f t="shared" si="214"/>
        <v>4.4.90.51.00-OBRAS E INSTALAÇÕES</v>
      </c>
      <c r="R1868" s="25">
        <v>1</v>
      </c>
      <c r="S1868" t="s">
        <v>1035</v>
      </c>
    </row>
    <row r="1869" spans="1:19" x14ac:dyDescent="0.25">
      <c r="A1869" t="str">
        <f t="shared" si="203"/>
        <v>13</v>
      </c>
      <c r="B1869" t="str">
        <f t="shared" si="204"/>
        <v>008</v>
      </c>
      <c r="C1869" t="str">
        <f t="shared" si="205"/>
        <v>15</v>
      </c>
      <c r="D1869" t="str">
        <f t="shared" si="206"/>
        <v>451</v>
      </c>
      <c r="E1869" t="str">
        <f t="shared" si="207"/>
        <v>0005</v>
      </c>
      <c r="F1869" t="str">
        <f t="shared" si="208"/>
        <v>1.009</v>
      </c>
      <c r="G1869" t="str">
        <f t="shared" si="209"/>
        <v>4.4.90.51.00</v>
      </c>
      <c r="H1869" t="s">
        <v>1919</v>
      </c>
      <c r="I1869" t="str">
        <f t="shared" si="215"/>
        <v>13 - SECRETARIA DE HABITAÇÃO</v>
      </c>
      <c r="J1869" t="s">
        <v>355</v>
      </c>
      <c r="K1869" t="str">
        <f t="shared" si="210"/>
        <v>15-URBANISMO</v>
      </c>
      <c r="L1869" t="str">
        <f t="shared" si="211"/>
        <v>451-INFRA-ESTRUTURA URBANA</v>
      </c>
      <c r="M1869" t="str">
        <f t="shared" si="212"/>
        <v>0005-Resiliência Urbana​</v>
      </c>
      <c r="N1869" t="str">
        <f t="shared" si="213"/>
        <v xml:space="preserve">1.009-Urbanização de Favelas e Comunidades </v>
      </c>
      <c r="O1869" t="str">
        <f t="shared" si="214"/>
        <v>4.4.90.51.00-OBRAS E INSTALAÇÕES</v>
      </c>
      <c r="R1869" s="25">
        <v>1</v>
      </c>
      <c r="S1869" t="s">
        <v>1035</v>
      </c>
    </row>
    <row r="1870" spans="1:19" x14ac:dyDescent="0.25">
      <c r="A1870" t="str">
        <f t="shared" si="203"/>
        <v>13</v>
      </c>
      <c r="B1870" t="str">
        <f t="shared" si="204"/>
        <v>008</v>
      </c>
      <c r="C1870" t="str">
        <f t="shared" si="205"/>
        <v>16</v>
      </c>
      <c r="D1870" t="str">
        <f t="shared" si="206"/>
        <v>482</v>
      </c>
      <c r="E1870" t="str">
        <f t="shared" si="207"/>
        <v>0012</v>
      </c>
      <c r="F1870" t="str">
        <f t="shared" si="208"/>
        <v>1.013</v>
      </c>
      <c r="G1870" t="str">
        <f t="shared" si="209"/>
        <v>4.4.90.51.00</v>
      </c>
      <c r="H1870" t="s">
        <v>1920</v>
      </c>
      <c r="I1870" t="str">
        <f t="shared" si="215"/>
        <v>13 - SECRETARIA DE HABITAÇÃO</v>
      </c>
      <c r="J1870" t="s">
        <v>355</v>
      </c>
      <c r="K1870" t="str">
        <f t="shared" si="210"/>
        <v>16-HABITAÇÃO</v>
      </c>
      <c r="L1870" t="str">
        <f t="shared" si="211"/>
        <v>482-HABITAÇÃO URBANA</v>
      </c>
      <c r="M1870" t="str">
        <f t="shared" si="212"/>
        <v>0012-Moradia Digna​</v>
      </c>
      <c r="N1870" t="str">
        <f>F1870</f>
        <v>1.013</v>
      </c>
      <c r="O1870" t="str">
        <f t="shared" si="214"/>
        <v>4.4.90.51.00-OBRAS E INSTALAÇÕES</v>
      </c>
      <c r="R1870" s="25">
        <v>1</v>
      </c>
      <c r="S1870" t="s">
        <v>1035</v>
      </c>
    </row>
    <row r="1871" spans="1:19" x14ac:dyDescent="0.25">
      <c r="A1871" t="str">
        <f t="shared" si="203"/>
        <v>14</v>
      </c>
      <c r="B1871" t="str">
        <f t="shared" si="204"/>
        <v>001</v>
      </c>
      <c r="C1871" t="str">
        <f t="shared" si="205"/>
        <v>04</v>
      </c>
      <c r="D1871" t="str">
        <f t="shared" si="206"/>
        <v>121</v>
      </c>
      <c r="E1871" t="str">
        <f t="shared" si="207"/>
        <v>0004</v>
      </c>
      <c r="F1871" t="str">
        <f t="shared" si="208"/>
        <v>1.001</v>
      </c>
      <c r="G1871" t="str">
        <f t="shared" si="209"/>
        <v>3.3.90.35.00</v>
      </c>
      <c r="H1871" t="s">
        <v>1921</v>
      </c>
      <c r="I1871" t="str">
        <f t="shared" si="215"/>
        <v>14 - SECRETARIA DE ASSISTÊNCIA SOCIAL</v>
      </c>
      <c r="J1871" t="s">
        <v>20</v>
      </c>
      <c r="K1871" t="str">
        <f t="shared" si="210"/>
        <v>4-ADMINISTRAÇÃO</v>
      </c>
      <c r="L1871" t="str">
        <f t="shared" si="211"/>
        <v>121-PLANEJAMENTO E ORÇAMENTO</v>
      </c>
      <c r="M1871" t="str">
        <f t="shared" si="212"/>
        <v xml:space="preserve">0004-Planejamento e Gestão de Políticas Públicas </v>
      </c>
      <c r="N1871" t="str">
        <f t="shared" si="213"/>
        <v xml:space="preserve">1.001-Estudos, Pesquisas, Planos e Projetos </v>
      </c>
      <c r="O1871" t="str">
        <f t="shared" si="214"/>
        <v>3.3.90.35.00-SERVIÇOS DE CONSULTORIA</v>
      </c>
      <c r="R1871" s="25">
        <v>1</v>
      </c>
      <c r="S1871" t="s">
        <v>1035</v>
      </c>
    </row>
    <row r="1872" spans="1:19" x14ac:dyDescent="0.25">
      <c r="A1872" t="str">
        <f t="shared" si="203"/>
        <v>14</v>
      </c>
      <c r="B1872" t="str">
        <f t="shared" si="204"/>
        <v>001</v>
      </c>
      <c r="C1872" t="str">
        <f t="shared" si="205"/>
        <v>04</v>
      </c>
      <c r="D1872" t="str">
        <f t="shared" si="206"/>
        <v>122</v>
      </c>
      <c r="E1872" t="str">
        <f t="shared" si="207"/>
        <v>0001</v>
      </c>
      <c r="F1872" t="str">
        <f t="shared" si="208"/>
        <v>2.001</v>
      </c>
      <c r="G1872" t="str">
        <f t="shared" si="209"/>
        <v>3.1.90.11.00</v>
      </c>
      <c r="H1872" t="s">
        <v>1922</v>
      </c>
      <c r="I1872" t="str">
        <f t="shared" si="215"/>
        <v>14 - SECRETARIA DE ASSISTÊNCIA SOCIAL</v>
      </c>
      <c r="J1872" t="s">
        <v>20</v>
      </c>
      <c r="K1872" t="str">
        <f t="shared" si="210"/>
        <v>4-ADMINISTRAÇÃO</v>
      </c>
      <c r="L1872" t="str">
        <f t="shared" si="211"/>
        <v>122-ADMINISTRAÇÃO GERAL</v>
      </c>
      <c r="M1872" t="str">
        <f t="shared" si="212"/>
        <v>0001-Administração e Coordenação Geral​</v>
      </c>
      <c r="N1872" t="str">
        <f t="shared" si="213"/>
        <v>2.001-Remuneração, Benefícios e Encargos</v>
      </c>
      <c r="O1872" t="str">
        <f>G1872</f>
        <v>3.1.90.11.00</v>
      </c>
      <c r="R1872" s="25">
        <v>35886548.159999996</v>
      </c>
      <c r="S1872" t="s">
        <v>1035</v>
      </c>
    </row>
    <row r="1873" spans="1:19" x14ac:dyDescent="0.25">
      <c r="A1873" t="str">
        <f t="shared" si="203"/>
        <v>14</v>
      </c>
      <c r="B1873" t="str">
        <f t="shared" si="204"/>
        <v>001</v>
      </c>
      <c r="C1873" t="str">
        <f t="shared" si="205"/>
        <v>04</v>
      </c>
      <c r="D1873" t="str">
        <f t="shared" si="206"/>
        <v>122</v>
      </c>
      <c r="E1873" t="str">
        <f t="shared" si="207"/>
        <v>0001</v>
      </c>
      <c r="F1873" t="str">
        <f t="shared" si="208"/>
        <v>2.001</v>
      </c>
      <c r="G1873" t="str">
        <f t="shared" si="209"/>
        <v>3.1.90.13.00</v>
      </c>
      <c r="H1873" t="s">
        <v>1923</v>
      </c>
      <c r="I1873" t="str">
        <f t="shared" si="215"/>
        <v>14 - SECRETARIA DE ASSISTÊNCIA SOCIAL</v>
      </c>
      <c r="J1873" t="s">
        <v>20</v>
      </c>
      <c r="K1873" t="str">
        <f t="shared" si="210"/>
        <v>4-ADMINISTRAÇÃO</v>
      </c>
      <c r="L1873" t="str">
        <f t="shared" si="211"/>
        <v>122-ADMINISTRAÇÃO GERAL</v>
      </c>
      <c r="M1873" t="str">
        <f t="shared" si="212"/>
        <v>0001-Administração e Coordenação Geral​</v>
      </c>
      <c r="N1873" t="str">
        <f t="shared" si="213"/>
        <v>2.001-Remuneração, Benefícios e Encargos</v>
      </c>
      <c r="O1873" t="str">
        <f>G1873</f>
        <v>3.1.90.13.00</v>
      </c>
      <c r="R1873" s="25">
        <v>3163862.52</v>
      </c>
      <c r="S1873" t="s">
        <v>1035</v>
      </c>
    </row>
    <row r="1874" spans="1:19" x14ac:dyDescent="0.25">
      <c r="A1874" t="str">
        <f t="shared" si="203"/>
        <v>14</v>
      </c>
      <c r="B1874" t="str">
        <f t="shared" si="204"/>
        <v>001</v>
      </c>
      <c r="C1874" t="str">
        <f t="shared" si="205"/>
        <v>04</v>
      </c>
      <c r="D1874" t="str">
        <f t="shared" si="206"/>
        <v>122</v>
      </c>
      <c r="E1874" t="str">
        <f t="shared" si="207"/>
        <v>0001</v>
      </c>
      <c r="F1874" t="str">
        <f t="shared" si="208"/>
        <v>2.001</v>
      </c>
      <c r="G1874" t="str">
        <f t="shared" si="209"/>
        <v>3.1.91.13.00</v>
      </c>
      <c r="H1874" t="s">
        <v>1924</v>
      </c>
      <c r="I1874" t="str">
        <f t="shared" si="215"/>
        <v>14 - SECRETARIA DE ASSISTÊNCIA SOCIAL</v>
      </c>
      <c r="J1874" t="s">
        <v>20</v>
      </c>
      <c r="K1874" t="str">
        <f t="shared" si="210"/>
        <v>4-ADMINISTRAÇÃO</v>
      </c>
      <c r="L1874" t="str">
        <f t="shared" si="211"/>
        <v>122-ADMINISTRAÇÃO GERAL</v>
      </c>
      <c r="M1874" t="str">
        <f t="shared" si="212"/>
        <v>0001-Administração e Coordenação Geral​</v>
      </c>
      <c r="N1874" t="str">
        <f t="shared" si="213"/>
        <v>2.001-Remuneração, Benefícios e Encargos</v>
      </c>
      <c r="O1874" t="str">
        <f>G1874</f>
        <v>3.1.91.13.00</v>
      </c>
      <c r="R1874" s="25">
        <v>7065888.79</v>
      </c>
      <c r="S1874" t="s">
        <v>1035</v>
      </c>
    </row>
    <row r="1875" spans="1:19" x14ac:dyDescent="0.25">
      <c r="A1875" t="str">
        <f t="shared" si="203"/>
        <v>14</v>
      </c>
      <c r="B1875" t="str">
        <f t="shared" si="204"/>
        <v>001</v>
      </c>
      <c r="C1875" t="str">
        <f t="shared" si="205"/>
        <v>04</v>
      </c>
      <c r="D1875" t="str">
        <f t="shared" si="206"/>
        <v>122</v>
      </c>
      <c r="E1875" t="str">
        <f t="shared" si="207"/>
        <v>0001</v>
      </c>
      <c r="F1875" t="str">
        <f t="shared" si="208"/>
        <v>2.001</v>
      </c>
      <c r="G1875" t="str">
        <f t="shared" si="209"/>
        <v>3.3.90.46.00</v>
      </c>
      <c r="H1875" t="s">
        <v>1925</v>
      </c>
      <c r="I1875" t="str">
        <f t="shared" si="215"/>
        <v>14 - SECRETARIA DE ASSISTÊNCIA SOCIAL</v>
      </c>
      <c r="J1875" t="s">
        <v>20</v>
      </c>
      <c r="K1875" t="str">
        <f t="shared" si="210"/>
        <v>4-ADMINISTRAÇÃO</v>
      </c>
      <c r="L1875" t="str">
        <f t="shared" si="211"/>
        <v>122-ADMINISTRAÇÃO GERAL</v>
      </c>
      <c r="M1875" t="str">
        <f t="shared" si="212"/>
        <v>0001-Administração e Coordenação Geral​</v>
      </c>
      <c r="N1875" t="str">
        <f t="shared" si="213"/>
        <v>2.001-Remuneração, Benefícios e Encargos</v>
      </c>
      <c r="O1875" t="str">
        <f>G1875</f>
        <v>3.3.90.46.00</v>
      </c>
      <c r="R1875" s="25">
        <v>2.08</v>
      </c>
      <c r="S1875" t="s">
        <v>1035</v>
      </c>
    </row>
    <row r="1876" spans="1:19" x14ac:dyDescent="0.25">
      <c r="A1876" t="str">
        <f t="shared" si="203"/>
        <v>14</v>
      </c>
      <c r="B1876" t="str">
        <f t="shared" si="204"/>
        <v>001</v>
      </c>
      <c r="C1876" t="str">
        <f t="shared" si="205"/>
        <v>04</v>
      </c>
      <c r="D1876" t="str">
        <f t="shared" si="206"/>
        <v>122</v>
      </c>
      <c r="E1876" t="str">
        <f t="shared" si="207"/>
        <v>0001</v>
      </c>
      <c r="F1876" t="str">
        <f t="shared" si="208"/>
        <v>2.001</v>
      </c>
      <c r="G1876" t="str">
        <f t="shared" si="209"/>
        <v>3.3.90.49.00</v>
      </c>
      <c r="H1876" t="s">
        <v>1926</v>
      </c>
      <c r="I1876" t="str">
        <f t="shared" si="215"/>
        <v>14 - SECRETARIA DE ASSISTÊNCIA SOCIAL</v>
      </c>
      <c r="J1876" t="s">
        <v>20</v>
      </c>
      <c r="K1876" t="str">
        <f t="shared" si="210"/>
        <v>4-ADMINISTRAÇÃO</v>
      </c>
      <c r="L1876" t="str">
        <f t="shared" si="211"/>
        <v>122-ADMINISTRAÇÃO GERAL</v>
      </c>
      <c r="M1876" t="str">
        <f t="shared" si="212"/>
        <v>0001-Administração e Coordenação Geral​</v>
      </c>
      <c r="N1876" t="str">
        <f t="shared" si="213"/>
        <v>2.001-Remuneração, Benefícios e Encargos</v>
      </c>
      <c r="O1876" t="str">
        <f>G1876</f>
        <v>3.3.90.49.00</v>
      </c>
      <c r="R1876" s="25">
        <v>1033963.71</v>
      </c>
      <c r="S1876" t="s">
        <v>1035</v>
      </c>
    </row>
    <row r="1877" spans="1:19" x14ac:dyDescent="0.25">
      <c r="A1877" t="str">
        <f t="shared" si="203"/>
        <v>14</v>
      </c>
      <c r="B1877" t="str">
        <f t="shared" si="204"/>
        <v>001</v>
      </c>
      <c r="C1877" t="str">
        <f t="shared" si="205"/>
        <v>08</v>
      </c>
      <c r="D1877" t="str">
        <f t="shared" si="206"/>
        <v>245</v>
      </c>
      <c r="E1877" t="str">
        <f t="shared" si="207"/>
        <v>0001</v>
      </c>
      <c r="F1877" t="str">
        <f t="shared" si="208"/>
        <v>1.002</v>
      </c>
      <c r="G1877" t="str">
        <f t="shared" si="209"/>
        <v>3.3.90.39.00</v>
      </c>
      <c r="H1877" t="s">
        <v>1927</v>
      </c>
      <c r="I1877" t="str">
        <f t="shared" si="215"/>
        <v>14 - SECRETARIA DE ASSISTÊNCIA SOCIAL</v>
      </c>
      <c r="J1877" t="s">
        <v>20</v>
      </c>
      <c r="K1877" t="str">
        <f t="shared" si="210"/>
        <v>8-ASSISTÊNCIA SOCIAL</v>
      </c>
      <c r="L1877" t="str">
        <f t="shared" si="211"/>
        <v>245-SERVIÇOS SOCIOASSISTENCIAIS</v>
      </c>
      <c r="M1877" t="str">
        <f t="shared" si="212"/>
        <v>0001-Administração e Coordenação Geral​</v>
      </c>
      <c r="N1877" t="str">
        <f t="shared" si="213"/>
        <v>1.002-Reforma e Ampliação de Unidades</v>
      </c>
      <c r="O1877" t="str">
        <f t="shared" si="214"/>
        <v>3.3.90.39.00-OUTROS SERVIÇOS DE TERCEIROS - PESSOA JURÍDICA</v>
      </c>
      <c r="R1877" s="25">
        <v>1</v>
      </c>
      <c r="S1877" t="s">
        <v>1035</v>
      </c>
    </row>
    <row r="1878" spans="1:19" x14ac:dyDescent="0.25">
      <c r="A1878" t="str">
        <f t="shared" si="203"/>
        <v>14</v>
      </c>
      <c r="B1878" t="str">
        <f t="shared" si="204"/>
        <v>007</v>
      </c>
      <c r="C1878" t="str">
        <f t="shared" si="205"/>
        <v>08</v>
      </c>
      <c r="D1878" t="str">
        <f t="shared" si="206"/>
        <v>245</v>
      </c>
      <c r="E1878" t="str">
        <f t="shared" si="207"/>
        <v>0018</v>
      </c>
      <c r="F1878" t="str">
        <f t="shared" si="208"/>
        <v>1.003</v>
      </c>
      <c r="G1878" t="str">
        <f t="shared" si="209"/>
        <v>3.3.90.39.00</v>
      </c>
      <c r="H1878" t="s">
        <v>1928</v>
      </c>
      <c r="I1878" t="str">
        <f t="shared" si="215"/>
        <v>14 - SECRETARIA DE ASSISTÊNCIA SOCIAL</v>
      </c>
      <c r="J1878" t="s">
        <v>660</v>
      </c>
      <c r="K1878" t="str">
        <f t="shared" si="210"/>
        <v>8-ASSISTÊNCIA SOCIAL</v>
      </c>
      <c r="L1878" t="str">
        <f t="shared" si="211"/>
        <v>245-SERVIÇOS SOCIOASSISTENCIAIS</v>
      </c>
      <c r="M1878" t="str">
        <f t="shared" si="212"/>
        <v>0018-Proteção Social e Garantia de Direitos​</v>
      </c>
      <c r="N1878" t="str">
        <f t="shared" si="213"/>
        <v>1.003-Implantação de Novas Unidades</v>
      </c>
      <c r="O1878" t="str">
        <f t="shared" si="214"/>
        <v>3.3.90.39.00-OUTROS SERVIÇOS DE TERCEIROS - PESSOA JURÍDICA</v>
      </c>
      <c r="R1878" s="25">
        <v>311730</v>
      </c>
      <c r="S1878" t="s">
        <v>1035</v>
      </c>
    </row>
    <row r="1879" spans="1:19" x14ac:dyDescent="0.25">
      <c r="A1879" t="str">
        <f t="shared" si="203"/>
        <v>14</v>
      </c>
      <c r="B1879" t="str">
        <f t="shared" si="204"/>
        <v>008</v>
      </c>
      <c r="C1879" t="str">
        <f t="shared" si="205"/>
        <v>08</v>
      </c>
      <c r="D1879" t="str">
        <f t="shared" si="206"/>
        <v>245</v>
      </c>
      <c r="E1879" t="str">
        <f t="shared" si="207"/>
        <v>0018</v>
      </c>
      <c r="F1879" t="str">
        <f t="shared" si="208"/>
        <v>1.002</v>
      </c>
      <c r="G1879" t="str">
        <f t="shared" si="209"/>
        <v>3.3.90.30.00</v>
      </c>
      <c r="H1879" t="s">
        <v>1929</v>
      </c>
      <c r="I1879" t="str">
        <f t="shared" si="215"/>
        <v>14 - SECRETARIA DE ASSISTÊNCIA SOCIAL</v>
      </c>
      <c r="J1879" t="s">
        <v>355</v>
      </c>
      <c r="K1879" t="str">
        <f t="shared" si="210"/>
        <v>8-ASSISTÊNCIA SOCIAL</v>
      </c>
      <c r="L1879" t="str">
        <f t="shared" si="211"/>
        <v>245-SERVIÇOS SOCIOASSISTENCIAIS</v>
      </c>
      <c r="M1879" t="str">
        <f t="shared" si="212"/>
        <v>0018-Proteção Social e Garantia de Direitos​</v>
      </c>
      <c r="N1879" t="str">
        <f t="shared" si="213"/>
        <v>1.002-Reforma e Ampliação de Unidades</v>
      </c>
      <c r="O1879" t="str">
        <f t="shared" si="214"/>
        <v>3.3.90.30.00-MATERIAL DE CONSUMO</v>
      </c>
      <c r="R1879" s="25">
        <v>1</v>
      </c>
      <c r="S1879" t="s">
        <v>1035</v>
      </c>
    </row>
    <row r="1880" spans="1:19" x14ac:dyDescent="0.25">
      <c r="A1880" t="str">
        <f t="shared" si="203"/>
        <v>15</v>
      </c>
      <c r="B1880" t="str">
        <f t="shared" si="204"/>
        <v>001</v>
      </c>
      <c r="C1880" t="str">
        <f t="shared" si="205"/>
        <v>04</v>
      </c>
      <c r="D1880" t="str">
        <f t="shared" si="206"/>
        <v>121</v>
      </c>
      <c r="E1880" t="str">
        <f t="shared" si="207"/>
        <v>0004</v>
      </c>
      <c r="F1880" t="str">
        <f t="shared" si="208"/>
        <v>1.001</v>
      </c>
      <c r="G1880" t="str">
        <f t="shared" si="209"/>
        <v>3.3.90.35.00</v>
      </c>
      <c r="H1880" t="s">
        <v>1930</v>
      </c>
      <c r="I1880" t="str">
        <f t="shared" si="215"/>
        <v>15 - SECRETARIA DA CULTURA</v>
      </c>
      <c r="J1880" t="s">
        <v>20</v>
      </c>
      <c r="K1880" t="str">
        <f t="shared" si="210"/>
        <v>4-ADMINISTRAÇÃO</v>
      </c>
      <c r="L1880" t="str">
        <f t="shared" si="211"/>
        <v>121-PLANEJAMENTO E ORÇAMENTO</v>
      </c>
      <c r="M1880" t="str">
        <f t="shared" si="212"/>
        <v xml:space="preserve">0004-Planejamento e Gestão de Políticas Públicas </v>
      </c>
      <c r="N1880" t="str">
        <f t="shared" si="213"/>
        <v xml:space="preserve">1.001-Estudos, Pesquisas, Planos e Projetos </v>
      </c>
      <c r="O1880" t="str">
        <f t="shared" si="214"/>
        <v>3.3.90.35.00-SERVIÇOS DE CONSULTORIA</v>
      </c>
      <c r="R1880" s="25">
        <v>1</v>
      </c>
      <c r="S1880" t="s">
        <v>1035</v>
      </c>
    </row>
    <row r="1881" spans="1:19" x14ac:dyDescent="0.25">
      <c r="A1881" t="str">
        <f t="shared" si="203"/>
        <v>15</v>
      </c>
      <c r="B1881" t="str">
        <f t="shared" si="204"/>
        <v>001</v>
      </c>
      <c r="C1881" t="str">
        <f t="shared" si="205"/>
        <v>04</v>
      </c>
      <c r="D1881" t="str">
        <f t="shared" si="206"/>
        <v>122</v>
      </c>
      <c r="E1881" t="str">
        <f t="shared" si="207"/>
        <v>0001</v>
      </c>
      <c r="F1881" t="str">
        <f t="shared" si="208"/>
        <v>2.001</v>
      </c>
      <c r="G1881" t="str">
        <f t="shared" si="209"/>
        <v>3.1.90.11.00</v>
      </c>
      <c r="H1881" t="s">
        <v>1931</v>
      </c>
      <c r="I1881" t="str">
        <f t="shared" si="215"/>
        <v>15 - SECRETARIA DA CULTURA</v>
      </c>
      <c r="J1881" t="s">
        <v>20</v>
      </c>
      <c r="K1881" t="str">
        <f t="shared" si="210"/>
        <v>4-ADMINISTRAÇÃO</v>
      </c>
      <c r="L1881" t="str">
        <f t="shared" si="211"/>
        <v>122-ADMINISTRAÇÃO GERAL</v>
      </c>
      <c r="M1881" t="str">
        <f t="shared" si="212"/>
        <v>0001-Administração e Coordenação Geral​</v>
      </c>
      <c r="N1881" t="str">
        <f t="shared" si="213"/>
        <v>2.001-Remuneração, Benefícios e Encargos</v>
      </c>
      <c r="O1881" t="str">
        <f>G1881</f>
        <v>3.1.90.11.00</v>
      </c>
      <c r="R1881" s="25">
        <v>8686851.4600000009</v>
      </c>
      <c r="S1881" t="s">
        <v>1035</v>
      </c>
    </row>
    <row r="1882" spans="1:19" x14ac:dyDescent="0.25">
      <c r="A1882" t="str">
        <f t="shared" si="203"/>
        <v>15</v>
      </c>
      <c r="B1882" t="str">
        <f t="shared" si="204"/>
        <v>001</v>
      </c>
      <c r="C1882" t="str">
        <f t="shared" si="205"/>
        <v>04</v>
      </c>
      <c r="D1882" t="str">
        <f t="shared" si="206"/>
        <v>122</v>
      </c>
      <c r="E1882" t="str">
        <f t="shared" si="207"/>
        <v>0001</v>
      </c>
      <c r="F1882" t="str">
        <f t="shared" si="208"/>
        <v>2.001</v>
      </c>
      <c r="G1882" t="str">
        <f t="shared" si="209"/>
        <v>3.1.90.13.00</v>
      </c>
      <c r="H1882" t="s">
        <v>1932</v>
      </c>
      <c r="I1882" t="str">
        <f t="shared" si="215"/>
        <v>15 - SECRETARIA DA CULTURA</v>
      </c>
      <c r="J1882" t="s">
        <v>20</v>
      </c>
      <c r="K1882" t="str">
        <f t="shared" si="210"/>
        <v>4-ADMINISTRAÇÃO</v>
      </c>
      <c r="L1882" t="str">
        <f t="shared" si="211"/>
        <v>122-ADMINISTRAÇÃO GERAL</v>
      </c>
      <c r="M1882" t="str">
        <f t="shared" si="212"/>
        <v>0001-Administração e Coordenação Geral​</v>
      </c>
      <c r="N1882" t="str">
        <f t="shared" si="213"/>
        <v>2.001-Remuneração, Benefícios e Encargos</v>
      </c>
      <c r="O1882" t="str">
        <f>G1882</f>
        <v>3.1.90.13.00</v>
      </c>
      <c r="R1882" s="25">
        <v>710124.51</v>
      </c>
      <c r="S1882" t="s">
        <v>1035</v>
      </c>
    </row>
    <row r="1883" spans="1:19" x14ac:dyDescent="0.25">
      <c r="A1883" t="str">
        <f t="shared" si="203"/>
        <v>15</v>
      </c>
      <c r="B1883" t="str">
        <f t="shared" si="204"/>
        <v>001</v>
      </c>
      <c r="C1883" t="str">
        <f t="shared" si="205"/>
        <v>04</v>
      </c>
      <c r="D1883" t="str">
        <f t="shared" si="206"/>
        <v>122</v>
      </c>
      <c r="E1883" t="str">
        <f t="shared" si="207"/>
        <v>0001</v>
      </c>
      <c r="F1883" t="str">
        <f t="shared" si="208"/>
        <v>2.001</v>
      </c>
      <c r="G1883" t="str">
        <f t="shared" si="209"/>
        <v>3.1.91.13.00</v>
      </c>
      <c r="H1883" t="s">
        <v>1933</v>
      </c>
      <c r="I1883" t="str">
        <f t="shared" si="215"/>
        <v>15 - SECRETARIA DA CULTURA</v>
      </c>
      <c r="J1883" t="s">
        <v>20</v>
      </c>
      <c r="K1883" t="str">
        <f t="shared" si="210"/>
        <v>4-ADMINISTRAÇÃO</v>
      </c>
      <c r="L1883" t="str">
        <f t="shared" si="211"/>
        <v>122-ADMINISTRAÇÃO GERAL</v>
      </c>
      <c r="M1883" t="str">
        <f t="shared" si="212"/>
        <v>0001-Administração e Coordenação Geral​</v>
      </c>
      <c r="N1883" t="str">
        <f t="shared" si="213"/>
        <v>2.001-Remuneração, Benefícios e Encargos</v>
      </c>
      <c r="O1883" t="str">
        <f>G1883</f>
        <v>3.1.91.13.00</v>
      </c>
      <c r="R1883" s="25">
        <v>1085610.23</v>
      </c>
      <c r="S1883" t="s">
        <v>1035</v>
      </c>
    </row>
    <row r="1884" spans="1:19" x14ac:dyDescent="0.25">
      <c r="A1884" t="str">
        <f t="shared" ref="A1884:A1947" si="216">LEFT(H1884,2)</f>
        <v>15</v>
      </c>
      <c r="B1884" t="str">
        <f t="shared" ref="B1884:B1947" si="217">MID(H1884,4,3)</f>
        <v>001</v>
      </c>
      <c r="C1884" t="str">
        <f t="shared" ref="C1884:C1947" si="218">MID(H1884,8,2)</f>
        <v>04</v>
      </c>
      <c r="D1884" t="str">
        <f t="shared" ref="D1884:D1947" si="219">MID(H1884,11,3)</f>
        <v>122</v>
      </c>
      <c r="E1884" t="str">
        <f t="shared" ref="E1884:E1947" si="220">MID(H1884,15,4)</f>
        <v>0001</v>
      </c>
      <c r="F1884" t="str">
        <f t="shared" ref="F1884:F1947" si="221">MID(H1884,20,5)</f>
        <v>2.001</v>
      </c>
      <c r="G1884" t="str">
        <f t="shared" ref="G1884:G1947" si="222">MID(H1884,26,12)</f>
        <v>3.3.90.46.00</v>
      </c>
      <c r="H1884" t="s">
        <v>1934</v>
      </c>
      <c r="I1884" t="str">
        <f t="shared" si="215"/>
        <v>15 - SECRETARIA DA CULTURA</v>
      </c>
      <c r="J1884" t="s">
        <v>20</v>
      </c>
      <c r="K1884" t="str">
        <f t="shared" ref="K1884:K1944" si="223">VLOOKUP(C1884,$C$1:$O$994,9,0)</f>
        <v>4-ADMINISTRAÇÃO</v>
      </c>
      <c r="L1884" t="str">
        <f t="shared" ref="L1884:L1944" si="224">VLOOKUP(D1884,$D$1:$O$994,9,0)</f>
        <v>122-ADMINISTRAÇÃO GERAL</v>
      </c>
      <c r="M1884" t="str">
        <f t="shared" ref="M1884:M1947" si="225">VLOOKUP(E1884,$E$1:$O$994,9,0)</f>
        <v>0001-Administração e Coordenação Geral​</v>
      </c>
      <c r="N1884" t="str">
        <f t="shared" ref="N1884:N1947" si="226">VLOOKUP(F1884,$F$1:$O$994,9,0)</f>
        <v>2.001-Remuneração, Benefícios e Encargos</v>
      </c>
      <c r="O1884" t="str">
        <f>G1884</f>
        <v>3.3.90.46.00</v>
      </c>
      <c r="R1884" s="25">
        <v>3.23</v>
      </c>
      <c r="S1884" t="s">
        <v>1035</v>
      </c>
    </row>
    <row r="1885" spans="1:19" x14ac:dyDescent="0.25">
      <c r="A1885" t="str">
        <f t="shared" si="216"/>
        <v>15</v>
      </c>
      <c r="B1885" t="str">
        <f t="shared" si="217"/>
        <v>001</v>
      </c>
      <c r="C1885" t="str">
        <f t="shared" si="218"/>
        <v>04</v>
      </c>
      <c r="D1885" t="str">
        <f t="shared" si="219"/>
        <v>122</v>
      </c>
      <c r="E1885" t="str">
        <f t="shared" si="220"/>
        <v>0001</v>
      </c>
      <c r="F1885" t="str">
        <f t="shared" si="221"/>
        <v>2.001</v>
      </c>
      <c r="G1885" t="str">
        <f t="shared" si="222"/>
        <v>3.3.90.49.00</v>
      </c>
      <c r="H1885" t="s">
        <v>1935</v>
      </c>
      <c r="I1885" t="str">
        <f t="shared" si="215"/>
        <v>15 - SECRETARIA DA CULTURA</v>
      </c>
      <c r="J1885" t="s">
        <v>20</v>
      </c>
      <c r="K1885" t="str">
        <f t="shared" si="223"/>
        <v>4-ADMINISTRAÇÃO</v>
      </c>
      <c r="L1885" t="str">
        <f t="shared" si="224"/>
        <v>122-ADMINISTRAÇÃO GERAL</v>
      </c>
      <c r="M1885" t="str">
        <f t="shared" si="225"/>
        <v>0001-Administração e Coordenação Geral​</v>
      </c>
      <c r="N1885" t="str">
        <f t="shared" si="226"/>
        <v>2.001-Remuneração, Benefícios e Encargos</v>
      </c>
      <c r="O1885" t="str">
        <f>G1885</f>
        <v>3.3.90.49.00</v>
      </c>
      <c r="R1885" s="25">
        <v>114722.68</v>
      </c>
      <c r="S1885" t="s">
        <v>1035</v>
      </c>
    </row>
    <row r="1886" spans="1:19" x14ac:dyDescent="0.25">
      <c r="A1886" t="str">
        <f t="shared" si="216"/>
        <v>15</v>
      </c>
      <c r="B1886" t="str">
        <f t="shared" si="217"/>
        <v>001</v>
      </c>
      <c r="C1886" t="str">
        <f t="shared" si="218"/>
        <v>13</v>
      </c>
      <c r="D1886" t="str">
        <f t="shared" si="219"/>
        <v>392</v>
      </c>
      <c r="E1886" t="str">
        <f t="shared" si="220"/>
        <v>0009</v>
      </c>
      <c r="F1886" t="str">
        <f t="shared" si="221"/>
        <v>1.002</v>
      </c>
      <c r="G1886" t="str">
        <f t="shared" si="222"/>
        <v>3.3.90.39.00</v>
      </c>
      <c r="H1886" t="s">
        <v>1936</v>
      </c>
      <c r="I1886" t="str">
        <f t="shared" si="215"/>
        <v>15 - SECRETARIA DA CULTURA</v>
      </c>
      <c r="J1886" t="s">
        <v>20</v>
      </c>
      <c r="K1886" t="str">
        <f t="shared" si="223"/>
        <v>13-CULTURA</v>
      </c>
      <c r="L1886" t="str">
        <f t="shared" si="224"/>
        <v>392-DIFUSÃO CULTURAL</v>
      </c>
      <c r="M1886" t="str">
        <f t="shared" si="225"/>
        <v>0009-Cultura, Economia Criativa e Patrimônio Histórico​</v>
      </c>
      <c r="N1886" t="str">
        <f t="shared" si="226"/>
        <v>1.002-Reforma e Ampliação de Unidades</v>
      </c>
      <c r="O1886" t="str">
        <f t="shared" ref="O1886:O1947" si="227">VLOOKUP(G1886,$G$1:$O$994,9,0)</f>
        <v>3.3.90.39.00-OUTROS SERVIÇOS DE TERCEIROS - PESSOA JURÍDICA</v>
      </c>
      <c r="R1886" s="25">
        <v>420001</v>
      </c>
      <c r="S1886" t="s">
        <v>1035</v>
      </c>
    </row>
    <row r="1887" spans="1:19" x14ac:dyDescent="0.25">
      <c r="A1887" t="str">
        <f t="shared" si="216"/>
        <v>15</v>
      </c>
      <c r="B1887" t="str">
        <f t="shared" si="217"/>
        <v>001</v>
      </c>
      <c r="C1887" t="str">
        <f t="shared" si="218"/>
        <v>13</v>
      </c>
      <c r="D1887" t="str">
        <f t="shared" si="219"/>
        <v>392</v>
      </c>
      <c r="E1887" t="str">
        <f t="shared" si="220"/>
        <v>0009</v>
      </c>
      <c r="F1887" t="str">
        <f t="shared" si="221"/>
        <v>1.002</v>
      </c>
      <c r="G1887" t="str">
        <f t="shared" si="222"/>
        <v>4.4.50.51.00</v>
      </c>
      <c r="H1887" t="s">
        <v>1937</v>
      </c>
      <c r="I1887" t="str">
        <f t="shared" si="215"/>
        <v>15 - SECRETARIA DA CULTURA</v>
      </c>
      <c r="J1887" t="s">
        <v>20</v>
      </c>
      <c r="K1887" t="str">
        <f t="shared" si="223"/>
        <v>13-CULTURA</v>
      </c>
      <c r="L1887" t="str">
        <f t="shared" si="224"/>
        <v>392-DIFUSÃO CULTURAL</v>
      </c>
      <c r="M1887" t="str">
        <f t="shared" si="225"/>
        <v>0009-Cultura, Economia Criativa e Patrimônio Histórico​</v>
      </c>
      <c r="N1887" t="str">
        <f t="shared" si="226"/>
        <v>1.002-Reforma e Ampliação de Unidades</v>
      </c>
      <c r="O1887" t="str">
        <f t="shared" si="227"/>
        <v>4.4.50.51.00-OBRAS E INSTALAÇÕES</v>
      </c>
      <c r="R1887" s="25">
        <v>0</v>
      </c>
      <c r="S1887" t="s">
        <v>1035</v>
      </c>
    </row>
    <row r="1888" spans="1:19" x14ac:dyDescent="0.25">
      <c r="A1888" t="str">
        <f t="shared" si="216"/>
        <v>15</v>
      </c>
      <c r="B1888" t="str">
        <f t="shared" si="217"/>
        <v>001</v>
      </c>
      <c r="C1888" t="str">
        <f t="shared" si="218"/>
        <v>13</v>
      </c>
      <c r="D1888" t="str">
        <f t="shared" si="219"/>
        <v>392</v>
      </c>
      <c r="E1888" t="str">
        <f t="shared" si="220"/>
        <v>0009</v>
      </c>
      <c r="F1888" t="str">
        <f t="shared" si="221"/>
        <v>1.002</v>
      </c>
      <c r="G1888" t="str">
        <f t="shared" si="222"/>
        <v>4.4.90.52.00</v>
      </c>
      <c r="H1888" t="s">
        <v>1938</v>
      </c>
      <c r="I1888" t="str">
        <f t="shared" si="215"/>
        <v>15 - SECRETARIA DA CULTURA</v>
      </c>
      <c r="J1888" t="s">
        <v>20</v>
      </c>
      <c r="K1888" t="str">
        <f t="shared" si="223"/>
        <v>13-CULTURA</v>
      </c>
      <c r="L1888" t="str">
        <f t="shared" si="224"/>
        <v>392-DIFUSÃO CULTURAL</v>
      </c>
      <c r="M1888" t="str">
        <f t="shared" si="225"/>
        <v>0009-Cultura, Economia Criativa e Patrimônio Histórico​</v>
      </c>
      <c r="N1888" t="str">
        <f t="shared" si="226"/>
        <v>1.002-Reforma e Ampliação de Unidades</v>
      </c>
      <c r="O1888" t="str">
        <f t="shared" si="227"/>
        <v>4.4.90.52.00-EQUIPAMENTOS E MATERIAL PERMANENTE</v>
      </c>
      <c r="R1888" s="25">
        <v>0</v>
      </c>
      <c r="S1888" t="s">
        <v>1035</v>
      </c>
    </row>
    <row r="1889" spans="1:19" x14ac:dyDescent="0.25">
      <c r="A1889" t="str">
        <f t="shared" si="216"/>
        <v>16</v>
      </c>
      <c r="B1889" t="str">
        <f t="shared" si="217"/>
        <v>001</v>
      </c>
      <c r="C1889" t="str">
        <f t="shared" si="218"/>
        <v>04</v>
      </c>
      <c r="D1889" t="str">
        <f t="shared" si="219"/>
        <v>121</v>
      </c>
      <c r="E1889" t="str">
        <f t="shared" si="220"/>
        <v>0004</v>
      </c>
      <c r="F1889" t="str">
        <f t="shared" si="221"/>
        <v>1.001</v>
      </c>
      <c r="G1889" t="str">
        <f t="shared" si="222"/>
        <v>3.3.90.35.00</v>
      </c>
      <c r="H1889" t="s">
        <v>1939</v>
      </c>
      <c r="I1889" t="str">
        <f t="shared" si="215"/>
        <v>16 - SECRETARIA DE TECNOLOGIA, INOVAÇÃO E DESENVOLVIMENTO ECONÔMICO</v>
      </c>
      <c r="J1889" t="s">
        <v>20</v>
      </c>
      <c r="K1889" t="str">
        <f t="shared" si="223"/>
        <v>4-ADMINISTRAÇÃO</v>
      </c>
      <c r="L1889" t="str">
        <f t="shared" si="224"/>
        <v>121-PLANEJAMENTO E ORÇAMENTO</v>
      </c>
      <c r="M1889" t="str">
        <f t="shared" si="225"/>
        <v xml:space="preserve">0004-Planejamento e Gestão de Políticas Públicas </v>
      </c>
      <c r="N1889" t="str">
        <f t="shared" si="226"/>
        <v xml:space="preserve">1.001-Estudos, Pesquisas, Planos e Projetos </v>
      </c>
      <c r="O1889" t="str">
        <f t="shared" si="227"/>
        <v>3.3.90.35.00-SERVIÇOS DE CONSULTORIA</v>
      </c>
      <c r="R1889" s="25">
        <v>1</v>
      </c>
      <c r="S1889" t="s">
        <v>1035</v>
      </c>
    </row>
    <row r="1890" spans="1:19" x14ac:dyDescent="0.25">
      <c r="A1890" t="str">
        <f t="shared" si="216"/>
        <v>16</v>
      </c>
      <c r="B1890" t="str">
        <f t="shared" si="217"/>
        <v>001</v>
      </c>
      <c r="C1890" t="str">
        <f t="shared" si="218"/>
        <v>04</v>
      </c>
      <c r="D1890" t="str">
        <f t="shared" si="219"/>
        <v>122</v>
      </c>
      <c r="E1890" t="str">
        <f t="shared" si="220"/>
        <v>0001</v>
      </c>
      <c r="F1890" t="str">
        <f t="shared" si="221"/>
        <v>1.002</v>
      </c>
      <c r="G1890" t="str">
        <f t="shared" si="222"/>
        <v>3.3.90.39.00</v>
      </c>
      <c r="H1890" t="s">
        <v>1940</v>
      </c>
      <c r="I1890" t="str">
        <f t="shared" si="215"/>
        <v>16 - SECRETARIA DE TECNOLOGIA, INOVAÇÃO E DESENVOLVIMENTO ECONÔMICO</v>
      </c>
      <c r="J1890" t="s">
        <v>20</v>
      </c>
      <c r="K1890" t="str">
        <f t="shared" si="223"/>
        <v>4-ADMINISTRAÇÃO</v>
      </c>
      <c r="L1890" t="str">
        <f t="shared" si="224"/>
        <v>122-ADMINISTRAÇÃO GERAL</v>
      </c>
      <c r="M1890" t="str">
        <f t="shared" si="225"/>
        <v>0001-Administração e Coordenação Geral​</v>
      </c>
      <c r="N1890" t="str">
        <f t="shared" si="226"/>
        <v>1.002-Reforma e Ampliação de Unidades</v>
      </c>
      <c r="O1890" t="str">
        <f t="shared" si="227"/>
        <v>3.3.90.39.00-OUTROS SERVIÇOS DE TERCEIROS - PESSOA JURÍDICA</v>
      </c>
      <c r="R1890" s="25">
        <v>1</v>
      </c>
      <c r="S1890" t="s">
        <v>1035</v>
      </c>
    </row>
    <row r="1891" spans="1:19" x14ac:dyDescent="0.25">
      <c r="A1891" t="str">
        <f t="shared" si="216"/>
        <v>16</v>
      </c>
      <c r="B1891" t="str">
        <f t="shared" si="217"/>
        <v>001</v>
      </c>
      <c r="C1891" t="str">
        <f t="shared" si="218"/>
        <v>04</v>
      </c>
      <c r="D1891" t="str">
        <f t="shared" si="219"/>
        <v>122</v>
      </c>
      <c r="E1891" t="str">
        <f t="shared" si="220"/>
        <v>0001</v>
      </c>
      <c r="F1891" t="str">
        <f t="shared" si="221"/>
        <v>2.001</v>
      </c>
      <c r="G1891" t="str">
        <f t="shared" si="222"/>
        <v>3.1.90.11.00</v>
      </c>
      <c r="H1891" t="s">
        <v>1941</v>
      </c>
      <c r="I1891" t="str">
        <f t="shared" si="215"/>
        <v>16 - SECRETARIA DE TECNOLOGIA, INOVAÇÃO E DESENVOLVIMENTO ECONÔMICO</v>
      </c>
      <c r="J1891" t="s">
        <v>20</v>
      </c>
      <c r="K1891" t="str">
        <f t="shared" si="223"/>
        <v>4-ADMINISTRAÇÃO</v>
      </c>
      <c r="L1891" t="str">
        <f t="shared" si="224"/>
        <v>122-ADMINISTRAÇÃO GERAL</v>
      </c>
      <c r="M1891" t="str">
        <f t="shared" si="225"/>
        <v>0001-Administração e Coordenação Geral​</v>
      </c>
      <c r="N1891" t="str">
        <f t="shared" si="226"/>
        <v>2.001-Remuneração, Benefícios e Encargos</v>
      </c>
      <c r="O1891" t="str">
        <f>G1891</f>
        <v>3.1.90.11.00</v>
      </c>
      <c r="R1891" s="25">
        <v>19242878.93</v>
      </c>
      <c r="S1891" t="s">
        <v>1035</v>
      </c>
    </row>
    <row r="1892" spans="1:19" x14ac:dyDescent="0.25">
      <c r="A1892" t="str">
        <f t="shared" si="216"/>
        <v>16</v>
      </c>
      <c r="B1892" t="str">
        <f t="shared" si="217"/>
        <v>001</v>
      </c>
      <c r="C1892" t="str">
        <f t="shared" si="218"/>
        <v>04</v>
      </c>
      <c r="D1892" t="str">
        <f t="shared" si="219"/>
        <v>122</v>
      </c>
      <c r="E1892" t="str">
        <f t="shared" si="220"/>
        <v>0001</v>
      </c>
      <c r="F1892" t="str">
        <f t="shared" si="221"/>
        <v>2.001</v>
      </c>
      <c r="G1892" t="str">
        <f t="shared" si="222"/>
        <v>3.1.90.13.00</v>
      </c>
      <c r="H1892" t="s">
        <v>1942</v>
      </c>
      <c r="I1892" t="str">
        <f t="shared" si="215"/>
        <v>16 - SECRETARIA DE TECNOLOGIA, INOVAÇÃO E DESENVOLVIMENTO ECONÔMICO</v>
      </c>
      <c r="J1892" t="s">
        <v>20</v>
      </c>
      <c r="K1892" t="str">
        <f t="shared" si="223"/>
        <v>4-ADMINISTRAÇÃO</v>
      </c>
      <c r="L1892" t="str">
        <f t="shared" si="224"/>
        <v>122-ADMINISTRAÇÃO GERAL</v>
      </c>
      <c r="M1892" t="str">
        <f t="shared" si="225"/>
        <v>0001-Administração e Coordenação Geral​</v>
      </c>
      <c r="N1892" t="str">
        <f t="shared" si="226"/>
        <v>2.001-Remuneração, Benefícios e Encargos</v>
      </c>
      <c r="O1892" t="str">
        <f>G1892</f>
        <v>3.1.90.13.00</v>
      </c>
      <c r="R1892" s="25">
        <v>3117698.55</v>
      </c>
      <c r="S1892" t="s">
        <v>1035</v>
      </c>
    </row>
    <row r="1893" spans="1:19" x14ac:dyDescent="0.25">
      <c r="A1893" t="str">
        <f t="shared" si="216"/>
        <v>16</v>
      </c>
      <c r="B1893" t="str">
        <f t="shared" si="217"/>
        <v>001</v>
      </c>
      <c r="C1893" t="str">
        <f t="shared" si="218"/>
        <v>04</v>
      </c>
      <c r="D1893" t="str">
        <f t="shared" si="219"/>
        <v>122</v>
      </c>
      <c r="E1893" t="str">
        <f t="shared" si="220"/>
        <v>0001</v>
      </c>
      <c r="F1893" t="str">
        <f t="shared" si="221"/>
        <v>2.001</v>
      </c>
      <c r="G1893" t="str">
        <f t="shared" si="222"/>
        <v>3.1.91.13.00</v>
      </c>
      <c r="H1893" t="s">
        <v>1943</v>
      </c>
      <c r="I1893" t="str">
        <f t="shared" si="215"/>
        <v>16 - SECRETARIA DE TECNOLOGIA, INOVAÇÃO E DESENVOLVIMENTO ECONÔMICO</v>
      </c>
      <c r="J1893" t="s">
        <v>20</v>
      </c>
      <c r="K1893" t="str">
        <f t="shared" si="223"/>
        <v>4-ADMINISTRAÇÃO</v>
      </c>
      <c r="L1893" t="str">
        <f t="shared" si="224"/>
        <v>122-ADMINISTRAÇÃO GERAL</v>
      </c>
      <c r="M1893" t="str">
        <f t="shared" si="225"/>
        <v>0001-Administração e Coordenação Geral​</v>
      </c>
      <c r="N1893" t="str">
        <f t="shared" si="226"/>
        <v>2.001-Remuneração, Benefícios e Encargos</v>
      </c>
      <c r="O1893" t="str">
        <f>G1893</f>
        <v>3.1.91.13.00</v>
      </c>
      <c r="R1893" s="25">
        <v>1009116.35</v>
      </c>
      <c r="S1893" t="s">
        <v>1035</v>
      </c>
    </row>
    <row r="1894" spans="1:19" x14ac:dyDescent="0.25">
      <c r="A1894" t="str">
        <f t="shared" si="216"/>
        <v>16</v>
      </c>
      <c r="B1894" t="str">
        <f t="shared" si="217"/>
        <v>001</v>
      </c>
      <c r="C1894" t="str">
        <f t="shared" si="218"/>
        <v>04</v>
      </c>
      <c r="D1894" t="str">
        <f t="shared" si="219"/>
        <v>122</v>
      </c>
      <c r="E1894" t="str">
        <f t="shared" si="220"/>
        <v>0001</v>
      </c>
      <c r="F1894" t="str">
        <f t="shared" si="221"/>
        <v>2.001</v>
      </c>
      <c r="G1894" t="str">
        <f t="shared" si="222"/>
        <v>3.3.90.46.00</v>
      </c>
      <c r="H1894" t="s">
        <v>1944</v>
      </c>
      <c r="I1894" t="str">
        <f t="shared" si="215"/>
        <v>16 - SECRETARIA DE TECNOLOGIA, INOVAÇÃO E DESENVOLVIMENTO ECONÔMICO</v>
      </c>
      <c r="J1894" t="s">
        <v>20</v>
      </c>
      <c r="K1894" t="str">
        <f t="shared" si="223"/>
        <v>4-ADMINISTRAÇÃO</v>
      </c>
      <c r="L1894" t="str">
        <f t="shared" si="224"/>
        <v>122-ADMINISTRAÇÃO GERAL</v>
      </c>
      <c r="M1894" t="str">
        <f t="shared" si="225"/>
        <v>0001-Administração e Coordenação Geral​</v>
      </c>
      <c r="N1894" t="str">
        <f t="shared" si="226"/>
        <v>2.001-Remuneração, Benefícios e Encargos</v>
      </c>
      <c r="O1894" t="str">
        <f>G1894</f>
        <v>3.3.90.46.00</v>
      </c>
      <c r="R1894" s="25">
        <v>3.41</v>
      </c>
      <c r="S1894" t="s">
        <v>1035</v>
      </c>
    </row>
    <row r="1895" spans="1:19" x14ac:dyDescent="0.25">
      <c r="A1895" t="str">
        <f t="shared" si="216"/>
        <v>16</v>
      </c>
      <c r="B1895" t="str">
        <f t="shared" si="217"/>
        <v>001</v>
      </c>
      <c r="C1895" t="str">
        <f t="shared" si="218"/>
        <v>04</v>
      </c>
      <c r="D1895" t="str">
        <f t="shared" si="219"/>
        <v>122</v>
      </c>
      <c r="E1895" t="str">
        <f t="shared" si="220"/>
        <v>0001</v>
      </c>
      <c r="F1895" t="str">
        <f t="shared" si="221"/>
        <v>2.001</v>
      </c>
      <c r="G1895" t="str">
        <f t="shared" si="222"/>
        <v>3.3.90.49.00</v>
      </c>
      <c r="H1895" t="s">
        <v>1945</v>
      </c>
      <c r="I1895" t="str">
        <f t="shared" si="215"/>
        <v>16 - SECRETARIA DE TECNOLOGIA, INOVAÇÃO E DESENVOLVIMENTO ECONÔMICO</v>
      </c>
      <c r="J1895" t="s">
        <v>20</v>
      </c>
      <c r="K1895" t="str">
        <f t="shared" si="223"/>
        <v>4-ADMINISTRAÇÃO</v>
      </c>
      <c r="L1895" t="str">
        <f t="shared" si="224"/>
        <v>122-ADMINISTRAÇÃO GERAL</v>
      </c>
      <c r="M1895" t="str">
        <f t="shared" si="225"/>
        <v>0001-Administração e Coordenação Geral​</v>
      </c>
      <c r="N1895" t="str">
        <f t="shared" si="226"/>
        <v>2.001-Remuneração, Benefícios e Encargos</v>
      </c>
      <c r="O1895" t="str">
        <f>G1895</f>
        <v>3.3.90.49.00</v>
      </c>
      <c r="R1895" s="25">
        <v>106636.18</v>
      </c>
      <c r="S1895" t="s">
        <v>1035</v>
      </c>
    </row>
    <row r="1896" spans="1:19" x14ac:dyDescent="0.25">
      <c r="A1896" t="str">
        <f t="shared" si="216"/>
        <v>16</v>
      </c>
      <c r="B1896" t="str">
        <f t="shared" si="217"/>
        <v>001</v>
      </c>
      <c r="C1896" t="str">
        <f t="shared" si="218"/>
        <v>23</v>
      </c>
      <c r="D1896" t="str">
        <f t="shared" si="219"/>
        <v>692</v>
      </c>
      <c r="E1896" t="str">
        <f t="shared" si="220"/>
        <v>0008</v>
      </c>
      <c r="F1896" t="str">
        <f t="shared" si="221"/>
        <v>1.002</v>
      </c>
      <c r="G1896" t="str">
        <f t="shared" si="222"/>
        <v>3.3.90.39.00</v>
      </c>
      <c r="H1896" t="s">
        <v>1946</v>
      </c>
      <c r="I1896" t="str">
        <f t="shared" si="215"/>
        <v>16 - SECRETARIA DE TECNOLOGIA, INOVAÇÃO E DESENVOLVIMENTO ECONÔMICO</v>
      </c>
      <c r="J1896" t="s">
        <v>20</v>
      </c>
      <c r="K1896" t="str">
        <f t="shared" si="223"/>
        <v>23-COMÉRCIO E SERVIÇOS</v>
      </c>
      <c r="L1896" t="str">
        <f>D1896</f>
        <v>692</v>
      </c>
      <c r="M1896" t="str">
        <f t="shared" si="225"/>
        <v>0008-Empreendedorismo, Negócios e Turismo​</v>
      </c>
      <c r="N1896" t="str">
        <f t="shared" si="226"/>
        <v>1.002-Reforma e Ampliação de Unidades</v>
      </c>
      <c r="O1896" t="str">
        <f t="shared" si="227"/>
        <v>3.3.90.39.00-OUTROS SERVIÇOS DE TERCEIROS - PESSOA JURÍDICA</v>
      </c>
      <c r="R1896" s="25">
        <v>1</v>
      </c>
      <c r="S1896" t="s">
        <v>1035</v>
      </c>
    </row>
    <row r="1897" spans="1:19" x14ac:dyDescent="0.25">
      <c r="A1897" t="str">
        <f t="shared" si="216"/>
        <v>16</v>
      </c>
      <c r="B1897" t="str">
        <f t="shared" si="217"/>
        <v>001</v>
      </c>
      <c r="C1897" t="str">
        <f t="shared" si="218"/>
        <v>23</v>
      </c>
      <c r="D1897" t="str">
        <f t="shared" si="219"/>
        <v>692</v>
      </c>
      <c r="E1897" t="str">
        <f t="shared" si="220"/>
        <v>0008</v>
      </c>
      <c r="F1897" t="str">
        <f t="shared" si="221"/>
        <v>1.003</v>
      </c>
      <c r="G1897" t="str">
        <f t="shared" si="222"/>
        <v>4.4.90.52.00</v>
      </c>
      <c r="H1897" t="s">
        <v>1947</v>
      </c>
      <c r="I1897" t="str">
        <f t="shared" si="215"/>
        <v>16 - SECRETARIA DE TECNOLOGIA, INOVAÇÃO E DESENVOLVIMENTO ECONÔMICO</v>
      </c>
      <c r="J1897" t="s">
        <v>20</v>
      </c>
      <c r="K1897" t="str">
        <f t="shared" si="223"/>
        <v>23-COMÉRCIO E SERVIÇOS</v>
      </c>
      <c r="L1897" t="str">
        <f>D1897</f>
        <v>692</v>
      </c>
      <c r="M1897" t="str">
        <f t="shared" si="225"/>
        <v>0008-Empreendedorismo, Negócios e Turismo​</v>
      </c>
      <c r="N1897" t="str">
        <f t="shared" si="226"/>
        <v>1.003-Implantação de Novas Unidades</v>
      </c>
      <c r="O1897" t="str">
        <f t="shared" si="227"/>
        <v>4.4.90.52.00-EQUIPAMENTOS E MATERIAL PERMANENTE</v>
      </c>
      <c r="R1897" s="25">
        <v>1</v>
      </c>
      <c r="S1897" t="s">
        <v>1035</v>
      </c>
    </row>
    <row r="1898" spans="1:19" x14ac:dyDescent="0.25">
      <c r="A1898" t="str">
        <f t="shared" si="216"/>
        <v>17</v>
      </c>
      <c r="B1898" t="str">
        <f t="shared" si="217"/>
        <v>001</v>
      </c>
      <c r="C1898" t="str">
        <f t="shared" si="218"/>
        <v>04</v>
      </c>
      <c r="D1898" t="str">
        <f t="shared" si="219"/>
        <v>122</v>
      </c>
      <c r="E1898" t="str">
        <f t="shared" si="220"/>
        <v>0001</v>
      </c>
      <c r="F1898" t="str">
        <f t="shared" si="221"/>
        <v>2.001</v>
      </c>
      <c r="G1898" t="str">
        <f t="shared" si="222"/>
        <v>3.1.90.11.00</v>
      </c>
      <c r="H1898" t="s">
        <v>1948</v>
      </c>
      <c r="I1898" t="str">
        <f t="shared" si="215"/>
        <v>17 - SECRETARIA DE MEIO AMBIENTE E RECURSOS HÍDRICOS</v>
      </c>
      <c r="J1898" t="s">
        <v>20</v>
      </c>
      <c r="K1898" t="str">
        <f t="shared" si="223"/>
        <v>4-ADMINISTRAÇÃO</v>
      </c>
      <c r="L1898" t="str">
        <f t="shared" si="224"/>
        <v>122-ADMINISTRAÇÃO GERAL</v>
      </c>
      <c r="M1898" t="str">
        <f t="shared" si="225"/>
        <v>0001-Administração e Coordenação Geral​</v>
      </c>
      <c r="N1898" t="str">
        <f t="shared" si="226"/>
        <v>2.001-Remuneração, Benefícios e Encargos</v>
      </c>
      <c r="O1898" t="str">
        <f>G1898</f>
        <v>3.1.90.11.00</v>
      </c>
      <c r="R1898" s="25">
        <v>9452593.8800000008</v>
      </c>
      <c r="S1898" t="s">
        <v>1035</v>
      </c>
    </row>
    <row r="1899" spans="1:19" x14ac:dyDescent="0.25">
      <c r="A1899" t="str">
        <f t="shared" si="216"/>
        <v>17</v>
      </c>
      <c r="B1899" t="str">
        <f t="shared" si="217"/>
        <v>001</v>
      </c>
      <c r="C1899" t="str">
        <f t="shared" si="218"/>
        <v>04</v>
      </c>
      <c r="D1899" t="str">
        <f t="shared" si="219"/>
        <v>122</v>
      </c>
      <c r="E1899" t="str">
        <f t="shared" si="220"/>
        <v>0001</v>
      </c>
      <c r="F1899" t="str">
        <f t="shared" si="221"/>
        <v>2.001</v>
      </c>
      <c r="G1899" t="str">
        <f t="shared" si="222"/>
        <v>3.1.90.13.00</v>
      </c>
      <c r="H1899" t="s">
        <v>1949</v>
      </c>
      <c r="I1899" t="str">
        <f t="shared" si="215"/>
        <v>17 - SECRETARIA DE MEIO AMBIENTE E RECURSOS HÍDRICOS</v>
      </c>
      <c r="J1899" t="s">
        <v>20</v>
      </c>
      <c r="K1899" t="str">
        <f t="shared" si="223"/>
        <v>4-ADMINISTRAÇÃO</v>
      </c>
      <c r="L1899" t="str">
        <f t="shared" si="224"/>
        <v>122-ADMINISTRAÇÃO GERAL</v>
      </c>
      <c r="M1899" t="str">
        <f t="shared" si="225"/>
        <v>0001-Administração e Coordenação Geral​</v>
      </c>
      <c r="N1899" t="str">
        <f t="shared" si="226"/>
        <v>2.001-Remuneração, Benefícios e Encargos</v>
      </c>
      <c r="O1899" t="str">
        <f>G1899</f>
        <v>3.1.90.13.00</v>
      </c>
      <c r="R1899" s="25">
        <v>1024161.7</v>
      </c>
      <c r="S1899" t="s">
        <v>1035</v>
      </c>
    </row>
    <row r="1900" spans="1:19" x14ac:dyDescent="0.25">
      <c r="A1900" t="str">
        <f t="shared" si="216"/>
        <v>17</v>
      </c>
      <c r="B1900" t="str">
        <f t="shared" si="217"/>
        <v>001</v>
      </c>
      <c r="C1900" t="str">
        <f t="shared" si="218"/>
        <v>04</v>
      </c>
      <c r="D1900" t="str">
        <f t="shared" si="219"/>
        <v>122</v>
      </c>
      <c r="E1900" t="str">
        <f t="shared" si="220"/>
        <v>0001</v>
      </c>
      <c r="F1900" t="str">
        <f t="shared" si="221"/>
        <v>2.001</v>
      </c>
      <c r="G1900" t="str">
        <f t="shared" si="222"/>
        <v>3.1.91.13.00</v>
      </c>
      <c r="H1900" t="s">
        <v>1950</v>
      </c>
      <c r="I1900" t="str">
        <f t="shared" si="215"/>
        <v>17 - SECRETARIA DE MEIO AMBIENTE E RECURSOS HÍDRICOS</v>
      </c>
      <c r="J1900" t="s">
        <v>20</v>
      </c>
      <c r="K1900" t="str">
        <f t="shared" si="223"/>
        <v>4-ADMINISTRAÇÃO</v>
      </c>
      <c r="L1900" t="str">
        <f t="shared" si="224"/>
        <v>122-ADMINISTRAÇÃO GERAL</v>
      </c>
      <c r="M1900" t="str">
        <f t="shared" si="225"/>
        <v>0001-Administração e Coordenação Geral​</v>
      </c>
      <c r="N1900" t="str">
        <f t="shared" si="226"/>
        <v>2.001-Remuneração, Benefícios e Encargos</v>
      </c>
      <c r="O1900" t="str">
        <f>G1900</f>
        <v>3.1.91.13.00</v>
      </c>
      <c r="R1900" s="25">
        <v>790609.54</v>
      </c>
      <c r="S1900" t="s">
        <v>1035</v>
      </c>
    </row>
    <row r="1901" spans="1:19" x14ac:dyDescent="0.25">
      <c r="A1901" t="str">
        <f t="shared" si="216"/>
        <v>17</v>
      </c>
      <c r="B1901" t="str">
        <f t="shared" si="217"/>
        <v>001</v>
      </c>
      <c r="C1901" t="str">
        <f t="shared" si="218"/>
        <v>04</v>
      </c>
      <c r="D1901" t="str">
        <f t="shared" si="219"/>
        <v>122</v>
      </c>
      <c r="E1901" t="str">
        <f t="shared" si="220"/>
        <v>0001</v>
      </c>
      <c r="F1901" t="str">
        <f t="shared" si="221"/>
        <v>2.001</v>
      </c>
      <c r="G1901" t="str">
        <f t="shared" si="222"/>
        <v>3.3.90.46.00</v>
      </c>
      <c r="H1901" t="s">
        <v>1951</v>
      </c>
      <c r="I1901" t="str">
        <f t="shared" si="215"/>
        <v>17 - SECRETARIA DE MEIO AMBIENTE E RECURSOS HÍDRICOS</v>
      </c>
      <c r="J1901" t="s">
        <v>20</v>
      </c>
      <c r="K1901" t="str">
        <f t="shared" si="223"/>
        <v>4-ADMINISTRAÇÃO</v>
      </c>
      <c r="L1901" t="str">
        <f t="shared" si="224"/>
        <v>122-ADMINISTRAÇÃO GERAL</v>
      </c>
      <c r="M1901" t="str">
        <f t="shared" si="225"/>
        <v>0001-Administração e Coordenação Geral​</v>
      </c>
      <c r="N1901" t="str">
        <f t="shared" si="226"/>
        <v>2.001-Remuneração, Benefícios e Encargos</v>
      </c>
      <c r="O1901" t="str">
        <f>G1901</f>
        <v>3.3.90.46.00</v>
      </c>
      <c r="R1901" s="25">
        <v>2.2400000000000002</v>
      </c>
      <c r="S1901" t="s">
        <v>1035</v>
      </c>
    </row>
    <row r="1902" spans="1:19" x14ac:dyDescent="0.25">
      <c r="A1902" t="str">
        <f t="shared" si="216"/>
        <v>17</v>
      </c>
      <c r="B1902" t="str">
        <f t="shared" si="217"/>
        <v>001</v>
      </c>
      <c r="C1902" t="str">
        <f t="shared" si="218"/>
        <v>04</v>
      </c>
      <c r="D1902" t="str">
        <f t="shared" si="219"/>
        <v>122</v>
      </c>
      <c r="E1902" t="str">
        <f t="shared" si="220"/>
        <v>0001</v>
      </c>
      <c r="F1902" t="str">
        <f t="shared" si="221"/>
        <v>2.001</v>
      </c>
      <c r="G1902" t="str">
        <f t="shared" si="222"/>
        <v>3.3.90.49.00</v>
      </c>
      <c r="H1902" t="s">
        <v>1952</v>
      </c>
      <c r="I1902" t="str">
        <f t="shared" si="215"/>
        <v>17 - SECRETARIA DE MEIO AMBIENTE E RECURSOS HÍDRICOS</v>
      </c>
      <c r="J1902" t="s">
        <v>20</v>
      </c>
      <c r="K1902" t="str">
        <f t="shared" si="223"/>
        <v>4-ADMINISTRAÇÃO</v>
      </c>
      <c r="L1902" t="str">
        <f t="shared" si="224"/>
        <v>122-ADMINISTRAÇÃO GERAL</v>
      </c>
      <c r="M1902" t="str">
        <f t="shared" si="225"/>
        <v>0001-Administração e Coordenação Geral​</v>
      </c>
      <c r="N1902" t="str">
        <f t="shared" si="226"/>
        <v>2.001-Remuneração, Benefícios e Encargos</v>
      </c>
      <c r="O1902" t="str">
        <f>G1902</f>
        <v>3.3.90.49.00</v>
      </c>
      <c r="R1902" s="25">
        <v>129186.38</v>
      </c>
      <c r="S1902" t="s">
        <v>1035</v>
      </c>
    </row>
    <row r="1903" spans="1:19" x14ac:dyDescent="0.25">
      <c r="A1903" t="str">
        <f t="shared" si="216"/>
        <v>17</v>
      </c>
      <c r="B1903" t="str">
        <f t="shared" si="217"/>
        <v>001</v>
      </c>
      <c r="C1903" t="str">
        <f t="shared" si="218"/>
        <v>18</v>
      </c>
      <c r="D1903" t="str">
        <f t="shared" si="219"/>
        <v>541</v>
      </c>
      <c r="E1903" t="str">
        <f t="shared" si="220"/>
        <v>0007</v>
      </c>
      <c r="F1903" t="str">
        <f t="shared" si="221"/>
        <v>1.002</v>
      </c>
      <c r="G1903" t="str">
        <f t="shared" si="222"/>
        <v>3.3.90.39.00</v>
      </c>
      <c r="H1903" t="s">
        <v>1953</v>
      </c>
      <c r="I1903" t="str">
        <f t="shared" si="215"/>
        <v>17 - SECRETARIA DE MEIO AMBIENTE E RECURSOS HÍDRICOS</v>
      </c>
      <c r="J1903" t="s">
        <v>20</v>
      </c>
      <c r="K1903" t="str">
        <f t="shared" si="223"/>
        <v>18-GESTÃO AMBIENTAL</v>
      </c>
      <c r="L1903" t="str">
        <f t="shared" si="224"/>
        <v>541-PRESERVAÇÃO E CONSERVAÇÃO AMBIENTAL</v>
      </c>
      <c r="M1903" t="str">
        <f t="shared" si="225"/>
        <v>0007-Meio Ambiente, Sustentabilidade e Bem-Estar Animal​</v>
      </c>
      <c r="N1903" t="str">
        <f t="shared" si="226"/>
        <v>1.002-Reforma e Ampliação de Unidades</v>
      </c>
      <c r="O1903" t="str">
        <f t="shared" si="227"/>
        <v>3.3.90.39.00-OUTROS SERVIÇOS DE TERCEIROS - PESSOA JURÍDICA</v>
      </c>
      <c r="R1903" s="25">
        <v>11001</v>
      </c>
      <c r="S1903" t="s">
        <v>1035</v>
      </c>
    </row>
    <row r="1904" spans="1:19" x14ac:dyDescent="0.25">
      <c r="A1904" t="str">
        <f t="shared" si="216"/>
        <v>17</v>
      </c>
      <c r="B1904" t="str">
        <f t="shared" si="217"/>
        <v>003</v>
      </c>
      <c r="C1904" t="str">
        <f t="shared" si="218"/>
        <v>04</v>
      </c>
      <c r="D1904" t="str">
        <f t="shared" si="219"/>
        <v>121</v>
      </c>
      <c r="E1904" t="str">
        <f t="shared" si="220"/>
        <v>0004</v>
      </c>
      <c r="F1904" t="str">
        <f t="shared" si="221"/>
        <v>1.001</v>
      </c>
      <c r="G1904" t="str">
        <f t="shared" si="222"/>
        <v>3.3.90.35.00</v>
      </c>
      <c r="H1904" t="s">
        <v>1954</v>
      </c>
      <c r="I1904" t="str">
        <f t="shared" si="215"/>
        <v>17 - SECRETARIA DE MEIO AMBIENTE E RECURSOS HÍDRICOS</v>
      </c>
      <c r="J1904" t="s">
        <v>768</v>
      </c>
      <c r="K1904" t="str">
        <f t="shared" si="223"/>
        <v>4-ADMINISTRAÇÃO</v>
      </c>
      <c r="L1904" t="str">
        <f t="shared" si="224"/>
        <v>121-PLANEJAMENTO E ORÇAMENTO</v>
      </c>
      <c r="M1904" t="str">
        <f t="shared" si="225"/>
        <v xml:space="preserve">0004-Planejamento e Gestão de Políticas Públicas </v>
      </c>
      <c r="N1904" t="str">
        <f t="shared" si="226"/>
        <v xml:space="preserve">1.001-Estudos, Pesquisas, Planos e Projetos </v>
      </c>
      <c r="O1904" t="str">
        <f t="shared" si="227"/>
        <v>3.3.90.35.00-SERVIÇOS DE CONSULTORIA</v>
      </c>
      <c r="R1904" s="25">
        <v>2</v>
      </c>
      <c r="S1904" t="s">
        <v>1035</v>
      </c>
    </row>
    <row r="1905" spans="1:19" x14ac:dyDescent="0.25">
      <c r="A1905" t="str">
        <f t="shared" si="216"/>
        <v>18</v>
      </c>
      <c r="B1905" t="str">
        <f t="shared" si="217"/>
        <v>001</v>
      </c>
      <c r="C1905" t="str">
        <f t="shared" si="218"/>
        <v>04</v>
      </c>
      <c r="D1905" t="str">
        <f t="shared" si="219"/>
        <v>123</v>
      </c>
      <c r="E1905" t="str">
        <f t="shared" si="220"/>
        <v>0021</v>
      </c>
      <c r="F1905" t="str">
        <f t="shared" si="221"/>
        <v>0.001</v>
      </c>
      <c r="G1905" t="str">
        <f t="shared" si="222"/>
        <v>3.2.90.21.00</v>
      </c>
      <c r="H1905" t="s">
        <v>1955</v>
      </c>
      <c r="I1905" t="s">
        <v>789</v>
      </c>
      <c r="J1905" t="s">
        <v>20</v>
      </c>
      <c r="K1905" t="str">
        <f t="shared" si="223"/>
        <v>4-ADMINISTRAÇÃO</v>
      </c>
      <c r="L1905" t="str">
        <f t="shared" ref="L1905:O1911" si="228">D1905</f>
        <v>123</v>
      </c>
      <c r="M1905" t="str">
        <f t="shared" si="228"/>
        <v>0021</v>
      </c>
      <c r="N1905" t="str">
        <f t="shared" si="228"/>
        <v>0.001</v>
      </c>
      <c r="O1905" t="str">
        <f t="shared" si="228"/>
        <v>3.2.90.21.00</v>
      </c>
      <c r="R1905" s="25">
        <v>79447850.049999997</v>
      </c>
      <c r="S1905" t="s">
        <v>1035</v>
      </c>
    </row>
    <row r="1906" spans="1:19" x14ac:dyDescent="0.25">
      <c r="A1906" t="str">
        <f t="shared" si="216"/>
        <v>18</v>
      </c>
      <c r="B1906" t="str">
        <f t="shared" si="217"/>
        <v>001</v>
      </c>
      <c r="C1906" t="str">
        <f t="shared" si="218"/>
        <v>04</v>
      </c>
      <c r="D1906" t="str">
        <f t="shared" si="219"/>
        <v>123</v>
      </c>
      <c r="E1906" t="str">
        <f t="shared" si="220"/>
        <v>0021</v>
      </c>
      <c r="F1906" t="str">
        <f t="shared" si="221"/>
        <v>0.001</v>
      </c>
      <c r="G1906" t="str">
        <f t="shared" si="222"/>
        <v>3.2.90.22.00</v>
      </c>
      <c r="H1906" t="s">
        <v>1956</v>
      </c>
      <c r="I1906" t="s">
        <v>789</v>
      </c>
      <c r="J1906" t="s">
        <v>20</v>
      </c>
      <c r="K1906" t="str">
        <f t="shared" si="223"/>
        <v>4-ADMINISTRAÇÃO</v>
      </c>
      <c r="L1906" t="str">
        <f t="shared" si="228"/>
        <v>123</v>
      </c>
      <c r="M1906" t="str">
        <f t="shared" si="228"/>
        <v>0021</v>
      </c>
      <c r="N1906" t="str">
        <f t="shared" si="228"/>
        <v>0.001</v>
      </c>
      <c r="O1906" t="str">
        <f t="shared" si="228"/>
        <v>3.2.90.22.00</v>
      </c>
      <c r="R1906" s="25">
        <v>1000000</v>
      </c>
      <c r="S1906" t="s">
        <v>1035</v>
      </c>
    </row>
    <row r="1907" spans="1:19" x14ac:dyDescent="0.25">
      <c r="A1907" t="str">
        <f t="shared" si="216"/>
        <v>18</v>
      </c>
      <c r="B1907" t="str">
        <f t="shared" si="217"/>
        <v>001</v>
      </c>
      <c r="C1907" t="str">
        <f t="shared" si="218"/>
        <v>04</v>
      </c>
      <c r="D1907" t="str">
        <f t="shared" si="219"/>
        <v>123</v>
      </c>
      <c r="E1907" t="str">
        <f t="shared" si="220"/>
        <v>0021</v>
      </c>
      <c r="F1907" t="str">
        <f t="shared" si="221"/>
        <v>0.001</v>
      </c>
      <c r="G1907" t="str">
        <f t="shared" si="222"/>
        <v>3.2.91.21.00</v>
      </c>
      <c r="H1907" t="s">
        <v>1957</v>
      </c>
      <c r="I1907" t="s">
        <v>789</v>
      </c>
      <c r="J1907" t="s">
        <v>20</v>
      </c>
      <c r="K1907" t="str">
        <f t="shared" si="223"/>
        <v>4-ADMINISTRAÇÃO</v>
      </c>
      <c r="L1907" t="str">
        <f t="shared" si="228"/>
        <v>123</v>
      </c>
      <c r="M1907" t="str">
        <f t="shared" si="228"/>
        <v>0021</v>
      </c>
      <c r="N1907" t="str">
        <f t="shared" si="228"/>
        <v>0.001</v>
      </c>
      <c r="O1907" t="str">
        <f t="shared" si="228"/>
        <v>3.2.91.21.00</v>
      </c>
      <c r="R1907" s="25">
        <v>5544936.2699999996</v>
      </c>
      <c r="S1907" t="s">
        <v>1035</v>
      </c>
    </row>
    <row r="1908" spans="1:19" x14ac:dyDescent="0.25">
      <c r="A1908" t="str">
        <f t="shared" si="216"/>
        <v>18</v>
      </c>
      <c r="B1908" t="str">
        <f t="shared" si="217"/>
        <v>001</v>
      </c>
      <c r="C1908" t="str">
        <f t="shared" si="218"/>
        <v>04</v>
      </c>
      <c r="D1908" t="str">
        <f t="shared" si="219"/>
        <v>123</v>
      </c>
      <c r="E1908" t="str">
        <f t="shared" si="220"/>
        <v>0021</v>
      </c>
      <c r="F1908" t="str">
        <f t="shared" si="221"/>
        <v>0.001</v>
      </c>
      <c r="G1908" t="str">
        <f t="shared" si="222"/>
        <v>4.6.90.71.00</v>
      </c>
      <c r="H1908" t="s">
        <v>1958</v>
      </c>
      <c r="I1908" t="s">
        <v>789</v>
      </c>
      <c r="J1908" t="s">
        <v>20</v>
      </c>
      <c r="K1908" t="str">
        <f t="shared" si="223"/>
        <v>4-ADMINISTRAÇÃO</v>
      </c>
      <c r="L1908" t="str">
        <f t="shared" si="228"/>
        <v>123</v>
      </c>
      <c r="M1908" t="str">
        <f t="shared" si="228"/>
        <v>0021</v>
      </c>
      <c r="N1908" t="str">
        <f t="shared" si="228"/>
        <v>0.001</v>
      </c>
      <c r="O1908" t="str">
        <f t="shared" si="228"/>
        <v>4.6.90.71.00</v>
      </c>
      <c r="R1908" s="25">
        <v>142548168.24000001</v>
      </c>
      <c r="S1908" t="s">
        <v>1035</v>
      </c>
    </row>
    <row r="1909" spans="1:19" x14ac:dyDescent="0.25">
      <c r="A1909" t="str">
        <f t="shared" si="216"/>
        <v>18</v>
      </c>
      <c r="B1909" t="str">
        <f t="shared" si="217"/>
        <v>001</v>
      </c>
      <c r="C1909" t="str">
        <f t="shared" si="218"/>
        <v>04</v>
      </c>
      <c r="D1909" t="str">
        <f t="shared" si="219"/>
        <v>123</v>
      </c>
      <c r="E1909" t="str">
        <f t="shared" si="220"/>
        <v>0021</v>
      </c>
      <c r="F1909" t="str">
        <f t="shared" si="221"/>
        <v>0.001</v>
      </c>
      <c r="G1909" t="str">
        <f t="shared" si="222"/>
        <v>4.6.91.71.00</v>
      </c>
      <c r="H1909" t="s">
        <v>1959</v>
      </c>
      <c r="I1909" t="s">
        <v>789</v>
      </c>
      <c r="J1909" t="s">
        <v>20</v>
      </c>
      <c r="K1909" t="str">
        <f t="shared" si="223"/>
        <v>4-ADMINISTRAÇÃO</v>
      </c>
      <c r="L1909" t="str">
        <f t="shared" si="228"/>
        <v>123</v>
      </c>
      <c r="M1909" t="str">
        <f t="shared" si="228"/>
        <v>0021</v>
      </c>
      <c r="N1909" t="str">
        <f t="shared" si="228"/>
        <v>0.001</v>
      </c>
      <c r="O1909" t="str">
        <f t="shared" si="228"/>
        <v>4.6.91.71.00</v>
      </c>
      <c r="R1909" s="25">
        <v>714039.84</v>
      </c>
      <c r="S1909" t="s">
        <v>1035</v>
      </c>
    </row>
    <row r="1910" spans="1:19" x14ac:dyDescent="0.25">
      <c r="A1910" t="str">
        <f t="shared" si="216"/>
        <v>18</v>
      </c>
      <c r="B1910" t="str">
        <f t="shared" si="217"/>
        <v>001</v>
      </c>
      <c r="C1910" t="str">
        <f t="shared" si="218"/>
        <v>04</v>
      </c>
      <c r="D1910" t="str">
        <f t="shared" si="219"/>
        <v>123</v>
      </c>
      <c r="E1910" t="str">
        <f t="shared" si="220"/>
        <v>0021</v>
      </c>
      <c r="F1910" t="str">
        <f t="shared" si="221"/>
        <v>0.002</v>
      </c>
      <c r="G1910" t="str">
        <f t="shared" si="222"/>
        <v>3.3.90.47.00</v>
      </c>
      <c r="H1910" t="s">
        <v>1960</v>
      </c>
      <c r="I1910" t="s">
        <v>789</v>
      </c>
      <c r="J1910" t="s">
        <v>20</v>
      </c>
      <c r="K1910" t="str">
        <f t="shared" si="223"/>
        <v>4-ADMINISTRAÇÃO</v>
      </c>
      <c r="L1910" t="str">
        <f t="shared" si="228"/>
        <v>123</v>
      </c>
      <c r="M1910" t="str">
        <f t="shared" si="228"/>
        <v>0021</v>
      </c>
      <c r="N1910" t="str">
        <f t="shared" si="228"/>
        <v>0.002</v>
      </c>
      <c r="O1910" t="str">
        <f t="shared" si="228"/>
        <v>3.3.90.47.00</v>
      </c>
      <c r="R1910" s="25">
        <v>55021000</v>
      </c>
      <c r="S1910" t="s">
        <v>1035</v>
      </c>
    </row>
    <row r="1911" spans="1:19" x14ac:dyDescent="0.25">
      <c r="A1911" t="str">
        <f t="shared" si="216"/>
        <v>18</v>
      </c>
      <c r="B1911" t="str">
        <f t="shared" si="217"/>
        <v>001</v>
      </c>
      <c r="C1911" t="str">
        <f t="shared" si="218"/>
        <v>04</v>
      </c>
      <c r="D1911" t="str">
        <f t="shared" si="219"/>
        <v>123</v>
      </c>
      <c r="E1911" t="str">
        <f t="shared" si="220"/>
        <v>0021</v>
      </c>
      <c r="F1911" t="str">
        <f t="shared" si="221"/>
        <v>0.002</v>
      </c>
      <c r="G1911" t="str">
        <f t="shared" si="222"/>
        <v>3.3.91.97.00</v>
      </c>
      <c r="H1911" t="s">
        <v>1961</v>
      </c>
      <c r="I1911" t="s">
        <v>789</v>
      </c>
      <c r="J1911" t="s">
        <v>20</v>
      </c>
      <c r="K1911" t="str">
        <f t="shared" si="223"/>
        <v>4-ADMINISTRAÇÃO</v>
      </c>
      <c r="L1911" t="str">
        <f t="shared" si="228"/>
        <v>123</v>
      </c>
      <c r="M1911" t="str">
        <f t="shared" si="228"/>
        <v>0021</v>
      </c>
      <c r="N1911" t="str">
        <f t="shared" si="228"/>
        <v>0.002</v>
      </c>
      <c r="O1911" t="str">
        <f t="shared" si="228"/>
        <v>3.3.91.97.00</v>
      </c>
      <c r="R1911" s="25">
        <v>40000000</v>
      </c>
      <c r="S1911" t="s">
        <v>1035</v>
      </c>
    </row>
    <row r="1912" spans="1:19" x14ac:dyDescent="0.25">
      <c r="A1912" t="str">
        <f t="shared" si="216"/>
        <v>18</v>
      </c>
      <c r="B1912" t="str">
        <f t="shared" si="217"/>
        <v>001</v>
      </c>
      <c r="C1912" t="str">
        <f t="shared" si="218"/>
        <v>04</v>
      </c>
      <c r="D1912" t="str">
        <f t="shared" si="219"/>
        <v>123</v>
      </c>
      <c r="E1912" t="str">
        <f t="shared" si="220"/>
        <v>0021</v>
      </c>
      <c r="F1912" t="str">
        <f t="shared" si="221"/>
        <v>0.003</v>
      </c>
      <c r="G1912" t="str">
        <f t="shared" si="222"/>
        <v>3.1.90.91.00</v>
      </c>
      <c r="H1912" t="s">
        <v>1962</v>
      </c>
      <c r="I1912" t="s">
        <v>789</v>
      </c>
      <c r="J1912" t="s">
        <v>20</v>
      </c>
      <c r="K1912" t="str">
        <f t="shared" si="223"/>
        <v>4-ADMINISTRAÇÃO</v>
      </c>
      <c r="L1912" t="str">
        <f t="shared" ref="L1912:M1918" si="229">D1912</f>
        <v>123</v>
      </c>
      <c r="M1912" t="str">
        <f t="shared" si="229"/>
        <v>0021</v>
      </c>
      <c r="N1912" t="str">
        <f t="shared" si="226"/>
        <v>0.003-Precatórios e Sentenças Judiciais</v>
      </c>
      <c r="O1912" t="str">
        <f>G1912</f>
        <v>3.1.90.91.00</v>
      </c>
      <c r="R1912" s="25">
        <v>4485130.83</v>
      </c>
      <c r="S1912" t="s">
        <v>1035</v>
      </c>
    </row>
    <row r="1913" spans="1:19" x14ac:dyDescent="0.25">
      <c r="A1913" t="str">
        <f t="shared" si="216"/>
        <v>18</v>
      </c>
      <c r="B1913" t="str">
        <f t="shared" si="217"/>
        <v>001</v>
      </c>
      <c r="C1913" t="str">
        <f t="shared" si="218"/>
        <v>04</v>
      </c>
      <c r="D1913" t="str">
        <f t="shared" si="219"/>
        <v>123</v>
      </c>
      <c r="E1913" t="str">
        <f t="shared" si="220"/>
        <v>0021</v>
      </c>
      <c r="F1913" t="str">
        <f t="shared" si="221"/>
        <v>0.003</v>
      </c>
      <c r="G1913" t="str">
        <f t="shared" si="222"/>
        <v>3.3.90.91.00</v>
      </c>
      <c r="H1913" t="s">
        <v>1963</v>
      </c>
      <c r="I1913" t="s">
        <v>789</v>
      </c>
      <c r="J1913" t="s">
        <v>20</v>
      </c>
      <c r="K1913" t="str">
        <f t="shared" si="223"/>
        <v>4-ADMINISTRAÇÃO</v>
      </c>
      <c r="L1913" t="str">
        <f t="shared" si="229"/>
        <v>123</v>
      </c>
      <c r="M1913" t="str">
        <f t="shared" si="229"/>
        <v>0021</v>
      </c>
      <c r="N1913" t="str">
        <f t="shared" si="226"/>
        <v>0.003-Precatórios e Sentenças Judiciais</v>
      </c>
      <c r="O1913" t="str">
        <f t="shared" si="227"/>
        <v>3.3.90.91.00-SENTENÇAS JUDICIAIS</v>
      </c>
      <c r="R1913" s="25">
        <v>2691078.5</v>
      </c>
      <c r="S1913" t="s">
        <v>1035</v>
      </c>
    </row>
    <row r="1914" spans="1:19" x14ac:dyDescent="0.25">
      <c r="A1914" t="str">
        <f t="shared" si="216"/>
        <v>18</v>
      </c>
      <c r="B1914" t="str">
        <f t="shared" si="217"/>
        <v>001</v>
      </c>
      <c r="C1914" t="str">
        <f t="shared" si="218"/>
        <v>04</v>
      </c>
      <c r="D1914" t="str">
        <f t="shared" si="219"/>
        <v>123</v>
      </c>
      <c r="E1914" t="str">
        <f t="shared" si="220"/>
        <v>0021</v>
      </c>
      <c r="F1914" t="str">
        <f t="shared" si="221"/>
        <v>0.003</v>
      </c>
      <c r="G1914" t="str">
        <f t="shared" si="222"/>
        <v>4.4.90.91.00</v>
      </c>
      <c r="H1914" t="s">
        <v>1964</v>
      </c>
      <c r="I1914" t="s">
        <v>789</v>
      </c>
      <c r="J1914" t="s">
        <v>20</v>
      </c>
      <c r="K1914" t="str">
        <f t="shared" si="223"/>
        <v>4-ADMINISTRAÇÃO</v>
      </c>
      <c r="L1914" t="str">
        <f t="shared" si="229"/>
        <v>123</v>
      </c>
      <c r="M1914" t="str">
        <f t="shared" si="229"/>
        <v>0021</v>
      </c>
      <c r="N1914" t="str">
        <f t="shared" si="226"/>
        <v>0.003-Precatórios e Sentenças Judiciais</v>
      </c>
      <c r="O1914" t="str">
        <f>G1914</f>
        <v>4.4.90.91.00</v>
      </c>
      <c r="R1914" s="25">
        <v>1</v>
      </c>
      <c r="S1914" t="s">
        <v>1035</v>
      </c>
    </row>
    <row r="1915" spans="1:19" x14ac:dyDescent="0.25">
      <c r="A1915" t="str">
        <f t="shared" si="216"/>
        <v>18</v>
      </c>
      <c r="B1915" t="str">
        <f t="shared" si="217"/>
        <v>001</v>
      </c>
      <c r="C1915" t="str">
        <f t="shared" si="218"/>
        <v>04</v>
      </c>
      <c r="D1915" t="str">
        <f t="shared" si="219"/>
        <v>123</v>
      </c>
      <c r="E1915" t="str">
        <f t="shared" si="220"/>
        <v>0021</v>
      </c>
      <c r="F1915" t="str">
        <f t="shared" si="221"/>
        <v>0.003</v>
      </c>
      <c r="G1915" t="str">
        <f t="shared" si="222"/>
        <v>4.6.90.91.00</v>
      </c>
      <c r="H1915" t="s">
        <v>1965</v>
      </c>
      <c r="I1915" t="s">
        <v>789</v>
      </c>
      <c r="J1915" t="s">
        <v>20</v>
      </c>
      <c r="K1915" t="str">
        <f t="shared" si="223"/>
        <v>4-ADMINISTRAÇÃO</v>
      </c>
      <c r="L1915" t="str">
        <f t="shared" si="229"/>
        <v>123</v>
      </c>
      <c r="M1915" t="str">
        <f t="shared" si="229"/>
        <v>0021</v>
      </c>
      <c r="N1915" t="str">
        <f t="shared" si="226"/>
        <v>0.003-Precatórios e Sentenças Judiciais</v>
      </c>
      <c r="O1915" t="str">
        <f>G1915</f>
        <v>4.6.90.91.00</v>
      </c>
      <c r="R1915" s="25">
        <v>47185370.43</v>
      </c>
      <c r="S1915" t="s">
        <v>1035</v>
      </c>
    </row>
    <row r="1916" spans="1:19" x14ac:dyDescent="0.25">
      <c r="A1916" t="str">
        <f t="shared" si="216"/>
        <v>18</v>
      </c>
      <c r="B1916" t="str">
        <f t="shared" si="217"/>
        <v>001</v>
      </c>
      <c r="C1916" t="str">
        <f t="shared" si="218"/>
        <v>28</v>
      </c>
      <c r="D1916" t="str">
        <f t="shared" si="219"/>
        <v>846</v>
      </c>
      <c r="E1916" t="str">
        <f t="shared" si="220"/>
        <v>0021</v>
      </c>
      <c r="F1916" t="str">
        <f t="shared" si="221"/>
        <v>0.003</v>
      </c>
      <c r="G1916" t="str">
        <f t="shared" si="222"/>
        <v>3.1.90.13.00</v>
      </c>
      <c r="H1916" t="s">
        <v>1966</v>
      </c>
      <c r="I1916" t="s">
        <v>789</v>
      </c>
      <c r="J1916" t="s">
        <v>20</v>
      </c>
      <c r="K1916" t="str">
        <f>C1916</f>
        <v>28</v>
      </c>
      <c r="L1916" t="str">
        <f t="shared" si="229"/>
        <v>846</v>
      </c>
      <c r="M1916" t="str">
        <f t="shared" si="229"/>
        <v>0021</v>
      </c>
      <c r="N1916" t="str">
        <f t="shared" si="226"/>
        <v>0.003-Precatórios e Sentenças Judiciais</v>
      </c>
      <c r="O1916" t="str">
        <f>G1916</f>
        <v>3.1.90.13.00</v>
      </c>
      <c r="R1916" s="25">
        <v>179405.23</v>
      </c>
      <c r="S1916" t="s">
        <v>1035</v>
      </c>
    </row>
    <row r="1917" spans="1:19" x14ac:dyDescent="0.25">
      <c r="A1917" t="str">
        <f t="shared" si="216"/>
        <v>18</v>
      </c>
      <c r="B1917" t="str">
        <f t="shared" si="217"/>
        <v>001</v>
      </c>
      <c r="C1917" t="str">
        <f t="shared" si="218"/>
        <v>28</v>
      </c>
      <c r="D1917" t="str">
        <f t="shared" si="219"/>
        <v>846</v>
      </c>
      <c r="E1917" t="str">
        <f t="shared" si="220"/>
        <v>0021</v>
      </c>
      <c r="F1917" t="str">
        <f t="shared" si="221"/>
        <v>0.003</v>
      </c>
      <c r="G1917" t="str">
        <f t="shared" si="222"/>
        <v>3.1.91.13.00</v>
      </c>
      <c r="H1917" t="s">
        <v>1967</v>
      </c>
      <c r="I1917" t="s">
        <v>789</v>
      </c>
      <c r="J1917" t="s">
        <v>20</v>
      </c>
      <c r="K1917" t="str">
        <f>C1917</f>
        <v>28</v>
      </c>
      <c r="L1917" t="str">
        <f t="shared" si="229"/>
        <v>846</v>
      </c>
      <c r="M1917" t="str">
        <f t="shared" si="229"/>
        <v>0021</v>
      </c>
      <c r="N1917" t="str">
        <f t="shared" si="226"/>
        <v>0.003-Precatórios e Sentenças Judiciais</v>
      </c>
      <c r="O1917" t="str">
        <f>G1917</f>
        <v>3.1.91.13.00</v>
      </c>
      <c r="R1917" s="25">
        <v>53818.9</v>
      </c>
      <c r="S1917" t="s">
        <v>1035</v>
      </c>
    </row>
    <row r="1918" spans="1:19" x14ac:dyDescent="0.25">
      <c r="A1918" t="str">
        <f t="shared" si="216"/>
        <v>18</v>
      </c>
      <c r="B1918" t="str">
        <f t="shared" si="217"/>
        <v>001</v>
      </c>
      <c r="C1918" t="str">
        <f t="shared" si="218"/>
        <v>28</v>
      </c>
      <c r="D1918" t="str">
        <f t="shared" si="219"/>
        <v>846</v>
      </c>
      <c r="E1918" t="str">
        <f t="shared" si="220"/>
        <v>0021</v>
      </c>
      <c r="F1918" t="str">
        <f t="shared" si="221"/>
        <v>0.003</v>
      </c>
      <c r="G1918" t="str">
        <f t="shared" si="222"/>
        <v>3.3.90.93.00</v>
      </c>
      <c r="H1918" t="s">
        <v>1968</v>
      </c>
      <c r="I1918" t="s">
        <v>789</v>
      </c>
      <c r="J1918" t="s">
        <v>20</v>
      </c>
      <c r="K1918" t="str">
        <f>C1918</f>
        <v>28</v>
      </c>
      <c r="L1918" t="str">
        <f t="shared" si="229"/>
        <v>846</v>
      </c>
      <c r="M1918" t="str">
        <f t="shared" si="229"/>
        <v>0021</v>
      </c>
      <c r="N1918" t="str">
        <f t="shared" si="226"/>
        <v>0.003-Precatórios e Sentenças Judiciais</v>
      </c>
      <c r="O1918" t="str">
        <f t="shared" si="227"/>
        <v>3.3.90.93.00-INDENIZAÇÕES E RESTITUIÇÕES</v>
      </c>
      <c r="R1918" s="25">
        <v>426087.43</v>
      </c>
      <c r="S1918" t="s">
        <v>1035</v>
      </c>
    </row>
    <row r="1919" spans="1:19" x14ac:dyDescent="0.25">
      <c r="A1919" t="str">
        <f t="shared" si="216"/>
        <v>18</v>
      </c>
      <c r="B1919" t="str">
        <f t="shared" si="217"/>
        <v>002</v>
      </c>
      <c r="C1919" t="str">
        <f t="shared" si="218"/>
        <v>04</v>
      </c>
      <c r="D1919" t="str">
        <f t="shared" si="219"/>
        <v>122</v>
      </c>
      <c r="E1919" t="str">
        <f t="shared" si="220"/>
        <v>0001</v>
      </c>
      <c r="F1919" t="str">
        <f t="shared" si="221"/>
        <v>1.001</v>
      </c>
      <c r="G1919" t="str">
        <f t="shared" si="222"/>
        <v>3.3.90.35.00</v>
      </c>
      <c r="H1919" t="s">
        <v>1969</v>
      </c>
      <c r="I1919" t="str">
        <f t="shared" ref="I1919:I1944" si="230">VLOOKUP(A1919,$A$1:$O$994,9,0)</f>
        <v>18 - ENCARGOS/ADMINISTRAÇÃO</v>
      </c>
      <c r="J1919" t="s">
        <v>775</v>
      </c>
      <c r="K1919" t="str">
        <f t="shared" si="223"/>
        <v>4-ADMINISTRAÇÃO</v>
      </c>
      <c r="L1919" t="str">
        <f t="shared" si="224"/>
        <v>122-ADMINISTRAÇÃO GERAL</v>
      </c>
      <c r="M1919" t="str">
        <f t="shared" si="225"/>
        <v>0001-Administração e Coordenação Geral​</v>
      </c>
      <c r="N1919" t="str">
        <f t="shared" si="226"/>
        <v xml:space="preserve">1.001-Estudos, Pesquisas, Planos e Projetos </v>
      </c>
      <c r="O1919" t="str">
        <f t="shared" si="227"/>
        <v>3.3.90.35.00-SERVIÇOS DE CONSULTORIA</v>
      </c>
      <c r="R1919" s="25">
        <v>300000</v>
      </c>
      <c r="S1919" t="s">
        <v>1035</v>
      </c>
    </row>
    <row r="1920" spans="1:19" x14ac:dyDescent="0.25">
      <c r="A1920" t="str">
        <f t="shared" si="216"/>
        <v>18</v>
      </c>
      <c r="B1920" t="str">
        <f t="shared" si="217"/>
        <v>002</v>
      </c>
      <c r="C1920" t="str">
        <f t="shared" si="218"/>
        <v>04</v>
      </c>
      <c r="D1920" t="str">
        <f t="shared" si="219"/>
        <v>122</v>
      </c>
      <c r="E1920" t="str">
        <f t="shared" si="220"/>
        <v>0001</v>
      </c>
      <c r="F1920" t="str">
        <f t="shared" si="221"/>
        <v>1.002</v>
      </c>
      <c r="G1920" t="str">
        <f t="shared" si="222"/>
        <v>3.3.90.39.00</v>
      </c>
      <c r="H1920" t="s">
        <v>1970</v>
      </c>
      <c r="I1920" t="str">
        <f t="shared" si="230"/>
        <v>18 - ENCARGOS/ADMINISTRAÇÃO</v>
      </c>
      <c r="J1920" t="s">
        <v>775</v>
      </c>
      <c r="K1920" t="str">
        <f t="shared" si="223"/>
        <v>4-ADMINISTRAÇÃO</v>
      </c>
      <c r="L1920" t="str">
        <f t="shared" si="224"/>
        <v>122-ADMINISTRAÇÃO GERAL</v>
      </c>
      <c r="M1920" t="str">
        <f t="shared" si="225"/>
        <v>0001-Administração e Coordenação Geral​</v>
      </c>
      <c r="N1920" t="str">
        <f t="shared" si="226"/>
        <v>1.002-Reforma e Ampliação de Unidades</v>
      </c>
      <c r="O1920" t="str">
        <f t="shared" si="227"/>
        <v>3.3.90.39.00-OUTROS SERVIÇOS DE TERCEIROS - PESSOA JURÍDICA</v>
      </c>
      <c r="R1920" s="25">
        <v>1</v>
      </c>
      <c r="S1920" t="s">
        <v>1035</v>
      </c>
    </row>
    <row r="1921" spans="1:19" x14ac:dyDescent="0.25">
      <c r="A1921" t="str">
        <f t="shared" si="216"/>
        <v>18</v>
      </c>
      <c r="B1921" t="str">
        <f t="shared" si="217"/>
        <v>002</v>
      </c>
      <c r="C1921" t="str">
        <f t="shared" si="218"/>
        <v>04</v>
      </c>
      <c r="D1921" t="str">
        <f t="shared" si="219"/>
        <v>122</v>
      </c>
      <c r="E1921" t="str">
        <f t="shared" si="220"/>
        <v>0001</v>
      </c>
      <c r="F1921" t="str">
        <f t="shared" si="221"/>
        <v>2.001</v>
      </c>
      <c r="G1921" t="str">
        <f t="shared" si="222"/>
        <v>3.1.90.11.00</v>
      </c>
      <c r="H1921" t="s">
        <v>1971</v>
      </c>
      <c r="I1921" t="str">
        <f t="shared" si="230"/>
        <v>18 - ENCARGOS/ADMINISTRAÇÃO</v>
      </c>
      <c r="J1921" t="s">
        <v>775</v>
      </c>
      <c r="K1921" t="str">
        <f t="shared" si="223"/>
        <v>4-ADMINISTRAÇÃO</v>
      </c>
      <c r="L1921" t="str">
        <f t="shared" si="224"/>
        <v>122-ADMINISTRAÇÃO GERAL</v>
      </c>
      <c r="M1921" t="str">
        <f t="shared" si="225"/>
        <v>0001-Administração e Coordenação Geral​</v>
      </c>
      <c r="N1921" t="str">
        <f t="shared" si="226"/>
        <v>2.001-Remuneração, Benefícios e Encargos</v>
      </c>
      <c r="O1921" t="str">
        <f t="shared" ref="O1921:O1928" si="231">G1921</f>
        <v>3.1.90.11.00</v>
      </c>
      <c r="R1921" s="25">
        <v>1.73</v>
      </c>
      <c r="S1921" t="s">
        <v>1035</v>
      </c>
    </row>
    <row r="1922" spans="1:19" x14ac:dyDescent="0.25">
      <c r="A1922" t="str">
        <f t="shared" si="216"/>
        <v>18</v>
      </c>
      <c r="B1922" t="str">
        <f t="shared" si="217"/>
        <v>002</v>
      </c>
      <c r="C1922" t="str">
        <f t="shared" si="218"/>
        <v>04</v>
      </c>
      <c r="D1922" t="str">
        <f t="shared" si="219"/>
        <v>122</v>
      </c>
      <c r="E1922" t="str">
        <f t="shared" si="220"/>
        <v>0001</v>
      </c>
      <c r="F1922" t="str">
        <f t="shared" si="221"/>
        <v>2.001</v>
      </c>
      <c r="G1922" t="str">
        <f t="shared" si="222"/>
        <v>3.1.90.13.00</v>
      </c>
      <c r="H1922" t="s">
        <v>1972</v>
      </c>
      <c r="I1922" t="str">
        <f t="shared" si="230"/>
        <v>18 - ENCARGOS/ADMINISTRAÇÃO</v>
      </c>
      <c r="J1922" t="s">
        <v>775</v>
      </c>
      <c r="K1922" t="str">
        <f t="shared" si="223"/>
        <v>4-ADMINISTRAÇÃO</v>
      </c>
      <c r="L1922" t="str">
        <f t="shared" si="224"/>
        <v>122-ADMINISTRAÇÃO GERAL</v>
      </c>
      <c r="M1922" t="str">
        <f t="shared" si="225"/>
        <v>0001-Administração e Coordenação Geral​</v>
      </c>
      <c r="N1922" t="str">
        <f t="shared" si="226"/>
        <v>2.001-Remuneração, Benefícios e Encargos</v>
      </c>
      <c r="O1922" t="str">
        <f t="shared" si="231"/>
        <v>3.1.90.13.00</v>
      </c>
      <c r="R1922" s="25">
        <v>3.46</v>
      </c>
      <c r="S1922" t="s">
        <v>1035</v>
      </c>
    </row>
    <row r="1923" spans="1:19" x14ac:dyDescent="0.25">
      <c r="A1923" t="str">
        <f t="shared" si="216"/>
        <v>18</v>
      </c>
      <c r="B1923" t="str">
        <f t="shared" si="217"/>
        <v>002</v>
      </c>
      <c r="C1923" t="str">
        <f t="shared" si="218"/>
        <v>04</v>
      </c>
      <c r="D1923" t="str">
        <f t="shared" si="219"/>
        <v>122</v>
      </c>
      <c r="E1923" t="str">
        <f t="shared" si="220"/>
        <v>0001</v>
      </c>
      <c r="F1923" t="str">
        <f t="shared" si="221"/>
        <v>2.001</v>
      </c>
      <c r="G1923" t="str">
        <f t="shared" si="222"/>
        <v>3.1.90.94.00</v>
      </c>
      <c r="H1923" t="s">
        <v>1973</v>
      </c>
      <c r="I1923" t="str">
        <f t="shared" si="230"/>
        <v>18 - ENCARGOS/ADMINISTRAÇÃO</v>
      </c>
      <c r="J1923" t="s">
        <v>775</v>
      </c>
      <c r="K1923" t="str">
        <f t="shared" si="223"/>
        <v>4-ADMINISTRAÇÃO</v>
      </c>
      <c r="L1923" t="str">
        <f t="shared" si="224"/>
        <v>122-ADMINISTRAÇÃO GERAL</v>
      </c>
      <c r="M1923" t="str">
        <f t="shared" si="225"/>
        <v>0001-Administração e Coordenação Geral​</v>
      </c>
      <c r="N1923" t="str">
        <f t="shared" si="226"/>
        <v>2.001-Remuneração, Benefícios e Encargos</v>
      </c>
      <c r="O1923" t="str">
        <f t="shared" si="231"/>
        <v>3.1.90.94.00</v>
      </c>
      <c r="R1923" s="25">
        <v>529758.620307</v>
      </c>
      <c r="S1923" t="s">
        <v>1035</v>
      </c>
    </row>
    <row r="1924" spans="1:19" x14ac:dyDescent="0.25">
      <c r="A1924" t="str">
        <f t="shared" si="216"/>
        <v>18</v>
      </c>
      <c r="B1924" t="str">
        <f t="shared" si="217"/>
        <v>002</v>
      </c>
      <c r="C1924" t="str">
        <f t="shared" si="218"/>
        <v>04</v>
      </c>
      <c r="D1924" t="str">
        <f t="shared" si="219"/>
        <v>122</v>
      </c>
      <c r="E1924" t="str">
        <f t="shared" si="220"/>
        <v>0001</v>
      </c>
      <c r="F1924" t="str">
        <f t="shared" si="221"/>
        <v>2.001</v>
      </c>
      <c r="G1924" t="str">
        <f t="shared" si="222"/>
        <v>3.1.91.13.00</v>
      </c>
      <c r="H1924" t="s">
        <v>1974</v>
      </c>
      <c r="I1924" t="str">
        <f t="shared" si="230"/>
        <v>18 - ENCARGOS/ADMINISTRAÇÃO</v>
      </c>
      <c r="J1924" t="s">
        <v>775</v>
      </c>
      <c r="K1924" t="str">
        <f t="shared" si="223"/>
        <v>4-ADMINISTRAÇÃO</v>
      </c>
      <c r="L1924" t="str">
        <f t="shared" si="224"/>
        <v>122-ADMINISTRAÇÃO GERAL</v>
      </c>
      <c r="M1924" t="str">
        <f t="shared" si="225"/>
        <v>0001-Administração e Coordenação Geral​</v>
      </c>
      <c r="N1924" t="str">
        <f t="shared" si="226"/>
        <v>2.001-Remuneração, Benefícios e Encargos</v>
      </c>
      <c r="O1924" t="str">
        <f t="shared" si="231"/>
        <v>3.1.91.13.00</v>
      </c>
      <c r="R1924" s="25">
        <v>3.46</v>
      </c>
      <c r="S1924" t="s">
        <v>1035</v>
      </c>
    </row>
    <row r="1925" spans="1:19" x14ac:dyDescent="0.25">
      <c r="A1925" t="str">
        <f t="shared" si="216"/>
        <v>18</v>
      </c>
      <c r="B1925" t="str">
        <f t="shared" si="217"/>
        <v>002</v>
      </c>
      <c r="C1925" t="str">
        <f t="shared" si="218"/>
        <v>04</v>
      </c>
      <c r="D1925" t="str">
        <f t="shared" si="219"/>
        <v>122</v>
      </c>
      <c r="E1925" t="str">
        <f t="shared" si="220"/>
        <v>0001</v>
      </c>
      <c r="F1925" t="str">
        <f t="shared" si="221"/>
        <v>2.001</v>
      </c>
      <c r="G1925" t="str">
        <f t="shared" si="222"/>
        <v>3.3.90.46.00</v>
      </c>
      <c r="H1925" t="s">
        <v>1975</v>
      </c>
      <c r="I1925" t="str">
        <f t="shared" si="230"/>
        <v>18 - ENCARGOS/ADMINISTRAÇÃO</v>
      </c>
      <c r="J1925" t="s">
        <v>775</v>
      </c>
      <c r="K1925" t="str">
        <f t="shared" si="223"/>
        <v>4-ADMINISTRAÇÃO</v>
      </c>
      <c r="L1925" t="str">
        <f t="shared" si="224"/>
        <v>122-ADMINISTRAÇÃO GERAL</v>
      </c>
      <c r="M1925" t="str">
        <f t="shared" si="225"/>
        <v>0001-Administração e Coordenação Geral​</v>
      </c>
      <c r="N1925" t="str">
        <f t="shared" si="226"/>
        <v>2.001-Remuneração, Benefícios e Encargos</v>
      </c>
      <c r="O1925" t="str">
        <f t="shared" si="231"/>
        <v>3.3.90.46.00</v>
      </c>
      <c r="R1925" s="25">
        <v>34466498.140000001</v>
      </c>
      <c r="S1925" t="s">
        <v>1035</v>
      </c>
    </row>
    <row r="1926" spans="1:19" x14ac:dyDescent="0.25">
      <c r="A1926" t="str">
        <f t="shared" si="216"/>
        <v>18</v>
      </c>
      <c r="B1926" t="str">
        <f t="shared" si="217"/>
        <v>002</v>
      </c>
      <c r="C1926" t="str">
        <f t="shared" si="218"/>
        <v>04</v>
      </c>
      <c r="D1926" t="str">
        <f t="shared" si="219"/>
        <v>122</v>
      </c>
      <c r="E1926" t="str">
        <f t="shared" si="220"/>
        <v>0001</v>
      </c>
      <c r="F1926" t="str">
        <f t="shared" si="221"/>
        <v>2.001</v>
      </c>
      <c r="G1926" t="str">
        <f t="shared" si="222"/>
        <v>3.3.90.49.00</v>
      </c>
      <c r="H1926" t="s">
        <v>1976</v>
      </c>
      <c r="I1926" t="str">
        <f t="shared" si="230"/>
        <v>18 - ENCARGOS/ADMINISTRAÇÃO</v>
      </c>
      <c r="J1926" t="s">
        <v>775</v>
      </c>
      <c r="K1926" t="str">
        <f t="shared" si="223"/>
        <v>4-ADMINISTRAÇÃO</v>
      </c>
      <c r="L1926" t="str">
        <f t="shared" si="224"/>
        <v>122-ADMINISTRAÇÃO GERAL</v>
      </c>
      <c r="M1926" t="str">
        <f t="shared" si="225"/>
        <v>0001-Administração e Coordenação Geral​</v>
      </c>
      <c r="N1926" t="str">
        <f t="shared" si="226"/>
        <v>2.001-Remuneração, Benefícios e Encargos</v>
      </c>
      <c r="O1926" t="str">
        <f t="shared" si="231"/>
        <v>3.3.90.49.00</v>
      </c>
      <c r="R1926" s="25">
        <v>1.73</v>
      </c>
      <c r="S1926" t="s">
        <v>1035</v>
      </c>
    </row>
    <row r="1927" spans="1:19" x14ac:dyDescent="0.25">
      <c r="A1927" t="str">
        <f t="shared" si="216"/>
        <v>18</v>
      </c>
      <c r="B1927" t="str">
        <f t="shared" si="217"/>
        <v>002</v>
      </c>
      <c r="C1927" t="str">
        <f t="shared" si="218"/>
        <v>04</v>
      </c>
      <c r="D1927" t="str">
        <f t="shared" si="219"/>
        <v>122</v>
      </c>
      <c r="E1927" t="str">
        <f t="shared" si="220"/>
        <v>0001</v>
      </c>
      <c r="F1927" t="str">
        <f t="shared" si="221"/>
        <v>2.001</v>
      </c>
      <c r="G1927" t="str">
        <f t="shared" si="222"/>
        <v>3.3.91.39.00</v>
      </c>
      <c r="H1927" t="s">
        <v>1977</v>
      </c>
      <c r="I1927" t="str">
        <f t="shared" si="230"/>
        <v>18 - ENCARGOS/ADMINISTRAÇÃO</v>
      </c>
      <c r="J1927" t="s">
        <v>775</v>
      </c>
      <c r="K1927" t="str">
        <f t="shared" si="223"/>
        <v>4-ADMINISTRAÇÃO</v>
      </c>
      <c r="L1927" t="str">
        <f t="shared" si="224"/>
        <v>122-ADMINISTRAÇÃO GERAL</v>
      </c>
      <c r="M1927" t="str">
        <f t="shared" si="225"/>
        <v>0001-Administração e Coordenação Geral​</v>
      </c>
      <c r="N1927" t="str">
        <f t="shared" si="226"/>
        <v>2.001-Remuneração, Benefícios e Encargos</v>
      </c>
      <c r="O1927" t="str">
        <f t="shared" si="231"/>
        <v>3.3.91.39.00</v>
      </c>
      <c r="R1927" s="25">
        <v>957848.22</v>
      </c>
      <c r="S1927" t="s">
        <v>1035</v>
      </c>
    </row>
    <row r="1928" spans="1:19" x14ac:dyDescent="0.25">
      <c r="A1928" t="str">
        <f t="shared" si="216"/>
        <v>18</v>
      </c>
      <c r="B1928" t="str">
        <f t="shared" si="217"/>
        <v>003</v>
      </c>
      <c r="C1928" t="str">
        <f t="shared" si="218"/>
        <v>04</v>
      </c>
      <c r="D1928" t="str">
        <f t="shared" si="219"/>
        <v>126</v>
      </c>
      <c r="E1928" t="str">
        <f t="shared" si="220"/>
        <v>0002</v>
      </c>
      <c r="F1928" t="str">
        <f t="shared" si="221"/>
        <v>1004.</v>
      </c>
      <c r="G1928" t="str">
        <f t="shared" si="222"/>
        <v>.4.90.52..00</v>
      </c>
      <c r="H1928" t="s">
        <v>1978</v>
      </c>
      <c r="I1928" t="s">
        <v>815</v>
      </c>
      <c r="J1928" t="s">
        <v>768</v>
      </c>
      <c r="K1928" t="str">
        <f t="shared" si="223"/>
        <v>4-ADMINISTRAÇÃO</v>
      </c>
      <c r="L1928" t="str">
        <f t="shared" si="224"/>
        <v>126-TECNOLOGIA DA INFORMATIZAÇÃO</v>
      </c>
      <c r="M1928" t="str">
        <f t="shared" si="225"/>
        <v>0002-Governo Inteligente, Aberto e Inovador​</v>
      </c>
      <c r="N1928" t="str">
        <f>F1928</f>
        <v>1004.</v>
      </c>
      <c r="O1928" t="str">
        <f t="shared" si="231"/>
        <v>.4.90.52..00</v>
      </c>
      <c r="R1928" s="25">
        <v>1</v>
      </c>
      <c r="S1928" t="s">
        <v>1035</v>
      </c>
    </row>
    <row r="1929" spans="1:19" x14ac:dyDescent="0.25">
      <c r="A1929" t="str">
        <f t="shared" si="216"/>
        <v>19</v>
      </c>
      <c r="B1929" t="str">
        <f t="shared" si="217"/>
        <v>001</v>
      </c>
      <c r="C1929" t="str">
        <f t="shared" si="218"/>
        <v>04</v>
      </c>
      <c r="D1929" t="str">
        <f t="shared" si="219"/>
        <v>121</v>
      </c>
      <c r="E1929" t="str">
        <f t="shared" si="220"/>
        <v>0004</v>
      </c>
      <c r="F1929" t="str">
        <f t="shared" si="221"/>
        <v>1.001</v>
      </c>
      <c r="G1929" t="str">
        <f t="shared" si="222"/>
        <v>3.3.90.35.00</v>
      </c>
      <c r="H1929" t="s">
        <v>1979</v>
      </c>
      <c r="I1929" t="str">
        <f t="shared" si="230"/>
        <v>19 - SECRETARIA DE TRANSPORTE E DA MOBILIDADE URBANA</v>
      </c>
      <c r="J1929" t="s">
        <v>20</v>
      </c>
      <c r="K1929" t="str">
        <f t="shared" si="223"/>
        <v>4-ADMINISTRAÇÃO</v>
      </c>
      <c r="L1929" t="str">
        <f t="shared" si="224"/>
        <v>121-PLANEJAMENTO E ORÇAMENTO</v>
      </c>
      <c r="M1929" t="str">
        <f t="shared" si="225"/>
        <v xml:space="preserve">0004-Planejamento e Gestão de Políticas Públicas </v>
      </c>
      <c r="N1929" t="str">
        <f t="shared" si="226"/>
        <v xml:space="preserve">1.001-Estudos, Pesquisas, Planos e Projetos </v>
      </c>
      <c r="O1929" t="str">
        <f t="shared" si="227"/>
        <v>3.3.90.35.00-SERVIÇOS DE CONSULTORIA</v>
      </c>
      <c r="R1929" s="25">
        <v>1</v>
      </c>
      <c r="S1929" t="s">
        <v>1035</v>
      </c>
    </row>
    <row r="1930" spans="1:19" x14ac:dyDescent="0.25">
      <c r="A1930" t="str">
        <f t="shared" si="216"/>
        <v>19</v>
      </c>
      <c r="B1930" t="str">
        <f t="shared" si="217"/>
        <v>001</v>
      </c>
      <c r="C1930" t="str">
        <f t="shared" si="218"/>
        <v>04</v>
      </c>
      <c r="D1930" t="str">
        <f t="shared" si="219"/>
        <v>122</v>
      </c>
      <c r="E1930" t="str">
        <f t="shared" si="220"/>
        <v>0001</v>
      </c>
      <c r="F1930" t="str">
        <f t="shared" si="221"/>
        <v>2.001</v>
      </c>
      <c r="G1930" t="str">
        <f t="shared" si="222"/>
        <v>3.1.90.11.00</v>
      </c>
      <c r="H1930" t="s">
        <v>1980</v>
      </c>
      <c r="I1930" t="str">
        <f t="shared" si="230"/>
        <v>19 - SECRETARIA DE TRANSPORTE E DA MOBILIDADE URBANA</v>
      </c>
      <c r="J1930" t="s">
        <v>20</v>
      </c>
      <c r="K1930" t="str">
        <f t="shared" si="223"/>
        <v>4-ADMINISTRAÇÃO</v>
      </c>
      <c r="L1930" t="str">
        <f t="shared" si="224"/>
        <v>122-ADMINISTRAÇÃO GERAL</v>
      </c>
      <c r="M1930" t="str">
        <f t="shared" si="225"/>
        <v>0001-Administração e Coordenação Geral​</v>
      </c>
      <c r="N1930" t="str">
        <f t="shared" si="226"/>
        <v>2.001-Remuneração, Benefícios e Encargos</v>
      </c>
      <c r="O1930" t="str">
        <f>G1930</f>
        <v>3.1.90.11.00</v>
      </c>
      <c r="R1930" s="25">
        <v>14544161.859999999</v>
      </c>
      <c r="S1930" t="s">
        <v>1035</v>
      </c>
    </row>
    <row r="1931" spans="1:19" x14ac:dyDescent="0.25">
      <c r="A1931" t="str">
        <f t="shared" si="216"/>
        <v>19</v>
      </c>
      <c r="B1931" t="str">
        <f t="shared" si="217"/>
        <v>001</v>
      </c>
      <c r="C1931" t="str">
        <f t="shared" si="218"/>
        <v>04</v>
      </c>
      <c r="D1931" t="str">
        <f t="shared" si="219"/>
        <v>122</v>
      </c>
      <c r="E1931" t="str">
        <f t="shared" si="220"/>
        <v>0001</v>
      </c>
      <c r="F1931" t="str">
        <f t="shared" si="221"/>
        <v>2.001</v>
      </c>
      <c r="G1931" t="str">
        <f t="shared" si="222"/>
        <v>3.1.90.13.00</v>
      </c>
      <c r="H1931" t="s">
        <v>1981</v>
      </c>
      <c r="I1931" t="str">
        <f t="shared" si="230"/>
        <v>19 - SECRETARIA DE TRANSPORTE E DA MOBILIDADE URBANA</v>
      </c>
      <c r="J1931" t="s">
        <v>20</v>
      </c>
      <c r="K1931" t="str">
        <f t="shared" si="223"/>
        <v>4-ADMINISTRAÇÃO</v>
      </c>
      <c r="L1931" t="str">
        <f t="shared" si="224"/>
        <v>122-ADMINISTRAÇÃO GERAL</v>
      </c>
      <c r="M1931" t="str">
        <f t="shared" si="225"/>
        <v>0001-Administração e Coordenação Geral​</v>
      </c>
      <c r="N1931" t="str">
        <f t="shared" si="226"/>
        <v>2.001-Remuneração, Benefícios e Encargos</v>
      </c>
      <c r="O1931" t="str">
        <f>G1931</f>
        <v>3.1.90.13.00</v>
      </c>
      <c r="R1931" s="25">
        <v>854345.72</v>
      </c>
      <c r="S1931" t="s">
        <v>1035</v>
      </c>
    </row>
    <row r="1932" spans="1:19" x14ac:dyDescent="0.25">
      <c r="A1932" t="str">
        <f t="shared" si="216"/>
        <v>19</v>
      </c>
      <c r="B1932" t="str">
        <f t="shared" si="217"/>
        <v>001</v>
      </c>
      <c r="C1932" t="str">
        <f t="shared" si="218"/>
        <v>04</v>
      </c>
      <c r="D1932" t="str">
        <f t="shared" si="219"/>
        <v>122</v>
      </c>
      <c r="E1932" t="str">
        <f t="shared" si="220"/>
        <v>0001</v>
      </c>
      <c r="F1932" t="str">
        <f t="shared" si="221"/>
        <v>2.001</v>
      </c>
      <c r="G1932" t="str">
        <f t="shared" si="222"/>
        <v>3.1.91.13.00</v>
      </c>
      <c r="H1932" t="s">
        <v>1982</v>
      </c>
      <c r="I1932" t="str">
        <f t="shared" si="230"/>
        <v>19 - SECRETARIA DE TRANSPORTE E DA MOBILIDADE URBANA</v>
      </c>
      <c r="J1932" t="s">
        <v>20</v>
      </c>
      <c r="K1932" t="str">
        <f t="shared" si="223"/>
        <v>4-ADMINISTRAÇÃO</v>
      </c>
      <c r="L1932" t="str">
        <f t="shared" si="224"/>
        <v>122-ADMINISTRAÇÃO GERAL</v>
      </c>
      <c r="M1932" t="str">
        <f t="shared" si="225"/>
        <v>0001-Administração e Coordenação Geral​</v>
      </c>
      <c r="N1932" t="str">
        <f t="shared" si="226"/>
        <v>2.001-Remuneração, Benefícios e Encargos</v>
      </c>
      <c r="O1932" t="str">
        <f>G1932</f>
        <v>3.1.91.13.00</v>
      </c>
      <c r="R1932" s="25">
        <v>2122401.9900000002</v>
      </c>
      <c r="S1932" t="s">
        <v>1035</v>
      </c>
    </row>
    <row r="1933" spans="1:19" x14ac:dyDescent="0.25">
      <c r="A1933" t="str">
        <f t="shared" si="216"/>
        <v>19</v>
      </c>
      <c r="B1933" t="str">
        <f t="shared" si="217"/>
        <v>001</v>
      </c>
      <c r="C1933" t="str">
        <f t="shared" si="218"/>
        <v>04</v>
      </c>
      <c r="D1933" t="str">
        <f t="shared" si="219"/>
        <v>122</v>
      </c>
      <c r="E1933" t="str">
        <f t="shared" si="220"/>
        <v>0001</v>
      </c>
      <c r="F1933" t="str">
        <f t="shared" si="221"/>
        <v>2.001</v>
      </c>
      <c r="G1933" t="str">
        <f t="shared" si="222"/>
        <v>3.3.90.46.00</v>
      </c>
      <c r="H1933" t="s">
        <v>1983</v>
      </c>
      <c r="I1933" t="str">
        <f t="shared" si="230"/>
        <v>19 - SECRETARIA DE TRANSPORTE E DA MOBILIDADE URBANA</v>
      </c>
      <c r="J1933" t="s">
        <v>20</v>
      </c>
      <c r="K1933" t="str">
        <f t="shared" si="223"/>
        <v>4-ADMINISTRAÇÃO</v>
      </c>
      <c r="L1933" t="str">
        <f t="shared" si="224"/>
        <v>122-ADMINISTRAÇÃO GERAL</v>
      </c>
      <c r="M1933" t="str">
        <f t="shared" si="225"/>
        <v>0001-Administração e Coordenação Geral​</v>
      </c>
      <c r="N1933" t="str">
        <f t="shared" si="226"/>
        <v>2.001-Remuneração, Benefícios e Encargos</v>
      </c>
      <c r="O1933" t="str">
        <f>G1933</f>
        <v>3.3.90.46.00</v>
      </c>
      <c r="R1933" s="25">
        <v>2.25</v>
      </c>
      <c r="S1933" t="s">
        <v>1035</v>
      </c>
    </row>
    <row r="1934" spans="1:19" x14ac:dyDescent="0.25">
      <c r="A1934" t="str">
        <f t="shared" si="216"/>
        <v>19</v>
      </c>
      <c r="B1934" t="str">
        <f t="shared" si="217"/>
        <v>001</v>
      </c>
      <c r="C1934" t="str">
        <f t="shared" si="218"/>
        <v>04</v>
      </c>
      <c r="D1934" t="str">
        <f t="shared" si="219"/>
        <v>122</v>
      </c>
      <c r="E1934" t="str">
        <f t="shared" si="220"/>
        <v>0001</v>
      </c>
      <c r="F1934" t="str">
        <f t="shared" si="221"/>
        <v>2.001</v>
      </c>
      <c r="G1934" t="str">
        <f t="shared" si="222"/>
        <v>3.3.90.49.00</v>
      </c>
      <c r="H1934" t="s">
        <v>1984</v>
      </c>
      <c r="I1934" t="str">
        <f t="shared" si="230"/>
        <v>19 - SECRETARIA DE TRANSPORTE E DA MOBILIDADE URBANA</v>
      </c>
      <c r="J1934" t="s">
        <v>20</v>
      </c>
      <c r="K1934" t="str">
        <f t="shared" si="223"/>
        <v>4-ADMINISTRAÇÃO</v>
      </c>
      <c r="L1934" t="str">
        <f t="shared" si="224"/>
        <v>122-ADMINISTRAÇÃO GERAL</v>
      </c>
      <c r="M1934" t="str">
        <f t="shared" si="225"/>
        <v>0001-Administração e Coordenação Geral​</v>
      </c>
      <c r="N1934" t="str">
        <f t="shared" si="226"/>
        <v>2.001-Remuneração, Benefícios e Encargos</v>
      </c>
      <c r="O1934" t="str">
        <f>G1934</f>
        <v>3.3.90.49.00</v>
      </c>
      <c r="R1934" s="25">
        <v>325399.88</v>
      </c>
      <c r="S1934" t="s">
        <v>1035</v>
      </c>
    </row>
    <row r="1935" spans="1:19" x14ac:dyDescent="0.25">
      <c r="A1935" t="str">
        <f t="shared" si="216"/>
        <v>19</v>
      </c>
      <c r="B1935" t="str">
        <f t="shared" si="217"/>
        <v>001</v>
      </c>
      <c r="C1935" t="str">
        <f t="shared" si="218"/>
        <v>15</v>
      </c>
      <c r="D1935" t="str">
        <f t="shared" si="219"/>
        <v>451</v>
      </c>
      <c r="E1935" t="str">
        <f t="shared" si="220"/>
        <v>0013</v>
      </c>
      <c r="F1935" t="str">
        <f t="shared" si="221"/>
        <v>1.002</v>
      </c>
      <c r="G1935" t="str">
        <f t="shared" si="222"/>
        <v>3.3.90.39.00</v>
      </c>
      <c r="H1935" t="s">
        <v>1985</v>
      </c>
      <c r="I1935" t="str">
        <f t="shared" si="230"/>
        <v>19 - SECRETARIA DE TRANSPORTE E DA MOBILIDADE URBANA</v>
      </c>
      <c r="J1935" t="s">
        <v>20</v>
      </c>
      <c r="K1935" t="str">
        <f t="shared" si="223"/>
        <v>15-URBANISMO</v>
      </c>
      <c r="L1935" t="str">
        <f t="shared" si="224"/>
        <v>451-INFRA-ESTRUTURA URBANA</v>
      </c>
      <c r="M1935" t="str">
        <f t="shared" si="225"/>
        <v>0013-Mobilidade Urbana e Infraestrutura Viária​</v>
      </c>
      <c r="N1935" t="str">
        <f t="shared" si="226"/>
        <v>1.002-Reforma e Ampliação de Unidades</v>
      </c>
      <c r="O1935" t="str">
        <f t="shared" si="227"/>
        <v>3.3.90.39.00-OUTROS SERVIÇOS DE TERCEIROS - PESSOA JURÍDICA</v>
      </c>
      <c r="R1935" s="25">
        <v>1</v>
      </c>
      <c r="S1935" t="s">
        <v>1035</v>
      </c>
    </row>
    <row r="1936" spans="1:19" x14ac:dyDescent="0.25">
      <c r="A1936" t="str">
        <f t="shared" si="216"/>
        <v>19</v>
      </c>
      <c r="B1936" t="str">
        <f t="shared" si="217"/>
        <v>001</v>
      </c>
      <c r="C1936" t="str">
        <f t="shared" si="218"/>
        <v>15</v>
      </c>
      <c r="D1936" t="str">
        <f t="shared" si="219"/>
        <v>451</v>
      </c>
      <c r="E1936" t="str">
        <f t="shared" si="220"/>
        <v>0013</v>
      </c>
      <c r="F1936" t="str">
        <f t="shared" si="221"/>
        <v>1.006</v>
      </c>
      <c r="G1936" t="str">
        <f t="shared" si="222"/>
        <v>4.4.90.52.00</v>
      </c>
      <c r="H1936" t="s">
        <v>1986</v>
      </c>
      <c r="I1936" t="str">
        <f t="shared" si="230"/>
        <v>19 - SECRETARIA DE TRANSPORTE E DA MOBILIDADE URBANA</v>
      </c>
      <c r="J1936" t="s">
        <v>20</v>
      </c>
      <c r="K1936" t="str">
        <f t="shared" si="223"/>
        <v>15-URBANISMO</v>
      </c>
      <c r="L1936" t="str">
        <f t="shared" si="224"/>
        <v>451-INFRA-ESTRUTURA URBANA</v>
      </c>
      <c r="M1936" t="str">
        <f t="shared" si="225"/>
        <v>0013-Mobilidade Urbana e Infraestrutura Viária​</v>
      </c>
      <c r="N1936" t="str">
        <f t="shared" si="226"/>
        <v>1.006-Desenvolvimento da Infraestrutura Viária</v>
      </c>
      <c r="O1936" t="str">
        <f t="shared" si="227"/>
        <v>4.4.90.52.00-EQUIPAMENTOS E MATERIAL PERMANENTE</v>
      </c>
      <c r="R1936" s="25">
        <v>1</v>
      </c>
      <c r="S1936" t="s">
        <v>1035</v>
      </c>
    </row>
    <row r="1937" spans="1:19" x14ac:dyDescent="0.25">
      <c r="A1937" t="str">
        <f t="shared" si="216"/>
        <v>20</v>
      </c>
      <c r="B1937" t="str">
        <f t="shared" si="217"/>
        <v>001</v>
      </c>
      <c r="C1937" t="str">
        <f t="shared" si="218"/>
        <v>04</v>
      </c>
      <c r="D1937" t="str">
        <f t="shared" si="219"/>
        <v>122</v>
      </c>
      <c r="E1937" t="str">
        <f t="shared" si="220"/>
        <v>0001</v>
      </c>
      <c r="F1937" t="str">
        <f t="shared" si="221"/>
        <v>2.001</v>
      </c>
      <c r="G1937" t="str">
        <f t="shared" si="222"/>
        <v>3.1.90.11.00</v>
      </c>
      <c r="H1937" t="s">
        <v>1987</v>
      </c>
      <c r="I1937" t="str">
        <f t="shared" si="230"/>
        <v>20 - SECRETARIA DE SEGURANÇA E CONTROLE URBANO</v>
      </c>
      <c r="J1937" t="s">
        <v>20</v>
      </c>
      <c r="K1937" t="str">
        <f t="shared" si="223"/>
        <v>4-ADMINISTRAÇÃO</v>
      </c>
      <c r="L1937" t="str">
        <f t="shared" si="224"/>
        <v>122-ADMINISTRAÇÃO GERAL</v>
      </c>
      <c r="M1937" t="str">
        <f t="shared" si="225"/>
        <v>0001-Administração e Coordenação Geral​</v>
      </c>
      <c r="N1937" t="str">
        <f t="shared" si="226"/>
        <v>2.001-Remuneração, Benefícios e Encargos</v>
      </c>
      <c r="O1937" t="str">
        <f>G1937</f>
        <v>3.1.90.11.00</v>
      </c>
      <c r="R1937" s="25">
        <v>29999999.999999993</v>
      </c>
      <c r="S1937" t="s">
        <v>1035</v>
      </c>
    </row>
    <row r="1938" spans="1:19" x14ac:dyDescent="0.25">
      <c r="A1938" t="str">
        <f t="shared" si="216"/>
        <v>20</v>
      </c>
      <c r="B1938" t="str">
        <f t="shared" si="217"/>
        <v>001</v>
      </c>
      <c r="C1938" t="str">
        <f t="shared" si="218"/>
        <v>04</v>
      </c>
      <c r="D1938" t="str">
        <f t="shared" si="219"/>
        <v>122</v>
      </c>
      <c r="E1938" t="str">
        <f t="shared" si="220"/>
        <v>0001</v>
      </c>
      <c r="F1938" t="str">
        <f t="shared" si="221"/>
        <v>2.001</v>
      </c>
      <c r="G1938" t="str">
        <f t="shared" si="222"/>
        <v>3.1.90.13.00</v>
      </c>
      <c r="H1938" t="s">
        <v>1988</v>
      </c>
      <c r="I1938" t="str">
        <f t="shared" si="230"/>
        <v>20 - SECRETARIA DE SEGURANÇA E CONTROLE URBANO</v>
      </c>
      <c r="J1938" t="s">
        <v>20</v>
      </c>
      <c r="K1938" t="str">
        <f t="shared" si="223"/>
        <v>4-ADMINISTRAÇÃO</v>
      </c>
      <c r="L1938" t="str">
        <f t="shared" si="224"/>
        <v>122-ADMINISTRAÇÃO GERAL</v>
      </c>
      <c r="M1938" t="str">
        <f t="shared" si="225"/>
        <v>0001-Administração e Coordenação Geral​</v>
      </c>
      <c r="N1938" t="str">
        <f t="shared" si="226"/>
        <v>2.001-Remuneração, Benefícios e Encargos</v>
      </c>
      <c r="O1938" t="str">
        <f>G1938</f>
        <v>3.1.90.13.00</v>
      </c>
      <c r="R1938" s="25">
        <v>1773652.59</v>
      </c>
      <c r="S1938" t="s">
        <v>1035</v>
      </c>
    </row>
    <row r="1939" spans="1:19" x14ac:dyDescent="0.25">
      <c r="A1939" t="str">
        <f t="shared" si="216"/>
        <v>20</v>
      </c>
      <c r="B1939" t="str">
        <f t="shared" si="217"/>
        <v>001</v>
      </c>
      <c r="C1939" t="str">
        <f t="shared" si="218"/>
        <v>04</v>
      </c>
      <c r="D1939" t="str">
        <f t="shared" si="219"/>
        <v>122</v>
      </c>
      <c r="E1939" t="str">
        <f t="shared" si="220"/>
        <v>0001</v>
      </c>
      <c r="F1939" t="str">
        <f t="shared" si="221"/>
        <v>2.001</v>
      </c>
      <c r="G1939" t="str">
        <f t="shared" si="222"/>
        <v>3.1.91.13.00</v>
      </c>
      <c r="H1939" t="s">
        <v>1989</v>
      </c>
      <c r="I1939" t="str">
        <f t="shared" si="230"/>
        <v>20 - SECRETARIA DE SEGURANÇA E CONTROLE URBANO</v>
      </c>
      <c r="J1939" t="s">
        <v>20</v>
      </c>
      <c r="K1939" t="str">
        <f t="shared" si="223"/>
        <v>4-ADMINISTRAÇÃO</v>
      </c>
      <c r="L1939" t="str">
        <f t="shared" si="224"/>
        <v>122-ADMINISTRAÇÃO GERAL</v>
      </c>
      <c r="M1939" t="str">
        <f t="shared" si="225"/>
        <v>0001-Administração e Coordenação Geral​</v>
      </c>
      <c r="N1939" t="str">
        <f t="shared" si="226"/>
        <v>2.001-Remuneração, Benefícios e Encargos</v>
      </c>
      <c r="O1939" t="str">
        <f>G1939</f>
        <v>3.1.91.13.00</v>
      </c>
      <c r="R1939" s="25">
        <v>28298630.75</v>
      </c>
      <c r="S1939" t="s">
        <v>1035</v>
      </c>
    </row>
    <row r="1940" spans="1:19" x14ac:dyDescent="0.25">
      <c r="A1940" t="str">
        <f t="shared" si="216"/>
        <v>20</v>
      </c>
      <c r="B1940" t="str">
        <f t="shared" si="217"/>
        <v>001</v>
      </c>
      <c r="C1940" t="str">
        <f t="shared" si="218"/>
        <v>04</v>
      </c>
      <c r="D1940" t="str">
        <f t="shared" si="219"/>
        <v>122</v>
      </c>
      <c r="E1940" t="str">
        <f t="shared" si="220"/>
        <v>0001</v>
      </c>
      <c r="F1940" t="str">
        <f t="shared" si="221"/>
        <v>2.001</v>
      </c>
      <c r="G1940" t="str">
        <f t="shared" si="222"/>
        <v>3.3.90.46.00</v>
      </c>
      <c r="H1940" t="s">
        <v>1990</v>
      </c>
      <c r="I1940" t="str">
        <f t="shared" si="230"/>
        <v>20 - SECRETARIA DE SEGURANÇA E CONTROLE URBANO</v>
      </c>
      <c r="J1940" t="s">
        <v>20</v>
      </c>
      <c r="K1940" t="str">
        <f t="shared" si="223"/>
        <v>4-ADMINISTRAÇÃO</v>
      </c>
      <c r="L1940" t="str">
        <f t="shared" si="224"/>
        <v>122-ADMINISTRAÇÃO GERAL</v>
      </c>
      <c r="M1940" t="str">
        <f t="shared" si="225"/>
        <v>0001-Administração e Coordenação Geral​</v>
      </c>
      <c r="N1940" t="str">
        <f t="shared" si="226"/>
        <v>2.001-Remuneração, Benefícios e Encargos</v>
      </c>
      <c r="O1940" t="str">
        <f>G1940</f>
        <v>3.3.90.46.00</v>
      </c>
      <c r="R1940" s="25">
        <v>3.71</v>
      </c>
      <c r="S1940" t="s">
        <v>1035</v>
      </c>
    </row>
    <row r="1941" spans="1:19" x14ac:dyDescent="0.25">
      <c r="A1941" t="str">
        <f t="shared" si="216"/>
        <v>20</v>
      </c>
      <c r="B1941" t="str">
        <f t="shared" si="217"/>
        <v>001</v>
      </c>
      <c r="C1941" t="str">
        <f t="shared" si="218"/>
        <v>04</v>
      </c>
      <c r="D1941" t="str">
        <f t="shared" si="219"/>
        <v>122</v>
      </c>
      <c r="E1941" t="str">
        <f t="shared" si="220"/>
        <v>0001</v>
      </c>
      <c r="F1941" t="str">
        <f t="shared" si="221"/>
        <v>2.001</v>
      </c>
      <c r="G1941" t="str">
        <f t="shared" si="222"/>
        <v>3.3.90.49.00</v>
      </c>
      <c r="H1941" t="s">
        <v>1991</v>
      </c>
      <c r="I1941" t="str">
        <f t="shared" si="230"/>
        <v>20 - SECRETARIA DE SEGURANÇA E CONTROLE URBANO</v>
      </c>
      <c r="J1941" t="s">
        <v>20</v>
      </c>
      <c r="K1941" t="str">
        <f t="shared" si="223"/>
        <v>4-ADMINISTRAÇÃO</v>
      </c>
      <c r="L1941" t="str">
        <f t="shared" si="224"/>
        <v>122-ADMINISTRAÇÃO GERAL</v>
      </c>
      <c r="M1941" t="str">
        <f t="shared" si="225"/>
        <v>0001-Administração e Coordenação Geral​</v>
      </c>
      <c r="N1941" t="str">
        <f t="shared" si="226"/>
        <v>2.001-Remuneração, Benefícios e Encargos</v>
      </c>
      <c r="O1941" t="str">
        <f>G1941</f>
        <v>3.3.90.49.00</v>
      </c>
      <c r="R1941" s="25">
        <v>3893122.52</v>
      </c>
      <c r="S1941" t="s">
        <v>1035</v>
      </c>
    </row>
    <row r="1942" spans="1:19" x14ac:dyDescent="0.25">
      <c r="A1942" t="str">
        <f t="shared" si="216"/>
        <v>20</v>
      </c>
      <c r="B1942" t="str">
        <f t="shared" si="217"/>
        <v>001</v>
      </c>
      <c r="C1942" t="str">
        <f t="shared" si="218"/>
        <v>06</v>
      </c>
      <c r="D1942" t="str">
        <f t="shared" si="219"/>
        <v>181</v>
      </c>
      <c r="E1942" t="str">
        <f t="shared" si="220"/>
        <v>0006</v>
      </c>
      <c r="F1942" t="str">
        <f t="shared" si="221"/>
        <v>1.002</v>
      </c>
      <c r="G1942" t="str">
        <f t="shared" si="222"/>
        <v>3.3.90.39.00</v>
      </c>
      <c r="H1942" t="s">
        <v>1992</v>
      </c>
      <c r="I1942" t="str">
        <f t="shared" si="230"/>
        <v>20 - SECRETARIA DE SEGURANÇA E CONTROLE URBANO</v>
      </c>
      <c r="J1942" t="s">
        <v>20</v>
      </c>
      <c r="K1942" t="str">
        <f t="shared" si="223"/>
        <v>6-SEGURANÇA PÚBLICA</v>
      </c>
      <c r="L1942" t="str">
        <f t="shared" si="224"/>
        <v>181-POLICIAMENTO</v>
      </c>
      <c r="M1942" t="str">
        <f t="shared" si="225"/>
        <v>0006-Segurança Pública e Fiscalização Inteligente​</v>
      </c>
      <c r="N1942" t="str">
        <f t="shared" si="226"/>
        <v>1.002-Reforma e Ampliação de Unidades</v>
      </c>
      <c r="O1942" t="str">
        <f t="shared" si="227"/>
        <v>3.3.90.39.00-OUTROS SERVIÇOS DE TERCEIROS - PESSOA JURÍDICA</v>
      </c>
      <c r="R1942" s="25">
        <v>1</v>
      </c>
      <c r="S1942" t="s">
        <v>1035</v>
      </c>
    </row>
    <row r="1943" spans="1:19" x14ac:dyDescent="0.25">
      <c r="A1943" t="str">
        <f t="shared" si="216"/>
        <v>20</v>
      </c>
      <c r="B1943" t="str">
        <f t="shared" si="217"/>
        <v>001</v>
      </c>
      <c r="C1943" t="str">
        <f t="shared" si="218"/>
        <v>06</v>
      </c>
      <c r="D1943" t="str">
        <f t="shared" si="219"/>
        <v>181</v>
      </c>
      <c r="E1943" t="str">
        <f t="shared" si="220"/>
        <v>0006</v>
      </c>
      <c r="F1943" t="str">
        <f t="shared" si="221"/>
        <v>1.002</v>
      </c>
      <c r="G1943" t="str">
        <f t="shared" si="222"/>
        <v>4.4.90.51.00</v>
      </c>
      <c r="H1943" t="s">
        <v>1993</v>
      </c>
      <c r="I1943" t="str">
        <f t="shared" si="230"/>
        <v>20 - SECRETARIA DE SEGURANÇA E CONTROLE URBANO</v>
      </c>
      <c r="J1943" t="s">
        <v>20</v>
      </c>
      <c r="K1943" t="str">
        <f t="shared" si="223"/>
        <v>6-SEGURANÇA PÚBLICA</v>
      </c>
      <c r="L1943" t="str">
        <f t="shared" si="224"/>
        <v>181-POLICIAMENTO</v>
      </c>
      <c r="M1943" t="str">
        <f t="shared" si="225"/>
        <v>0006-Segurança Pública e Fiscalização Inteligente​</v>
      </c>
      <c r="N1943" t="str">
        <f t="shared" si="226"/>
        <v>1.002-Reforma e Ampliação de Unidades</v>
      </c>
      <c r="O1943" t="str">
        <f t="shared" si="227"/>
        <v>4.4.90.51.00-OBRAS E INSTALAÇÕES</v>
      </c>
      <c r="R1943" s="25">
        <v>1</v>
      </c>
      <c r="S1943" t="s">
        <v>1035</v>
      </c>
    </row>
    <row r="1944" spans="1:19" x14ac:dyDescent="0.25">
      <c r="A1944" t="str">
        <f t="shared" si="216"/>
        <v>20</v>
      </c>
      <c r="B1944" t="str">
        <f t="shared" si="217"/>
        <v>001</v>
      </c>
      <c r="C1944" t="str">
        <f t="shared" si="218"/>
        <v>06</v>
      </c>
      <c r="D1944" t="str">
        <f t="shared" si="219"/>
        <v>181</v>
      </c>
      <c r="E1944" t="str">
        <f t="shared" si="220"/>
        <v>0006</v>
      </c>
      <c r="F1944" t="str">
        <f t="shared" si="221"/>
        <v>1.003</v>
      </c>
      <c r="G1944" t="str">
        <f t="shared" si="222"/>
        <v>4.4.90.51.00</v>
      </c>
      <c r="H1944" t="s">
        <v>1994</v>
      </c>
      <c r="I1944" t="str">
        <f t="shared" si="230"/>
        <v>20 - SECRETARIA DE SEGURANÇA E CONTROLE URBANO</v>
      </c>
      <c r="J1944" t="s">
        <v>20</v>
      </c>
      <c r="K1944" t="str">
        <f t="shared" si="223"/>
        <v>6-SEGURANÇA PÚBLICA</v>
      </c>
      <c r="L1944" t="str">
        <f t="shared" si="224"/>
        <v>181-POLICIAMENTO</v>
      </c>
      <c r="M1944" t="str">
        <f t="shared" si="225"/>
        <v>0006-Segurança Pública e Fiscalização Inteligente​</v>
      </c>
      <c r="N1944" t="str">
        <f t="shared" si="226"/>
        <v>1.003-Implantação de Novas Unidades</v>
      </c>
      <c r="O1944" t="str">
        <f t="shared" si="227"/>
        <v>4.4.90.51.00-OBRAS E INSTALAÇÕES</v>
      </c>
      <c r="R1944" s="25">
        <v>0</v>
      </c>
      <c r="S1944" t="s">
        <v>1035</v>
      </c>
    </row>
    <row r="1945" spans="1:19" x14ac:dyDescent="0.25">
      <c r="A1945" t="str">
        <f t="shared" si="216"/>
        <v>21</v>
      </c>
      <c r="B1945" t="str">
        <f t="shared" si="217"/>
        <v>001</v>
      </c>
      <c r="C1945" t="str">
        <f t="shared" si="218"/>
        <v>09</v>
      </c>
      <c r="D1945" t="str">
        <f t="shared" si="219"/>
        <v>272</v>
      </c>
      <c r="E1945" t="str">
        <f t="shared" si="220"/>
        <v>0001</v>
      </c>
      <c r="F1945" t="str">
        <f t="shared" si="221"/>
        <v>1.002</v>
      </c>
      <c r="G1945" t="str">
        <f t="shared" si="222"/>
        <v>3.3.90.39.00</v>
      </c>
      <c r="H1945" t="s">
        <v>1995</v>
      </c>
      <c r="I1945" t="s">
        <v>1432</v>
      </c>
      <c r="J1945" t="s">
        <v>20</v>
      </c>
      <c r="K1945" t="str">
        <f t="shared" ref="K1945:K1962" si="232">C1945</f>
        <v>09</v>
      </c>
      <c r="L1945" t="str">
        <f t="shared" ref="L1945:L1962" si="233">D1945</f>
        <v>272</v>
      </c>
      <c r="M1945" t="str">
        <f t="shared" si="225"/>
        <v>0001-Administração e Coordenação Geral​</v>
      </c>
      <c r="N1945" t="str">
        <f t="shared" si="226"/>
        <v>1.002-Reforma e Ampliação de Unidades</v>
      </c>
      <c r="O1945" t="str">
        <f t="shared" si="227"/>
        <v>3.3.90.39.00-OUTROS SERVIÇOS DE TERCEIROS - PESSOA JURÍDICA</v>
      </c>
      <c r="R1945" s="25">
        <v>1000</v>
      </c>
      <c r="S1945" t="s">
        <v>1035</v>
      </c>
    </row>
    <row r="1946" spans="1:19" x14ac:dyDescent="0.25">
      <c r="A1946" t="str">
        <f t="shared" si="216"/>
        <v>21</v>
      </c>
      <c r="B1946" t="str">
        <f t="shared" si="217"/>
        <v>001</v>
      </c>
      <c r="C1946" t="str">
        <f t="shared" si="218"/>
        <v>09</v>
      </c>
      <c r="D1946" t="str">
        <f t="shared" si="219"/>
        <v>272</v>
      </c>
      <c r="E1946" t="str">
        <f t="shared" si="220"/>
        <v>0001</v>
      </c>
      <c r="F1946" t="str">
        <f t="shared" si="221"/>
        <v>1.002</v>
      </c>
      <c r="G1946" t="str">
        <f t="shared" si="222"/>
        <v>4.4.90.51.00</v>
      </c>
      <c r="H1946" t="s">
        <v>1996</v>
      </c>
      <c r="I1946" t="s">
        <v>1432</v>
      </c>
      <c r="J1946" t="s">
        <v>20</v>
      </c>
      <c r="K1946" t="str">
        <f t="shared" si="232"/>
        <v>09</v>
      </c>
      <c r="L1946" t="str">
        <f t="shared" si="233"/>
        <v>272</v>
      </c>
      <c r="M1946" t="str">
        <f t="shared" si="225"/>
        <v>0001-Administração e Coordenação Geral​</v>
      </c>
      <c r="N1946" t="str">
        <f t="shared" si="226"/>
        <v>1.002-Reforma e Ampliação de Unidades</v>
      </c>
      <c r="O1946" t="str">
        <f t="shared" si="227"/>
        <v>4.4.90.51.00-OBRAS E INSTALAÇÕES</v>
      </c>
      <c r="R1946" s="25">
        <v>500000</v>
      </c>
      <c r="S1946" t="s">
        <v>1035</v>
      </c>
    </row>
    <row r="1947" spans="1:19" x14ac:dyDescent="0.25">
      <c r="A1947" t="str">
        <f t="shared" si="216"/>
        <v>21</v>
      </c>
      <c r="B1947" t="str">
        <f t="shared" si="217"/>
        <v>001</v>
      </c>
      <c r="C1947" t="str">
        <f t="shared" si="218"/>
        <v>09</v>
      </c>
      <c r="D1947" t="str">
        <f t="shared" si="219"/>
        <v>272</v>
      </c>
      <c r="E1947" t="str">
        <f t="shared" si="220"/>
        <v>0001</v>
      </c>
      <c r="F1947" t="str">
        <f t="shared" si="221"/>
        <v>1.002</v>
      </c>
      <c r="G1947" t="str">
        <f t="shared" si="222"/>
        <v>4.4.90.52.00</v>
      </c>
      <c r="H1947" t="s">
        <v>1997</v>
      </c>
      <c r="I1947" t="s">
        <v>1432</v>
      </c>
      <c r="J1947" t="s">
        <v>20</v>
      </c>
      <c r="K1947" t="str">
        <f t="shared" si="232"/>
        <v>09</v>
      </c>
      <c r="L1947" t="str">
        <f t="shared" si="233"/>
        <v>272</v>
      </c>
      <c r="M1947" t="str">
        <f t="shared" si="225"/>
        <v>0001-Administração e Coordenação Geral​</v>
      </c>
      <c r="N1947" t="str">
        <f t="shared" si="226"/>
        <v>1.002-Reforma e Ampliação de Unidades</v>
      </c>
      <c r="O1947" t="str">
        <f t="shared" si="227"/>
        <v>4.4.90.52.00-EQUIPAMENTOS E MATERIAL PERMANENTE</v>
      </c>
      <c r="R1947" s="25">
        <v>100000</v>
      </c>
      <c r="S1947" t="s">
        <v>1035</v>
      </c>
    </row>
    <row r="1948" spans="1:19" x14ac:dyDescent="0.25">
      <c r="A1948" t="str">
        <f t="shared" ref="A1948:A2011" si="234">LEFT(H1948,2)</f>
        <v>21</v>
      </c>
      <c r="B1948" t="str">
        <f t="shared" ref="B1948:B2011" si="235">MID(H1948,4,3)</f>
        <v>001</v>
      </c>
      <c r="C1948" t="str">
        <f t="shared" ref="C1948:C2011" si="236">MID(H1948,8,2)</f>
        <v>09</v>
      </c>
      <c r="D1948" t="str">
        <f t="shared" ref="D1948:D2011" si="237">MID(H1948,11,3)</f>
        <v>272</v>
      </c>
      <c r="E1948" t="str">
        <f t="shared" ref="E1948:E2011" si="238">MID(H1948,15,4)</f>
        <v>0001</v>
      </c>
      <c r="F1948" t="str">
        <f t="shared" ref="F1948:F2011" si="239">MID(H1948,20,5)</f>
        <v>1.002</v>
      </c>
      <c r="G1948" t="str">
        <f t="shared" ref="G1948:G2011" si="240">MID(H1948,26,12)</f>
        <v>4.4.90.61.00</v>
      </c>
      <c r="H1948" t="s">
        <v>1998</v>
      </c>
      <c r="I1948" t="s">
        <v>1432</v>
      </c>
      <c r="J1948" t="s">
        <v>20</v>
      </c>
      <c r="K1948" t="str">
        <f t="shared" si="232"/>
        <v>09</v>
      </c>
      <c r="L1948" t="str">
        <f t="shared" si="233"/>
        <v>272</v>
      </c>
      <c r="M1948" t="str">
        <f t="shared" ref="M1948:M2010" si="241">VLOOKUP(E1948,$E$1:$O$994,9,0)</f>
        <v>0001-Administração e Coordenação Geral​</v>
      </c>
      <c r="N1948" t="str">
        <f t="shared" ref="N1948:N2011" si="242">VLOOKUP(F1948,$F$1:$O$994,9,0)</f>
        <v>1.002-Reforma e Ampliação de Unidades</v>
      </c>
      <c r="O1948" t="str">
        <f t="shared" ref="O1948:O1954" si="243">G1948</f>
        <v>4.4.90.61.00</v>
      </c>
      <c r="R1948" s="25">
        <v>1000</v>
      </c>
      <c r="S1948" t="s">
        <v>1035</v>
      </c>
    </row>
    <row r="1949" spans="1:19" x14ac:dyDescent="0.25">
      <c r="A1949" t="str">
        <f t="shared" si="234"/>
        <v>21</v>
      </c>
      <c r="B1949" t="str">
        <f t="shared" si="235"/>
        <v>001</v>
      </c>
      <c r="C1949" t="str">
        <f t="shared" si="236"/>
        <v>09</v>
      </c>
      <c r="D1949" t="str">
        <f t="shared" si="237"/>
        <v>272</v>
      </c>
      <c r="E1949" t="str">
        <f t="shared" si="238"/>
        <v>0001</v>
      </c>
      <c r="F1949" t="str">
        <f t="shared" si="239"/>
        <v>2.001</v>
      </c>
      <c r="G1949" t="str">
        <f t="shared" si="240"/>
        <v>3.1.90.11.00</v>
      </c>
      <c r="H1949" t="s">
        <v>1999</v>
      </c>
      <c r="I1949" t="s">
        <v>1432</v>
      </c>
      <c r="J1949" t="s">
        <v>20</v>
      </c>
      <c r="K1949" t="str">
        <f t="shared" si="232"/>
        <v>09</v>
      </c>
      <c r="L1949" t="str">
        <f t="shared" si="233"/>
        <v>272</v>
      </c>
      <c r="M1949" t="str">
        <f t="shared" si="241"/>
        <v>0001-Administração e Coordenação Geral​</v>
      </c>
      <c r="N1949" t="str">
        <f t="shared" si="242"/>
        <v>2.001-Remuneração, Benefícios e Encargos</v>
      </c>
      <c r="O1949" t="str">
        <f t="shared" si="243"/>
        <v>3.1.90.11.00</v>
      </c>
      <c r="R1949" s="25">
        <v>15885000</v>
      </c>
      <c r="S1949" t="s">
        <v>1035</v>
      </c>
    </row>
    <row r="1950" spans="1:19" x14ac:dyDescent="0.25">
      <c r="A1950" t="str">
        <f t="shared" si="234"/>
        <v>21</v>
      </c>
      <c r="B1950" t="str">
        <f t="shared" si="235"/>
        <v>001</v>
      </c>
      <c r="C1950" t="str">
        <f t="shared" si="236"/>
        <v>09</v>
      </c>
      <c r="D1950" t="str">
        <f t="shared" si="237"/>
        <v>272</v>
      </c>
      <c r="E1950" t="str">
        <f t="shared" si="238"/>
        <v>0001</v>
      </c>
      <c r="F1950" t="str">
        <f t="shared" si="239"/>
        <v>2.001</v>
      </c>
      <c r="G1950" t="str">
        <f t="shared" si="240"/>
        <v>3.1.90.13.00</v>
      </c>
      <c r="H1950" t="s">
        <v>2000</v>
      </c>
      <c r="I1950" t="s">
        <v>1432</v>
      </c>
      <c r="J1950" t="s">
        <v>20</v>
      </c>
      <c r="K1950" t="str">
        <f t="shared" si="232"/>
        <v>09</v>
      </c>
      <c r="L1950" t="str">
        <f t="shared" si="233"/>
        <v>272</v>
      </c>
      <c r="M1950" t="str">
        <f t="shared" si="241"/>
        <v>0001-Administração e Coordenação Geral​</v>
      </c>
      <c r="N1950" t="str">
        <f t="shared" si="242"/>
        <v>2.001-Remuneração, Benefícios e Encargos</v>
      </c>
      <c r="O1950" t="str">
        <f t="shared" si="243"/>
        <v>3.1.90.13.00</v>
      </c>
      <c r="R1950" s="25">
        <v>1715000</v>
      </c>
      <c r="S1950" t="s">
        <v>1035</v>
      </c>
    </row>
    <row r="1951" spans="1:19" x14ac:dyDescent="0.25">
      <c r="A1951" t="str">
        <f t="shared" si="234"/>
        <v>21</v>
      </c>
      <c r="B1951" t="str">
        <f t="shared" si="235"/>
        <v>001</v>
      </c>
      <c r="C1951" t="str">
        <f t="shared" si="236"/>
        <v>09</v>
      </c>
      <c r="D1951" t="str">
        <f t="shared" si="237"/>
        <v>272</v>
      </c>
      <c r="E1951" t="str">
        <f t="shared" si="238"/>
        <v>0001</v>
      </c>
      <c r="F1951" t="str">
        <f t="shared" si="239"/>
        <v>2.001</v>
      </c>
      <c r="G1951" t="str">
        <f t="shared" si="240"/>
        <v>3.1.90.16.00</v>
      </c>
      <c r="H1951" t="s">
        <v>2001</v>
      </c>
      <c r="I1951" t="s">
        <v>1432</v>
      </c>
      <c r="J1951" t="s">
        <v>20</v>
      </c>
      <c r="K1951" t="str">
        <f t="shared" si="232"/>
        <v>09</v>
      </c>
      <c r="L1951" t="str">
        <f t="shared" si="233"/>
        <v>272</v>
      </c>
      <c r="M1951" t="str">
        <f t="shared" si="241"/>
        <v>0001-Administração e Coordenação Geral​</v>
      </c>
      <c r="N1951" t="str">
        <f t="shared" si="242"/>
        <v>2.001-Remuneração, Benefícios e Encargos</v>
      </c>
      <c r="O1951" t="str">
        <f t="shared" si="243"/>
        <v>3.1.90.16.00</v>
      </c>
      <c r="R1951" s="25">
        <v>1000</v>
      </c>
      <c r="S1951" t="s">
        <v>1035</v>
      </c>
    </row>
    <row r="1952" spans="1:19" x14ac:dyDescent="0.25">
      <c r="A1952" t="str">
        <f t="shared" si="234"/>
        <v>21</v>
      </c>
      <c r="B1952" t="str">
        <f t="shared" si="235"/>
        <v>001</v>
      </c>
      <c r="C1952" t="str">
        <f t="shared" si="236"/>
        <v>09</v>
      </c>
      <c r="D1952" t="str">
        <f t="shared" si="237"/>
        <v>272</v>
      </c>
      <c r="E1952" t="str">
        <f t="shared" si="238"/>
        <v>0001</v>
      </c>
      <c r="F1952" t="str">
        <f t="shared" si="239"/>
        <v>2.001</v>
      </c>
      <c r="G1952" t="str">
        <f t="shared" si="240"/>
        <v>3.1.90.92.00</v>
      </c>
      <c r="H1952" t="s">
        <v>2002</v>
      </c>
      <c r="I1952" t="s">
        <v>1432</v>
      </c>
      <c r="J1952" t="s">
        <v>20</v>
      </c>
      <c r="K1952" t="str">
        <f t="shared" si="232"/>
        <v>09</v>
      </c>
      <c r="L1952" t="str">
        <f t="shared" si="233"/>
        <v>272</v>
      </c>
      <c r="M1952" t="str">
        <f t="shared" si="241"/>
        <v>0001-Administração e Coordenação Geral​</v>
      </c>
      <c r="N1952" t="str">
        <f t="shared" si="242"/>
        <v>2.001-Remuneração, Benefícios e Encargos</v>
      </c>
      <c r="O1952" t="str">
        <f t="shared" si="243"/>
        <v>3.1.90.92.00</v>
      </c>
      <c r="R1952" s="25">
        <v>1000</v>
      </c>
      <c r="S1952" t="s">
        <v>1035</v>
      </c>
    </row>
    <row r="1953" spans="1:19" x14ac:dyDescent="0.25">
      <c r="A1953" t="str">
        <f t="shared" si="234"/>
        <v>21</v>
      </c>
      <c r="B1953" t="str">
        <f t="shared" si="235"/>
        <v>001</v>
      </c>
      <c r="C1953" t="str">
        <f t="shared" si="236"/>
        <v>09</v>
      </c>
      <c r="D1953" t="str">
        <f t="shared" si="237"/>
        <v>272</v>
      </c>
      <c r="E1953" t="str">
        <f t="shared" si="238"/>
        <v>0001</v>
      </c>
      <c r="F1953" t="str">
        <f t="shared" si="239"/>
        <v>2.001</v>
      </c>
      <c r="G1953" t="str">
        <f t="shared" si="240"/>
        <v>3.1.90.94.00</v>
      </c>
      <c r="H1953" t="s">
        <v>2003</v>
      </c>
      <c r="I1953" t="s">
        <v>1432</v>
      </c>
      <c r="J1953" t="s">
        <v>20</v>
      </c>
      <c r="K1953" t="str">
        <f t="shared" si="232"/>
        <v>09</v>
      </c>
      <c r="L1953" t="str">
        <f t="shared" si="233"/>
        <v>272</v>
      </c>
      <c r="M1953" t="str">
        <f t="shared" si="241"/>
        <v>0001-Administração e Coordenação Geral​</v>
      </c>
      <c r="N1953" t="str">
        <f t="shared" si="242"/>
        <v>2.001-Remuneração, Benefícios e Encargos</v>
      </c>
      <c r="O1953" t="str">
        <f t="shared" si="243"/>
        <v>3.1.90.94.00</v>
      </c>
      <c r="R1953" s="25">
        <v>200000</v>
      </c>
      <c r="S1953" t="s">
        <v>1035</v>
      </c>
    </row>
    <row r="1954" spans="1:19" x14ac:dyDescent="0.25">
      <c r="A1954" t="str">
        <f t="shared" si="234"/>
        <v>21</v>
      </c>
      <c r="B1954" t="str">
        <f t="shared" si="235"/>
        <v>001</v>
      </c>
      <c r="C1954" t="str">
        <f t="shared" si="236"/>
        <v>09</v>
      </c>
      <c r="D1954" t="str">
        <f t="shared" si="237"/>
        <v>272</v>
      </c>
      <c r="E1954" t="str">
        <f t="shared" si="238"/>
        <v>0001</v>
      </c>
      <c r="F1954" t="str">
        <f t="shared" si="239"/>
        <v>2.001</v>
      </c>
      <c r="G1954" t="str">
        <f t="shared" si="240"/>
        <v>3.1.91.13.00</v>
      </c>
      <c r="H1954" t="s">
        <v>2004</v>
      </c>
      <c r="I1954" t="s">
        <v>1432</v>
      </c>
      <c r="J1954" t="s">
        <v>20</v>
      </c>
      <c r="K1954" t="str">
        <f t="shared" si="232"/>
        <v>09</v>
      </c>
      <c r="L1954" t="str">
        <f t="shared" si="233"/>
        <v>272</v>
      </c>
      <c r="M1954" t="str">
        <f t="shared" si="241"/>
        <v>0001-Administração e Coordenação Geral​</v>
      </c>
      <c r="N1954" t="str">
        <f t="shared" si="242"/>
        <v>2.001-Remuneração, Benefícios e Encargos</v>
      </c>
      <c r="O1954" t="str">
        <f t="shared" si="243"/>
        <v>3.1.91.13.00</v>
      </c>
      <c r="R1954" s="25">
        <v>1733000</v>
      </c>
      <c r="S1954" t="s">
        <v>1035</v>
      </c>
    </row>
    <row r="1955" spans="1:19" x14ac:dyDescent="0.25">
      <c r="A1955" t="str">
        <f t="shared" si="234"/>
        <v>21</v>
      </c>
      <c r="B1955" t="str">
        <f t="shared" si="235"/>
        <v>001</v>
      </c>
      <c r="C1955" t="str">
        <f t="shared" si="236"/>
        <v>09</v>
      </c>
      <c r="D1955" t="str">
        <f t="shared" si="237"/>
        <v>272</v>
      </c>
      <c r="E1955" t="str">
        <f t="shared" si="238"/>
        <v>0001</v>
      </c>
      <c r="F1955" t="str">
        <f t="shared" si="239"/>
        <v>2.001</v>
      </c>
      <c r="G1955" t="str">
        <f t="shared" si="240"/>
        <v>3.3.90.39.00</v>
      </c>
      <c r="H1955" t="s">
        <v>2005</v>
      </c>
      <c r="I1955" t="s">
        <v>1432</v>
      </c>
      <c r="J1955" t="s">
        <v>20</v>
      </c>
      <c r="K1955" t="str">
        <f t="shared" si="232"/>
        <v>09</v>
      </c>
      <c r="L1955" t="str">
        <f t="shared" si="233"/>
        <v>272</v>
      </c>
      <c r="M1955" t="str">
        <f t="shared" si="241"/>
        <v>0001-Administração e Coordenação Geral​</v>
      </c>
      <c r="N1955" t="str">
        <f t="shared" si="242"/>
        <v>2.001-Remuneração, Benefícios e Encargos</v>
      </c>
      <c r="O1955" t="str">
        <f t="shared" ref="O1955:O1963" si="244">VLOOKUP(G1955,$G$1:$O$994,9,0)</f>
        <v>3.3.90.39.00-OUTROS SERVIÇOS DE TERCEIROS - PESSOA JURÍDICA</v>
      </c>
      <c r="R1955" s="25">
        <v>1718000</v>
      </c>
      <c r="S1955" t="s">
        <v>1035</v>
      </c>
    </row>
    <row r="1956" spans="1:19" x14ac:dyDescent="0.25">
      <c r="A1956" t="str">
        <f t="shared" si="234"/>
        <v>21</v>
      </c>
      <c r="B1956" t="str">
        <f t="shared" si="235"/>
        <v>001</v>
      </c>
      <c r="C1956" t="str">
        <f t="shared" si="236"/>
        <v>09</v>
      </c>
      <c r="D1956" t="str">
        <f t="shared" si="237"/>
        <v>272</v>
      </c>
      <c r="E1956" t="str">
        <f t="shared" si="238"/>
        <v>0001</v>
      </c>
      <c r="F1956" t="str">
        <f t="shared" si="239"/>
        <v>2.001</v>
      </c>
      <c r="G1956" t="str">
        <f t="shared" si="240"/>
        <v>3.3.90.46.00</v>
      </c>
      <c r="H1956" t="s">
        <v>2006</v>
      </c>
      <c r="I1956" t="s">
        <v>1432</v>
      </c>
      <c r="J1956" t="s">
        <v>20</v>
      </c>
      <c r="K1956" t="str">
        <f t="shared" si="232"/>
        <v>09</v>
      </c>
      <c r="L1956" t="str">
        <f t="shared" si="233"/>
        <v>272</v>
      </c>
      <c r="M1956" t="str">
        <f t="shared" si="241"/>
        <v>0001-Administração e Coordenação Geral​</v>
      </c>
      <c r="N1956" t="str">
        <f t="shared" si="242"/>
        <v>2.001-Remuneração, Benefícios e Encargos</v>
      </c>
      <c r="O1956" t="str">
        <f>G1956</f>
        <v>3.3.90.46.00</v>
      </c>
      <c r="R1956" s="25">
        <v>1000</v>
      </c>
      <c r="S1956" t="s">
        <v>1035</v>
      </c>
    </row>
    <row r="1957" spans="1:19" x14ac:dyDescent="0.25">
      <c r="A1957" t="str">
        <f t="shared" si="234"/>
        <v>21</v>
      </c>
      <c r="B1957" t="str">
        <f t="shared" si="235"/>
        <v>001</v>
      </c>
      <c r="C1957" t="str">
        <f t="shared" si="236"/>
        <v>09</v>
      </c>
      <c r="D1957" t="str">
        <f t="shared" si="237"/>
        <v>272</v>
      </c>
      <c r="E1957" t="str">
        <f t="shared" si="238"/>
        <v>0001</v>
      </c>
      <c r="F1957" t="str">
        <f t="shared" si="239"/>
        <v>2.001</v>
      </c>
      <c r="G1957" t="str">
        <f t="shared" si="240"/>
        <v>3.3.90.49.00</v>
      </c>
      <c r="H1957" t="s">
        <v>2007</v>
      </c>
      <c r="I1957" t="s">
        <v>1432</v>
      </c>
      <c r="J1957" t="s">
        <v>20</v>
      </c>
      <c r="K1957" t="str">
        <f t="shared" si="232"/>
        <v>09</v>
      </c>
      <c r="L1957" t="str">
        <f t="shared" si="233"/>
        <v>272</v>
      </c>
      <c r="M1957" t="str">
        <f t="shared" si="241"/>
        <v>0001-Administração e Coordenação Geral​</v>
      </c>
      <c r="N1957" t="str">
        <f t="shared" si="242"/>
        <v>2.001-Remuneração, Benefícios e Encargos</v>
      </c>
      <c r="O1957" t="str">
        <f>G1957</f>
        <v>3.3.90.49.00</v>
      </c>
      <c r="R1957" s="25">
        <v>100000</v>
      </c>
      <c r="S1957" t="s">
        <v>1035</v>
      </c>
    </row>
    <row r="1958" spans="1:19" x14ac:dyDescent="0.25">
      <c r="A1958" t="str">
        <f t="shared" si="234"/>
        <v>21</v>
      </c>
      <c r="B1958" t="str">
        <f t="shared" si="235"/>
        <v>001</v>
      </c>
      <c r="C1958" t="str">
        <f t="shared" si="236"/>
        <v>09</v>
      </c>
      <c r="D1958" t="str">
        <f t="shared" si="237"/>
        <v>272</v>
      </c>
      <c r="E1958" t="str">
        <f t="shared" si="238"/>
        <v>0004</v>
      </c>
      <c r="F1958" t="str">
        <f t="shared" si="239"/>
        <v>1.001</v>
      </c>
      <c r="G1958" t="str">
        <f t="shared" si="240"/>
        <v>3.3.90.35.00</v>
      </c>
      <c r="H1958" t="s">
        <v>2008</v>
      </c>
      <c r="I1958" t="s">
        <v>1432</v>
      </c>
      <c r="J1958" t="s">
        <v>20</v>
      </c>
      <c r="K1958" t="str">
        <f t="shared" si="232"/>
        <v>09</v>
      </c>
      <c r="L1958" t="str">
        <f t="shared" si="233"/>
        <v>272</v>
      </c>
      <c r="M1958" t="str">
        <f t="shared" si="241"/>
        <v xml:space="preserve">0004-Planejamento e Gestão de Políticas Públicas </v>
      </c>
      <c r="N1958" t="str">
        <f t="shared" si="242"/>
        <v xml:space="preserve">1.001-Estudos, Pesquisas, Planos e Projetos </v>
      </c>
      <c r="O1958" t="str">
        <f t="shared" si="244"/>
        <v>3.3.90.35.00-SERVIÇOS DE CONSULTORIA</v>
      </c>
      <c r="R1958" s="25">
        <v>1000</v>
      </c>
      <c r="S1958" t="s">
        <v>1035</v>
      </c>
    </row>
    <row r="1959" spans="1:19" x14ac:dyDescent="0.25">
      <c r="A1959" t="str">
        <f t="shared" si="234"/>
        <v>21</v>
      </c>
      <c r="B1959" t="str">
        <f t="shared" si="235"/>
        <v>001</v>
      </c>
      <c r="C1959" t="str">
        <f t="shared" si="236"/>
        <v>09</v>
      </c>
      <c r="D1959" t="str">
        <f t="shared" si="237"/>
        <v>272</v>
      </c>
      <c r="E1959" t="str">
        <f t="shared" si="238"/>
        <v>0004</v>
      </c>
      <c r="F1959" t="str">
        <f t="shared" si="239"/>
        <v>1.001</v>
      </c>
      <c r="G1959" t="str">
        <f t="shared" si="240"/>
        <v>3.3.90.39.00</v>
      </c>
      <c r="H1959" t="s">
        <v>2009</v>
      </c>
      <c r="I1959" t="s">
        <v>1432</v>
      </c>
      <c r="J1959" t="s">
        <v>20</v>
      </c>
      <c r="K1959" t="str">
        <f t="shared" si="232"/>
        <v>09</v>
      </c>
      <c r="L1959" t="str">
        <f t="shared" si="233"/>
        <v>272</v>
      </c>
      <c r="M1959" t="str">
        <f t="shared" si="241"/>
        <v xml:space="preserve">0004-Planejamento e Gestão de Políticas Públicas </v>
      </c>
      <c r="N1959" t="str">
        <f t="shared" si="242"/>
        <v xml:space="preserve">1.001-Estudos, Pesquisas, Planos e Projetos </v>
      </c>
      <c r="O1959" t="str">
        <f t="shared" si="244"/>
        <v>3.3.90.39.00-OUTROS SERVIÇOS DE TERCEIROS - PESSOA JURÍDICA</v>
      </c>
      <c r="R1959" s="25">
        <v>4500000</v>
      </c>
      <c r="S1959" t="s">
        <v>1035</v>
      </c>
    </row>
    <row r="1960" spans="1:19" x14ac:dyDescent="0.25">
      <c r="A1960" t="str">
        <f t="shared" si="234"/>
        <v>21</v>
      </c>
      <c r="B1960" t="str">
        <f t="shared" si="235"/>
        <v>001</v>
      </c>
      <c r="C1960" t="str">
        <f t="shared" si="236"/>
        <v>09</v>
      </c>
      <c r="D1960" t="str">
        <f t="shared" si="237"/>
        <v>272</v>
      </c>
      <c r="E1960" t="str">
        <f t="shared" si="238"/>
        <v>0021</v>
      </c>
      <c r="F1960" t="str">
        <f t="shared" si="239"/>
        <v>0.002</v>
      </c>
      <c r="G1960" t="str">
        <f t="shared" si="240"/>
        <v>3.3.90.47.00</v>
      </c>
      <c r="H1960" t="s">
        <v>2010</v>
      </c>
      <c r="I1960" t="s">
        <v>1432</v>
      </c>
      <c r="J1960" t="s">
        <v>20</v>
      </c>
      <c r="K1960" t="str">
        <f t="shared" si="232"/>
        <v>09</v>
      </c>
      <c r="L1960" t="str">
        <f t="shared" si="233"/>
        <v>272</v>
      </c>
      <c r="M1960" t="str">
        <f>E1960</f>
        <v>0021</v>
      </c>
      <c r="N1960" t="str">
        <f>F1960</f>
        <v>0.002</v>
      </c>
      <c r="O1960" t="str">
        <f>G1960</f>
        <v>3.3.90.47.00</v>
      </c>
      <c r="R1960" s="25">
        <v>1000000</v>
      </c>
      <c r="S1960" t="s">
        <v>1035</v>
      </c>
    </row>
    <row r="1961" spans="1:19" x14ac:dyDescent="0.25">
      <c r="A1961" t="str">
        <f t="shared" si="234"/>
        <v>21</v>
      </c>
      <c r="B1961" t="str">
        <f t="shared" si="235"/>
        <v>001</v>
      </c>
      <c r="C1961" t="str">
        <f t="shared" si="236"/>
        <v>09</v>
      </c>
      <c r="D1961" t="str">
        <f t="shared" si="237"/>
        <v>272</v>
      </c>
      <c r="E1961" t="str">
        <f t="shared" si="238"/>
        <v>0021</v>
      </c>
      <c r="F1961" t="str">
        <f t="shared" si="239"/>
        <v>0.003</v>
      </c>
      <c r="G1961" t="str">
        <f t="shared" si="240"/>
        <v>3.1.90.91.00</v>
      </c>
      <c r="H1961" t="s">
        <v>2011</v>
      </c>
      <c r="I1961" t="s">
        <v>1432</v>
      </c>
      <c r="J1961" t="s">
        <v>20</v>
      </c>
      <c r="K1961" t="str">
        <f t="shared" si="232"/>
        <v>09</v>
      </c>
      <c r="L1961" t="str">
        <f t="shared" si="233"/>
        <v>272</v>
      </c>
      <c r="M1961" t="str">
        <f>E1961</f>
        <v>0021</v>
      </c>
      <c r="N1961" t="str">
        <f t="shared" si="242"/>
        <v>0.003-Precatórios e Sentenças Judiciais</v>
      </c>
      <c r="O1961" t="str">
        <f>G1961</f>
        <v>3.1.90.91.00</v>
      </c>
      <c r="R1961" s="25">
        <v>200000</v>
      </c>
      <c r="S1961" t="s">
        <v>1035</v>
      </c>
    </row>
    <row r="1962" spans="1:19" x14ac:dyDescent="0.25">
      <c r="A1962" t="str">
        <f t="shared" si="234"/>
        <v>21</v>
      </c>
      <c r="B1962" t="str">
        <f t="shared" si="235"/>
        <v>001</v>
      </c>
      <c r="C1962" t="str">
        <f t="shared" si="236"/>
        <v>09</v>
      </c>
      <c r="D1962" t="str">
        <f t="shared" si="237"/>
        <v>272</v>
      </c>
      <c r="E1962" t="str">
        <f t="shared" si="238"/>
        <v>0021</v>
      </c>
      <c r="F1962" t="str">
        <f t="shared" si="239"/>
        <v>0.003</v>
      </c>
      <c r="G1962" t="str">
        <f t="shared" si="240"/>
        <v>3.3.90.91.00</v>
      </c>
      <c r="H1962" t="s">
        <v>2012</v>
      </c>
      <c r="I1962" t="s">
        <v>1432</v>
      </c>
      <c r="J1962" t="s">
        <v>20</v>
      </c>
      <c r="K1962" t="str">
        <f t="shared" si="232"/>
        <v>09</v>
      </c>
      <c r="L1962" t="str">
        <f t="shared" si="233"/>
        <v>272</v>
      </c>
      <c r="M1962" t="str">
        <f>E1962</f>
        <v>0021</v>
      </c>
      <c r="N1962" t="str">
        <f t="shared" si="242"/>
        <v>0.003-Precatórios e Sentenças Judiciais</v>
      </c>
      <c r="O1962" t="str">
        <f t="shared" si="244"/>
        <v>3.3.90.91.00-SENTENÇAS JUDICIAIS</v>
      </c>
      <c r="R1962" s="25">
        <v>200000</v>
      </c>
      <c r="S1962" t="s">
        <v>1035</v>
      </c>
    </row>
    <row r="1963" spans="1:19" x14ac:dyDescent="0.25">
      <c r="A1963" t="str">
        <f t="shared" si="234"/>
        <v>22</v>
      </c>
      <c r="B1963" t="str">
        <f t="shared" si="235"/>
        <v>001</v>
      </c>
      <c r="C1963" t="str">
        <f t="shared" si="236"/>
        <v>04</v>
      </c>
      <c r="D1963" t="str">
        <f t="shared" si="237"/>
        <v>122</v>
      </c>
      <c r="E1963" t="str">
        <f t="shared" si="238"/>
        <v>0001</v>
      </c>
      <c r="F1963" t="str">
        <f t="shared" si="239"/>
        <v>1.002</v>
      </c>
      <c r="G1963" t="str">
        <f t="shared" si="240"/>
        <v>4.4.90.51.00</v>
      </c>
      <c r="H1963" t="s">
        <v>2013</v>
      </c>
      <c r="I1963" t="s">
        <v>1454</v>
      </c>
      <c r="J1963" t="s">
        <v>20</v>
      </c>
      <c r="K1963" t="str">
        <f t="shared" ref="K1963:K2011" si="245">VLOOKUP(C1963,$C$1:$O$994,9,0)</f>
        <v>4-ADMINISTRAÇÃO</v>
      </c>
      <c r="L1963" t="str">
        <f t="shared" ref="L1963:L2011" si="246">VLOOKUP(D1963,$D$1:$O$994,9,0)</f>
        <v>122-ADMINISTRAÇÃO GERAL</v>
      </c>
      <c r="M1963" t="str">
        <f t="shared" si="241"/>
        <v>0001-Administração e Coordenação Geral​</v>
      </c>
      <c r="N1963" t="str">
        <f t="shared" si="242"/>
        <v>1.002-Reforma e Ampliação de Unidades</v>
      </c>
      <c r="O1963" t="str">
        <f t="shared" si="244"/>
        <v>4.4.90.51.00-OBRAS E INSTALAÇÕES</v>
      </c>
      <c r="R1963" s="25">
        <v>10764.6</v>
      </c>
      <c r="S1963" t="s">
        <v>1035</v>
      </c>
    </row>
    <row r="1964" spans="1:19" x14ac:dyDescent="0.25">
      <c r="A1964" t="str">
        <f t="shared" si="234"/>
        <v>22</v>
      </c>
      <c r="B1964" t="str">
        <f t="shared" si="235"/>
        <v>001</v>
      </c>
      <c r="C1964" t="str">
        <f t="shared" si="236"/>
        <v>04</v>
      </c>
      <c r="D1964" t="str">
        <f t="shared" si="237"/>
        <v>122</v>
      </c>
      <c r="E1964" t="str">
        <f t="shared" si="238"/>
        <v>0001</v>
      </c>
      <c r="F1964" t="str">
        <f t="shared" si="239"/>
        <v>1.002</v>
      </c>
      <c r="G1964" t="str">
        <f t="shared" si="240"/>
        <v>4.4.90.92.00</v>
      </c>
      <c r="H1964" t="s">
        <v>2014</v>
      </c>
      <c r="I1964" t="s">
        <v>1454</v>
      </c>
      <c r="J1964" t="s">
        <v>20</v>
      </c>
      <c r="K1964" t="str">
        <f t="shared" si="245"/>
        <v>4-ADMINISTRAÇÃO</v>
      </c>
      <c r="L1964" t="str">
        <f t="shared" si="246"/>
        <v>122-ADMINISTRAÇÃO GERAL</v>
      </c>
      <c r="M1964" t="str">
        <f t="shared" si="241"/>
        <v>0001-Administração e Coordenação Geral​</v>
      </c>
      <c r="N1964" t="str">
        <f t="shared" si="242"/>
        <v>1.002-Reforma e Ampliação de Unidades</v>
      </c>
      <c r="O1964" t="str">
        <f t="shared" ref="O1964:O1995" si="247">G1964</f>
        <v>4.4.90.92.00</v>
      </c>
      <c r="R1964" s="25">
        <v>0</v>
      </c>
      <c r="S1964" t="s">
        <v>1035</v>
      </c>
    </row>
    <row r="1965" spans="1:19" x14ac:dyDescent="0.25">
      <c r="A1965" t="str">
        <f t="shared" si="234"/>
        <v>22</v>
      </c>
      <c r="B1965" t="str">
        <f t="shared" si="235"/>
        <v>001</v>
      </c>
      <c r="C1965" t="str">
        <f t="shared" si="236"/>
        <v>04</v>
      </c>
      <c r="D1965" t="str">
        <f t="shared" si="237"/>
        <v>122</v>
      </c>
      <c r="E1965" t="str">
        <f t="shared" si="238"/>
        <v>0001</v>
      </c>
      <c r="F1965" t="str">
        <f t="shared" si="239"/>
        <v>2.001</v>
      </c>
      <c r="G1965" t="str">
        <f t="shared" si="240"/>
        <v>3.1.90.11.00</v>
      </c>
      <c r="H1965" t="s">
        <v>2015</v>
      </c>
      <c r="I1965" t="s">
        <v>1454</v>
      </c>
      <c r="J1965" t="s">
        <v>20</v>
      </c>
      <c r="K1965" t="str">
        <f t="shared" si="245"/>
        <v>4-ADMINISTRAÇÃO</v>
      </c>
      <c r="L1965" t="str">
        <f t="shared" si="246"/>
        <v>122-ADMINISTRAÇÃO GERAL</v>
      </c>
      <c r="M1965" t="str">
        <f t="shared" si="241"/>
        <v>0001-Administração e Coordenação Geral​</v>
      </c>
      <c r="N1965" t="str">
        <f t="shared" si="242"/>
        <v>2.001-Remuneração, Benefícios e Encargos</v>
      </c>
      <c r="O1965" t="str">
        <f t="shared" si="247"/>
        <v>3.1.90.11.00</v>
      </c>
      <c r="R1965" s="25">
        <v>3400000</v>
      </c>
      <c r="S1965" t="s">
        <v>1035</v>
      </c>
    </row>
    <row r="1966" spans="1:19" x14ac:dyDescent="0.25">
      <c r="A1966" t="str">
        <f t="shared" si="234"/>
        <v>22</v>
      </c>
      <c r="B1966" t="str">
        <f t="shared" si="235"/>
        <v>001</v>
      </c>
      <c r="C1966" t="str">
        <f t="shared" si="236"/>
        <v>04</v>
      </c>
      <c r="D1966" t="str">
        <f t="shared" si="237"/>
        <v>122</v>
      </c>
      <c r="E1966" t="str">
        <f t="shared" si="238"/>
        <v>0001</v>
      </c>
      <c r="F1966" t="str">
        <f t="shared" si="239"/>
        <v>2.001</v>
      </c>
      <c r="G1966" t="str">
        <f t="shared" si="240"/>
        <v>3.1.90.13.00</v>
      </c>
      <c r="H1966" t="s">
        <v>2016</v>
      </c>
      <c r="I1966" t="s">
        <v>1454</v>
      </c>
      <c r="J1966" t="s">
        <v>20</v>
      </c>
      <c r="K1966" t="str">
        <f t="shared" si="245"/>
        <v>4-ADMINISTRAÇÃO</v>
      </c>
      <c r="L1966" t="str">
        <f t="shared" si="246"/>
        <v>122-ADMINISTRAÇÃO GERAL</v>
      </c>
      <c r="M1966" t="str">
        <f t="shared" si="241"/>
        <v>0001-Administração e Coordenação Geral​</v>
      </c>
      <c r="N1966" t="str">
        <f t="shared" si="242"/>
        <v>2.001-Remuneração, Benefícios e Encargos</v>
      </c>
      <c r="O1966" t="str">
        <f t="shared" si="247"/>
        <v>3.1.90.13.00</v>
      </c>
      <c r="R1966" s="25">
        <v>525000</v>
      </c>
      <c r="S1966" t="s">
        <v>1035</v>
      </c>
    </row>
    <row r="1967" spans="1:19" x14ac:dyDescent="0.25">
      <c r="A1967" t="str">
        <f t="shared" si="234"/>
        <v>22</v>
      </c>
      <c r="B1967" t="str">
        <f t="shared" si="235"/>
        <v>001</v>
      </c>
      <c r="C1967" t="str">
        <f t="shared" si="236"/>
        <v>04</v>
      </c>
      <c r="D1967" t="str">
        <f t="shared" si="237"/>
        <v>122</v>
      </c>
      <c r="E1967" t="str">
        <f t="shared" si="238"/>
        <v>0001</v>
      </c>
      <c r="F1967" t="str">
        <f t="shared" si="239"/>
        <v>2.001</v>
      </c>
      <c r="G1967" t="str">
        <f t="shared" si="240"/>
        <v>3.1.90.94.00</v>
      </c>
      <c r="H1967" t="s">
        <v>2017</v>
      </c>
      <c r="I1967" t="s">
        <v>1454</v>
      </c>
      <c r="J1967" t="s">
        <v>20</v>
      </c>
      <c r="K1967" t="str">
        <f t="shared" si="245"/>
        <v>4-ADMINISTRAÇÃO</v>
      </c>
      <c r="L1967" t="str">
        <f t="shared" si="246"/>
        <v>122-ADMINISTRAÇÃO GERAL</v>
      </c>
      <c r="M1967" t="str">
        <f t="shared" si="241"/>
        <v>0001-Administração e Coordenação Geral​</v>
      </c>
      <c r="N1967" t="str">
        <f t="shared" si="242"/>
        <v>2.001-Remuneração, Benefícios e Encargos</v>
      </c>
      <c r="O1967" t="str">
        <f t="shared" si="247"/>
        <v>3.1.90.94.00</v>
      </c>
      <c r="R1967" s="25">
        <v>150000</v>
      </c>
      <c r="S1967" t="s">
        <v>1035</v>
      </c>
    </row>
    <row r="1968" spans="1:19" x14ac:dyDescent="0.25">
      <c r="A1968" t="str">
        <f t="shared" si="234"/>
        <v>22</v>
      </c>
      <c r="B1968" t="str">
        <f t="shared" si="235"/>
        <v>001</v>
      </c>
      <c r="C1968" t="str">
        <f t="shared" si="236"/>
        <v>04</v>
      </c>
      <c r="D1968" t="str">
        <f t="shared" si="237"/>
        <v>122</v>
      </c>
      <c r="E1968" t="str">
        <f t="shared" si="238"/>
        <v>0001</v>
      </c>
      <c r="F1968" t="str">
        <f t="shared" si="239"/>
        <v>2.001</v>
      </c>
      <c r="G1968" t="str">
        <f t="shared" si="240"/>
        <v>3.1.91.13.00</v>
      </c>
      <c r="H1968" t="s">
        <v>2018</v>
      </c>
      <c r="I1968" t="s">
        <v>1454</v>
      </c>
      <c r="J1968" t="s">
        <v>20</v>
      </c>
      <c r="K1968" t="str">
        <f t="shared" si="245"/>
        <v>4-ADMINISTRAÇÃO</v>
      </c>
      <c r="L1968" t="str">
        <f t="shared" si="246"/>
        <v>122-ADMINISTRAÇÃO GERAL</v>
      </c>
      <c r="M1968" t="str">
        <f t="shared" si="241"/>
        <v>0001-Administração e Coordenação Geral​</v>
      </c>
      <c r="N1968" t="str">
        <f t="shared" si="242"/>
        <v>2.001-Remuneração, Benefícios e Encargos</v>
      </c>
      <c r="O1968" t="str">
        <f t="shared" si="247"/>
        <v>3.1.91.13.00</v>
      </c>
      <c r="R1968" s="25">
        <v>350000</v>
      </c>
      <c r="S1968" t="s">
        <v>1035</v>
      </c>
    </row>
    <row r="1969" spans="1:19" x14ac:dyDescent="0.25">
      <c r="A1969" t="str">
        <f t="shared" si="234"/>
        <v>22</v>
      </c>
      <c r="B1969" t="str">
        <f t="shared" si="235"/>
        <v>001</v>
      </c>
      <c r="C1969" t="str">
        <f t="shared" si="236"/>
        <v>04</v>
      </c>
      <c r="D1969" t="str">
        <f t="shared" si="237"/>
        <v>122</v>
      </c>
      <c r="E1969" t="str">
        <f t="shared" si="238"/>
        <v>0001</v>
      </c>
      <c r="F1969" t="str">
        <f t="shared" si="239"/>
        <v>2.001</v>
      </c>
      <c r="G1969" t="str">
        <f t="shared" si="240"/>
        <v>3.3.90.46.00</v>
      </c>
      <c r="H1969" t="s">
        <v>2019</v>
      </c>
      <c r="I1969" t="s">
        <v>1454</v>
      </c>
      <c r="J1969" t="s">
        <v>20</v>
      </c>
      <c r="K1969" t="str">
        <f t="shared" si="245"/>
        <v>4-ADMINISTRAÇÃO</v>
      </c>
      <c r="L1969" t="str">
        <f t="shared" si="246"/>
        <v>122-ADMINISTRAÇÃO GERAL</v>
      </c>
      <c r="M1969" t="str">
        <f t="shared" si="241"/>
        <v>0001-Administração e Coordenação Geral​</v>
      </c>
      <c r="N1969" t="str">
        <f t="shared" si="242"/>
        <v>2.001-Remuneração, Benefícios e Encargos</v>
      </c>
      <c r="O1969" t="str">
        <f t="shared" si="247"/>
        <v>3.3.90.46.00</v>
      </c>
      <c r="R1969" s="25">
        <v>525000</v>
      </c>
      <c r="S1969" t="s">
        <v>1035</v>
      </c>
    </row>
    <row r="1970" spans="1:19" x14ac:dyDescent="0.25">
      <c r="A1970" t="str">
        <f t="shared" si="234"/>
        <v>22</v>
      </c>
      <c r="B1970" t="str">
        <f t="shared" si="235"/>
        <v>001</v>
      </c>
      <c r="C1970" t="str">
        <f t="shared" si="236"/>
        <v>04</v>
      </c>
      <c r="D1970" t="str">
        <f t="shared" si="237"/>
        <v>122</v>
      </c>
      <c r="E1970" t="str">
        <f t="shared" si="238"/>
        <v>0021</v>
      </c>
      <c r="F1970" t="str">
        <f t="shared" si="239"/>
        <v>0.001</v>
      </c>
      <c r="G1970" t="str">
        <f t="shared" si="240"/>
        <v>3.2.90.21.00</v>
      </c>
      <c r="H1970" t="s">
        <v>2020</v>
      </c>
      <c r="I1970" t="s">
        <v>1454</v>
      </c>
      <c r="J1970" t="s">
        <v>20</v>
      </c>
      <c r="K1970" t="str">
        <f t="shared" si="245"/>
        <v>4-ADMINISTRAÇÃO</v>
      </c>
      <c r="L1970" t="str">
        <f t="shared" si="246"/>
        <v>122-ADMINISTRAÇÃO GERAL</v>
      </c>
      <c r="M1970" t="str">
        <f>E1970</f>
        <v>0021</v>
      </c>
      <c r="N1970" t="str">
        <f>F1970</f>
        <v>0.001</v>
      </c>
      <c r="O1970" t="str">
        <f t="shared" si="247"/>
        <v>3.2.90.21.00</v>
      </c>
      <c r="R1970" s="25">
        <v>174941</v>
      </c>
      <c r="S1970" t="s">
        <v>1035</v>
      </c>
    </row>
    <row r="1971" spans="1:19" x14ac:dyDescent="0.25">
      <c r="A1971" t="str">
        <f t="shared" si="234"/>
        <v>22</v>
      </c>
      <c r="B1971" t="str">
        <f t="shared" si="235"/>
        <v>001</v>
      </c>
      <c r="C1971" t="str">
        <f t="shared" si="236"/>
        <v>04</v>
      </c>
      <c r="D1971" t="str">
        <f t="shared" si="237"/>
        <v>122</v>
      </c>
      <c r="E1971" t="str">
        <f t="shared" si="238"/>
        <v>0021</v>
      </c>
      <c r="F1971" t="str">
        <f t="shared" si="239"/>
        <v>0.001</v>
      </c>
      <c r="G1971" t="str">
        <f t="shared" si="240"/>
        <v>4.6.90.71.00</v>
      </c>
      <c r="H1971" t="s">
        <v>2021</v>
      </c>
      <c r="I1971" t="s">
        <v>1454</v>
      </c>
      <c r="J1971" t="s">
        <v>20</v>
      </c>
      <c r="K1971" t="str">
        <f t="shared" si="245"/>
        <v>4-ADMINISTRAÇÃO</v>
      </c>
      <c r="L1971" t="str">
        <f t="shared" si="246"/>
        <v>122-ADMINISTRAÇÃO GERAL</v>
      </c>
      <c r="M1971" t="str">
        <f>E1971</f>
        <v>0021</v>
      </c>
      <c r="N1971" t="str">
        <f>F1971</f>
        <v>0.001</v>
      </c>
      <c r="O1971" t="str">
        <f t="shared" si="247"/>
        <v>4.6.90.71.00</v>
      </c>
      <c r="R1971" s="25">
        <v>630000</v>
      </c>
      <c r="S1971" t="s">
        <v>1035</v>
      </c>
    </row>
    <row r="1972" spans="1:19" x14ac:dyDescent="0.25">
      <c r="A1972" t="str">
        <f t="shared" si="234"/>
        <v>22</v>
      </c>
      <c r="B1972" t="str">
        <f t="shared" si="235"/>
        <v>001</v>
      </c>
      <c r="C1972" t="str">
        <f t="shared" si="236"/>
        <v>04</v>
      </c>
      <c r="D1972" t="str">
        <f t="shared" si="237"/>
        <v>122</v>
      </c>
      <c r="E1972" t="str">
        <f t="shared" si="238"/>
        <v>0021</v>
      </c>
      <c r="F1972" t="str">
        <f t="shared" si="239"/>
        <v>0.003</v>
      </c>
      <c r="G1972" t="str">
        <f t="shared" si="240"/>
        <v>3.1.90.91.00</v>
      </c>
      <c r="H1972" t="s">
        <v>2022</v>
      </c>
      <c r="I1972" t="s">
        <v>1454</v>
      </c>
      <c r="J1972" t="s">
        <v>20</v>
      </c>
      <c r="K1972" t="str">
        <f t="shared" si="245"/>
        <v>4-ADMINISTRAÇÃO</v>
      </c>
      <c r="L1972" t="str">
        <f t="shared" si="246"/>
        <v>122-ADMINISTRAÇÃO GERAL</v>
      </c>
      <c r="M1972" t="str">
        <f>E1972</f>
        <v>0021</v>
      </c>
      <c r="N1972" t="str">
        <f t="shared" si="242"/>
        <v>0.003-Precatórios e Sentenças Judiciais</v>
      </c>
      <c r="O1972" t="str">
        <f t="shared" si="247"/>
        <v>3.1.90.91.00</v>
      </c>
      <c r="R1972" s="25">
        <v>659426.94999999995</v>
      </c>
      <c r="S1972" t="s">
        <v>1035</v>
      </c>
    </row>
    <row r="1973" spans="1:19" x14ac:dyDescent="0.25">
      <c r="A1973" t="str">
        <f t="shared" si="234"/>
        <v>22</v>
      </c>
      <c r="B1973" t="str">
        <f t="shared" si="235"/>
        <v>001</v>
      </c>
      <c r="C1973" t="str">
        <f t="shared" si="236"/>
        <v>04</v>
      </c>
      <c r="D1973" t="str">
        <f t="shared" si="237"/>
        <v>331</v>
      </c>
      <c r="E1973" t="str">
        <f t="shared" si="238"/>
        <v>0001</v>
      </c>
      <c r="F1973" t="str">
        <f t="shared" si="239"/>
        <v>2.001</v>
      </c>
      <c r="G1973" t="str">
        <f t="shared" si="240"/>
        <v>3.3.90.49.00</v>
      </c>
      <c r="H1973" t="s">
        <v>2023</v>
      </c>
      <c r="I1973" t="s">
        <v>1454</v>
      </c>
      <c r="J1973" t="s">
        <v>20</v>
      </c>
      <c r="K1973" t="str">
        <f t="shared" si="245"/>
        <v>4-ADMINISTRAÇÃO</v>
      </c>
      <c r="L1973" t="str">
        <f>D1973</f>
        <v>331</v>
      </c>
      <c r="M1973" t="str">
        <f t="shared" si="241"/>
        <v>0001-Administração e Coordenação Geral​</v>
      </c>
      <c r="N1973" t="str">
        <f t="shared" si="242"/>
        <v>2.001-Remuneração, Benefícios e Encargos</v>
      </c>
      <c r="O1973" t="str">
        <f t="shared" si="247"/>
        <v>3.3.90.49.00</v>
      </c>
      <c r="R1973" s="25">
        <v>13650</v>
      </c>
      <c r="S1973" t="s">
        <v>1035</v>
      </c>
    </row>
    <row r="1974" spans="1:19" x14ac:dyDescent="0.25">
      <c r="A1974" t="str">
        <f t="shared" si="234"/>
        <v>22</v>
      </c>
      <c r="B1974" t="str">
        <f t="shared" si="235"/>
        <v>002</v>
      </c>
      <c r="C1974" t="str">
        <f t="shared" si="236"/>
        <v>12</v>
      </c>
      <c r="D1974" t="str">
        <f t="shared" si="237"/>
        <v>122</v>
      </c>
      <c r="E1974" t="str">
        <f t="shared" si="238"/>
        <v>0021</v>
      </c>
      <c r="F1974" t="str">
        <f t="shared" si="239"/>
        <v>0.003</v>
      </c>
      <c r="G1974" t="str">
        <f t="shared" si="240"/>
        <v>3.1.90.91.00</v>
      </c>
      <c r="H1974" t="s">
        <v>2024</v>
      </c>
      <c r="I1974" t="s">
        <v>1454</v>
      </c>
      <c r="J1974" t="s">
        <v>775</v>
      </c>
      <c r="K1974" t="str">
        <f t="shared" si="245"/>
        <v>12-EDUCAÇÃO</v>
      </c>
      <c r="L1974" t="str">
        <f t="shared" si="246"/>
        <v>122-ADMINISTRAÇÃO GERAL</v>
      </c>
      <c r="M1974" t="str">
        <f>E1974</f>
        <v>0021</v>
      </c>
      <c r="N1974" t="str">
        <f t="shared" si="242"/>
        <v>0.003-Precatórios e Sentenças Judiciais</v>
      </c>
      <c r="O1974" t="str">
        <f t="shared" si="247"/>
        <v>3.1.90.91.00</v>
      </c>
      <c r="R1974" s="25">
        <v>288156.7</v>
      </c>
      <c r="S1974" t="s">
        <v>1035</v>
      </c>
    </row>
    <row r="1975" spans="1:19" x14ac:dyDescent="0.25">
      <c r="A1975" t="str">
        <f t="shared" si="234"/>
        <v>22</v>
      </c>
      <c r="B1975" t="str">
        <f t="shared" si="235"/>
        <v>002</v>
      </c>
      <c r="C1975" t="str">
        <f t="shared" si="236"/>
        <v>12</v>
      </c>
      <c r="D1975" t="str">
        <f t="shared" si="237"/>
        <v>361</v>
      </c>
      <c r="E1975" t="str">
        <f t="shared" si="238"/>
        <v>0001</v>
      </c>
      <c r="F1975" t="str">
        <f t="shared" si="239"/>
        <v>2.001</v>
      </c>
      <c r="G1975" t="str">
        <f t="shared" si="240"/>
        <v>3.1.90.11.00</v>
      </c>
      <c r="H1975" t="s">
        <v>2025</v>
      </c>
      <c r="I1975" t="s">
        <v>1454</v>
      </c>
      <c r="J1975" t="s">
        <v>775</v>
      </c>
      <c r="K1975" t="str">
        <f t="shared" si="245"/>
        <v>12-EDUCAÇÃO</v>
      </c>
      <c r="L1975" t="str">
        <f t="shared" si="246"/>
        <v>361-ENSINO FUNDAMENTAL</v>
      </c>
      <c r="M1975" t="str">
        <f t="shared" si="241"/>
        <v>0001-Administração e Coordenação Geral​</v>
      </c>
      <c r="N1975" t="str">
        <f t="shared" si="242"/>
        <v>2.001-Remuneração, Benefícios e Encargos</v>
      </c>
      <c r="O1975" t="str">
        <f t="shared" si="247"/>
        <v>3.1.90.11.00</v>
      </c>
      <c r="R1975" s="25">
        <v>2625000</v>
      </c>
      <c r="S1975" t="s">
        <v>1035</v>
      </c>
    </row>
    <row r="1976" spans="1:19" x14ac:dyDescent="0.25">
      <c r="A1976" t="str">
        <f t="shared" si="234"/>
        <v>22</v>
      </c>
      <c r="B1976" t="str">
        <f t="shared" si="235"/>
        <v>002</v>
      </c>
      <c r="C1976" t="str">
        <f t="shared" si="236"/>
        <v>12</v>
      </c>
      <c r="D1976" t="str">
        <f t="shared" si="237"/>
        <v>361</v>
      </c>
      <c r="E1976" t="str">
        <f t="shared" si="238"/>
        <v>0001</v>
      </c>
      <c r="F1976" t="str">
        <f t="shared" si="239"/>
        <v>2.001</v>
      </c>
      <c r="G1976" t="str">
        <f t="shared" si="240"/>
        <v>3.1.90.13.00</v>
      </c>
      <c r="H1976" t="s">
        <v>2026</v>
      </c>
      <c r="I1976" t="s">
        <v>1454</v>
      </c>
      <c r="J1976" t="s">
        <v>775</v>
      </c>
      <c r="K1976" t="str">
        <f t="shared" si="245"/>
        <v>12-EDUCAÇÃO</v>
      </c>
      <c r="L1976" t="str">
        <f t="shared" si="246"/>
        <v>361-ENSINO FUNDAMENTAL</v>
      </c>
      <c r="M1976" t="str">
        <f t="shared" si="241"/>
        <v>0001-Administração e Coordenação Geral​</v>
      </c>
      <c r="N1976" t="str">
        <f t="shared" si="242"/>
        <v>2.001-Remuneração, Benefícios e Encargos</v>
      </c>
      <c r="O1976" t="str">
        <f t="shared" si="247"/>
        <v>3.1.90.13.00</v>
      </c>
      <c r="R1976" s="25">
        <v>168040</v>
      </c>
      <c r="S1976" t="s">
        <v>1035</v>
      </c>
    </row>
    <row r="1977" spans="1:19" x14ac:dyDescent="0.25">
      <c r="A1977" t="str">
        <f t="shared" si="234"/>
        <v>22</v>
      </c>
      <c r="B1977" t="str">
        <f t="shared" si="235"/>
        <v>002</v>
      </c>
      <c r="C1977" t="str">
        <f t="shared" si="236"/>
        <v>12</v>
      </c>
      <c r="D1977" t="str">
        <f t="shared" si="237"/>
        <v>361</v>
      </c>
      <c r="E1977" t="str">
        <f t="shared" si="238"/>
        <v>0001</v>
      </c>
      <c r="F1977" t="str">
        <f t="shared" si="239"/>
        <v>2.001</v>
      </c>
      <c r="G1977" t="str">
        <f t="shared" si="240"/>
        <v>3.1.90.16.00</v>
      </c>
      <c r="H1977" t="s">
        <v>2027</v>
      </c>
      <c r="I1977" t="s">
        <v>1454</v>
      </c>
      <c r="J1977" t="s">
        <v>775</v>
      </c>
      <c r="K1977" t="str">
        <f t="shared" si="245"/>
        <v>12-EDUCAÇÃO</v>
      </c>
      <c r="L1977" t="str">
        <f t="shared" si="246"/>
        <v>361-ENSINO FUNDAMENTAL</v>
      </c>
      <c r="M1977" t="str">
        <f t="shared" si="241"/>
        <v>0001-Administração e Coordenação Geral​</v>
      </c>
      <c r="N1977" t="str">
        <f t="shared" si="242"/>
        <v>2.001-Remuneração, Benefícios e Encargos</v>
      </c>
      <c r="O1977" t="str">
        <f t="shared" si="247"/>
        <v>3.1.90.16.00</v>
      </c>
      <c r="R1977" s="25">
        <v>356457</v>
      </c>
      <c r="S1977" t="s">
        <v>1035</v>
      </c>
    </row>
    <row r="1978" spans="1:19" x14ac:dyDescent="0.25">
      <c r="A1978" t="str">
        <f t="shared" si="234"/>
        <v>22</v>
      </c>
      <c r="B1978" t="str">
        <f t="shared" si="235"/>
        <v>002</v>
      </c>
      <c r="C1978" t="str">
        <f t="shared" si="236"/>
        <v>12</v>
      </c>
      <c r="D1978" t="str">
        <f t="shared" si="237"/>
        <v>361</v>
      </c>
      <c r="E1978" t="str">
        <f t="shared" si="238"/>
        <v>0001</v>
      </c>
      <c r="F1978" t="str">
        <f t="shared" si="239"/>
        <v>2.001</v>
      </c>
      <c r="G1978" t="str">
        <f t="shared" si="240"/>
        <v>3.1.90.94.00</v>
      </c>
      <c r="H1978" t="s">
        <v>2028</v>
      </c>
      <c r="I1978" t="s">
        <v>1454</v>
      </c>
      <c r="J1978" t="s">
        <v>775</v>
      </c>
      <c r="K1978" t="str">
        <f t="shared" si="245"/>
        <v>12-EDUCAÇÃO</v>
      </c>
      <c r="L1978" t="str">
        <f t="shared" si="246"/>
        <v>361-ENSINO FUNDAMENTAL</v>
      </c>
      <c r="M1978" t="str">
        <f t="shared" si="241"/>
        <v>0001-Administração e Coordenação Geral​</v>
      </c>
      <c r="N1978" t="str">
        <f t="shared" si="242"/>
        <v>2.001-Remuneração, Benefícios e Encargos</v>
      </c>
      <c r="O1978" t="str">
        <f t="shared" si="247"/>
        <v>3.1.90.94.00</v>
      </c>
      <c r="R1978" s="25">
        <v>400000</v>
      </c>
      <c r="S1978" t="s">
        <v>1035</v>
      </c>
    </row>
    <row r="1979" spans="1:19" x14ac:dyDescent="0.25">
      <c r="A1979" t="str">
        <f t="shared" si="234"/>
        <v>22</v>
      </c>
      <c r="B1979" t="str">
        <f t="shared" si="235"/>
        <v>002</v>
      </c>
      <c r="C1979" t="str">
        <f t="shared" si="236"/>
        <v>12</v>
      </c>
      <c r="D1979" t="str">
        <f t="shared" si="237"/>
        <v>361</v>
      </c>
      <c r="E1979" t="str">
        <f t="shared" si="238"/>
        <v>0001</v>
      </c>
      <c r="F1979" t="str">
        <f t="shared" si="239"/>
        <v>2.001</v>
      </c>
      <c r="G1979" t="str">
        <f t="shared" si="240"/>
        <v>3.1.91.13.00</v>
      </c>
      <c r="H1979" t="s">
        <v>2029</v>
      </c>
      <c r="I1979" t="s">
        <v>1454</v>
      </c>
      <c r="J1979" t="s">
        <v>775</v>
      </c>
      <c r="K1979" t="str">
        <f t="shared" si="245"/>
        <v>12-EDUCAÇÃO</v>
      </c>
      <c r="L1979" t="str">
        <f t="shared" si="246"/>
        <v>361-ENSINO FUNDAMENTAL</v>
      </c>
      <c r="M1979" t="str">
        <f t="shared" si="241"/>
        <v>0001-Administração e Coordenação Geral​</v>
      </c>
      <c r="N1979" t="str">
        <f t="shared" si="242"/>
        <v>2.001-Remuneração, Benefícios e Encargos</v>
      </c>
      <c r="O1979" t="str">
        <f t="shared" si="247"/>
        <v>3.1.91.13.00</v>
      </c>
      <c r="R1979" s="25">
        <v>631478.4</v>
      </c>
      <c r="S1979" t="s">
        <v>1035</v>
      </c>
    </row>
    <row r="1980" spans="1:19" x14ac:dyDescent="0.25">
      <c r="A1980" t="str">
        <f t="shared" si="234"/>
        <v>22</v>
      </c>
      <c r="B1980" t="str">
        <f t="shared" si="235"/>
        <v>002</v>
      </c>
      <c r="C1980" t="str">
        <f t="shared" si="236"/>
        <v>12</v>
      </c>
      <c r="D1980" t="str">
        <f t="shared" si="237"/>
        <v>361</v>
      </c>
      <c r="E1980" t="str">
        <f t="shared" si="238"/>
        <v>0001</v>
      </c>
      <c r="F1980" t="str">
        <f t="shared" si="239"/>
        <v>2.001</v>
      </c>
      <c r="G1980" t="str">
        <f t="shared" si="240"/>
        <v>3.3.90.46.00</v>
      </c>
      <c r="H1980" t="s">
        <v>2030</v>
      </c>
      <c r="I1980" t="s">
        <v>1454</v>
      </c>
      <c r="J1980" t="s">
        <v>775</v>
      </c>
      <c r="K1980" t="str">
        <f t="shared" si="245"/>
        <v>12-EDUCAÇÃO</v>
      </c>
      <c r="L1980" t="str">
        <f t="shared" si="246"/>
        <v>361-ENSINO FUNDAMENTAL</v>
      </c>
      <c r="M1980" t="str">
        <f t="shared" si="241"/>
        <v>0001-Administração e Coordenação Geral​</v>
      </c>
      <c r="N1980" t="str">
        <f t="shared" si="242"/>
        <v>2.001-Remuneração, Benefícios e Encargos</v>
      </c>
      <c r="O1980" t="str">
        <f t="shared" si="247"/>
        <v>3.3.90.46.00</v>
      </c>
      <c r="R1980" s="25">
        <v>635125.05000000005</v>
      </c>
      <c r="S1980" t="s">
        <v>1035</v>
      </c>
    </row>
    <row r="1981" spans="1:19" x14ac:dyDescent="0.25">
      <c r="A1981" t="str">
        <f t="shared" si="234"/>
        <v>22</v>
      </c>
      <c r="B1981" t="str">
        <f t="shared" si="235"/>
        <v>003</v>
      </c>
      <c r="C1981" t="str">
        <f t="shared" si="236"/>
        <v>12</v>
      </c>
      <c r="D1981" t="str">
        <f t="shared" si="237"/>
        <v>122</v>
      </c>
      <c r="E1981" t="str">
        <f t="shared" si="238"/>
        <v>0021</v>
      </c>
      <c r="F1981" t="str">
        <f t="shared" si="239"/>
        <v>0.003</v>
      </c>
      <c r="G1981" t="str">
        <f t="shared" si="240"/>
        <v>3.1.90.91.00</v>
      </c>
      <c r="H1981" t="s">
        <v>2031</v>
      </c>
      <c r="I1981" t="s">
        <v>1454</v>
      </c>
      <c r="J1981" t="s">
        <v>768</v>
      </c>
      <c r="K1981" t="str">
        <f t="shared" si="245"/>
        <v>12-EDUCAÇÃO</v>
      </c>
      <c r="L1981" t="str">
        <f t="shared" si="246"/>
        <v>122-ADMINISTRAÇÃO GERAL</v>
      </c>
      <c r="M1981" t="str">
        <f>E1981</f>
        <v>0021</v>
      </c>
      <c r="N1981" t="str">
        <f t="shared" si="242"/>
        <v>0.003-Precatórios e Sentenças Judiciais</v>
      </c>
      <c r="O1981" t="str">
        <f t="shared" si="247"/>
        <v>3.1.90.91.00</v>
      </c>
      <c r="R1981" s="25">
        <v>1206.45</v>
      </c>
      <c r="S1981" t="s">
        <v>1035</v>
      </c>
    </row>
    <row r="1982" spans="1:19" x14ac:dyDescent="0.25">
      <c r="A1982" t="str">
        <f t="shared" si="234"/>
        <v>22</v>
      </c>
      <c r="B1982" t="str">
        <f t="shared" si="235"/>
        <v>004</v>
      </c>
      <c r="C1982" t="str">
        <f t="shared" si="236"/>
        <v>12</v>
      </c>
      <c r="D1982" t="str">
        <f t="shared" si="237"/>
        <v>122</v>
      </c>
      <c r="E1982" t="str">
        <f t="shared" si="238"/>
        <v>0021</v>
      </c>
      <c r="F1982" t="str">
        <f t="shared" si="239"/>
        <v>0.003</v>
      </c>
      <c r="G1982" t="str">
        <f t="shared" si="240"/>
        <v>3.1.90.91.00</v>
      </c>
      <c r="H1982" t="s">
        <v>2032</v>
      </c>
      <c r="I1982" t="s">
        <v>1454</v>
      </c>
      <c r="J1982" t="s">
        <v>2210</v>
      </c>
      <c r="K1982" t="str">
        <f t="shared" si="245"/>
        <v>12-EDUCAÇÃO</v>
      </c>
      <c r="L1982" t="str">
        <f t="shared" si="246"/>
        <v>122-ADMINISTRAÇÃO GERAL</v>
      </c>
      <c r="M1982" t="str">
        <f>E1982</f>
        <v>0021</v>
      </c>
      <c r="N1982" t="str">
        <f t="shared" si="242"/>
        <v>0.003-Precatórios e Sentenças Judiciais</v>
      </c>
      <c r="O1982" t="str">
        <f t="shared" si="247"/>
        <v>3.1.90.91.00</v>
      </c>
      <c r="R1982" s="25">
        <v>96558</v>
      </c>
      <c r="S1982" t="s">
        <v>1035</v>
      </c>
    </row>
    <row r="1983" spans="1:19" x14ac:dyDescent="0.25">
      <c r="A1983" t="str">
        <f t="shared" si="234"/>
        <v>22</v>
      </c>
      <c r="B1983" t="str">
        <f t="shared" si="235"/>
        <v>004</v>
      </c>
      <c r="C1983" t="str">
        <f t="shared" si="236"/>
        <v>12</v>
      </c>
      <c r="D1983" t="str">
        <f t="shared" si="237"/>
        <v>362</v>
      </c>
      <c r="E1983" t="str">
        <f t="shared" si="238"/>
        <v>0001</v>
      </c>
      <c r="F1983" t="str">
        <f t="shared" si="239"/>
        <v>2.001</v>
      </c>
      <c r="G1983" t="str">
        <f t="shared" si="240"/>
        <v>3.1.90.11.00</v>
      </c>
      <c r="H1983" t="s">
        <v>2033</v>
      </c>
      <c r="I1983" t="s">
        <v>1454</v>
      </c>
      <c r="J1983" t="s">
        <v>2210</v>
      </c>
      <c r="K1983" t="str">
        <f t="shared" si="245"/>
        <v>12-EDUCAÇÃO</v>
      </c>
      <c r="L1983" t="str">
        <f t="shared" ref="L1983:L1988" si="248">D1983</f>
        <v>362</v>
      </c>
      <c r="M1983" t="str">
        <f t="shared" si="241"/>
        <v>0001-Administração e Coordenação Geral​</v>
      </c>
      <c r="N1983" t="str">
        <f t="shared" si="242"/>
        <v>2.001-Remuneração, Benefícios e Encargos</v>
      </c>
      <c r="O1983" t="str">
        <f t="shared" si="247"/>
        <v>3.1.90.11.00</v>
      </c>
      <c r="R1983" s="25">
        <v>1859180.4</v>
      </c>
      <c r="S1983" t="s">
        <v>1035</v>
      </c>
    </row>
    <row r="1984" spans="1:19" x14ac:dyDescent="0.25">
      <c r="A1984" t="str">
        <f t="shared" si="234"/>
        <v>22</v>
      </c>
      <c r="B1984" t="str">
        <f t="shared" si="235"/>
        <v>004</v>
      </c>
      <c r="C1984" t="str">
        <f t="shared" si="236"/>
        <v>12</v>
      </c>
      <c r="D1984" t="str">
        <f t="shared" si="237"/>
        <v>362</v>
      </c>
      <c r="E1984" t="str">
        <f t="shared" si="238"/>
        <v>0001</v>
      </c>
      <c r="F1984" t="str">
        <f t="shared" si="239"/>
        <v>2.001</v>
      </c>
      <c r="G1984" t="str">
        <f t="shared" si="240"/>
        <v>3.1.90.13.00</v>
      </c>
      <c r="H1984" t="s">
        <v>2034</v>
      </c>
      <c r="I1984" t="s">
        <v>1454</v>
      </c>
      <c r="J1984" t="s">
        <v>2210</v>
      </c>
      <c r="K1984" t="str">
        <f t="shared" si="245"/>
        <v>12-EDUCAÇÃO</v>
      </c>
      <c r="L1984" t="str">
        <f t="shared" si="248"/>
        <v>362</v>
      </c>
      <c r="M1984" t="str">
        <f t="shared" si="241"/>
        <v>0001-Administração e Coordenação Geral​</v>
      </c>
      <c r="N1984" t="str">
        <f t="shared" si="242"/>
        <v>2.001-Remuneração, Benefícios e Encargos</v>
      </c>
      <c r="O1984" t="str">
        <f t="shared" si="247"/>
        <v>3.1.90.13.00</v>
      </c>
      <c r="R1984" s="25">
        <v>229374.6</v>
      </c>
      <c r="S1984" t="s">
        <v>1035</v>
      </c>
    </row>
    <row r="1985" spans="1:19" x14ac:dyDescent="0.25">
      <c r="A1985" t="str">
        <f t="shared" si="234"/>
        <v>22</v>
      </c>
      <c r="B1985" t="str">
        <f t="shared" si="235"/>
        <v>004</v>
      </c>
      <c r="C1985" t="str">
        <f t="shared" si="236"/>
        <v>12</v>
      </c>
      <c r="D1985" t="str">
        <f t="shared" si="237"/>
        <v>362</v>
      </c>
      <c r="E1985" t="str">
        <f t="shared" si="238"/>
        <v>0001</v>
      </c>
      <c r="F1985" t="str">
        <f t="shared" si="239"/>
        <v>2.001</v>
      </c>
      <c r="G1985" t="str">
        <f t="shared" si="240"/>
        <v>3.1.90.16.00</v>
      </c>
      <c r="H1985" t="s">
        <v>2035</v>
      </c>
      <c r="I1985" t="s">
        <v>1454</v>
      </c>
      <c r="J1985" t="s">
        <v>2210</v>
      </c>
      <c r="K1985" t="str">
        <f t="shared" si="245"/>
        <v>12-EDUCAÇÃO</v>
      </c>
      <c r="L1985" t="str">
        <f t="shared" si="248"/>
        <v>362</v>
      </c>
      <c r="M1985" t="str">
        <f t="shared" si="241"/>
        <v>0001-Administração e Coordenação Geral​</v>
      </c>
      <c r="N1985" t="str">
        <f t="shared" si="242"/>
        <v>2.001-Remuneração, Benefícios e Encargos</v>
      </c>
      <c r="O1985" t="str">
        <f t="shared" si="247"/>
        <v>3.1.90.16.00</v>
      </c>
      <c r="R1985" s="25">
        <v>630000</v>
      </c>
      <c r="S1985" t="s">
        <v>1035</v>
      </c>
    </row>
    <row r="1986" spans="1:19" x14ac:dyDescent="0.25">
      <c r="A1986" t="str">
        <f t="shared" si="234"/>
        <v>22</v>
      </c>
      <c r="B1986" t="str">
        <f t="shared" si="235"/>
        <v>004</v>
      </c>
      <c r="C1986" t="str">
        <f t="shared" si="236"/>
        <v>12</v>
      </c>
      <c r="D1986" t="str">
        <f t="shared" si="237"/>
        <v>362</v>
      </c>
      <c r="E1986" t="str">
        <f t="shared" si="238"/>
        <v>0001</v>
      </c>
      <c r="F1986" t="str">
        <f t="shared" si="239"/>
        <v>2.001</v>
      </c>
      <c r="G1986" t="str">
        <f t="shared" si="240"/>
        <v>3.1.90.94.00</v>
      </c>
      <c r="H1986" t="s">
        <v>2036</v>
      </c>
      <c r="I1986" t="s">
        <v>1454</v>
      </c>
      <c r="J1986" t="s">
        <v>2210</v>
      </c>
      <c r="K1986" t="str">
        <f t="shared" si="245"/>
        <v>12-EDUCAÇÃO</v>
      </c>
      <c r="L1986" t="str">
        <f t="shared" si="248"/>
        <v>362</v>
      </c>
      <c r="M1986" t="str">
        <f t="shared" si="241"/>
        <v>0001-Administração e Coordenação Geral​</v>
      </c>
      <c r="N1986" t="str">
        <f t="shared" si="242"/>
        <v>2.001-Remuneração, Benefícios e Encargos</v>
      </c>
      <c r="O1986" t="str">
        <f t="shared" si="247"/>
        <v>3.1.90.94.00</v>
      </c>
      <c r="R1986" s="25">
        <v>472500</v>
      </c>
      <c r="S1986" t="s">
        <v>1035</v>
      </c>
    </row>
    <row r="1987" spans="1:19" x14ac:dyDescent="0.25">
      <c r="A1987" t="str">
        <f t="shared" si="234"/>
        <v>22</v>
      </c>
      <c r="B1987" t="str">
        <f t="shared" si="235"/>
        <v>004</v>
      </c>
      <c r="C1987" t="str">
        <f t="shared" si="236"/>
        <v>12</v>
      </c>
      <c r="D1987" t="str">
        <f t="shared" si="237"/>
        <v>362</v>
      </c>
      <c r="E1987" t="str">
        <f t="shared" si="238"/>
        <v>0001</v>
      </c>
      <c r="F1987" t="str">
        <f t="shared" si="239"/>
        <v>2.001</v>
      </c>
      <c r="G1987" t="str">
        <f t="shared" si="240"/>
        <v>3.1.91.13.00</v>
      </c>
      <c r="H1987" t="s">
        <v>2037</v>
      </c>
      <c r="I1987" t="s">
        <v>1454</v>
      </c>
      <c r="J1987" t="s">
        <v>2210</v>
      </c>
      <c r="K1987" t="str">
        <f t="shared" si="245"/>
        <v>12-EDUCAÇÃO</v>
      </c>
      <c r="L1987" t="str">
        <f t="shared" si="248"/>
        <v>362</v>
      </c>
      <c r="M1987" t="str">
        <f t="shared" si="241"/>
        <v>0001-Administração e Coordenação Geral​</v>
      </c>
      <c r="N1987" t="str">
        <f t="shared" si="242"/>
        <v>2.001-Remuneração, Benefícios e Encargos</v>
      </c>
      <c r="O1987" t="str">
        <f t="shared" si="247"/>
        <v>3.1.91.13.00</v>
      </c>
      <c r="R1987" s="25">
        <v>781830</v>
      </c>
      <c r="S1987" t="s">
        <v>1035</v>
      </c>
    </row>
    <row r="1988" spans="1:19" x14ac:dyDescent="0.25">
      <c r="A1988" t="str">
        <f t="shared" si="234"/>
        <v>22</v>
      </c>
      <c r="B1988" t="str">
        <f t="shared" si="235"/>
        <v>004</v>
      </c>
      <c r="C1988" t="str">
        <f t="shared" si="236"/>
        <v>12</v>
      </c>
      <c r="D1988" t="str">
        <f t="shared" si="237"/>
        <v>362</v>
      </c>
      <c r="E1988" t="str">
        <f t="shared" si="238"/>
        <v>0001</v>
      </c>
      <c r="F1988" t="str">
        <f t="shared" si="239"/>
        <v>2.001</v>
      </c>
      <c r="G1988" t="str">
        <f t="shared" si="240"/>
        <v>3.3.90.46.00</v>
      </c>
      <c r="H1988" t="s">
        <v>2038</v>
      </c>
      <c r="I1988" t="s">
        <v>1454</v>
      </c>
      <c r="J1988" t="s">
        <v>2210</v>
      </c>
      <c r="K1988" t="str">
        <f t="shared" si="245"/>
        <v>12-EDUCAÇÃO</v>
      </c>
      <c r="L1988" t="str">
        <f t="shared" si="248"/>
        <v>362</v>
      </c>
      <c r="M1988" t="str">
        <f t="shared" si="241"/>
        <v>0001-Administração e Coordenação Geral​</v>
      </c>
      <c r="N1988" t="str">
        <f t="shared" si="242"/>
        <v>2.001-Remuneração, Benefícios e Encargos</v>
      </c>
      <c r="O1988" t="str">
        <f t="shared" si="247"/>
        <v>3.3.90.46.00</v>
      </c>
      <c r="R1988" s="25">
        <v>786344</v>
      </c>
      <c r="S1988" t="s">
        <v>1035</v>
      </c>
    </row>
    <row r="1989" spans="1:19" x14ac:dyDescent="0.25">
      <c r="A1989" t="str">
        <f t="shared" si="234"/>
        <v>22</v>
      </c>
      <c r="B1989" t="str">
        <f t="shared" si="235"/>
        <v>005</v>
      </c>
      <c r="C1989" t="str">
        <f t="shared" si="236"/>
        <v>12</v>
      </c>
      <c r="D1989" t="str">
        <f t="shared" si="237"/>
        <v>122</v>
      </c>
      <c r="E1989" t="str">
        <f t="shared" si="238"/>
        <v>0021</v>
      </c>
      <c r="F1989" t="str">
        <f t="shared" si="239"/>
        <v>0.003</v>
      </c>
      <c r="G1989" t="str">
        <f t="shared" si="240"/>
        <v>3.1.90.91.00</v>
      </c>
      <c r="H1989" t="s">
        <v>2039</v>
      </c>
      <c r="I1989" t="s">
        <v>1454</v>
      </c>
      <c r="J1989" t="s">
        <v>619</v>
      </c>
      <c r="K1989" t="str">
        <f t="shared" si="245"/>
        <v>12-EDUCAÇÃO</v>
      </c>
      <c r="L1989" t="str">
        <f t="shared" si="246"/>
        <v>122-ADMINISTRAÇÃO GERAL</v>
      </c>
      <c r="M1989" t="str">
        <f>E1989</f>
        <v>0021</v>
      </c>
      <c r="N1989" t="str">
        <f t="shared" si="242"/>
        <v>0.003-Precatórios e Sentenças Judiciais</v>
      </c>
      <c r="O1989" t="str">
        <f t="shared" si="247"/>
        <v>3.1.90.91.00</v>
      </c>
      <c r="R1989" s="25">
        <v>1206.45</v>
      </c>
      <c r="S1989" t="s">
        <v>1035</v>
      </c>
    </row>
    <row r="1990" spans="1:19" x14ac:dyDescent="0.25">
      <c r="A1990" t="str">
        <f t="shared" si="234"/>
        <v>22</v>
      </c>
      <c r="B1990" t="str">
        <f t="shared" si="235"/>
        <v>006</v>
      </c>
      <c r="C1990" t="str">
        <f t="shared" si="236"/>
        <v>12</v>
      </c>
      <c r="D1990" t="str">
        <f t="shared" si="237"/>
        <v>122</v>
      </c>
      <c r="E1990" t="str">
        <f t="shared" si="238"/>
        <v>0021</v>
      </c>
      <c r="F1990" t="str">
        <f t="shared" si="239"/>
        <v>0.003</v>
      </c>
      <c r="G1990" t="str">
        <f t="shared" si="240"/>
        <v>3.1.90.91.00</v>
      </c>
      <c r="H1990" t="s">
        <v>2040</v>
      </c>
      <c r="I1990" t="s">
        <v>1454</v>
      </c>
      <c r="J1990" t="s">
        <v>348</v>
      </c>
      <c r="K1990" t="str">
        <f t="shared" si="245"/>
        <v>12-EDUCAÇÃO</v>
      </c>
      <c r="L1990" t="str">
        <f t="shared" si="246"/>
        <v>122-ADMINISTRAÇÃO GERAL</v>
      </c>
      <c r="M1990" t="str">
        <f>E1990</f>
        <v>0021</v>
      </c>
      <c r="N1990" t="str">
        <f t="shared" si="242"/>
        <v>0.003-Precatórios e Sentenças Judiciais</v>
      </c>
      <c r="O1990" t="str">
        <f t="shared" si="247"/>
        <v>3.1.90.91.00</v>
      </c>
      <c r="R1990" s="25">
        <v>30173.85</v>
      </c>
      <c r="S1990" t="s">
        <v>1035</v>
      </c>
    </row>
    <row r="1991" spans="1:19" x14ac:dyDescent="0.25">
      <c r="A1991" t="str">
        <f t="shared" si="234"/>
        <v>22</v>
      </c>
      <c r="B1991" t="str">
        <f t="shared" si="235"/>
        <v>006</v>
      </c>
      <c r="C1991" t="str">
        <f t="shared" si="236"/>
        <v>12</v>
      </c>
      <c r="D1991" t="str">
        <f t="shared" si="237"/>
        <v>364</v>
      </c>
      <c r="E1991" t="str">
        <f t="shared" si="238"/>
        <v>0001</v>
      </c>
      <c r="F1991" t="str">
        <f t="shared" si="239"/>
        <v>2.001</v>
      </c>
      <c r="G1991" t="str">
        <f t="shared" si="240"/>
        <v>3.1.90.16.00</v>
      </c>
      <c r="H1991" t="s">
        <v>2041</v>
      </c>
      <c r="I1991" t="s">
        <v>1454</v>
      </c>
      <c r="J1991" t="s">
        <v>348</v>
      </c>
      <c r="K1991" t="str">
        <f t="shared" si="245"/>
        <v>12-EDUCAÇÃO</v>
      </c>
      <c r="L1991" t="str">
        <f t="shared" si="246"/>
        <v>364-ENSINO SUPERIOR</v>
      </c>
      <c r="M1991" t="str">
        <f t="shared" si="241"/>
        <v>0001-Administração e Coordenação Geral​</v>
      </c>
      <c r="N1991" t="str">
        <f t="shared" si="242"/>
        <v>2.001-Remuneração, Benefícios e Encargos</v>
      </c>
      <c r="O1991" t="str">
        <f t="shared" si="247"/>
        <v>3.1.90.16.00</v>
      </c>
      <c r="R1991" s="25">
        <v>36840.300000000003</v>
      </c>
      <c r="S1991" t="s">
        <v>1035</v>
      </c>
    </row>
    <row r="1992" spans="1:19" x14ac:dyDescent="0.25">
      <c r="A1992" t="str">
        <f t="shared" si="234"/>
        <v>22</v>
      </c>
      <c r="B1992" t="str">
        <f t="shared" si="235"/>
        <v>007</v>
      </c>
      <c r="C1992" t="str">
        <f t="shared" si="236"/>
        <v>13</v>
      </c>
      <c r="D1992" t="str">
        <f t="shared" si="237"/>
        <v>122</v>
      </c>
      <c r="E1992" t="str">
        <f t="shared" si="238"/>
        <v>0021</v>
      </c>
      <c r="F1992" t="str">
        <f t="shared" si="239"/>
        <v>0.003</v>
      </c>
      <c r="G1992" t="str">
        <f t="shared" si="240"/>
        <v>3.1.90.91.00</v>
      </c>
      <c r="H1992" t="s">
        <v>2042</v>
      </c>
      <c r="I1992" t="s">
        <v>1454</v>
      </c>
      <c r="J1992" t="s">
        <v>660</v>
      </c>
      <c r="K1992" t="str">
        <f t="shared" si="245"/>
        <v>13-CULTURA</v>
      </c>
      <c r="L1992" t="str">
        <f t="shared" si="246"/>
        <v>122-ADMINISTRAÇÃO GERAL</v>
      </c>
      <c r="M1992" t="str">
        <f>E1992</f>
        <v>0021</v>
      </c>
      <c r="N1992" t="str">
        <f t="shared" si="242"/>
        <v>0.003-Precatórios e Sentenças Judiciais</v>
      </c>
      <c r="O1992" t="str">
        <f t="shared" si="247"/>
        <v>3.1.90.91.00</v>
      </c>
      <c r="R1992" s="25">
        <v>30173.85</v>
      </c>
      <c r="S1992" t="s">
        <v>1035</v>
      </c>
    </row>
    <row r="1993" spans="1:19" x14ac:dyDescent="0.25">
      <c r="A1993" t="str">
        <f t="shared" si="234"/>
        <v>22</v>
      </c>
      <c r="B1993" t="str">
        <f t="shared" si="235"/>
        <v>007</v>
      </c>
      <c r="C1993" t="str">
        <f t="shared" si="236"/>
        <v>13</v>
      </c>
      <c r="D1993" t="str">
        <f t="shared" si="237"/>
        <v>392</v>
      </c>
      <c r="E1993" t="str">
        <f t="shared" si="238"/>
        <v>0001</v>
      </c>
      <c r="F1993" t="str">
        <f t="shared" si="239"/>
        <v>2.001</v>
      </c>
      <c r="G1993" t="str">
        <f t="shared" si="240"/>
        <v>3.1.90.11.00</v>
      </c>
      <c r="H1993" t="s">
        <v>2043</v>
      </c>
      <c r="I1993" t="s">
        <v>1454</v>
      </c>
      <c r="J1993" t="s">
        <v>660</v>
      </c>
      <c r="K1993" t="str">
        <f t="shared" si="245"/>
        <v>13-CULTURA</v>
      </c>
      <c r="L1993" t="str">
        <f t="shared" si="246"/>
        <v>392-DIFUSÃO CULTURAL</v>
      </c>
      <c r="M1993" t="str">
        <f t="shared" si="241"/>
        <v>0001-Administração e Coordenação Geral​</v>
      </c>
      <c r="N1993" t="str">
        <f t="shared" si="242"/>
        <v>2.001-Remuneração, Benefícios e Encargos</v>
      </c>
      <c r="O1993" t="str">
        <f t="shared" si="247"/>
        <v>3.1.90.11.00</v>
      </c>
      <c r="R1993" s="25">
        <v>189183.75</v>
      </c>
      <c r="S1993" t="s">
        <v>1035</v>
      </c>
    </row>
    <row r="1994" spans="1:19" x14ac:dyDescent="0.25">
      <c r="A1994" t="str">
        <f t="shared" si="234"/>
        <v>22</v>
      </c>
      <c r="B1994" t="str">
        <f t="shared" si="235"/>
        <v>007</v>
      </c>
      <c r="C1994" t="str">
        <f t="shared" si="236"/>
        <v>13</v>
      </c>
      <c r="D1994" t="str">
        <f t="shared" si="237"/>
        <v>392</v>
      </c>
      <c r="E1994" t="str">
        <f t="shared" si="238"/>
        <v>0001</v>
      </c>
      <c r="F1994" t="str">
        <f t="shared" si="239"/>
        <v>2.001</v>
      </c>
      <c r="G1994" t="str">
        <f t="shared" si="240"/>
        <v>3.1.90.13.00</v>
      </c>
      <c r="H1994" t="s">
        <v>2044</v>
      </c>
      <c r="I1994" t="s">
        <v>1454</v>
      </c>
      <c r="J1994" t="s">
        <v>660</v>
      </c>
      <c r="K1994" t="str">
        <f t="shared" si="245"/>
        <v>13-CULTURA</v>
      </c>
      <c r="L1994" t="str">
        <f t="shared" si="246"/>
        <v>392-DIFUSÃO CULTURAL</v>
      </c>
      <c r="M1994" t="str">
        <f t="shared" si="241"/>
        <v>0001-Administração e Coordenação Geral​</v>
      </c>
      <c r="N1994" t="str">
        <f t="shared" si="242"/>
        <v>2.001-Remuneração, Benefícios e Encargos</v>
      </c>
      <c r="O1994" t="str">
        <f t="shared" si="247"/>
        <v>3.1.90.13.00</v>
      </c>
      <c r="R1994" s="25">
        <v>55809.599999999999</v>
      </c>
      <c r="S1994" t="s">
        <v>1035</v>
      </c>
    </row>
    <row r="1995" spans="1:19" x14ac:dyDescent="0.25">
      <c r="A1995" t="str">
        <f t="shared" si="234"/>
        <v>22</v>
      </c>
      <c r="B1995" t="str">
        <f t="shared" si="235"/>
        <v>007</v>
      </c>
      <c r="C1995" t="str">
        <f t="shared" si="236"/>
        <v>13</v>
      </c>
      <c r="D1995" t="str">
        <f t="shared" si="237"/>
        <v>392</v>
      </c>
      <c r="E1995" t="str">
        <f t="shared" si="238"/>
        <v>0001</v>
      </c>
      <c r="F1995" t="str">
        <f t="shared" si="239"/>
        <v>2.001</v>
      </c>
      <c r="G1995" t="str">
        <f t="shared" si="240"/>
        <v>3.3.90.46.00</v>
      </c>
      <c r="H1995" t="s">
        <v>2045</v>
      </c>
      <c r="I1995" t="s">
        <v>1454</v>
      </c>
      <c r="J1995" t="s">
        <v>660</v>
      </c>
      <c r="K1995" t="str">
        <f t="shared" si="245"/>
        <v>13-CULTURA</v>
      </c>
      <c r="L1995" t="str">
        <f t="shared" si="246"/>
        <v>392-DIFUSÃO CULTURAL</v>
      </c>
      <c r="M1995" t="str">
        <f t="shared" si="241"/>
        <v>0001-Administração e Coordenação Geral​</v>
      </c>
      <c r="N1995" t="str">
        <f t="shared" si="242"/>
        <v>2.001-Remuneração, Benefícios e Encargos</v>
      </c>
      <c r="O1995" t="str">
        <f t="shared" si="247"/>
        <v>3.3.90.46.00</v>
      </c>
      <c r="R1995" s="25">
        <v>10106.25</v>
      </c>
      <c r="S1995" t="s">
        <v>1035</v>
      </c>
    </row>
    <row r="1996" spans="1:19" x14ac:dyDescent="0.25">
      <c r="A1996" t="str">
        <f t="shared" si="234"/>
        <v>22</v>
      </c>
      <c r="B1996" t="str">
        <f t="shared" si="235"/>
        <v>007</v>
      </c>
      <c r="C1996" t="str">
        <f t="shared" si="236"/>
        <v>13</v>
      </c>
      <c r="D1996" t="str">
        <f t="shared" si="237"/>
        <v>392</v>
      </c>
      <c r="E1996" t="str">
        <f t="shared" si="238"/>
        <v>0001</v>
      </c>
      <c r="F1996" t="str">
        <f t="shared" si="239"/>
        <v>2.001</v>
      </c>
      <c r="G1996" t="str">
        <f t="shared" si="240"/>
        <v>3.3.90.49.00</v>
      </c>
      <c r="H1996" t="s">
        <v>2046</v>
      </c>
      <c r="I1996" t="s">
        <v>1454</v>
      </c>
      <c r="J1996" t="s">
        <v>660</v>
      </c>
      <c r="K1996" t="str">
        <f t="shared" si="245"/>
        <v>13-CULTURA</v>
      </c>
      <c r="L1996" t="str">
        <f t="shared" si="246"/>
        <v>392-DIFUSÃO CULTURAL</v>
      </c>
      <c r="M1996" t="str">
        <f t="shared" si="241"/>
        <v>0001-Administração e Coordenação Geral​</v>
      </c>
      <c r="N1996" t="str">
        <f t="shared" si="242"/>
        <v>2.001-Remuneração, Benefícios e Encargos</v>
      </c>
      <c r="O1996" t="str">
        <f t="shared" ref="O1996:O2014" si="249">G1996</f>
        <v>3.3.90.49.00</v>
      </c>
      <c r="R1996" s="25">
        <v>157529.4</v>
      </c>
      <c r="S1996" t="s">
        <v>1035</v>
      </c>
    </row>
    <row r="1997" spans="1:19" x14ac:dyDescent="0.25">
      <c r="A1997" t="str">
        <f t="shared" si="234"/>
        <v>22</v>
      </c>
      <c r="B1997" t="str">
        <f t="shared" si="235"/>
        <v>008</v>
      </c>
      <c r="C1997" t="str">
        <f t="shared" si="236"/>
        <v>12</v>
      </c>
      <c r="D1997" t="str">
        <f t="shared" si="237"/>
        <v>365</v>
      </c>
      <c r="E1997" t="str">
        <f t="shared" si="238"/>
        <v>0001</v>
      </c>
      <c r="F1997" t="str">
        <f t="shared" si="239"/>
        <v>2.001</v>
      </c>
      <c r="G1997" t="str">
        <f t="shared" si="240"/>
        <v>3.1.90.11.00</v>
      </c>
      <c r="H1997" t="s">
        <v>2047</v>
      </c>
      <c r="I1997" t="s">
        <v>1454</v>
      </c>
      <c r="J1997" t="s">
        <v>355</v>
      </c>
      <c r="K1997" t="str">
        <f t="shared" si="245"/>
        <v>12-EDUCAÇÃO</v>
      </c>
      <c r="L1997" t="str">
        <f t="shared" si="246"/>
        <v>365-EDUCAÇÃO INFANTIL</v>
      </c>
      <c r="M1997" t="str">
        <f t="shared" si="241"/>
        <v>0001-Administração e Coordenação Geral​</v>
      </c>
      <c r="N1997" t="str">
        <f t="shared" si="242"/>
        <v>2.001-Remuneração, Benefícios e Encargos</v>
      </c>
      <c r="O1997" t="str">
        <f t="shared" si="249"/>
        <v>3.1.90.11.00</v>
      </c>
      <c r="R1997" s="25">
        <v>1.0499999998137355</v>
      </c>
      <c r="S1997" t="s">
        <v>1035</v>
      </c>
    </row>
    <row r="1998" spans="1:19" x14ac:dyDescent="0.25">
      <c r="A1998" t="str">
        <f t="shared" si="234"/>
        <v>22</v>
      </c>
      <c r="B1998" t="str">
        <f t="shared" si="235"/>
        <v>008</v>
      </c>
      <c r="C1998" t="str">
        <f t="shared" si="236"/>
        <v>12</v>
      </c>
      <c r="D1998" t="str">
        <f t="shared" si="237"/>
        <v>365</v>
      </c>
      <c r="E1998" t="str">
        <f t="shared" si="238"/>
        <v>0001</v>
      </c>
      <c r="F1998" t="str">
        <f t="shared" si="239"/>
        <v>2.001</v>
      </c>
      <c r="G1998" t="str">
        <f t="shared" si="240"/>
        <v>3.1.90.13.00</v>
      </c>
      <c r="H1998" t="s">
        <v>2048</v>
      </c>
      <c r="I1998" t="s">
        <v>1454</v>
      </c>
      <c r="J1998" t="s">
        <v>355</v>
      </c>
      <c r="K1998" t="str">
        <f t="shared" si="245"/>
        <v>12-EDUCAÇÃO</v>
      </c>
      <c r="L1998" t="str">
        <f t="shared" si="246"/>
        <v>365-EDUCAÇÃO INFANTIL</v>
      </c>
      <c r="M1998" t="str">
        <f t="shared" si="241"/>
        <v>0001-Administração e Coordenação Geral​</v>
      </c>
      <c r="N1998" t="str">
        <f t="shared" si="242"/>
        <v>2.001-Remuneração, Benefícios e Encargos</v>
      </c>
      <c r="O1998" t="str">
        <f t="shared" si="249"/>
        <v>3.1.90.13.00</v>
      </c>
      <c r="R1998" s="25">
        <v>1.0500000000029104</v>
      </c>
      <c r="S1998" t="s">
        <v>1035</v>
      </c>
    </row>
    <row r="1999" spans="1:19" x14ac:dyDescent="0.25">
      <c r="A1999" t="str">
        <f t="shared" si="234"/>
        <v>22</v>
      </c>
      <c r="B1999" t="str">
        <f t="shared" si="235"/>
        <v>008</v>
      </c>
      <c r="C1999" t="str">
        <f t="shared" si="236"/>
        <v>12</v>
      </c>
      <c r="D1999" t="str">
        <f t="shared" si="237"/>
        <v>365</v>
      </c>
      <c r="E1999" t="str">
        <f t="shared" si="238"/>
        <v>0001</v>
      </c>
      <c r="F1999" t="str">
        <f t="shared" si="239"/>
        <v>2.001</v>
      </c>
      <c r="G1999" t="str">
        <f t="shared" si="240"/>
        <v>3.1.90.16.00</v>
      </c>
      <c r="H1999" t="s">
        <v>2049</v>
      </c>
      <c r="I1999" t="s">
        <v>1454</v>
      </c>
      <c r="J1999" t="s">
        <v>355</v>
      </c>
      <c r="K1999" t="str">
        <f t="shared" si="245"/>
        <v>12-EDUCAÇÃO</v>
      </c>
      <c r="L1999" t="str">
        <f t="shared" si="246"/>
        <v>365-EDUCAÇÃO INFANTIL</v>
      </c>
      <c r="M1999" t="str">
        <f t="shared" si="241"/>
        <v>0001-Administração e Coordenação Geral​</v>
      </c>
      <c r="N1999" t="str">
        <f t="shared" si="242"/>
        <v>2.001-Remuneração, Benefícios e Encargos</v>
      </c>
      <c r="O1999" t="str">
        <f t="shared" si="249"/>
        <v>3.1.90.16.00</v>
      </c>
      <c r="R1999" s="25">
        <v>1.0499999999883585</v>
      </c>
      <c r="S1999" t="s">
        <v>1035</v>
      </c>
    </row>
    <row r="2000" spans="1:19" x14ac:dyDescent="0.25">
      <c r="A2000" t="str">
        <f t="shared" si="234"/>
        <v>22</v>
      </c>
      <c r="B2000" t="str">
        <f t="shared" si="235"/>
        <v>008</v>
      </c>
      <c r="C2000" t="str">
        <f t="shared" si="236"/>
        <v>12</v>
      </c>
      <c r="D2000" t="str">
        <f t="shared" si="237"/>
        <v>365</v>
      </c>
      <c r="E2000" t="str">
        <f t="shared" si="238"/>
        <v>0001</v>
      </c>
      <c r="F2000" t="str">
        <f t="shared" si="239"/>
        <v>2.001</v>
      </c>
      <c r="G2000" t="str">
        <f t="shared" si="240"/>
        <v>3.1.90.94.00</v>
      </c>
      <c r="H2000" t="s">
        <v>2050</v>
      </c>
      <c r="I2000" t="s">
        <v>1454</v>
      </c>
      <c r="J2000" t="s">
        <v>355</v>
      </c>
      <c r="K2000" t="str">
        <f t="shared" si="245"/>
        <v>12-EDUCAÇÃO</v>
      </c>
      <c r="L2000" t="str">
        <f t="shared" si="246"/>
        <v>365-EDUCAÇÃO INFANTIL</v>
      </c>
      <c r="M2000" t="str">
        <f t="shared" si="241"/>
        <v>0001-Administração e Coordenação Geral​</v>
      </c>
      <c r="N2000" t="str">
        <f t="shared" si="242"/>
        <v>2.001-Remuneração, Benefícios e Encargos</v>
      </c>
      <c r="O2000" t="str">
        <f t="shared" si="249"/>
        <v>3.1.90.94.00</v>
      </c>
      <c r="R2000" s="25">
        <v>1.0500000000465661</v>
      </c>
      <c r="S2000" t="s">
        <v>1035</v>
      </c>
    </row>
    <row r="2001" spans="1:19" x14ac:dyDescent="0.25">
      <c r="A2001" t="str">
        <f t="shared" si="234"/>
        <v>22</v>
      </c>
      <c r="B2001" t="str">
        <f t="shared" si="235"/>
        <v>008</v>
      </c>
      <c r="C2001" t="str">
        <f t="shared" si="236"/>
        <v>12</v>
      </c>
      <c r="D2001" t="str">
        <f t="shared" si="237"/>
        <v>365</v>
      </c>
      <c r="E2001" t="str">
        <f t="shared" si="238"/>
        <v>0001</v>
      </c>
      <c r="F2001" t="str">
        <f t="shared" si="239"/>
        <v>2.001</v>
      </c>
      <c r="G2001" t="str">
        <f t="shared" si="240"/>
        <v>3.1.91.13.00</v>
      </c>
      <c r="H2001" t="s">
        <v>2051</v>
      </c>
      <c r="I2001" t="s">
        <v>1454</v>
      </c>
      <c r="J2001" t="s">
        <v>355</v>
      </c>
      <c r="K2001" t="str">
        <f t="shared" si="245"/>
        <v>12-EDUCAÇÃO</v>
      </c>
      <c r="L2001" t="str">
        <f t="shared" si="246"/>
        <v>365-EDUCAÇÃO INFANTIL</v>
      </c>
      <c r="M2001" t="str">
        <f t="shared" si="241"/>
        <v>0001-Administração e Coordenação Geral​</v>
      </c>
      <c r="N2001" t="str">
        <f t="shared" si="242"/>
        <v>2.001-Remuneração, Benefícios e Encargos</v>
      </c>
      <c r="O2001" t="str">
        <f t="shared" si="249"/>
        <v>3.1.91.13.00</v>
      </c>
      <c r="R2001" s="25">
        <v>1.0500000000465661</v>
      </c>
      <c r="S2001" t="s">
        <v>1035</v>
      </c>
    </row>
    <row r="2002" spans="1:19" x14ac:dyDescent="0.25">
      <c r="A2002" t="str">
        <f t="shared" si="234"/>
        <v>22</v>
      </c>
      <c r="B2002" t="str">
        <f t="shared" si="235"/>
        <v>008</v>
      </c>
      <c r="C2002" t="str">
        <f t="shared" si="236"/>
        <v>12</v>
      </c>
      <c r="D2002" t="str">
        <f t="shared" si="237"/>
        <v>365</v>
      </c>
      <c r="E2002" t="str">
        <f t="shared" si="238"/>
        <v>0001</v>
      </c>
      <c r="F2002" t="str">
        <f t="shared" si="239"/>
        <v>2.001</v>
      </c>
      <c r="G2002" t="str">
        <f t="shared" si="240"/>
        <v>3.3.90.46.00</v>
      </c>
      <c r="H2002" t="s">
        <v>2052</v>
      </c>
      <c r="I2002" t="s">
        <v>1454</v>
      </c>
      <c r="J2002" t="s">
        <v>355</v>
      </c>
      <c r="K2002" t="str">
        <f t="shared" si="245"/>
        <v>12-EDUCAÇÃO</v>
      </c>
      <c r="L2002" t="str">
        <f t="shared" si="246"/>
        <v>365-EDUCAÇÃO INFANTIL</v>
      </c>
      <c r="M2002" t="str">
        <f t="shared" si="241"/>
        <v>0001-Administração e Coordenação Geral​</v>
      </c>
      <c r="N2002" t="str">
        <f t="shared" si="242"/>
        <v>2.001-Remuneração, Benefícios e Encargos</v>
      </c>
      <c r="O2002" t="str">
        <f t="shared" si="249"/>
        <v>3.3.90.46.00</v>
      </c>
      <c r="R2002" s="25">
        <v>1.0499999999883585</v>
      </c>
      <c r="S2002" t="s">
        <v>1035</v>
      </c>
    </row>
    <row r="2003" spans="1:19" x14ac:dyDescent="0.25">
      <c r="A2003" t="str">
        <f t="shared" si="234"/>
        <v>22</v>
      </c>
      <c r="B2003" t="str">
        <f t="shared" si="235"/>
        <v>008</v>
      </c>
      <c r="C2003" t="str">
        <f t="shared" si="236"/>
        <v>12</v>
      </c>
      <c r="D2003" t="str">
        <f t="shared" si="237"/>
        <v>365</v>
      </c>
      <c r="E2003" t="str">
        <f t="shared" si="238"/>
        <v>0001</v>
      </c>
      <c r="F2003" t="str">
        <f t="shared" si="239"/>
        <v>2.001</v>
      </c>
      <c r="G2003" t="str">
        <f t="shared" si="240"/>
        <v>3.3.90.49.00</v>
      </c>
      <c r="H2003" t="s">
        <v>2053</v>
      </c>
      <c r="I2003" t="s">
        <v>1454</v>
      </c>
      <c r="J2003" t="s">
        <v>355</v>
      </c>
      <c r="K2003" t="str">
        <f t="shared" si="245"/>
        <v>12-EDUCAÇÃO</v>
      </c>
      <c r="L2003" t="str">
        <f t="shared" si="246"/>
        <v>365-EDUCAÇÃO INFANTIL</v>
      </c>
      <c r="M2003" t="str">
        <f t="shared" si="241"/>
        <v>0001-Administração e Coordenação Geral​</v>
      </c>
      <c r="N2003" t="str">
        <f t="shared" si="242"/>
        <v>2.001-Remuneração, Benefícios e Encargos</v>
      </c>
      <c r="O2003" t="str">
        <f t="shared" si="249"/>
        <v>3.3.90.49.00</v>
      </c>
      <c r="R2003" s="25">
        <v>1.0500000000029104</v>
      </c>
      <c r="S2003" t="s">
        <v>1035</v>
      </c>
    </row>
    <row r="2004" spans="1:19" x14ac:dyDescent="0.25">
      <c r="A2004" t="str">
        <f t="shared" si="234"/>
        <v>22</v>
      </c>
      <c r="B2004" t="str">
        <f t="shared" si="235"/>
        <v>009</v>
      </c>
      <c r="C2004" t="str">
        <f t="shared" si="236"/>
        <v>12</v>
      </c>
      <c r="D2004" t="str">
        <f t="shared" si="237"/>
        <v>365</v>
      </c>
      <c r="E2004" t="str">
        <f t="shared" si="238"/>
        <v>0001</v>
      </c>
      <c r="F2004" t="str">
        <f t="shared" si="239"/>
        <v>2.001</v>
      </c>
      <c r="G2004" t="str">
        <f t="shared" si="240"/>
        <v>3.1.90.94.00</v>
      </c>
      <c r="H2004" t="s">
        <v>2054</v>
      </c>
      <c r="I2004" t="s">
        <v>1454</v>
      </c>
      <c r="J2004" t="s">
        <v>336</v>
      </c>
      <c r="K2004" t="str">
        <f t="shared" si="245"/>
        <v>12-EDUCAÇÃO</v>
      </c>
      <c r="L2004" t="str">
        <f t="shared" si="246"/>
        <v>365-EDUCAÇÃO INFANTIL</v>
      </c>
      <c r="M2004" t="str">
        <f t="shared" si="241"/>
        <v>0001-Administração e Coordenação Geral​</v>
      </c>
      <c r="N2004" t="str">
        <f t="shared" si="242"/>
        <v>2.001-Remuneração, Benefícios e Encargos</v>
      </c>
      <c r="O2004" t="str">
        <f t="shared" si="249"/>
        <v>3.1.90.94.00</v>
      </c>
      <c r="R2004" s="25">
        <v>1.05</v>
      </c>
      <c r="S2004" t="s">
        <v>1035</v>
      </c>
    </row>
    <row r="2005" spans="1:19" x14ac:dyDescent="0.25">
      <c r="A2005" t="str">
        <f t="shared" si="234"/>
        <v>22</v>
      </c>
      <c r="B2005" t="str">
        <f t="shared" si="235"/>
        <v>010</v>
      </c>
      <c r="C2005" t="str">
        <f t="shared" si="236"/>
        <v>12</v>
      </c>
      <c r="D2005" t="str">
        <f t="shared" si="237"/>
        <v>365</v>
      </c>
      <c r="E2005" t="str">
        <f t="shared" si="238"/>
        <v>0001</v>
      </c>
      <c r="F2005" t="str">
        <f t="shared" si="239"/>
        <v>2.001</v>
      </c>
      <c r="G2005" t="str">
        <f t="shared" si="240"/>
        <v>3.1.90.94.00</v>
      </c>
      <c r="H2005" t="s">
        <v>2055</v>
      </c>
      <c r="I2005" t="s">
        <v>1454</v>
      </c>
      <c r="J2005" t="s">
        <v>324</v>
      </c>
      <c r="K2005" t="str">
        <f t="shared" si="245"/>
        <v>12-EDUCAÇÃO</v>
      </c>
      <c r="L2005" t="str">
        <f t="shared" si="246"/>
        <v>365-EDUCAÇÃO INFANTIL</v>
      </c>
      <c r="M2005" t="str">
        <f t="shared" si="241"/>
        <v>0001-Administração e Coordenação Geral​</v>
      </c>
      <c r="N2005" t="str">
        <f t="shared" si="242"/>
        <v>2.001-Remuneração, Benefícios e Encargos</v>
      </c>
      <c r="O2005" t="str">
        <f t="shared" si="249"/>
        <v>3.1.90.94.00</v>
      </c>
      <c r="R2005" s="25">
        <v>1.05</v>
      </c>
      <c r="S2005" t="s">
        <v>1035</v>
      </c>
    </row>
    <row r="2006" spans="1:19" x14ac:dyDescent="0.25">
      <c r="A2006" t="str">
        <f t="shared" si="234"/>
        <v>22</v>
      </c>
      <c r="B2006" t="str">
        <f t="shared" si="235"/>
        <v>011</v>
      </c>
      <c r="C2006" t="str">
        <f t="shared" si="236"/>
        <v>12</v>
      </c>
      <c r="D2006" t="str">
        <f t="shared" si="237"/>
        <v>365</v>
      </c>
      <c r="E2006" t="str">
        <f t="shared" si="238"/>
        <v>0001</v>
      </c>
      <c r="F2006" t="str">
        <f t="shared" si="239"/>
        <v>2.001</v>
      </c>
      <c r="G2006" t="str">
        <f t="shared" si="240"/>
        <v>3.1.90.94.00</v>
      </c>
      <c r="H2006" t="s">
        <v>2056</v>
      </c>
      <c r="I2006" t="s">
        <v>1454</v>
      </c>
      <c r="J2006" t="s">
        <v>123</v>
      </c>
      <c r="K2006" t="str">
        <f t="shared" si="245"/>
        <v>12-EDUCAÇÃO</v>
      </c>
      <c r="L2006" t="str">
        <f t="shared" si="246"/>
        <v>365-EDUCAÇÃO INFANTIL</v>
      </c>
      <c r="M2006" t="str">
        <f t="shared" si="241"/>
        <v>0001-Administração e Coordenação Geral​</v>
      </c>
      <c r="N2006" t="str">
        <f t="shared" si="242"/>
        <v>2.001-Remuneração, Benefícios e Encargos</v>
      </c>
      <c r="O2006" t="str">
        <f t="shared" si="249"/>
        <v>3.1.90.94.00</v>
      </c>
      <c r="R2006" s="25">
        <v>1.05</v>
      </c>
      <c r="S2006" t="s">
        <v>1035</v>
      </c>
    </row>
    <row r="2007" spans="1:19" x14ac:dyDescent="0.25">
      <c r="A2007" t="str">
        <f t="shared" si="234"/>
        <v>22</v>
      </c>
      <c r="B2007" t="str">
        <f t="shared" si="235"/>
        <v>012</v>
      </c>
      <c r="C2007" t="str">
        <f t="shared" si="236"/>
        <v>12</v>
      </c>
      <c r="D2007" t="str">
        <f t="shared" si="237"/>
        <v>365</v>
      </c>
      <c r="E2007" t="str">
        <f t="shared" si="238"/>
        <v>0001</v>
      </c>
      <c r="F2007" t="str">
        <f t="shared" si="239"/>
        <v>2.001</v>
      </c>
      <c r="G2007" t="str">
        <f t="shared" si="240"/>
        <v>3.1.90.94.00</v>
      </c>
      <c r="H2007" t="s">
        <v>2057</v>
      </c>
      <c r="I2007" t="s">
        <v>1454</v>
      </c>
      <c r="J2007" t="s">
        <v>48</v>
      </c>
      <c r="K2007" t="str">
        <f t="shared" si="245"/>
        <v>12-EDUCAÇÃO</v>
      </c>
      <c r="L2007" t="str">
        <f t="shared" si="246"/>
        <v>365-EDUCAÇÃO INFANTIL</v>
      </c>
      <c r="M2007" t="str">
        <f t="shared" si="241"/>
        <v>0001-Administração e Coordenação Geral​</v>
      </c>
      <c r="N2007" t="str">
        <f t="shared" si="242"/>
        <v>2.001-Remuneração, Benefícios e Encargos</v>
      </c>
      <c r="O2007" t="str">
        <f t="shared" si="249"/>
        <v>3.1.90.94.00</v>
      </c>
      <c r="R2007" s="25">
        <v>1.05</v>
      </c>
      <c r="S2007" t="s">
        <v>1035</v>
      </c>
    </row>
    <row r="2008" spans="1:19" x14ac:dyDescent="0.25">
      <c r="A2008" t="str">
        <f t="shared" si="234"/>
        <v>22</v>
      </c>
      <c r="B2008" t="str">
        <f t="shared" si="235"/>
        <v>013</v>
      </c>
      <c r="C2008" t="str">
        <f t="shared" si="236"/>
        <v>12</v>
      </c>
      <c r="D2008" t="str">
        <f t="shared" si="237"/>
        <v>365</v>
      </c>
      <c r="E2008" t="str">
        <f t="shared" si="238"/>
        <v>0001</v>
      </c>
      <c r="F2008" t="str">
        <f t="shared" si="239"/>
        <v>2.001</v>
      </c>
      <c r="G2008" t="str">
        <f t="shared" si="240"/>
        <v>3.1.90.94.00</v>
      </c>
      <c r="H2008" t="s">
        <v>2058</v>
      </c>
      <c r="I2008" t="s">
        <v>1454</v>
      </c>
      <c r="J2008" t="s">
        <v>2214</v>
      </c>
      <c r="K2008" t="str">
        <f t="shared" si="245"/>
        <v>12-EDUCAÇÃO</v>
      </c>
      <c r="L2008" t="str">
        <f t="shared" si="246"/>
        <v>365-EDUCAÇÃO INFANTIL</v>
      </c>
      <c r="M2008" t="str">
        <f t="shared" si="241"/>
        <v>0001-Administração e Coordenação Geral​</v>
      </c>
      <c r="N2008" t="str">
        <f t="shared" si="242"/>
        <v>2.001-Remuneração, Benefícios e Encargos</v>
      </c>
      <c r="O2008" t="str">
        <f t="shared" si="249"/>
        <v>3.1.90.94.00</v>
      </c>
      <c r="R2008" s="25">
        <v>1.05</v>
      </c>
      <c r="S2008" t="s">
        <v>1035</v>
      </c>
    </row>
    <row r="2009" spans="1:19" x14ac:dyDescent="0.25">
      <c r="A2009" t="str">
        <f t="shared" si="234"/>
        <v>22</v>
      </c>
      <c r="B2009" t="str">
        <f t="shared" si="235"/>
        <v>014</v>
      </c>
      <c r="C2009" t="str">
        <f t="shared" si="236"/>
        <v>12</v>
      </c>
      <c r="D2009" t="str">
        <f t="shared" si="237"/>
        <v>365</v>
      </c>
      <c r="E2009" t="str">
        <f t="shared" si="238"/>
        <v>0001</v>
      </c>
      <c r="F2009" t="str">
        <f t="shared" si="239"/>
        <v>2.001</v>
      </c>
      <c r="G2009" t="str">
        <f t="shared" si="240"/>
        <v>3.1.90.94.00</v>
      </c>
      <c r="H2009" t="s">
        <v>2059</v>
      </c>
      <c r="I2009" t="s">
        <v>1454</v>
      </c>
      <c r="J2009" t="s">
        <v>474</v>
      </c>
      <c r="K2009" t="str">
        <f t="shared" si="245"/>
        <v>12-EDUCAÇÃO</v>
      </c>
      <c r="L2009" t="str">
        <f t="shared" si="246"/>
        <v>365-EDUCAÇÃO INFANTIL</v>
      </c>
      <c r="M2009" t="str">
        <f t="shared" si="241"/>
        <v>0001-Administração e Coordenação Geral​</v>
      </c>
      <c r="N2009" t="str">
        <f t="shared" si="242"/>
        <v>2.001-Remuneração, Benefícios e Encargos</v>
      </c>
      <c r="O2009" t="str">
        <f t="shared" si="249"/>
        <v>3.1.90.94.00</v>
      </c>
      <c r="R2009" s="25">
        <v>1.05</v>
      </c>
      <c r="S2009" t="s">
        <v>1035</v>
      </c>
    </row>
    <row r="2010" spans="1:19" x14ac:dyDescent="0.25">
      <c r="A2010" t="str">
        <f t="shared" si="234"/>
        <v>22</v>
      </c>
      <c r="B2010" t="str">
        <f t="shared" si="235"/>
        <v>015</v>
      </c>
      <c r="C2010" t="str">
        <f t="shared" si="236"/>
        <v>12</v>
      </c>
      <c r="D2010" t="str">
        <f t="shared" si="237"/>
        <v>365</v>
      </c>
      <c r="E2010" t="str">
        <f t="shared" si="238"/>
        <v>0001</v>
      </c>
      <c r="F2010" t="str">
        <f t="shared" si="239"/>
        <v>2.001</v>
      </c>
      <c r="G2010" t="str">
        <f t="shared" si="240"/>
        <v>3.1.90.94.00</v>
      </c>
      <c r="H2010" t="s">
        <v>2060</v>
      </c>
      <c r="I2010" t="s">
        <v>1454</v>
      </c>
      <c r="J2010" t="s">
        <v>361</v>
      </c>
      <c r="K2010" t="str">
        <f t="shared" si="245"/>
        <v>12-EDUCAÇÃO</v>
      </c>
      <c r="L2010" t="str">
        <f t="shared" si="246"/>
        <v>365-EDUCAÇÃO INFANTIL</v>
      </c>
      <c r="M2010" t="str">
        <f t="shared" si="241"/>
        <v>0001-Administração e Coordenação Geral​</v>
      </c>
      <c r="N2010" t="str">
        <f t="shared" si="242"/>
        <v>2.001-Remuneração, Benefícios e Encargos</v>
      </c>
      <c r="O2010" t="str">
        <f t="shared" si="249"/>
        <v>3.1.90.94.00</v>
      </c>
      <c r="R2010" s="25">
        <v>1.05</v>
      </c>
      <c r="S2010" t="s">
        <v>1035</v>
      </c>
    </row>
    <row r="2011" spans="1:19" x14ac:dyDescent="0.25">
      <c r="A2011" t="str">
        <f t="shared" si="234"/>
        <v>22</v>
      </c>
      <c r="B2011" t="str">
        <f t="shared" si="235"/>
        <v>016</v>
      </c>
      <c r="C2011" t="str">
        <f t="shared" si="236"/>
        <v>12</v>
      </c>
      <c r="D2011" t="str">
        <f t="shared" si="237"/>
        <v>122</v>
      </c>
      <c r="E2011" t="str">
        <f t="shared" si="238"/>
        <v>0021</v>
      </c>
      <c r="F2011" t="str">
        <f t="shared" si="239"/>
        <v>0.003</v>
      </c>
      <c r="G2011" t="str">
        <f t="shared" si="240"/>
        <v>3.1.90.91.00</v>
      </c>
      <c r="H2011" t="s">
        <v>2061</v>
      </c>
      <c r="I2011" t="s">
        <v>1454</v>
      </c>
      <c r="J2011" t="s">
        <v>2212</v>
      </c>
      <c r="K2011" t="str">
        <f t="shared" si="245"/>
        <v>12-EDUCAÇÃO</v>
      </c>
      <c r="L2011" t="str">
        <f t="shared" si="246"/>
        <v>122-ADMINISTRAÇÃO GERAL</v>
      </c>
      <c r="M2011" t="str">
        <f>E2011</f>
        <v>0021</v>
      </c>
      <c r="N2011" t="str">
        <f t="shared" si="242"/>
        <v>0.003-Precatórios e Sentenças Judiciais</v>
      </c>
      <c r="O2011" t="str">
        <f t="shared" si="249"/>
        <v>3.1.90.91.00</v>
      </c>
      <c r="R2011" s="25">
        <v>210</v>
      </c>
      <c r="S2011" t="s">
        <v>1035</v>
      </c>
    </row>
    <row r="2012" spans="1:19" x14ac:dyDescent="0.25">
      <c r="A2012" t="str">
        <f t="shared" ref="A2012:A2075" si="250">LEFT(H2012,2)</f>
        <v>22</v>
      </c>
      <c r="B2012" t="str">
        <f t="shared" ref="B2012:B2075" si="251">MID(H2012,4,3)</f>
        <v>016</v>
      </c>
      <c r="C2012" t="str">
        <f t="shared" ref="C2012:C2075" si="252">MID(H2012,8,2)</f>
        <v>12</v>
      </c>
      <c r="D2012" t="str">
        <f t="shared" ref="D2012:D2075" si="253">MID(H2012,11,3)</f>
        <v>365</v>
      </c>
      <c r="E2012" t="str">
        <f t="shared" ref="E2012:E2075" si="254">MID(H2012,15,4)</f>
        <v>0001</v>
      </c>
      <c r="F2012" t="str">
        <f t="shared" ref="F2012:F2075" si="255">MID(H2012,20,5)</f>
        <v>2.001</v>
      </c>
      <c r="G2012" t="str">
        <f t="shared" ref="G2012:G2075" si="256">MID(H2012,26,12)</f>
        <v>3.1.90.11.00</v>
      </c>
      <c r="H2012" t="s">
        <v>2062</v>
      </c>
      <c r="I2012" t="s">
        <v>1454</v>
      </c>
      <c r="J2012" t="s">
        <v>2212</v>
      </c>
      <c r="K2012" t="str">
        <f t="shared" ref="K2012:K2075" si="257">VLOOKUP(C2012,$C$1:$O$994,9,0)</f>
        <v>12-EDUCAÇÃO</v>
      </c>
      <c r="L2012" t="str">
        <f t="shared" ref="L2012:L2075" si="258">VLOOKUP(D2012,$D$1:$O$994,9,0)</f>
        <v>365-EDUCAÇÃO INFANTIL</v>
      </c>
      <c r="M2012" t="str">
        <f t="shared" ref="M2012:M2075" si="259">VLOOKUP(E2012,$E$1:$O$994,9,0)</f>
        <v>0001-Administração e Coordenação Geral​</v>
      </c>
      <c r="N2012" t="str">
        <f t="shared" ref="N2012:N2075" si="260">VLOOKUP(F2012,$F$1:$O$994,9,0)</f>
        <v>2.001-Remuneração, Benefícios e Encargos</v>
      </c>
      <c r="O2012" t="str">
        <f t="shared" si="249"/>
        <v>3.1.90.11.00</v>
      </c>
      <c r="R2012" s="25">
        <v>315000</v>
      </c>
      <c r="S2012" t="s">
        <v>1035</v>
      </c>
    </row>
    <row r="2013" spans="1:19" x14ac:dyDescent="0.25">
      <c r="A2013" t="str">
        <f t="shared" si="250"/>
        <v>22</v>
      </c>
      <c r="B2013" t="str">
        <f t="shared" si="251"/>
        <v>016</v>
      </c>
      <c r="C2013" t="str">
        <f t="shared" si="252"/>
        <v>12</v>
      </c>
      <c r="D2013" t="str">
        <f t="shared" si="253"/>
        <v>365</v>
      </c>
      <c r="E2013" t="str">
        <f t="shared" si="254"/>
        <v>0001</v>
      </c>
      <c r="F2013" t="str">
        <f t="shared" si="255"/>
        <v>2.001</v>
      </c>
      <c r="G2013" t="str">
        <f t="shared" si="256"/>
        <v>3.1.90.16.00</v>
      </c>
      <c r="H2013" t="s">
        <v>2063</v>
      </c>
      <c r="I2013" t="s">
        <v>1454</v>
      </c>
      <c r="J2013" t="s">
        <v>2212</v>
      </c>
      <c r="K2013" t="str">
        <f t="shared" si="257"/>
        <v>12-EDUCAÇÃO</v>
      </c>
      <c r="L2013" t="str">
        <f t="shared" si="258"/>
        <v>365-EDUCAÇÃO INFANTIL</v>
      </c>
      <c r="M2013" t="str">
        <f t="shared" si="259"/>
        <v>0001-Administração e Coordenação Geral​</v>
      </c>
      <c r="N2013" t="str">
        <f t="shared" si="260"/>
        <v>2.001-Remuneração, Benefícios e Encargos</v>
      </c>
      <c r="O2013" t="str">
        <f t="shared" si="249"/>
        <v>3.1.90.16.00</v>
      </c>
      <c r="R2013" s="25">
        <v>191406.6</v>
      </c>
      <c r="S2013" t="s">
        <v>1035</v>
      </c>
    </row>
    <row r="2014" spans="1:19" x14ac:dyDescent="0.25">
      <c r="A2014" t="str">
        <f t="shared" si="250"/>
        <v>22</v>
      </c>
      <c r="B2014" t="str">
        <f t="shared" si="251"/>
        <v>016</v>
      </c>
      <c r="C2014" t="str">
        <f t="shared" si="252"/>
        <v>12</v>
      </c>
      <c r="D2014" t="str">
        <f t="shared" si="253"/>
        <v>365</v>
      </c>
      <c r="E2014" t="str">
        <f t="shared" si="254"/>
        <v>0001</v>
      </c>
      <c r="F2014" t="str">
        <f t="shared" si="255"/>
        <v>2.001</v>
      </c>
      <c r="G2014" t="str">
        <f t="shared" si="256"/>
        <v>3.1.91.13.00</v>
      </c>
      <c r="H2014" t="s">
        <v>2064</v>
      </c>
      <c r="I2014" t="s">
        <v>1454</v>
      </c>
      <c r="J2014" t="s">
        <v>2212</v>
      </c>
      <c r="K2014" t="str">
        <f t="shared" si="257"/>
        <v>12-EDUCAÇÃO</v>
      </c>
      <c r="L2014" t="str">
        <f t="shared" si="258"/>
        <v>365-EDUCAÇÃO INFANTIL</v>
      </c>
      <c r="M2014" t="str">
        <f t="shared" si="259"/>
        <v>0001-Administração e Coordenação Geral​</v>
      </c>
      <c r="N2014" t="str">
        <f t="shared" si="260"/>
        <v>2.001-Remuneração, Benefícios e Encargos</v>
      </c>
      <c r="O2014" t="str">
        <f t="shared" si="249"/>
        <v>3.1.91.13.00</v>
      </c>
      <c r="R2014" s="25">
        <v>126000</v>
      </c>
      <c r="S2014" t="s">
        <v>1035</v>
      </c>
    </row>
    <row r="2015" spans="1:19" x14ac:dyDescent="0.25">
      <c r="A2015" t="str">
        <f t="shared" si="250"/>
        <v>22</v>
      </c>
      <c r="B2015" t="str">
        <f t="shared" si="251"/>
        <v>016</v>
      </c>
      <c r="C2015" t="str">
        <f t="shared" si="252"/>
        <v>12</v>
      </c>
      <c r="D2015" t="str">
        <f t="shared" si="253"/>
        <v>365</v>
      </c>
      <c r="E2015" t="str">
        <f t="shared" si="254"/>
        <v>0016</v>
      </c>
      <c r="F2015" t="str">
        <f t="shared" si="255"/>
        <v>1.002</v>
      </c>
      <c r="G2015" t="str">
        <f t="shared" si="256"/>
        <v>3.3.90.39.00</v>
      </c>
      <c r="H2015" t="s">
        <v>2065</v>
      </c>
      <c r="I2015" t="s">
        <v>1454</v>
      </c>
      <c r="J2015" t="s">
        <v>2212</v>
      </c>
      <c r="K2015" t="str">
        <f t="shared" si="257"/>
        <v>12-EDUCAÇÃO</v>
      </c>
      <c r="L2015" t="str">
        <f t="shared" si="258"/>
        <v>365-EDUCAÇÃO INFANTIL</v>
      </c>
      <c r="M2015" t="str">
        <f t="shared" si="259"/>
        <v>0016-Escola para Todos​</v>
      </c>
      <c r="N2015" t="str">
        <f t="shared" si="260"/>
        <v>1.002-Reforma e Ampliação de Unidades</v>
      </c>
      <c r="O2015" t="str">
        <f t="shared" ref="O2015:O2070" si="261">VLOOKUP(G2015,$G$1:$O$994,9,0)</f>
        <v>3.3.90.39.00-OUTROS SERVIÇOS DE TERCEIROS - PESSOA JURÍDICA</v>
      </c>
      <c r="R2015" s="25">
        <v>420</v>
      </c>
      <c r="S2015" t="s">
        <v>1035</v>
      </c>
    </row>
    <row r="2016" spans="1:19" x14ac:dyDescent="0.25">
      <c r="A2016" t="str">
        <f t="shared" si="250"/>
        <v>23</v>
      </c>
      <c r="B2016" t="str">
        <f t="shared" si="251"/>
        <v>001</v>
      </c>
      <c r="C2016" t="str">
        <f t="shared" si="252"/>
        <v>04</v>
      </c>
      <c r="D2016" t="str">
        <f t="shared" si="253"/>
        <v>122</v>
      </c>
      <c r="E2016" t="str">
        <f t="shared" si="254"/>
        <v>0001</v>
      </c>
      <c r="F2016" t="str">
        <f t="shared" si="255"/>
        <v>2.001</v>
      </c>
      <c r="G2016" t="str">
        <f t="shared" si="256"/>
        <v>3.1.90.11.00</v>
      </c>
      <c r="H2016" t="s">
        <v>2066</v>
      </c>
      <c r="I2016" t="str">
        <f t="shared" ref="I2016:I2044" si="262">VLOOKUP(A2016,$A$1:$O$994,9,0)</f>
        <v>23 - SECRETARIA DE COMUNICAÇÃO</v>
      </c>
      <c r="J2016" t="s">
        <v>20</v>
      </c>
      <c r="K2016" t="str">
        <f t="shared" si="257"/>
        <v>4-ADMINISTRAÇÃO</v>
      </c>
      <c r="L2016" t="str">
        <f t="shared" si="258"/>
        <v>122-ADMINISTRAÇÃO GERAL</v>
      </c>
      <c r="M2016" t="str">
        <f t="shared" si="259"/>
        <v>0001-Administração e Coordenação Geral​</v>
      </c>
      <c r="N2016" t="str">
        <f t="shared" si="260"/>
        <v>2.001-Remuneração, Benefícios e Encargos</v>
      </c>
      <c r="O2016" t="str">
        <f>G2016</f>
        <v>3.1.90.11.00</v>
      </c>
      <c r="R2016" s="25">
        <v>3641368.85</v>
      </c>
      <c r="S2016" t="s">
        <v>1035</v>
      </c>
    </row>
    <row r="2017" spans="1:19" x14ac:dyDescent="0.25">
      <c r="A2017" t="str">
        <f t="shared" si="250"/>
        <v>23</v>
      </c>
      <c r="B2017" t="str">
        <f t="shared" si="251"/>
        <v>001</v>
      </c>
      <c r="C2017" t="str">
        <f t="shared" si="252"/>
        <v>04</v>
      </c>
      <c r="D2017" t="str">
        <f t="shared" si="253"/>
        <v>122</v>
      </c>
      <c r="E2017" t="str">
        <f t="shared" si="254"/>
        <v>0001</v>
      </c>
      <c r="F2017" t="str">
        <f t="shared" si="255"/>
        <v>2.001</v>
      </c>
      <c r="G2017" t="str">
        <f t="shared" si="256"/>
        <v>3.1.90.13.00</v>
      </c>
      <c r="H2017" t="s">
        <v>2067</v>
      </c>
      <c r="I2017" t="str">
        <f t="shared" si="262"/>
        <v>23 - SECRETARIA DE COMUNICAÇÃO</v>
      </c>
      <c r="J2017" t="s">
        <v>20</v>
      </c>
      <c r="K2017" t="str">
        <f t="shared" si="257"/>
        <v>4-ADMINISTRAÇÃO</v>
      </c>
      <c r="L2017" t="str">
        <f t="shared" si="258"/>
        <v>122-ADMINISTRAÇÃO GERAL</v>
      </c>
      <c r="M2017" t="str">
        <f t="shared" si="259"/>
        <v>0001-Administração e Coordenação Geral​</v>
      </c>
      <c r="N2017" t="str">
        <f t="shared" si="260"/>
        <v>2.001-Remuneração, Benefícios e Encargos</v>
      </c>
      <c r="O2017" t="str">
        <f>G2017</f>
        <v>3.1.90.13.00</v>
      </c>
      <c r="R2017" s="25">
        <v>677280.19</v>
      </c>
      <c r="S2017" t="s">
        <v>1035</v>
      </c>
    </row>
    <row r="2018" spans="1:19" x14ac:dyDescent="0.25">
      <c r="A2018" t="str">
        <f t="shared" si="250"/>
        <v>23</v>
      </c>
      <c r="B2018" t="str">
        <f t="shared" si="251"/>
        <v>001</v>
      </c>
      <c r="C2018" t="str">
        <f t="shared" si="252"/>
        <v>04</v>
      </c>
      <c r="D2018" t="str">
        <f t="shared" si="253"/>
        <v>122</v>
      </c>
      <c r="E2018" t="str">
        <f t="shared" si="254"/>
        <v>0001</v>
      </c>
      <c r="F2018" t="str">
        <f t="shared" si="255"/>
        <v>2.001</v>
      </c>
      <c r="G2018" t="str">
        <f t="shared" si="256"/>
        <v>3.1.91.13.00</v>
      </c>
      <c r="H2018" t="s">
        <v>2068</v>
      </c>
      <c r="I2018" t="str">
        <f t="shared" si="262"/>
        <v>23 - SECRETARIA DE COMUNICAÇÃO</v>
      </c>
      <c r="J2018" t="s">
        <v>20</v>
      </c>
      <c r="K2018" t="str">
        <f t="shared" si="257"/>
        <v>4-ADMINISTRAÇÃO</v>
      </c>
      <c r="L2018" t="str">
        <f t="shared" si="258"/>
        <v>122-ADMINISTRAÇÃO GERAL</v>
      </c>
      <c r="M2018" t="str">
        <f t="shared" si="259"/>
        <v>0001-Administração e Coordenação Geral​</v>
      </c>
      <c r="N2018" t="str">
        <f t="shared" si="260"/>
        <v>2.001-Remuneração, Benefícios e Encargos</v>
      </c>
      <c r="O2018" t="str">
        <f>G2018</f>
        <v>3.1.91.13.00</v>
      </c>
      <c r="R2018" s="25">
        <v>137759.87</v>
      </c>
      <c r="S2018" t="s">
        <v>1035</v>
      </c>
    </row>
    <row r="2019" spans="1:19" x14ac:dyDescent="0.25">
      <c r="A2019" t="str">
        <f t="shared" si="250"/>
        <v>23</v>
      </c>
      <c r="B2019" t="str">
        <f t="shared" si="251"/>
        <v>001</v>
      </c>
      <c r="C2019" t="str">
        <f t="shared" si="252"/>
        <v>04</v>
      </c>
      <c r="D2019" t="str">
        <f t="shared" si="253"/>
        <v>122</v>
      </c>
      <c r="E2019" t="str">
        <f t="shared" si="254"/>
        <v>0001</v>
      </c>
      <c r="F2019" t="str">
        <f t="shared" si="255"/>
        <v>2.001</v>
      </c>
      <c r="G2019" t="str">
        <f t="shared" si="256"/>
        <v>3.3.90.46.00</v>
      </c>
      <c r="H2019" t="s">
        <v>2069</v>
      </c>
      <c r="I2019" t="str">
        <f t="shared" si="262"/>
        <v>23 - SECRETARIA DE COMUNICAÇÃO</v>
      </c>
      <c r="J2019" t="s">
        <v>20</v>
      </c>
      <c r="K2019" t="str">
        <f t="shared" si="257"/>
        <v>4-ADMINISTRAÇÃO</v>
      </c>
      <c r="L2019" t="str">
        <f t="shared" si="258"/>
        <v>122-ADMINISTRAÇÃO GERAL</v>
      </c>
      <c r="M2019" t="str">
        <f t="shared" si="259"/>
        <v>0001-Administração e Coordenação Geral​</v>
      </c>
      <c r="N2019" t="str">
        <f t="shared" si="260"/>
        <v>2.001-Remuneração, Benefícios e Encargos</v>
      </c>
      <c r="O2019" t="str">
        <f>G2019</f>
        <v>3.3.90.46.00</v>
      </c>
      <c r="R2019" s="25">
        <v>2.2200000000000002</v>
      </c>
      <c r="S2019" t="s">
        <v>1035</v>
      </c>
    </row>
    <row r="2020" spans="1:19" x14ac:dyDescent="0.25">
      <c r="A2020" t="str">
        <f t="shared" si="250"/>
        <v>23</v>
      </c>
      <c r="B2020" t="str">
        <f t="shared" si="251"/>
        <v>001</v>
      </c>
      <c r="C2020" t="str">
        <f t="shared" si="252"/>
        <v>04</v>
      </c>
      <c r="D2020" t="str">
        <f t="shared" si="253"/>
        <v>122</v>
      </c>
      <c r="E2020" t="str">
        <f t="shared" si="254"/>
        <v>0001</v>
      </c>
      <c r="F2020" t="str">
        <f t="shared" si="255"/>
        <v>2.001</v>
      </c>
      <c r="G2020" t="str">
        <f t="shared" si="256"/>
        <v>3.3.90.49.00</v>
      </c>
      <c r="H2020" t="s">
        <v>2070</v>
      </c>
      <c r="I2020" t="str">
        <f t="shared" si="262"/>
        <v>23 - SECRETARIA DE COMUNICAÇÃO</v>
      </c>
      <c r="J2020" t="s">
        <v>20</v>
      </c>
      <c r="K2020" t="str">
        <f t="shared" si="257"/>
        <v>4-ADMINISTRAÇÃO</v>
      </c>
      <c r="L2020" t="str">
        <f t="shared" si="258"/>
        <v>122-ADMINISTRAÇÃO GERAL</v>
      </c>
      <c r="M2020" t="str">
        <f t="shared" si="259"/>
        <v>0001-Administração e Coordenação Geral​</v>
      </c>
      <c r="N2020" t="str">
        <f t="shared" si="260"/>
        <v>2.001-Remuneração, Benefícios e Encargos</v>
      </c>
      <c r="O2020" t="str">
        <f>G2020</f>
        <v>3.3.90.49.00</v>
      </c>
      <c r="R2020" s="25">
        <v>52153.94</v>
      </c>
      <c r="S2020" t="s">
        <v>1035</v>
      </c>
    </row>
    <row r="2021" spans="1:19" x14ac:dyDescent="0.25">
      <c r="A2021" t="str">
        <f t="shared" si="250"/>
        <v>24</v>
      </c>
      <c r="B2021" t="str">
        <f t="shared" si="251"/>
        <v>001</v>
      </c>
      <c r="C2021" t="str">
        <f t="shared" si="252"/>
        <v>04</v>
      </c>
      <c r="D2021" t="str">
        <f t="shared" si="253"/>
        <v>121</v>
      </c>
      <c r="E2021" t="str">
        <f t="shared" si="254"/>
        <v>0004</v>
      </c>
      <c r="F2021" t="str">
        <f t="shared" si="255"/>
        <v>1.001</v>
      </c>
      <c r="G2021" t="str">
        <f t="shared" si="256"/>
        <v>3.3.90.35.00</v>
      </c>
      <c r="H2021" t="s">
        <v>2071</v>
      </c>
      <c r="I2021" t="str">
        <f t="shared" si="262"/>
        <v>24 - SECRETARIA DE PLANEJAMENTO E GESTÃO</v>
      </c>
      <c r="J2021" t="s">
        <v>20</v>
      </c>
      <c r="K2021" t="str">
        <f t="shared" si="257"/>
        <v>4-ADMINISTRAÇÃO</v>
      </c>
      <c r="L2021" t="str">
        <f t="shared" si="258"/>
        <v>121-PLANEJAMENTO E ORÇAMENTO</v>
      </c>
      <c r="M2021" t="str">
        <f t="shared" si="259"/>
        <v xml:space="preserve">0004-Planejamento e Gestão de Políticas Públicas </v>
      </c>
      <c r="N2021" t="str">
        <f t="shared" si="260"/>
        <v xml:space="preserve">1.001-Estudos, Pesquisas, Planos e Projetos </v>
      </c>
      <c r="O2021" t="str">
        <f t="shared" si="261"/>
        <v>3.3.90.35.00-SERVIÇOS DE CONSULTORIA</v>
      </c>
      <c r="R2021" s="25">
        <v>0</v>
      </c>
      <c r="S2021" t="s">
        <v>1035</v>
      </c>
    </row>
    <row r="2022" spans="1:19" x14ac:dyDescent="0.25">
      <c r="A2022" t="str">
        <f t="shared" si="250"/>
        <v>24</v>
      </c>
      <c r="B2022" t="str">
        <f t="shared" si="251"/>
        <v>001</v>
      </c>
      <c r="C2022" t="str">
        <f t="shared" si="252"/>
        <v>04</v>
      </c>
      <c r="D2022" t="str">
        <f t="shared" si="253"/>
        <v>121</v>
      </c>
      <c r="E2022" t="str">
        <f t="shared" si="254"/>
        <v>0004</v>
      </c>
      <c r="F2022" t="str">
        <f t="shared" si="255"/>
        <v>1.001</v>
      </c>
      <c r="G2022" t="str">
        <f t="shared" si="256"/>
        <v>3.3.90.36.00</v>
      </c>
      <c r="H2022" t="s">
        <v>2072</v>
      </c>
      <c r="I2022" t="str">
        <f t="shared" si="262"/>
        <v>24 - SECRETARIA DE PLANEJAMENTO E GESTÃO</v>
      </c>
      <c r="J2022" t="s">
        <v>20</v>
      </c>
      <c r="K2022" t="str">
        <f t="shared" si="257"/>
        <v>4-ADMINISTRAÇÃO</v>
      </c>
      <c r="L2022" t="str">
        <f t="shared" si="258"/>
        <v>121-PLANEJAMENTO E ORÇAMENTO</v>
      </c>
      <c r="M2022" t="str">
        <f t="shared" si="259"/>
        <v xml:space="preserve">0004-Planejamento e Gestão de Políticas Públicas </v>
      </c>
      <c r="N2022" t="str">
        <f t="shared" si="260"/>
        <v xml:space="preserve">1.001-Estudos, Pesquisas, Planos e Projetos </v>
      </c>
      <c r="O2022" t="str">
        <f t="shared" si="261"/>
        <v>3.3.90.36.00-OUTROS SERVIÇOS DE TERCEIROS - PESSOA FÍSICA</v>
      </c>
      <c r="R2022" s="25">
        <v>1</v>
      </c>
      <c r="S2022" t="s">
        <v>1035</v>
      </c>
    </row>
    <row r="2023" spans="1:19" x14ac:dyDescent="0.25">
      <c r="A2023" t="str">
        <f t="shared" si="250"/>
        <v>24</v>
      </c>
      <c r="B2023" t="str">
        <f t="shared" si="251"/>
        <v>001</v>
      </c>
      <c r="C2023" t="str">
        <f t="shared" si="252"/>
        <v>04</v>
      </c>
      <c r="D2023" t="str">
        <f t="shared" si="253"/>
        <v>121</v>
      </c>
      <c r="E2023" t="str">
        <f t="shared" si="254"/>
        <v>0004</v>
      </c>
      <c r="F2023" t="str">
        <f t="shared" si="255"/>
        <v>1.001</v>
      </c>
      <c r="G2023" t="str">
        <f t="shared" si="256"/>
        <v>3.3.90.39.00</v>
      </c>
      <c r="H2023" t="s">
        <v>2073</v>
      </c>
      <c r="I2023" t="str">
        <f t="shared" si="262"/>
        <v>24 - SECRETARIA DE PLANEJAMENTO E GESTÃO</v>
      </c>
      <c r="J2023" t="s">
        <v>20</v>
      </c>
      <c r="K2023" t="str">
        <f t="shared" si="257"/>
        <v>4-ADMINISTRAÇÃO</v>
      </c>
      <c r="L2023" t="str">
        <f t="shared" si="258"/>
        <v>121-PLANEJAMENTO E ORÇAMENTO</v>
      </c>
      <c r="M2023" t="str">
        <f t="shared" si="259"/>
        <v xml:space="preserve">0004-Planejamento e Gestão de Políticas Públicas </v>
      </c>
      <c r="N2023" t="str">
        <f t="shared" si="260"/>
        <v xml:space="preserve">1.001-Estudos, Pesquisas, Planos e Projetos </v>
      </c>
      <c r="O2023" t="str">
        <f t="shared" si="261"/>
        <v>3.3.90.39.00-OUTROS SERVIÇOS DE TERCEIROS - PESSOA JURÍDICA</v>
      </c>
      <c r="R2023" s="25">
        <v>1</v>
      </c>
      <c r="S2023" t="s">
        <v>1035</v>
      </c>
    </row>
    <row r="2024" spans="1:19" x14ac:dyDescent="0.25">
      <c r="A2024" t="str">
        <f t="shared" si="250"/>
        <v>24</v>
      </c>
      <c r="B2024" t="str">
        <f t="shared" si="251"/>
        <v>001</v>
      </c>
      <c r="C2024" t="str">
        <f t="shared" si="252"/>
        <v>04</v>
      </c>
      <c r="D2024" t="str">
        <f t="shared" si="253"/>
        <v>121</v>
      </c>
      <c r="E2024" t="str">
        <f t="shared" si="254"/>
        <v>0004</v>
      </c>
      <c r="F2024" t="str">
        <f t="shared" si="255"/>
        <v>1.001</v>
      </c>
      <c r="G2024" t="str">
        <f t="shared" si="256"/>
        <v>3.3.90.48.00</v>
      </c>
      <c r="H2024" t="s">
        <v>2074</v>
      </c>
      <c r="I2024" t="str">
        <f t="shared" si="262"/>
        <v>24 - SECRETARIA DE PLANEJAMENTO E GESTÃO</v>
      </c>
      <c r="J2024" t="s">
        <v>20</v>
      </c>
      <c r="K2024" t="str">
        <f t="shared" si="257"/>
        <v>4-ADMINISTRAÇÃO</v>
      </c>
      <c r="L2024" t="str">
        <f t="shared" si="258"/>
        <v>121-PLANEJAMENTO E ORÇAMENTO</v>
      </c>
      <c r="M2024" t="str">
        <f t="shared" si="259"/>
        <v xml:space="preserve">0004-Planejamento e Gestão de Políticas Públicas </v>
      </c>
      <c r="N2024" t="str">
        <f t="shared" si="260"/>
        <v xml:space="preserve">1.001-Estudos, Pesquisas, Planos e Projetos </v>
      </c>
      <c r="O2024" t="str">
        <f t="shared" si="261"/>
        <v>3.3.90.48.00 - OUTROS AUXILIOS FINANCEIROS A PESSOAS FISICAS</v>
      </c>
      <c r="R2024" s="25">
        <v>1</v>
      </c>
      <c r="S2024" t="s">
        <v>1035</v>
      </c>
    </row>
    <row r="2025" spans="1:19" x14ac:dyDescent="0.25">
      <c r="A2025" t="str">
        <f t="shared" si="250"/>
        <v>24</v>
      </c>
      <c r="B2025" t="str">
        <f t="shared" si="251"/>
        <v>001</v>
      </c>
      <c r="C2025" t="str">
        <f t="shared" si="252"/>
        <v>04</v>
      </c>
      <c r="D2025" t="str">
        <f t="shared" si="253"/>
        <v>122</v>
      </c>
      <c r="E2025" t="str">
        <f t="shared" si="254"/>
        <v>0001</v>
      </c>
      <c r="F2025" t="str">
        <f t="shared" si="255"/>
        <v>1.002</v>
      </c>
      <c r="G2025" t="str">
        <f t="shared" si="256"/>
        <v>3.3.90.39.00</v>
      </c>
      <c r="H2025" t="s">
        <v>2075</v>
      </c>
      <c r="I2025" t="str">
        <f t="shared" si="262"/>
        <v>24 - SECRETARIA DE PLANEJAMENTO E GESTÃO</v>
      </c>
      <c r="J2025" t="s">
        <v>20</v>
      </c>
      <c r="K2025" t="str">
        <f t="shared" si="257"/>
        <v>4-ADMINISTRAÇÃO</v>
      </c>
      <c r="L2025" t="str">
        <f t="shared" si="258"/>
        <v>122-ADMINISTRAÇÃO GERAL</v>
      </c>
      <c r="M2025" t="str">
        <f t="shared" si="259"/>
        <v>0001-Administração e Coordenação Geral​</v>
      </c>
      <c r="N2025" t="str">
        <f t="shared" si="260"/>
        <v>1.002-Reforma e Ampliação de Unidades</v>
      </c>
      <c r="O2025" t="str">
        <f t="shared" si="261"/>
        <v>3.3.90.39.00-OUTROS SERVIÇOS DE TERCEIROS - PESSOA JURÍDICA</v>
      </c>
      <c r="R2025" s="25">
        <v>1</v>
      </c>
      <c r="S2025" t="s">
        <v>1035</v>
      </c>
    </row>
    <row r="2026" spans="1:19" x14ac:dyDescent="0.25">
      <c r="A2026" t="str">
        <f t="shared" si="250"/>
        <v>24</v>
      </c>
      <c r="B2026" t="str">
        <f t="shared" si="251"/>
        <v>001</v>
      </c>
      <c r="C2026" t="str">
        <f t="shared" si="252"/>
        <v>04</v>
      </c>
      <c r="D2026" t="str">
        <f t="shared" si="253"/>
        <v>122</v>
      </c>
      <c r="E2026" t="str">
        <f t="shared" si="254"/>
        <v>0001</v>
      </c>
      <c r="F2026" t="str">
        <f t="shared" si="255"/>
        <v>2.001</v>
      </c>
      <c r="G2026" t="str">
        <f t="shared" si="256"/>
        <v>3.1.90.11.00</v>
      </c>
      <c r="H2026" t="s">
        <v>2076</v>
      </c>
      <c r="I2026" t="str">
        <f t="shared" si="262"/>
        <v>24 - SECRETARIA DE PLANEJAMENTO E GESTÃO</v>
      </c>
      <c r="J2026" t="s">
        <v>20</v>
      </c>
      <c r="K2026" t="str">
        <f t="shared" si="257"/>
        <v>4-ADMINISTRAÇÃO</v>
      </c>
      <c r="L2026" t="str">
        <f t="shared" si="258"/>
        <v>122-ADMINISTRAÇÃO GERAL</v>
      </c>
      <c r="M2026" t="str">
        <f t="shared" si="259"/>
        <v>0001-Administração e Coordenação Geral​</v>
      </c>
      <c r="N2026" t="str">
        <f t="shared" si="260"/>
        <v>2.001-Remuneração, Benefícios e Encargos</v>
      </c>
      <c r="O2026" t="str">
        <f>G2026</f>
        <v>3.1.90.11.00</v>
      </c>
      <c r="R2026" s="25">
        <v>12567952.050000001</v>
      </c>
      <c r="S2026" t="s">
        <v>1035</v>
      </c>
    </row>
    <row r="2027" spans="1:19" x14ac:dyDescent="0.25">
      <c r="A2027" t="str">
        <f t="shared" si="250"/>
        <v>24</v>
      </c>
      <c r="B2027" t="str">
        <f t="shared" si="251"/>
        <v>001</v>
      </c>
      <c r="C2027" t="str">
        <f t="shared" si="252"/>
        <v>04</v>
      </c>
      <c r="D2027" t="str">
        <f t="shared" si="253"/>
        <v>122</v>
      </c>
      <c r="E2027" t="str">
        <f t="shared" si="254"/>
        <v>0001</v>
      </c>
      <c r="F2027" t="str">
        <f t="shared" si="255"/>
        <v>2.001</v>
      </c>
      <c r="G2027" t="str">
        <f t="shared" si="256"/>
        <v>3.1.90.13.00</v>
      </c>
      <c r="H2027" t="s">
        <v>2077</v>
      </c>
      <c r="I2027" t="str">
        <f t="shared" si="262"/>
        <v>24 - SECRETARIA DE PLANEJAMENTO E GESTÃO</v>
      </c>
      <c r="J2027" t="s">
        <v>20</v>
      </c>
      <c r="K2027" t="str">
        <f t="shared" si="257"/>
        <v>4-ADMINISTRAÇÃO</v>
      </c>
      <c r="L2027" t="str">
        <f t="shared" si="258"/>
        <v>122-ADMINISTRAÇÃO GERAL</v>
      </c>
      <c r="M2027" t="str">
        <f t="shared" si="259"/>
        <v>0001-Administração e Coordenação Geral​</v>
      </c>
      <c r="N2027" t="str">
        <f t="shared" si="260"/>
        <v>2.001-Remuneração, Benefícios e Encargos</v>
      </c>
      <c r="O2027" t="str">
        <f>G2027</f>
        <v>3.1.90.13.00</v>
      </c>
      <c r="R2027" s="25">
        <v>1886196.12</v>
      </c>
      <c r="S2027" t="s">
        <v>1035</v>
      </c>
    </row>
    <row r="2028" spans="1:19" x14ac:dyDescent="0.25">
      <c r="A2028" t="str">
        <f t="shared" si="250"/>
        <v>24</v>
      </c>
      <c r="B2028" t="str">
        <f t="shared" si="251"/>
        <v>001</v>
      </c>
      <c r="C2028" t="str">
        <f t="shared" si="252"/>
        <v>04</v>
      </c>
      <c r="D2028" t="str">
        <f t="shared" si="253"/>
        <v>122</v>
      </c>
      <c r="E2028" t="str">
        <f t="shared" si="254"/>
        <v>0001</v>
      </c>
      <c r="F2028" t="str">
        <f t="shared" si="255"/>
        <v>2.001</v>
      </c>
      <c r="G2028" t="str">
        <f t="shared" si="256"/>
        <v>3.1.91.13.00</v>
      </c>
      <c r="H2028" t="s">
        <v>2078</v>
      </c>
      <c r="I2028" t="str">
        <f t="shared" si="262"/>
        <v>24 - SECRETARIA DE PLANEJAMENTO E GESTÃO</v>
      </c>
      <c r="J2028" t="s">
        <v>20</v>
      </c>
      <c r="K2028" t="str">
        <f t="shared" si="257"/>
        <v>4-ADMINISTRAÇÃO</v>
      </c>
      <c r="L2028" t="str">
        <f t="shared" si="258"/>
        <v>122-ADMINISTRAÇÃO GERAL</v>
      </c>
      <c r="M2028" t="str">
        <f t="shared" si="259"/>
        <v>0001-Administração e Coordenação Geral​</v>
      </c>
      <c r="N2028" t="str">
        <f t="shared" si="260"/>
        <v>2.001-Remuneração, Benefícios e Encargos</v>
      </c>
      <c r="O2028" t="str">
        <f>G2028</f>
        <v>3.1.91.13.00</v>
      </c>
      <c r="R2028" s="25">
        <v>986150.97</v>
      </c>
      <c r="S2028" t="s">
        <v>1035</v>
      </c>
    </row>
    <row r="2029" spans="1:19" x14ac:dyDescent="0.25">
      <c r="A2029" t="str">
        <f t="shared" si="250"/>
        <v>24</v>
      </c>
      <c r="B2029" t="str">
        <f t="shared" si="251"/>
        <v>001</v>
      </c>
      <c r="C2029" t="str">
        <f t="shared" si="252"/>
        <v>04</v>
      </c>
      <c r="D2029" t="str">
        <f t="shared" si="253"/>
        <v>122</v>
      </c>
      <c r="E2029" t="str">
        <f t="shared" si="254"/>
        <v>0001</v>
      </c>
      <c r="F2029" t="str">
        <f t="shared" si="255"/>
        <v>2.001</v>
      </c>
      <c r="G2029" t="str">
        <f t="shared" si="256"/>
        <v>3.3.90.46.00</v>
      </c>
      <c r="H2029" t="s">
        <v>2079</v>
      </c>
      <c r="I2029" t="str">
        <f t="shared" si="262"/>
        <v>24 - SECRETARIA DE PLANEJAMENTO E GESTÃO</v>
      </c>
      <c r="J2029" t="s">
        <v>20</v>
      </c>
      <c r="K2029" t="str">
        <f t="shared" si="257"/>
        <v>4-ADMINISTRAÇÃO</v>
      </c>
      <c r="L2029" t="str">
        <f t="shared" si="258"/>
        <v>122-ADMINISTRAÇÃO GERAL</v>
      </c>
      <c r="M2029" t="str">
        <f t="shared" si="259"/>
        <v>0001-Administração e Coordenação Geral​</v>
      </c>
      <c r="N2029" t="str">
        <f t="shared" si="260"/>
        <v>2.001-Remuneração, Benefícios e Encargos</v>
      </c>
      <c r="O2029" t="str">
        <f>G2029</f>
        <v>3.3.90.46.00</v>
      </c>
      <c r="R2029" s="25">
        <v>5.45</v>
      </c>
      <c r="S2029" t="s">
        <v>1035</v>
      </c>
    </row>
    <row r="2030" spans="1:19" x14ac:dyDescent="0.25">
      <c r="A2030" t="str">
        <f t="shared" si="250"/>
        <v>24</v>
      </c>
      <c r="B2030" t="str">
        <f t="shared" si="251"/>
        <v>001</v>
      </c>
      <c r="C2030" t="str">
        <f t="shared" si="252"/>
        <v>04</v>
      </c>
      <c r="D2030" t="str">
        <f t="shared" si="253"/>
        <v>122</v>
      </c>
      <c r="E2030" t="str">
        <f t="shared" si="254"/>
        <v>0001</v>
      </c>
      <c r="F2030" t="str">
        <f t="shared" si="255"/>
        <v>2.001</v>
      </c>
      <c r="G2030" t="str">
        <f t="shared" si="256"/>
        <v>3.3.90.49.00</v>
      </c>
      <c r="H2030" t="s">
        <v>2080</v>
      </c>
      <c r="I2030" t="str">
        <f t="shared" si="262"/>
        <v>24 - SECRETARIA DE PLANEJAMENTO E GESTÃO</v>
      </c>
      <c r="J2030" t="s">
        <v>20</v>
      </c>
      <c r="K2030" t="str">
        <f t="shared" si="257"/>
        <v>4-ADMINISTRAÇÃO</v>
      </c>
      <c r="L2030" t="str">
        <f t="shared" si="258"/>
        <v>122-ADMINISTRAÇÃO GERAL</v>
      </c>
      <c r="M2030" t="str">
        <f t="shared" si="259"/>
        <v>0001-Administração e Coordenação Geral​</v>
      </c>
      <c r="N2030" t="str">
        <f t="shared" si="260"/>
        <v>2.001-Remuneração, Benefícios e Encargos</v>
      </c>
      <c r="O2030" t="str">
        <f>G2030</f>
        <v>3.3.90.49.00</v>
      </c>
      <c r="R2030" s="25">
        <v>116160.94</v>
      </c>
      <c r="S2030" t="s">
        <v>1035</v>
      </c>
    </row>
    <row r="2031" spans="1:19" x14ac:dyDescent="0.25">
      <c r="A2031" t="str">
        <f t="shared" si="250"/>
        <v>27</v>
      </c>
      <c r="B2031" t="str">
        <f t="shared" si="251"/>
        <v>001</v>
      </c>
      <c r="C2031" t="str">
        <f t="shared" si="252"/>
        <v>04</v>
      </c>
      <c r="D2031" t="str">
        <f t="shared" si="253"/>
        <v>121</v>
      </c>
      <c r="E2031" t="str">
        <f t="shared" si="254"/>
        <v>0004</v>
      </c>
      <c r="F2031" t="str">
        <f t="shared" si="255"/>
        <v>1.001</v>
      </c>
      <c r="G2031" t="str">
        <f t="shared" si="256"/>
        <v>3.3.90.35.00</v>
      </c>
      <c r="H2031" t="s">
        <v>2081</v>
      </c>
      <c r="I2031" t="str">
        <f t="shared" si="262"/>
        <v>27 - CONTROLADORIA GERAL DO MUNICÍPIO</v>
      </c>
      <c r="J2031" t="s">
        <v>20</v>
      </c>
      <c r="K2031" t="str">
        <f t="shared" si="257"/>
        <v>4-ADMINISTRAÇÃO</v>
      </c>
      <c r="L2031" t="str">
        <f t="shared" si="258"/>
        <v>121-PLANEJAMENTO E ORÇAMENTO</v>
      </c>
      <c r="M2031" t="str">
        <f t="shared" si="259"/>
        <v xml:space="preserve">0004-Planejamento e Gestão de Políticas Públicas </v>
      </c>
      <c r="N2031" t="str">
        <f t="shared" si="260"/>
        <v xml:space="preserve">1.001-Estudos, Pesquisas, Planos e Projetos </v>
      </c>
      <c r="O2031" t="str">
        <f t="shared" si="261"/>
        <v>3.3.90.35.00-SERVIÇOS DE CONSULTORIA</v>
      </c>
      <c r="R2031" s="25">
        <v>1</v>
      </c>
      <c r="S2031" t="s">
        <v>1035</v>
      </c>
    </row>
    <row r="2032" spans="1:19" x14ac:dyDescent="0.25">
      <c r="A2032" t="str">
        <f t="shared" si="250"/>
        <v>27</v>
      </c>
      <c r="B2032" t="str">
        <f t="shared" si="251"/>
        <v>001</v>
      </c>
      <c r="C2032" t="str">
        <f t="shared" si="252"/>
        <v>04</v>
      </c>
      <c r="D2032" t="str">
        <f t="shared" si="253"/>
        <v>121</v>
      </c>
      <c r="E2032" t="str">
        <f t="shared" si="254"/>
        <v>0004</v>
      </c>
      <c r="F2032" t="str">
        <f t="shared" si="255"/>
        <v>1.001</v>
      </c>
      <c r="G2032" t="str">
        <f t="shared" si="256"/>
        <v>3.3.90.39.00</v>
      </c>
      <c r="H2032" t="s">
        <v>2082</v>
      </c>
      <c r="I2032" t="str">
        <f t="shared" si="262"/>
        <v>27 - CONTROLADORIA GERAL DO MUNICÍPIO</v>
      </c>
      <c r="J2032" t="s">
        <v>20</v>
      </c>
      <c r="K2032" t="str">
        <f t="shared" si="257"/>
        <v>4-ADMINISTRAÇÃO</v>
      </c>
      <c r="L2032" t="str">
        <f t="shared" si="258"/>
        <v>121-PLANEJAMENTO E ORÇAMENTO</v>
      </c>
      <c r="M2032" t="str">
        <f t="shared" si="259"/>
        <v xml:space="preserve">0004-Planejamento e Gestão de Políticas Públicas </v>
      </c>
      <c r="N2032" t="str">
        <f t="shared" si="260"/>
        <v xml:space="preserve">1.001-Estudos, Pesquisas, Planos e Projetos </v>
      </c>
      <c r="O2032" t="str">
        <f t="shared" si="261"/>
        <v>3.3.90.39.00-OUTROS SERVIÇOS DE TERCEIROS - PESSOA JURÍDICA</v>
      </c>
      <c r="R2032" s="25">
        <v>1</v>
      </c>
      <c r="S2032" t="s">
        <v>1035</v>
      </c>
    </row>
    <row r="2033" spans="1:19" x14ac:dyDescent="0.25">
      <c r="A2033" t="str">
        <f t="shared" si="250"/>
        <v>27</v>
      </c>
      <c r="B2033" t="str">
        <f t="shared" si="251"/>
        <v>001</v>
      </c>
      <c r="C2033" t="str">
        <f t="shared" si="252"/>
        <v>04</v>
      </c>
      <c r="D2033" t="str">
        <f t="shared" si="253"/>
        <v>122</v>
      </c>
      <c r="E2033" t="str">
        <f t="shared" si="254"/>
        <v>0001</v>
      </c>
      <c r="F2033" t="str">
        <f t="shared" si="255"/>
        <v>1.002</v>
      </c>
      <c r="G2033" t="str">
        <f t="shared" si="256"/>
        <v>3.3.90.39.00</v>
      </c>
      <c r="H2033" t="s">
        <v>2083</v>
      </c>
      <c r="I2033" t="str">
        <f t="shared" si="262"/>
        <v>27 - CONTROLADORIA GERAL DO MUNICÍPIO</v>
      </c>
      <c r="J2033" t="s">
        <v>20</v>
      </c>
      <c r="K2033" t="str">
        <f t="shared" si="257"/>
        <v>4-ADMINISTRAÇÃO</v>
      </c>
      <c r="L2033" t="str">
        <f t="shared" si="258"/>
        <v>122-ADMINISTRAÇÃO GERAL</v>
      </c>
      <c r="M2033" t="str">
        <f t="shared" si="259"/>
        <v>0001-Administração e Coordenação Geral​</v>
      </c>
      <c r="N2033" t="str">
        <f t="shared" si="260"/>
        <v>1.002-Reforma e Ampliação de Unidades</v>
      </c>
      <c r="O2033" t="str">
        <f t="shared" si="261"/>
        <v>3.3.90.39.00-OUTROS SERVIÇOS DE TERCEIROS - PESSOA JURÍDICA</v>
      </c>
      <c r="R2033" s="25">
        <v>1</v>
      </c>
      <c r="S2033" t="s">
        <v>1035</v>
      </c>
    </row>
    <row r="2034" spans="1:19" x14ac:dyDescent="0.25">
      <c r="A2034" t="str">
        <f t="shared" si="250"/>
        <v>27</v>
      </c>
      <c r="B2034" t="str">
        <f t="shared" si="251"/>
        <v>001</v>
      </c>
      <c r="C2034" t="str">
        <f t="shared" si="252"/>
        <v>04</v>
      </c>
      <c r="D2034" t="str">
        <f t="shared" si="253"/>
        <v>122</v>
      </c>
      <c r="E2034" t="str">
        <f t="shared" si="254"/>
        <v>0001</v>
      </c>
      <c r="F2034" t="str">
        <f t="shared" si="255"/>
        <v>2.001</v>
      </c>
      <c r="G2034" t="str">
        <f t="shared" si="256"/>
        <v>3.1.90.11.00</v>
      </c>
      <c r="H2034" t="s">
        <v>2084</v>
      </c>
      <c r="I2034" t="str">
        <f t="shared" si="262"/>
        <v>27 - CONTROLADORIA GERAL DO MUNICÍPIO</v>
      </c>
      <c r="J2034" t="s">
        <v>20</v>
      </c>
      <c r="K2034" t="str">
        <f t="shared" si="257"/>
        <v>4-ADMINISTRAÇÃO</v>
      </c>
      <c r="L2034" t="str">
        <f t="shared" si="258"/>
        <v>122-ADMINISTRAÇÃO GERAL</v>
      </c>
      <c r="M2034" t="str">
        <f t="shared" si="259"/>
        <v>0001-Administração e Coordenação Geral​</v>
      </c>
      <c r="N2034" t="str">
        <f t="shared" si="260"/>
        <v>2.001-Remuneração, Benefícios e Encargos</v>
      </c>
      <c r="O2034" t="str">
        <f>G2034</f>
        <v>3.1.90.11.00</v>
      </c>
      <c r="R2034" s="25">
        <v>5413192.4299999997</v>
      </c>
      <c r="S2034" t="s">
        <v>1035</v>
      </c>
    </row>
    <row r="2035" spans="1:19" x14ac:dyDescent="0.25">
      <c r="A2035" t="str">
        <f t="shared" si="250"/>
        <v>27</v>
      </c>
      <c r="B2035" t="str">
        <f t="shared" si="251"/>
        <v>001</v>
      </c>
      <c r="C2035" t="str">
        <f t="shared" si="252"/>
        <v>04</v>
      </c>
      <c r="D2035" t="str">
        <f t="shared" si="253"/>
        <v>122</v>
      </c>
      <c r="E2035" t="str">
        <f t="shared" si="254"/>
        <v>0001</v>
      </c>
      <c r="F2035" t="str">
        <f t="shared" si="255"/>
        <v>2.001</v>
      </c>
      <c r="G2035" t="str">
        <f t="shared" si="256"/>
        <v>3.1.90.13.00</v>
      </c>
      <c r="H2035" t="s">
        <v>2085</v>
      </c>
      <c r="I2035" t="str">
        <f t="shared" si="262"/>
        <v>27 - CONTROLADORIA GERAL DO MUNICÍPIO</v>
      </c>
      <c r="J2035" t="s">
        <v>20</v>
      </c>
      <c r="K2035" t="str">
        <f t="shared" si="257"/>
        <v>4-ADMINISTRAÇÃO</v>
      </c>
      <c r="L2035" t="str">
        <f t="shared" si="258"/>
        <v>122-ADMINISTRAÇÃO GERAL</v>
      </c>
      <c r="M2035" t="str">
        <f t="shared" si="259"/>
        <v>0001-Administração e Coordenação Geral​</v>
      </c>
      <c r="N2035" t="str">
        <f t="shared" si="260"/>
        <v>2.001-Remuneração, Benefícios e Encargos</v>
      </c>
      <c r="O2035" t="str">
        <f>G2035</f>
        <v>3.1.90.13.00</v>
      </c>
      <c r="R2035" s="25">
        <v>131523.76</v>
      </c>
      <c r="S2035" t="s">
        <v>1035</v>
      </c>
    </row>
    <row r="2036" spans="1:19" x14ac:dyDescent="0.25">
      <c r="A2036" t="str">
        <f t="shared" si="250"/>
        <v>27</v>
      </c>
      <c r="B2036" t="str">
        <f t="shared" si="251"/>
        <v>001</v>
      </c>
      <c r="C2036" t="str">
        <f t="shared" si="252"/>
        <v>04</v>
      </c>
      <c r="D2036" t="str">
        <f t="shared" si="253"/>
        <v>122</v>
      </c>
      <c r="E2036" t="str">
        <f t="shared" si="254"/>
        <v>0001</v>
      </c>
      <c r="F2036" t="str">
        <f t="shared" si="255"/>
        <v>2.001</v>
      </c>
      <c r="G2036" t="str">
        <f t="shared" si="256"/>
        <v>3.1.91.13.00</v>
      </c>
      <c r="H2036" t="s">
        <v>2086</v>
      </c>
      <c r="I2036" t="str">
        <f t="shared" si="262"/>
        <v>27 - CONTROLADORIA GERAL DO MUNICÍPIO</v>
      </c>
      <c r="J2036" t="s">
        <v>20</v>
      </c>
      <c r="K2036" t="str">
        <f t="shared" si="257"/>
        <v>4-ADMINISTRAÇÃO</v>
      </c>
      <c r="L2036" t="str">
        <f t="shared" si="258"/>
        <v>122-ADMINISTRAÇÃO GERAL</v>
      </c>
      <c r="M2036" t="str">
        <f t="shared" si="259"/>
        <v>0001-Administração e Coordenação Geral​</v>
      </c>
      <c r="N2036" t="str">
        <f t="shared" si="260"/>
        <v>2.001-Remuneração, Benefícios e Encargos</v>
      </c>
      <c r="O2036" t="str">
        <f>G2036</f>
        <v>3.1.91.13.00</v>
      </c>
      <c r="R2036" s="25">
        <v>578147.75</v>
      </c>
      <c r="S2036" t="s">
        <v>1035</v>
      </c>
    </row>
    <row r="2037" spans="1:19" x14ac:dyDescent="0.25">
      <c r="A2037" t="str">
        <f t="shared" si="250"/>
        <v>27</v>
      </c>
      <c r="B2037" t="str">
        <f t="shared" si="251"/>
        <v>001</v>
      </c>
      <c r="C2037" t="str">
        <f t="shared" si="252"/>
        <v>04</v>
      </c>
      <c r="D2037" t="str">
        <f t="shared" si="253"/>
        <v>122</v>
      </c>
      <c r="E2037" t="str">
        <f t="shared" si="254"/>
        <v>0001</v>
      </c>
      <c r="F2037" t="str">
        <f t="shared" si="255"/>
        <v>2.001</v>
      </c>
      <c r="G2037" t="str">
        <f t="shared" si="256"/>
        <v>3.3.90.46.00</v>
      </c>
      <c r="H2037" t="s">
        <v>2087</v>
      </c>
      <c r="I2037" t="str">
        <f t="shared" si="262"/>
        <v>27 - CONTROLADORIA GERAL DO MUNICÍPIO</v>
      </c>
      <c r="J2037" t="s">
        <v>20</v>
      </c>
      <c r="K2037" t="str">
        <f t="shared" si="257"/>
        <v>4-ADMINISTRAÇÃO</v>
      </c>
      <c r="L2037" t="str">
        <f t="shared" si="258"/>
        <v>122-ADMINISTRAÇÃO GERAL</v>
      </c>
      <c r="M2037" t="str">
        <f t="shared" si="259"/>
        <v>0001-Administração e Coordenação Geral​</v>
      </c>
      <c r="N2037" t="str">
        <f t="shared" si="260"/>
        <v>2.001-Remuneração, Benefícios e Encargos</v>
      </c>
      <c r="O2037" t="str">
        <f>G2037</f>
        <v>3.3.90.46.00</v>
      </c>
      <c r="R2037" s="25">
        <v>3.71</v>
      </c>
      <c r="S2037" t="s">
        <v>1035</v>
      </c>
    </row>
    <row r="2038" spans="1:19" x14ac:dyDescent="0.25">
      <c r="A2038" t="str">
        <f t="shared" si="250"/>
        <v>27</v>
      </c>
      <c r="B2038" t="str">
        <f t="shared" si="251"/>
        <v>001</v>
      </c>
      <c r="C2038" t="str">
        <f t="shared" si="252"/>
        <v>04</v>
      </c>
      <c r="D2038" t="str">
        <f t="shared" si="253"/>
        <v>122</v>
      </c>
      <c r="E2038" t="str">
        <f t="shared" si="254"/>
        <v>0001</v>
      </c>
      <c r="F2038" t="str">
        <f t="shared" si="255"/>
        <v>2.001</v>
      </c>
      <c r="G2038" t="str">
        <f t="shared" si="256"/>
        <v>3.3.90.49.00</v>
      </c>
      <c r="H2038" t="s">
        <v>2088</v>
      </c>
      <c r="I2038" t="str">
        <f t="shared" si="262"/>
        <v>27 - CONTROLADORIA GERAL DO MUNICÍPIO</v>
      </c>
      <c r="J2038" t="s">
        <v>20</v>
      </c>
      <c r="K2038" t="str">
        <f t="shared" si="257"/>
        <v>4-ADMINISTRAÇÃO</v>
      </c>
      <c r="L2038" t="str">
        <f t="shared" si="258"/>
        <v>122-ADMINISTRAÇÃO GERAL</v>
      </c>
      <c r="M2038" t="str">
        <f t="shared" si="259"/>
        <v>0001-Administração e Coordenação Geral​</v>
      </c>
      <c r="N2038" t="str">
        <f t="shared" si="260"/>
        <v>2.001-Remuneração, Benefícios e Encargos</v>
      </c>
      <c r="O2038" t="str">
        <f>G2038</f>
        <v>3.3.90.49.00</v>
      </c>
      <c r="R2038" s="25">
        <v>65219.55</v>
      </c>
      <c r="S2038" t="s">
        <v>1035</v>
      </c>
    </row>
    <row r="2039" spans="1:19" x14ac:dyDescent="0.25">
      <c r="A2039" t="str">
        <f t="shared" si="250"/>
        <v>28</v>
      </c>
      <c r="B2039" t="str">
        <f t="shared" si="251"/>
        <v>001</v>
      </c>
      <c r="C2039" t="str">
        <f t="shared" si="252"/>
        <v>04</v>
      </c>
      <c r="D2039" t="str">
        <f t="shared" si="253"/>
        <v>121</v>
      </c>
      <c r="E2039" t="str">
        <f t="shared" si="254"/>
        <v>0004</v>
      </c>
      <c r="F2039" t="str">
        <f t="shared" si="255"/>
        <v>1.001</v>
      </c>
      <c r="G2039" t="str">
        <f t="shared" si="256"/>
        <v>3.3.90.35.00</v>
      </c>
      <c r="H2039" t="s">
        <v>2089</v>
      </c>
      <c r="I2039" t="str">
        <f t="shared" si="262"/>
        <v>28 - SECRETARIA DE GOVERNO</v>
      </c>
      <c r="J2039" t="s">
        <v>20</v>
      </c>
      <c r="K2039" t="str">
        <f t="shared" si="257"/>
        <v>4-ADMINISTRAÇÃO</v>
      </c>
      <c r="L2039" t="str">
        <f t="shared" si="258"/>
        <v>121-PLANEJAMENTO E ORÇAMENTO</v>
      </c>
      <c r="M2039" t="str">
        <f t="shared" si="259"/>
        <v xml:space="preserve">0004-Planejamento e Gestão de Políticas Públicas </v>
      </c>
      <c r="N2039" t="str">
        <f t="shared" si="260"/>
        <v xml:space="preserve">1.001-Estudos, Pesquisas, Planos e Projetos </v>
      </c>
      <c r="O2039" t="str">
        <f t="shared" si="261"/>
        <v>3.3.90.35.00-SERVIÇOS DE CONSULTORIA</v>
      </c>
      <c r="R2039" s="25">
        <v>1</v>
      </c>
      <c r="S2039" t="s">
        <v>1035</v>
      </c>
    </row>
    <row r="2040" spans="1:19" x14ac:dyDescent="0.25">
      <c r="A2040" t="str">
        <f t="shared" si="250"/>
        <v>28</v>
      </c>
      <c r="B2040" t="str">
        <f t="shared" si="251"/>
        <v>001</v>
      </c>
      <c r="C2040" t="str">
        <f t="shared" si="252"/>
        <v>04</v>
      </c>
      <c r="D2040" t="str">
        <f t="shared" si="253"/>
        <v>122</v>
      </c>
      <c r="E2040" t="str">
        <f t="shared" si="254"/>
        <v>0001</v>
      </c>
      <c r="F2040" t="str">
        <f t="shared" si="255"/>
        <v>1.002</v>
      </c>
      <c r="G2040" t="str">
        <f t="shared" si="256"/>
        <v>3.3.90.39.00</v>
      </c>
      <c r="H2040" t="s">
        <v>2090</v>
      </c>
      <c r="I2040" t="str">
        <f t="shared" si="262"/>
        <v>28 - SECRETARIA DE GOVERNO</v>
      </c>
      <c r="J2040" t="s">
        <v>20</v>
      </c>
      <c r="K2040" t="str">
        <f t="shared" si="257"/>
        <v>4-ADMINISTRAÇÃO</v>
      </c>
      <c r="L2040" t="str">
        <f t="shared" si="258"/>
        <v>122-ADMINISTRAÇÃO GERAL</v>
      </c>
      <c r="M2040" t="str">
        <f t="shared" si="259"/>
        <v>0001-Administração e Coordenação Geral​</v>
      </c>
      <c r="N2040" t="str">
        <f t="shared" si="260"/>
        <v>1.002-Reforma e Ampliação de Unidades</v>
      </c>
      <c r="O2040" t="str">
        <f t="shared" si="261"/>
        <v>3.3.90.39.00-OUTROS SERVIÇOS DE TERCEIROS - PESSOA JURÍDICA</v>
      </c>
      <c r="R2040" s="25">
        <v>2</v>
      </c>
      <c r="S2040" t="s">
        <v>1035</v>
      </c>
    </row>
    <row r="2041" spans="1:19" x14ac:dyDescent="0.25">
      <c r="A2041" t="str">
        <f t="shared" si="250"/>
        <v>28</v>
      </c>
      <c r="B2041" t="str">
        <f t="shared" si="251"/>
        <v>001</v>
      </c>
      <c r="C2041" t="str">
        <f t="shared" si="252"/>
        <v>04</v>
      </c>
      <c r="D2041" t="str">
        <f t="shared" si="253"/>
        <v>122</v>
      </c>
      <c r="E2041" t="str">
        <f t="shared" si="254"/>
        <v>0001</v>
      </c>
      <c r="F2041" t="str">
        <f t="shared" si="255"/>
        <v>2.001</v>
      </c>
      <c r="G2041" t="str">
        <f t="shared" si="256"/>
        <v>3.1.90.11.00</v>
      </c>
      <c r="H2041" t="s">
        <v>2091</v>
      </c>
      <c r="I2041" t="str">
        <f t="shared" si="262"/>
        <v>28 - SECRETARIA DE GOVERNO</v>
      </c>
      <c r="J2041" t="s">
        <v>20</v>
      </c>
      <c r="K2041" t="str">
        <f t="shared" si="257"/>
        <v>4-ADMINISTRAÇÃO</v>
      </c>
      <c r="L2041" t="str">
        <f t="shared" si="258"/>
        <v>122-ADMINISTRAÇÃO GERAL</v>
      </c>
      <c r="M2041" t="str">
        <f t="shared" si="259"/>
        <v>0001-Administração e Coordenação Geral​</v>
      </c>
      <c r="N2041" t="str">
        <f t="shared" si="260"/>
        <v>2.001-Remuneração, Benefícios e Encargos</v>
      </c>
      <c r="O2041" t="str">
        <f t="shared" ref="O2041:O2049" si="263">G2041</f>
        <v>3.1.90.11.00</v>
      </c>
      <c r="R2041" s="25">
        <v>18927314.100000001</v>
      </c>
      <c r="S2041" t="s">
        <v>1035</v>
      </c>
    </row>
    <row r="2042" spans="1:19" x14ac:dyDescent="0.25">
      <c r="A2042" t="str">
        <f t="shared" si="250"/>
        <v>28</v>
      </c>
      <c r="B2042" t="str">
        <f t="shared" si="251"/>
        <v>001</v>
      </c>
      <c r="C2042" t="str">
        <f t="shared" si="252"/>
        <v>04</v>
      </c>
      <c r="D2042" t="str">
        <f t="shared" si="253"/>
        <v>122</v>
      </c>
      <c r="E2042" t="str">
        <f t="shared" si="254"/>
        <v>0001</v>
      </c>
      <c r="F2042" t="str">
        <f t="shared" si="255"/>
        <v>2.001</v>
      </c>
      <c r="G2042" t="str">
        <f t="shared" si="256"/>
        <v>3.1.90.13.00</v>
      </c>
      <c r="H2042" t="s">
        <v>2092</v>
      </c>
      <c r="I2042" t="str">
        <f t="shared" si="262"/>
        <v>28 - SECRETARIA DE GOVERNO</v>
      </c>
      <c r="J2042" t="s">
        <v>20</v>
      </c>
      <c r="K2042" t="str">
        <f t="shared" si="257"/>
        <v>4-ADMINISTRAÇÃO</v>
      </c>
      <c r="L2042" t="str">
        <f t="shared" si="258"/>
        <v>122-ADMINISTRAÇÃO GERAL</v>
      </c>
      <c r="M2042" t="str">
        <f t="shared" si="259"/>
        <v>0001-Administração e Coordenação Geral​</v>
      </c>
      <c r="N2042" t="str">
        <f t="shared" si="260"/>
        <v>2.001-Remuneração, Benefícios e Encargos</v>
      </c>
      <c r="O2042" t="str">
        <f t="shared" si="263"/>
        <v>3.1.90.13.00</v>
      </c>
      <c r="R2042" s="25">
        <v>1567703.65</v>
      </c>
      <c r="S2042" t="s">
        <v>1035</v>
      </c>
    </row>
    <row r="2043" spans="1:19" x14ac:dyDescent="0.25">
      <c r="A2043" t="str">
        <f t="shared" si="250"/>
        <v>28</v>
      </c>
      <c r="B2043" t="str">
        <f t="shared" si="251"/>
        <v>001</v>
      </c>
      <c r="C2043" t="str">
        <f t="shared" si="252"/>
        <v>04</v>
      </c>
      <c r="D2043" t="str">
        <f t="shared" si="253"/>
        <v>122</v>
      </c>
      <c r="E2043" t="str">
        <f t="shared" si="254"/>
        <v>0001</v>
      </c>
      <c r="F2043" t="str">
        <f t="shared" si="255"/>
        <v>2.001</v>
      </c>
      <c r="G2043" t="str">
        <f t="shared" si="256"/>
        <v>3.1.91.13.00</v>
      </c>
      <c r="H2043" t="s">
        <v>2093</v>
      </c>
      <c r="I2043" t="str">
        <f t="shared" si="262"/>
        <v>28 - SECRETARIA DE GOVERNO</v>
      </c>
      <c r="J2043" t="s">
        <v>20</v>
      </c>
      <c r="K2043" t="str">
        <f t="shared" si="257"/>
        <v>4-ADMINISTRAÇÃO</v>
      </c>
      <c r="L2043" t="str">
        <f t="shared" si="258"/>
        <v>122-ADMINISTRAÇÃO GERAL</v>
      </c>
      <c r="M2043" t="str">
        <f t="shared" si="259"/>
        <v>0001-Administração e Coordenação Geral​</v>
      </c>
      <c r="N2043" t="str">
        <f t="shared" si="260"/>
        <v>2.001-Remuneração, Benefícios e Encargos</v>
      </c>
      <c r="O2043" t="str">
        <f t="shared" si="263"/>
        <v>3.1.91.13.00</v>
      </c>
      <c r="R2043" s="25">
        <v>1961738.73</v>
      </c>
      <c r="S2043" t="s">
        <v>1035</v>
      </c>
    </row>
    <row r="2044" spans="1:19" x14ac:dyDescent="0.25">
      <c r="A2044" t="str">
        <f t="shared" si="250"/>
        <v>28</v>
      </c>
      <c r="B2044" t="str">
        <f t="shared" si="251"/>
        <v>001</v>
      </c>
      <c r="C2044" t="str">
        <f t="shared" si="252"/>
        <v>04</v>
      </c>
      <c r="D2044" t="str">
        <f t="shared" si="253"/>
        <v>122</v>
      </c>
      <c r="E2044" t="str">
        <f t="shared" si="254"/>
        <v>0001</v>
      </c>
      <c r="F2044" t="str">
        <f t="shared" si="255"/>
        <v>2.001</v>
      </c>
      <c r="G2044" t="str">
        <f t="shared" si="256"/>
        <v>3.3.90.49.00</v>
      </c>
      <c r="H2044" t="s">
        <v>2094</v>
      </c>
      <c r="I2044" t="str">
        <f t="shared" si="262"/>
        <v>28 - SECRETARIA DE GOVERNO</v>
      </c>
      <c r="J2044" t="s">
        <v>20</v>
      </c>
      <c r="K2044" t="str">
        <f t="shared" si="257"/>
        <v>4-ADMINISTRAÇÃO</v>
      </c>
      <c r="L2044" t="str">
        <f t="shared" si="258"/>
        <v>122-ADMINISTRAÇÃO GERAL</v>
      </c>
      <c r="M2044" t="str">
        <f t="shared" si="259"/>
        <v>0001-Administração e Coordenação Geral​</v>
      </c>
      <c r="N2044" t="str">
        <f t="shared" si="260"/>
        <v>2.001-Remuneração, Benefícios e Encargos</v>
      </c>
      <c r="O2044" t="str">
        <f t="shared" si="263"/>
        <v>3.3.90.49.00</v>
      </c>
      <c r="R2044" s="25">
        <v>101863.56</v>
      </c>
      <c r="S2044" t="s">
        <v>1035</v>
      </c>
    </row>
    <row r="2045" spans="1:19" x14ac:dyDescent="0.25">
      <c r="A2045" t="str">
        <f t="shared" si="250"/>
        <v>29</v>
      </c>
      <c r="B2045" t="str">
        <f t="shared" si="251"/>
        <v>001</v>
      </c>
      <c r="C2045" t="str">
        <f t="shared" si="252"/>
        <v>04</v>
      </c>
      <c r="D2045" t="str">
        <f t="shared" si="253"/>
        <v>122</v>
      </c>
      <c r="E2045" t="str">
        <f t="shared" si="254"/>
        <v>0001</v>
      </c>
      <c r="F2045" t="str">
        <f t="shared" si="255"/>
        <v>2.001</v>
      </c>
      <c r="G2045" t="str">
        <f t="shared" si="256"/>
        <v>3.1.90.11.00</v>
      </c>
      <c r="H2045" t="s">
        <v>2095</v>
      </c>
      <c r="I2045" t="s">
        <v>1528</v>
      </c>
      <c r="J2045" t="s">
        <v>20</v>
      </c>
      <c r="K2045" t="str">
        <f t="shared" si="257"/>
        <v>4-ADMINISTRAÇÃO</v>
      </c>
      <c r="L2045" t="str">
        <f t="shared" si="258"/>
        <v>122-ADMINISTRAÇÃO GERAL</v>
      </c>
      <c r="M2045" t="str">
        <f t="shared" si="259"/>
        <v>0001-Administração e Coordenação Geral​</v>
      </c>
      <c r="N2045" t="str">
        <f t="shared" si="260"/>
        <v>2.001-Remuneração, Benefícios e Encargos</v>
      </c>
      <c r="O2045" t="str">
        <f t="shared" si="263"/>
        <v>3.1.90.11.00</v>
      </c>
      <c r="R2045" s="25">
        <v>5916025.21</v>
      </c>
      <c r="S2045" t="s">
        <v>1035</v>
      </c>
    </row>
    <row r="2046" spans="1:19" x14ac:dyDescent="0.25">
      <c r="A2046" t="str">
        <f t="shared" si="250"/>
        <v>29</v>
      </c>
      <c r="B2046" t="str">
        <f t="shared" si="251"/>
        <v>001</v>
      </c>
      <c r="C2046" t="str">
        <f t="shared" si="252"/>
        <v>04</v>
      </c>
      <c r="D2046" t="str">
        <f t="shared" si="253"/>
        <v>122</v>
      </c>
      <c r="E2046" t="str">
        <f t="shared" si="254"/>
        <v>0001</v>
      </c>
      <c r="F2046" t="str">
        <f t="shared" si="255"/>
        <v>2.001</v>
      </c>
      <c r="G2046" t="str">
        <f t="shared" si="256"/>
        <v>3.1.90.13.00</v>
      </c>
      <c r="H2046" t="s">
        <v>2096</v>
      </c>
      <c r="I2046" t="s">
        <v>1528</v>
      </c>
      <c r="J2046" t="s">
        <v>20</v>
      </c>
      <c r="K2046" t="str">
        <f t="shared" si="257"/>
        <v>4-ADMINISTRAÇÃO</v>
      </c>
      <c r="L2046" t="str">
        <f t="shared" si="258"/>
        <v>122-ADMINISTRAÇÃO GERAL</v>
      </c>
      <c r="M2046" t="str">
        <f t="shared" si="259"/>
        <v>0001-Administração e Coordenação Geral​</v>
      </c>
      <c r="N2046" t="str">
        <f t="shared" si="260"/>
        <v>2.001-Remuneração, Benefícios e Encargos</v>
      </c>
      <c r="O2046" t="str">
        <f t="shared" si="263"/>
        <v>3.1.90.13.00</v>
      </c>
      <c r="R2046" s="25">
        <v>1115527.1000000001</v>
      </c>
      <c r="S2046" t="s">
        <v>1035</v>
      </c>
    </row>
    <row r="2047" spans="1:19" x14ac:dyDescent="0.25">
      <c r="A2047" t="str">
        <f t="shared" si="250"/>
        <v>29</v>
      </c>
      <c r="B2047" t="str">
        <f t="shared" si="251"/>
        <v>001</v>
      </c>
      <c r="C2047" t="str">
        <f t="shared" si="252"/>
        <v>04</v>
      </c>
      <c r="D2047" t="str">
        <f t="shared" si="253"/>
        <v>122</v>
      </c>
      <c r="E2047" t="str">
        <f t="shared" si="254"/>
        <v>0001</v>
      </c>
      <c r="F2047" t="str">
        <f t="shared" si="255"/>
        <v>2.001</v>
      </c>
      <c r="G2047" t="str">
        <f t="shared" si="256"/>
        <v>3.1.91.13.00</v>
      </c>
      <c r="H2047" t="s">
        <v>2097</v>
      </c>
      <c r="I2047" t="s">
        <v>1528</v>
      </c>
      <c r="J2047" t="s">
        <v>20</v>
      </c>
      <c r="K2047" t="str">
        <f t="shared" si="257"/>
        <v>4-ADMINISTRAÇÃO</v>
      </c>
      <c r="L2047" t="str">
        <f t="shared" si="258"/>
        <v>122-ADMINISTRAÇÃO GERAL</v>
      </c>
      <c r="M2047" t="str">
        <f t="shared" si="259"/>
        <v>0001-Administração e Coordenação Geral​</v>
      </c>
      <c r="N2047" t="str">
        <f t="shared" si="260"/>
        <v>2.001-Remuneração, Benefícios e Encargos</v>
      </c>
      <c r="O2047" t="str">
        <f t="shared" si="263"/>
        <v>3.1.91.13.00</v>
      </c>
      <c r="R2047" s="25">
        <v>230249.16</v>
      </c>
      <c r="S2047" t="s">
        <v>1035</v>
      </c>
    </row>
    <row r="2048" spans="1:19" x14ac:dyDescent="0.25">
      <c r="A2048" t="str">
        <f t="shared" si="250"/>
        <v>29</v>
      </c>
      <c r="B2048" t="str">
        <f t="shared" si="251"/>
        <v>001</v>
      </c>
      <c r="C2048" t="str">
        <f t="shared" si="252"/>
        <v>04</v>
      </c>
      <c r="D2048" t="str">
        <f t="shared" si="253"/>
        <v>122</v>
      </c>
      <c r="E2048" t="str">
        <f t="shared" si="254"/>
        <v>0001</v>
      </c>
      <c r="F2048" t="str">
        <f t="shared" si="255"/>
        <v>2.001</v>
      </c>
      <c r="G2048" t="str">
        <f t="shared" si="256"/>
        <v>3.3.90.46.00</v>
      </c>
      <c r="H2048" t="s">
        <v>2098</v>
      </c>
      <c r="I2048" t="s">
        <v>1528</v>
      </c>
      <c r="J2048" t="s">
        <v>20</v>
      </c>
      <c r="K2048" t="str">
        <f t="shared" si="257"/>
        <v>4-ADMINISTRAÇÃO</v>
      </c>
      <c r="L2048" t="str">
        <f t="shared" si="258"/>
        <v>122-ADMINISTRAÇÃO GERAL</v>
      </c>
      <c r="M2048" t="str">
        <f t="shared" si="259"/>
        <v>0001-Administração e Coordenação Geral​</v>
      </c>
      <c r="N2048" t="str">
        <f t="shared" si="260"/>
        <v>2.001-Remuneração, Benefícios e Encargos</v>
      </c>
      <c r="O2048" t="str">
        <f t="shared" si="263"/>
        <v>3.3.90.46.00</v>
      </c>
      <c r="R2048" s="25">
        <v>3.33</v>
      </c>
      <c r="S2048" t="s">
        <v>1035</v>
      </c>
    </row>
    <row r="2049" spans="1:19" x14ac:dyDescent="0.25">
      <c r="A2049" t="str">
        <f t="shared" si="250"/>
        <v>29</v>
      </c>
      <c r="B2049" t="str">
        <f t="shared" si="251"/>
        <v>001</v>
      </c>
      <c r="C2049" t="str">
        <f t="shared" si="252"/>
        <v>04</v>
      </c>
      <c r="D2049" t="str">
        <f t="shared" si="253"/>
        <v>122</v>
      </c>
      <c r="E2049" t="str">
        <f t="shared" si="254"/>
        <v>0001</v>
      </c>
      <c r="F2049" t="str">
        <f t="shared" si="255"/>
        <v>2.001</v>
      </c>
      <c r="G2049" t="str">
        <f t="shared" si="256"/>
        <v>3.3.90.49.00</v>
      </c>
      <c r="H2049" t="s">
        <v>2099</v>
      </c>
      <c r="I2049" t="s">
        <v>1528</v>
      </c>
      <c r="J2049" t="s">
        <v>20</v>
      </c>
      <c r="K2049" t="str">
        <f t="shared" si="257"/>
        <v>4-ADMINISTRAÇÃO</v>
      </c>
      <c r="L2049" t="str">
        <f t="shared" si="258"/>
        <v>122-ADMINISTRAÇÃO GERAL</v>
      </c>
      <c r="M2049" t="str">
        <f t="shared" si="259"/>
        <v>0001-Administração e Coordenação Geral​</v>
      </c>
      <c r="N2049" t="str">
        <f t="shared" si="260"/>
        <v>2.001-Remuneração, Benefícios e Encargos</v>
      </c>
      <c r="O2049" t="str">
        <f t="shared" si="263"/>
        <v>3.3.90.49.00</v>
      </c>
      <c r="R2049" s="25">
        <v>49690.21</v>
      </c>
      <c r="S2049" t="s">
        <v>1035</v>
      </c>
    </row>
    <row r="2050" spans="1:19" x14ac:dyDescent="0.25">
      <c r="A2050" t="str">
        <f t="shared" si="250"/>
        <v>29</v>
      </c>
      <c r="B2050" t="str">
        <f t="shared" si="251"/>
        <v>001</v>
      </c>
      <c r="C2050" t="str">
        <f t="shared" si="252"/>
        <v>14</v>
      </c>
      <c r="D2050" t="str">
        <f t="shared" si="253"/>
        <v>243</v>
      </c>
      <c r="E2050" t="str">
        <f t="shared" si="254"/>
        <v>0001</v>
      </c>
      <c r="F2050" t="str">
        <f t="shared" si="255"/>
        <v>1.002</v>
      </c>
      <c r="G2050" t="str">
        <f t="shared" si="256"/>
        <v>3.3.90.39.00</v>
      </c>
      <c r="H2050" t="s">
        <v>2100</v>
      </c>
      <c r="I2050" t="s">
        <v>1528</v>
      </c>
      <c r="J2050" t="s">
        <v>20</v>
      </c>
      <c r="K2050" t="str">
        <f t="shared" si="257"/>
        <v>14-DIREITOS DA CIDADANIA</v>
      </c>
      <c r="L2050" t="str">
        <f>D2050</f>
        <v>243</v>
      </c>
      <c r="M2050" t="str">
        <f t="shared" si="259"/>
        <v>0001-Administração e Coordenação Geral​</v>
      </c>
      <c r="N2050" t="str">
        <f t="shared" si="260"/>
        <v>1.002-Reforma e Ampliação de Unidades</v>
      </c>
      <c r="O2050" t="str">
        <f t="shared" si="261"/>
        <v>3.3.90.39.00-OUTROS SERVIÇOS DE TERCEIROS - PESSOA JURÍDICA</v>
      </c>
      <c r="R2050" s="25">
        <v>1</v>
      </c>
      <c r="S2050" t="s">
        <v>1035</v>
      </c>
    </row>
    <row r="2051" spans="1:19" x14ac:dyDescent="0.25">
      <c r="A2051" t="str">
        <f t="shared" si="250"/>
        <v>29</v>
      </c>
      <c r="B2051" t="str">
        <f t="shared" si="251"/>
        <v>001</v>
      </c>
      <c r="C2051" t="str">
        <f t="shared" si="252"/>
        <v>14</v>
      </c>
      <c r="D2051" t="str">
        <f t="shared" si="253"/>
        <v>243</v>
      </c>
      <c r="E2051" t="str">
        <f t="shared" si="254"/>
        <v>0018</v>
      </c>
      <c r="F2051" t="str">
        <f t="shared" si="255"/>
        <v>1.003</v>
      </c>
      <c r="G2051" t="str">
        <f t="shared" si="256"/>
        <v>4.4.90.52.00</v>
      </c>
      <c r="H2051" t="s">
        <v>2101</v>
      </c>
      <c r="I2051" t="s">
        <v>1528</v>
      </c>
      <c r="J2051" t="s">
        <v>20</v>
      </c>
      <c r="K2051" t="str">
        <f t="shared" si="257"/>
        <v>14-DIREITOS DA CIDADANIA</v>
      </c>
      <c r="L2051" t="str">
        <f>D2051</f>
        <v>243</v>
      </c>
      <c r="M2051" t="str">
        <f t="shared" si="259"/>
        <v>0018-Proteção Social e Garantia de Direitos​</v>
      </c>
      <c r="N2051" t="str">
        <f t="shared" si="260"/>
        <v>1.003-Implantação de Novas Unidades</v>
      </c>
      <c r="O2051" t="str">
        <f t="shared" si="261"/>
        <v>4.4.90.52.00-EQUIPAMENTOS E MATERIAL PERMANENTE</v>
      </c>
      <c r="R2051" s="25">
        <v>1</v>
      </c>
      <c r="S2051" t="s">
        <v>1035</v>
      </c>
    </row>
    <row r="2052" spans="1:19" x14ac:dyDescent="0.25">
      <c r="A2052" t="str">
        <f t="shared" si="250"/>
        <v>30</v>
      </c>
      <c r="B2052" t="str">
        <f t="shared" si="251"/>
        <v>001</v>
      </c>
      <c r="C2052" t="str">
        <f t="shared" si="252"/>
        <v>04</v>
      </c>
      <c r="D2052" t="str">
        <f t="shared" si="253"/>
        <v>121</v>
      </c>
      <c r="E2052" t="str">
        <f t="shared" si="254"/>
        <v>0004</v>
      </c>
      <c r="F2052" t="str">
        <f t="shared" si="255"/>
        <v>1.001</v>
      </c>
      <c r="G2052" t="str">
        <f t="shared" si="256"/>
        <v>3.3.90.35.00</v>
      </c>
      <c r="H2052" t="s">
        <v>2102</v>
      </c>
      <c r="I2052" t="str">
        <f t="shared" ref="I2052:I2083" si="264">VLOOKUP(A2052,$A$1:$O$994,9,0)</f>
        <v>30 - SECRETARIA EXECUTIVA DA PESSOA COM DEFICIÊNCIA</v>
      </c>
      <c r="J2052" t="s">
        <v>20</v>
      </c>
      <c r="K2052" t="str">
        <f t="shared" si="257"/>
        <v>4-ADMINISTRAÇÃO</v>
      </c>
      <c r="L2052" t="str">
        <f t="shared" si="258"/>
        <v>121-PLANEJAMENTO E ORÇAMENTO</v>
      </c>
      <c r="M2052" t="str">
        <f t="shared" si="259"/>
        <v xml:space="preserve">0004-Planejamento e Gestão de Políticas Públicas </v>
      </c>
      <c r="N2052" t="str">
        <f t="shared" si="260"/>
        <v xml:space="preserve">1.001-Estudos, Pesquisas, Planos e Projetos </v>
      </c>
      <c r="O2052" t="str">
        <f t="shared" si="261"/>
        <v>3.3.90.35.00-SERVIÇOS DE CONSULTORIA</v>
      </c>
      <c r="R2052" s="25">
        <v>1</v>
      </c>
      <c r="S2052" t="s">
        <v>1035</v>
      </c>
    </row>
    <row r="2053" spans="1:19" x14ac:dyDescent="0.25">
      <c r="A2053" t="str">
        <f t="shared" si="250"/>
        <v>30</v>
      </c>
      <c r="B2053" t="str">
        <f t="shared" si="251"/>
        <v>001</v>
      </c>
      <c r="C2053" t="str">
        <f t="shared" si="252"/>
        <v>04</v>
      </c>
      <c r="D2053" t="str">
        <f t="shared" si="253"/>
        <v>122</v>
      </c>
      <c r="E2053" t="str">
        <f t="shared" si="254"/>
        <v>0001</v>
      </c>
      <c r="F2053" t="str">
        <f t="shared" si="255"/>
        <v>2.001</v>
      </c>
      <c r="G2053" t="str">
        <f t="shared" si="256"/>
        <v>3.1.90.11.00</v>
      </c>
      <c r="H2053" t="s">
        <v>2103</v>
      </c>
      <c r="I2053" t="str">
        <f t="shared" si="264"/>
        <v>30 - SECRETARIA EXECUTIVA DA PESSOA COM DEFICIÊNCIA</v>
      </c>
      <c r="J2053" t="s">
        <v>20</v>
      </c>
      <c r="K2053" t="str">
        <f t="shared" si="257"/>
        <v>4-ADMINISTRAÇÃO</v>
      </c>
      <c r="L2053" t="str">
        <f t="shared" si="258"/>
        <v>122-ADMINISTRAÇÃO GERAL</v>
      </c>
      <c r="M2053" t="str">
        <f t="shared" si="259"/>
        <v>0001-Administração e Coordenação Geral​</v>
      </c>
      <c r="N2053" t="str">
        <f t="shared" si="260"/>
        <v>2.001-Remuneração, Benefícios e Encargos</v>
      </c>
      <c r="O2053" t="str">
        <f>G2053</f>
        <v>3.1.90.11.00</v>
      </c>
      <c r="R2053" s="25">
        <v>2956676.03</v>
      </c>
      <c r="S2053" t="s">
        <v>1035</v>
      </c>
    </row>
    <row r="2054" spans="1:19" x14ac:dyDescent="0.25">
      <c r="A2054" t="str">
        <f t="shared" si="250"/>
        <v>30</v>
      </c>
      <c r="B2054" t="str">
        <f t="shared" si="251"/>
        <v>001</v>
      </c>
      <c r="C2054" t="str">
        <f t="shared" si="252"/>
        <v>04</v>
      </c>
      <c r="D2054" t="str">
        <f t="shared" si="253"/>
        <v>122</v>
      </c>
      <c r="E2054" t="str">
        <f t="shared" si="254"/>
        <v>0001</v>
      </c>
      <c r="F2054" t="str">
        <f t="shared" si="255"/>
        <v>2.001</v>
      </c>
      <c r="G2054" t="str">
        <f t="shared" si="256"/>
        <v>3.1.90.13.00</v>
      </c>
      <c r="H2054" t="s">
        <v>2104</v>
      </c>
      <c r="I2054" t="str">
        <f t="shared" si="264"/>
        <v>30 - SECRETARIA EXECUTIVA DA PESSOA COM DEFICIÊNCIA</v>
      </c>
      <c r="J2054" t="s">
        <v>20</v>
      </c>
      <c r="K2054" t="str">
        <f t="shared" si="257"/>
        <v>4-ADMINISTRAÇÃO</v>
      </c>
      <c r="L2054" t="str">
        <f t="shared" si="258"/>
        <v>122-ADMINISTRAÇÃO GERAL</v>
      </c>
      <c r="M2054" t="str">
        <f t="shared" si="259"/>
        <v>0001-Administração e Coordenação Geral​</v>
      </c>
      <c r="N2054" t="str">
        <f t="shared" si="260"/>
        <v>2.001-Remuneração, Benefícios e Encargos</v>
      </c>
      <c r="O2054" t="str">
        <f>G2054</f>
        <v>3.1.90.13.00</v>
      </c>
      <c r="R2054" s="25">
        <v>284838.09000000003</v>
      </c>
      <c r="S2054" t="s">
        <v>1035</v>
      </c>
    </row>
    <row r="2055" spans="1:19" x14ac:dyDescent="0.25">
      <c r="A2055" t="str">
        <f t="shared" si="250"/>
        <v>30</v>
      </c>
      <c r="B2055" t="str">
        <f t="shared" si="251"/>
        <v>001</v>
      </c>
      <c r="C2055" t="str">
        <f t="shared" si="252"/>
        <v>04</v>
      </c>
      <c r="D2055" t="str">
        <f t="shared" si="253"/>
        <v>122</v>
      </c>
      <c r="E2055" t="str">
        <f t="shared" si="254"/>
        <v>0001</v>
      </c>
      <c r="F2055" t="str">
        <f t="shared" si="255"/>
        <v>2.001</v>
      </c>
      <c r="G2055" t="str">
        <f t="shared" si="256"/>
        <v>3.1.91.13.00</v>
      </c>
      <c r="H2055" t="s">
        <v>2105</v>
      </c>
      <c r="I2055" t="str">
        <f t="shared" si="264"/>
        <v>30 - SECRETARIA EXECUTIVA DA PESSOA COM DEFICIÊNCIA</v>
      </c>
      <c r="J2055" t="s">
        <v>20</v>
      </c>
      <c r="K2055" t="str">
        <f t="shared" si="257"/>
        <v>4-ADMINISTRAÇÃO</v>
      </c>
      <c r="L2055" t="str">
        <f t="shared" si="258"/>
        <v>122-ADMINISTRAÇÃO GERAL</v>
      </c>
      <c r="M2055" t="str">
        <f t="shared" si="259"/>
        <v>0001-Administração e Coordenação Geral​</v>
      </c>
      <c r="N2055" t="str">
        <f t="shared" si="260"/>
        <v>2.001-Remuneração, Benefícios e Encargos</v>
      </c>
      <c r="O2055" t="str">
        <f>G2055</f>
        <v>3.1.91.13.00</v>
      </c>
      <c r="R2055" s="25">
        <v>265131.11</v>
      </c>
      <c r="S2055" t="s">
        <v>1035</v>
      </c>
    </row>
    <row r="2056" spans="1:19" x14ac:dyDescent="0.25">
      <c r="A2056" t="str">
        <f t="shared" si="250"/>
        <v>30</v>
      </c>
      <c r="B2056" t="str">
        <f t="shared" si="251"/>
        <v>001</v>
      </c>
      <c r="C2056" t="str">
        <f t="shared" si="252"/>
        <v>04</v>
      </c>
      <c r="D2056" t="str">
        <f t="shared" si="253"/>
        <v>122</v>
      </c>
      <c r="E2056" t="str">
        <f t="shared" si="254"/>
        <v>0001</v>
      </c>
      <c r="F2056" t="str">
        <f t="shared" si="255"/>
        <v>2.001</v>
      </c>
      <c r="G2056" t="str">
        <f t="shared" si="256"/>
        <v>3.3.90.46.00</v>
      </c>
      <c r="H2056" t="s">
        <v>2106</v>
      </c>
      <c r="I2056" t="str">
        <f t="shared" si="264"/>
        <v>30 - SECRETARIA EXECUTIVA DA PESSOA COM DEFICIÊNCIA</v>
      </c>
      <c r="J2056" t="s">
        <v>20</v>
      </c>
      <c r="K2056" t="str">
        <f t="shared" si="257"/>
        <v>4-ADMINISTRAÇÃO</v>
      </c>
      <c r="L2056" t="str">
        <f t="shared" si="258"/>
        <v>122-ADMINISTRAÇÃO GERAL</v>
      </c>
      <c r="M2056" t="str">
        <f t="shared" si="259"/>
        <v>0001-Administração e Coordenação Geral​</v>
      </c>
      <c r="N2056" t="str">
        <f t="shared" si="260"/>
        <v>2.001-Remuneração, Benefícios e Encargos</v>
      </c>
      <c r="O2056" t="str">
        <f>G2056</f>
        <v>3.3.90.46.00</v>
      </c>
      <c r="R2056" s="25">
        <v>4.46</v>
      </c>
      <c r="S2056" t="s">
        <v>1035</v>
      </c>
    </row>
    <row r="2057" spans="1:19" x14ac:dyDescent="0.25">
      <c r="A2057" t="str">
        <f t="shared" si="250"/>
        <v>30</v>
      </c>
      <c r="B2057" t="str">
        <f t="shared" si="251"/>
        <v>001</v>
      </c>
      <c r="C2057" t="str">
        <f t="shared" si="252"/>
        <v>04</v>
      </c>
      <c r="D2057" t="str">
        <f t="shared" si="253"/>
        <v>122</v>
      </c>
      <c r="E2057" t="str">
        <f t="shared" si="254"/>
        <v>0001</v>
      </c>
      <c r="F2057" t="str">
        <f t="shared" si="255"/>
        <v>2.001</v>
      </c>
      <c r="G2057" t="str">
        <f t="shared" si="256"/>
        <v>3.3.90.49.00</v>
      </c>
      <c r="H2057" t="s">
        <v>2107</v>
      </c>
      <c r="I2057" t="str">
        <f t="shared" si="264"/>
        <v>30 - SECRETARIA EXECUTIVA DA PESSOA COM DEFICIÊNCIA</v>
      </c>
      <c r="J2057" t="s">
        <v>20</v>
      </c>
      <c r="K2057" t="str">
        <f t="shared" si="257"/>
        <v>4-ADMINISTRAÇÃO</v>
      </c>
      <c r="L2057" t="str">
        <f t="shared" si="258"/>
        <v>122-ADMINISTRAÇÃO GERAL</v>
      </c>
      <c r="M2057" t="str">
        <f t="shared" si="259"/>
        <v>0001-Administração e Coordenação Geral​</v>
      </c>
      <c r="N2057" t="str">
        <f t="shared" si="260"/>
        <v>2.001-Remuneração, Benefícios e Encargos</v>
      </c>
      <c r="O2057" t="str">
        <f>G2057</f>
        <v>3.3.90.49.00</v>
      </c>
      <c r="R2057" s="25">
        <v>54162.12</v>
      </c>
      <c r="S2057" t="s">
        <v>1035</v>
      </c>
    </row>
    <row r="2058" spans="1:19" x14ac:dyDescent="0.25">
      <c r="A2058" t="str">
        <f t="shared" si="250"/>
        <v>30</v>
      </c>
      <c r="B2058" t="str">
        <f t="shared" si="251"/>
        <v>001</v>
      </c>
      <c r="C2058" t="str">
        <f t="shared" si="252"/>
        <v>14</v>
      </c>
      <c r="D2058" t="str">
        <f t="shared" si="253"/>
        <v>242</v>
      </c>
      <c r="E2058" t="str">
        <f t="shared" si="254"/>
        <v>0001</v>
      </c>
      <c r="F2058" t="str">
        <f t="shared" si="255"/>
        <v>1.002</v>
      </c>
      <c r="G2058" t="str">
        <f t="shared" si="256"/>
        <v>3.3.90.30.00</v>
      </c>
      <c r="H2058" t="s">
        <v>2108</v>
      </c>
      <c r="I2058" t="str">
        <f t="shared" si="264"/>
        <v>30 - SECRETARIA EXECUTIVA DA PESSOA COM DEFICIÊNCIA</v>
      </c>
      <c r="J2058" t="s">
        <v>20</v>
      </c>
      <c r="K2058" t="str">
        <f t="shared" si="257"/>
        <v>14-DIREITOS DA CIDADANIA</v>
      </c>
      <c r="L2058" t="str">
        <f t="shared" si="258"/>
        <v>242-ASSISTÊNCIA AO PORTADOR DE DEFICIÊNCIA ASSISTÊNCIA À PESSOA COM DEFICIÊNCIA</v>
      </c>
      <c r="M2058" t="str">
        <f t="shared" si="259"/>
        <v>0001-Administração e Coordenação Geral​</v>
      </c>
      <c r="N2058" t="str">
        <f t="shared" si="260"/>
        <v>1.002-Reforma e Ampliação de Unidades</v>
      </c>
      <c r="O2058" t="str">
        <f t="shared" si="261"/>
        <v>3.3.90.30.00-MATERIAL DE CONSUMO</v>
      </c>
      <c r="R2058" s="25">
        <v>2</v>
      </c>
      <c r="S2058" t="s">
        <v>1035</v>
      </c>
    </row>
    <row r="2059" spans="1:19" x14ac:dyDescent="0.25">
      <c r="A2059" t="str">
        <f t="shared" si="250"/>
        <v>30</v>
      </c>
      <c r="B2059" t="str">
        <f t="shared" si="251"/>
        <v>001</v>
      </c>
      <c r="C2059" t="str">
        <f t="shared" si="252"/>
        <v>14</v>
      </c>
      <c r="D2059" t="str">
        <f t="shared" si="253"/>
        <v>242</v>
      </c>
      <c r="E2059" t="str">
        <f t="shared" si="254"/>
        <v>0001</v>
      </c>
      <c r="F2059" t="str">
        <f t="shared" si="255"/>
        <v>1.002</v>
      </c>
      <c r="G2059" t="str">
        <f t="shared" si="256"/>
        <v>3.3.90.39.00</v>
      </c>
      <c r="H2059" t="s">
        <v>2109</v>
      </c>
      <c r="I2059" t="str">
        <f t="shared" si="264"/>
        <v>30 - SECRETARIA EXECUTIVA DA PESSOA COM DEFICIÊNCIA</v>
      </c>
      <c r="J2059" t="s">
        <v>20</v>
      </c>
      <c r="K2059" t="str">
        <f t="shared" si="257"/>
        <v>14-DIREITOS DA CIDADANIA</v>
      </c>
      <c r="L2059" t="str">
        <f t="shared" si="258"/>
        <v>242-ASSISTÊNCIA AO PORTADOR DE DEFICIÊNCIA ASSISTÊNCIA À PESSOA COM DEFICIÊNCIA</v>
      </c>
      <c r="M2059" t="str">
        <f t="shared" si="259"/>
        <v>0001-Administração e Coordenação Geral​</v>
      </c>
      <c r="N2059" t="str">
        <f t="shared" si="260"/>
        <v>1.002-Reforma e Ampliação de Unidades</v>
      </c>
      <c r="O2059" t="str">
        <f t="shared" si="261"/>
        <v>3.3.90.39.00-OUTROS SERVIÇOS DE TERCEIROS - PESSOA JURÍDICA</v>
      </c>
      <c r="R2059" s="25">
        <v>2</v>
      </c>
      <c r="S2059" t="s">
        <v>1035</v>
      </c>
    </row>
    <row r="2060" spans="1:19" x14ac:dyDescent="0.25">
      <c r="A2060" t="str">
        <f t="shared" si="250"/>
        <v>30</v>
      </c>
      <c r="B2060" t="str">
        <f t="shared" si="251"/>
        <v>001</v>
      </c>
      <c r="C2060" t="str">
        <f t="shared" si="252"/>
        <v>14</v>
      </c>
      <c r="D2060" t="str">
        <f t="shared" si="253"/>
        <v>242</v>
      </c>
      <c r="E2060" t="str">
        <f t="shared" si="254"/>
        <v>0018</v>
      </c>
      <c r="F2060" t="str">
        <f t="shared" si="255"/>
        <v>1.003</v>
      </c>
      <c r="G2060" t="str">
        <f t="shared" si="256"/>
        <v>3.3.90.30.00</v>
      </c>
      <c r="H2060" t="s">
        <v>2110</v>
      </c>
      <c r="I2060" t="str">
        <f t="shared" si="264"/>
        <v>30 - SECRETARIA EXECUTIVA DA PESSOA COM DEFICIÊNCIA</v>
      </c>
      <c r="J2060" t="s">
        <v>20</v>
      </c>
      <c r="K2060" t="str">
        <f t="shared" si="257"/>
        <v>14-DIREITOS DA CIDADANIA</v>
      </c>
      <c r="L2060" t="str">
        <f t="shared" si="258"/>
        <v>242-ASSISTÊNCIA AO PORTADOR DE DEFICIÊNCIA ASSISTÊNCIA À PESSOA COM DEFICIÊNCIA</v>
      </c>
      <c r="M2060" t="str">
        <f t="shared" si="259"/>
        <v>0018-Proteção Social e Garantia de Direitos​</v>
      </c>
      <c r="N2060" t="str">
        <f t="shared" si="260"/>
        <v>1.003-Implantação de Novas Unidades</v>
      </c>
      <c r="O2060" t="str">
        <f t="shared" si="261"/>
        <v>3.3.90.30.00-MATERIAL DE CONSUMO</v>
      </c>
      <c r="R2060" s="25">
        <v>2</v>
      </c>
      <c r="S2060" t="s">
        <v>1035</v>
      </c>
    </row>
    <row r="2061" spans="1:19" x14ac:dyDescent="0.25">
      <c r="A2061" t="str">
        <f t="shared" si="250"/>
        <v>30</v>
      </c>
      <c r="B2061" t="str">
        <f t="shared" si="251"/>
        <v>001</v>
      </c>
      <c r="C2061" t="str">
        <f t="shared" si="252"/>
        <v>14</v>
      </c>
      <c r="D2061" t="str">
        <f t="shared" si="253"/>
        <v>242</v>
      </c>
      <c r="E2061" t="str">
        <f t="shared" si="254"/>
        <v>0018</v>
      </c>
      <c r="F2061" t="str">
        <f t="shared" si="255"/>
        <v>1.003</v>
      </c>
      <c r="G2061" t="str">
        <f t="shared" si="256"/>
        <v>3.3.90.39.00</v>
      </c>
      <c r="H2061" t="s">
        <v>2111</v>
      </c>
      <c r="I2061" t="str">
        <f t="shared" si="264"/>
        <v>30 - SECRETARIA EXECUTIVA DA PESSOA COM DEFICIÊNCIA</v>
      </c>
      <c r="J2061" t="s">
        <v>20</v>
      </c>
      <c r="K2061" t="str">
        <f t="shared" si="257"/>
        <v>14-DIREITOS DA CIDADANIA</v>
      </c>
      <c r="L2061" t="str">
        <f t="shared" si="258"/>
        <v>242-ASSISTÊNCIA AO PORTADOR DE DEFICIÊNCIA ASSISTÊNCIA À PESSOA COM DEFICIÊNCIA</v>
      </c>
      <c r="M2061" t="str">
        <f t="shared" si="259"/>
        <v>0018-Proteção Social e Garantia de Direitos​</v>
      </c>
      <c r="N2061" t="str">
        <f t="shared" si="260"/>
        <v>1.003-Implantação de Novas Unidades</v>
      </c>
      <c r="O2061" t="str">
        <f t="shared" si="261"/>
        <v>3.3.90.39.00-OUTROS SERVIÇOS DE TERCEIROS - PESSOA JURÍDICA</v>
      </c>
      <c r="R2061" s="25">
        <v>1</v>
      </c>
      <c r="S2061" t="s">
        <v>1035</v>
      </c>
    </row>
    <row r="2062" spans="1:19" x14ac:dyDescent="0.25">
      <c r="A2062" t="str">
        <f t="shared" si="250"/>
        <v>30</v>
      </c>
      <c r="B2062" t="str">
        <f t="shared" si="251"/>
        <v>001</v>
      </c>
      <c r="C2062" t="str">
        <f t="shared" si="252"/>
        <v>14</v>
      </c>
      <c r="D2062" t="str">
        <f t="shared" si="253"/>
        <v>242</v>
      </c>
      <c r="E2062" t="str">
        <f t="shared" si="254"/>
        <v>0018</v>
      </c>
      <c r="F2062" t="str">
        <f t="shared" si="255"/>
        <v>1.003</v>
      </c>
      <c r="G2062" t="str">
        <f t="shared" si="256"/>
        <v>4.4.90.51.00</v>
      </c>
      <c r="H2062" t="s">
        <v>2112</v>
      </c>
      <c r="I2062" t="str">
        <f t="shared" si="264"/>
        <v>30 - SECRETARIA EXECUTIVA DA PESSOA COM DEFICIÊNCIA</v>
      </c>
      <c r="J2062" t="s">
        <v>20</v>
      </c>
      <c r="K2062" t="str">
        <f t="shared" si="257"/>
        <v>14-DIREITOS DA CIDADANIA</v>
      </c>
      <c r="L2062" t="str">
        <f t="shared" si="258"/>
        <v>242-ASSISTÊNCIA AO PORTADOR DE DEFICIÊNCIA ASSISTÊNCIA À PESSOA COM DEFICIÊNCIA</v>
      </c>
      <c r="M2062" t="str">
        <f t="shared" si="259"/>
        <v>0018-Proteção Social e Garantia de Direitos​</v>
      </c>
      <c r="N2062" t="str">
        <f t="shared" si="260"/>
        <v>1.003-Implantação de Novas Unidades</v>
      </c>
      <c r="O2062" t="str">
        <f t="shared" si="261"/>
        <v>4.4.90.51.00-OBRAS E INSTALAÇÕES</v>
      </c>
      <c r="R2062" s="25">
        <v>1</v>
      </c>
      <c r="S2062" t="s">
        <v>1035</v>
      </c>
    </row>
    <row r="2063" spans="1:19" x14ac:dyDescent="0.25">
      <c r="A2063" t="str">
        <f t="shared" si="250"/>
        <v>30</v>
      </c>
      <c r="B2063" t="str">
        <f t="shared" si="251"/>
        <v>001</v>
      </c>
      <c r="C2063" t="str">
        <f t="shared" si="252"/>
        <v>14</v>
      </c>
      <c r="D2063" t="str">
        <f t="shared" si="253"/>
        <v>242</v>
      </c>
      <c r="E2063" t="str">
        <f t="shared" si="254"/>
        <v>0018</v>
      </c>
      <c r="F2063" t="str">
        <f t="shared" si="255"/>
        <v>1.003</v>
      </c>
      <c r="G2063" t="str">
        <f t="shared" si="256"/>
        <v>4.4.90.52.00</v>
      </c>
      <c r="H2063" t="s">
        <v>2113</v>
      </c>
      <c r="I2063" t="str">
        <f t="shared" si="264"/>
        <v>30 - SECRETARIA EXECUTIVA DA PESSOA COM DEFICIÊNCIA</v>
      </c>
      <c r="J2063" t="s">
        <v>20</v>
      </c>
      <c r="K2063" t="str">
        <f t="shared" si="257"/>
        <v>14-DIREITOS DA CIDADANIA</v>
      </c>
      <c r="L2063" t="str">
        <f t="shared" si="258"/>
        <v>242-ASSISTÊNCIA AO PORTADOR DE DEFICIÊNCIA ASSISTÊNCIA À PESSOA COM DEFICIÊNCIA</v>
      </c>
      <c r="M2063" t="str">
        <f t="shared" si="259"/>
        <v>0018-Proteção Social e Garantia de Direitos​</v>
      </c>
      <c r="N2063" t="str">
        <f t="shared" si="260"/>
        <v>1.003-Implantação de Novas Unidades</v>
      </c>
      <c r="O2063" t="str">
        <f t="shared" si="261"/>
        <v>4.4.90.52.00-EQUIPAMENTOS E MATERIAL PERMANENTE</v>
      </c>
      <c r="R2063" s="25">
        <v>4</v>
      </c>
      <c r="S2063" t="s">
        <v>1035</v>
      </c>
    </row>
    <row r="2064" spans="1:19" x14ac:dyDescent="0.25">
      <c r="A2064" t="str">
        <f t="shared" si="250"/>
        <v>31</v>
      </c>
      <c r="B2064" t="str">
        <f t="shared" si="251"/>
        <v>001</v>
      </c>
      <c r="C2064" t="str">
        <f t="shared" si="252"/>
        <v>04</v>
      </c>
      <c r="D2064" t="str">
        <f t="shared" si="253"/>
        <v>122</v>
      </c>
      <c r="E2064" t="str">
        <f t="shared" si="254"/>
        <v>0001</v>
      </c>
      <c r="F2064" t="str">
        <f t="shared" si="255"/>
        <v>2.001</v>
      </c>
      <c r="G2064" t="str">
        <f t="shared" si="256"/>
        <v>3.1.90.11.00</v>
      </c>
      <c r="H2064" t="s">
        <v>2114</v>
      </c>
      <c r="I2064" t="str">
        <f t="shared" si="264"/>
        <v>31 - SECRETARIA EXECUTIVA DE POLITICAS DE PROMOÇÃO DA IGUALDADE RACIAL</v>
      </c>
      <c r="J2064" t="s">
        <v>20</v>
      </c>
      <c r="K2064" t="str">
        <f t="shared" si="257"/>
        <v>4-ADMINISTRAÇÃO</v>
      </c>
      <c r="L2064" t="str">
        <f t="shared" si="258"/>
        <v>122-ADMINISTRAÇÃO GERAL</v>
      </c>
      <c r="M2064" t="str">
        <f t="shared" si="259"/>
        <v>0001-Administração e Coordenação Geral​</v>
      </c>
      <c r="N2064" t="str">
        <f t="shared" si="260"/>
        <v>2.001-Remuneração, Benefícios e Encargos</v>
      </c>
      <c r="O2064" t="str">
        <f>G2064</f>
        <v>3.1.90.11.00</v>
      </c>
      <c r="R2064" s="25">
        <v>3151665.6</v>
      </c>
      <c r="S2064" t="s">
        <v>1035</v>
      </c>
    </row>
    <row r="2065" spans="1:19" x14ac:dyDescent="0.25">
      <c r="A2065" t="str">
        <f t="shared" si="250"/>
        <v>31</v>
      </c>
      <c r="B2065" t="str">
        <f t="shared" si="251"/>
        <v>001</v>
      </c>
      <c r="C2065" t="str">
        <f t="shared" si="252"/>
        <v>04</v>
      </c>
      <c r="D2065" t="str">
        <f t="shared" si="253"/>
        <v>122</v>
      </c>
      <c r="E2065" t="str">
        <f t="shared" si="254"/>
        <v>0001</v>
      </c>
      <c r="F2065" t="str">
        <f t="shared" si="255"/>
        <v>2.001</v>
      </c>
      <c r="G2065" t="str">
        <f t="shared" si="256"/>
        <v>3.1.90.13.00</v>
      </c>
      <c r="H2065" t="s">
        <v>2115</v>
      </c>
      <c r="I2065" t="str">
        <f t="shared" si="264"/>
        <v>31 - SECRETARIA EXECUTIVA DE POLITICAS DE PROMOÇÃO DA IGUALDADE RACIAL</v>
      </c>
      <c r="J2065" t="s">
        <v>20</v>
      </c>
      <c r="K2065" t="str">
        <f t="shared" si="257"/>
        <v>4-ADMINISTRAÇÃO</v>
      </c>
      <c r="L2065" t="str">
        <f t="shared" si="258"/>
        <v>122-ADMINISTRAÇÃO GERAL</v>
      </c>
      <c r="M2065" t="str">
        <f t="shared" si="259"/>
        <v>0001-Administração e Coordenação Geral​</v>
      </c>
      <c r="N2065" t="str">
        <f t="shared" si="260"/>
        <v>2.001-Remuneração, Benefícios e Encargos</v>
      </c>
      <c r="O2065" t="str">
        <f>G2065</f>
        <v>3.1.90.13.00</v>
      </c>
      <c r="R2065" s="25">
        <v>538459.81000000006</v>
      </c>
      <c r="S2065" t="s">
        <v>1035</v>
      </c>
    </row>
    <row r="2066" spans="1:19" x14ac:dyDescent="0.25">
      <c r="A2066" t="str">
        <f t="shared" si="250"/>
        <v>31</v>
      </c>
      <c r="B2066" t="str">
        <f t="shared" si="251"/>
        <v>001</v>
      </c>
      <c r="C2066" t="str">
        <f t="shared" si="252"/>
        <v>04</v>
      </c>
      <c r="D2066" t="str">
        <f t="shared" si="253"/>
        <v>122</v>
      </c>
      <c r="E2066" t="str">
        <f t="shared" si="254"/>
        <v>0001</v>
      </c>
      <c r="F2066" t="str">
        <f t="shared" si="255"/>
        <v>2.001</v>
      </c>
      <c r="G2066" t="str">
        <f t="shared" si="256"/>
        <v>3.1.91.13.00</v>
      </c>
      <c r="H2066" t="s">
        <v>2116</v>
      </c>
      <c r="I2066" t="str">
        <f t="shared" si="264"/>
        <v>31 - SECRETARIA EXECUTIVA DE POLITICAS DE PROMOÇÃO DA IGUALDADE RACIAL</v>
      </c>
      <c r="J2066" t="s">
        <v>20</v>
      </c>
      <c r="K2066" t="str">
        <f t="shared" si="257"/>
        <v>4-ADMINISTRAÇÃO</v>
      </c>
      <c r="L2066" t="str">
        <f t="shared" si="258"/>
        <v>122-ADMINISTRAÇÃO GERAL</v>
      </c>
      <c r="M2066" t="str">
        <f t="shared" si="259"/>
        <v>0001-Administração e Coordenação Geral​</v>
      </c>
      <c r="N2066" t="str">
        <f t="shared" si="260"/>
        <v>2.001-Remuneração, Benefícios e Encargos</v>
      </c>
      <c r="O2066" t="str">
        <f>G2066</f>
        <v>3.1.91.13.00</v>
      </c>
      <c r="R2066" s="25">
        <v>187886.01</v>
      </c>
      <c r="S2066" t="s">
        <v>1035</v>
      </c>
    </row>
    <row r="2067" spans="1:19" x14ac:dyDescent="0.25">
      <c r="A2067" t="str">
        <f t="shared" si="250"/>
        <v>31</v>
      </c>
      <c r="B2067" t="str">
        <f t="shared" si="251"/>
        <v>001</v>
      </c>
      <c r="C2067" t="str">
        <f t="shared" si="252"/>
        <v>04</v>
      </c>
      <c r="D2067" t="str">
        <f t="shared" si="253"/>
        <v>122</v>
      </c>
      <c r="E2067" t="str">
        <f t="shared" si="254"/>
        <v>0001</v>
      </c>
      <c r="F2067" t="str">
        <f t="shared" si="255"/>
        <v>2.001</v>
      </c>
      <c r="G2067" t="str">
        <f t="shared" si="256"/>
        <v>3.3.90.46.00</v>
      </c>
      <c r="H2067" t="s">
        <v>2117</v>
      </c>
      <c r="I2067" t="str">
        <f t="shared" si="264"/>
        <v>31 - SECRETARIA EXECUTIVA DE POLITICAS DE PROMOÇÃO DA IGUALDADE RACIAL</v>
      </c>
      <c r="J2067" t="s">
        <v>20</v>
      </c>
      <c r="K2067" t="str">
        <f t="shared" si="257"/>
        <v>4-ADMINISTRAÇÃO</v>
      </c>
      <c r="L2067" t="str">
        <f t="shared" si="258"/>
        <v>122-ADMINISTRAÇÃO GERAL</v>
      </c>
      <c r="M2067" t="str">
        <f t="shared" si="259"/>
        <v>0001-Administração e Coordenação Geral​</v>
      </c>
      <c r="N2067" t="str">
        <f t="shared" si="260"/>
        <v>2.001-Remuneração, Benefícios e Encargos</v>
      </c>
      <c r="O2067" t="str">
        <f>G2067</f>
        <v>3.3.90.46.00</v>
      </c>
      <c r="R2067" s="25">
        <v>5.73</v>
      </c>
      <c r="S2067" t="s">
        <v>1035</v>
      </c>
    </row>
    <row r="2068" spans="1:19" x14ac:dyDescent="0.25">
      <c r="A2068" t="str">
        <f t="shared" si="250"/>
        <v>31</v>
      </c>
      <c r="B2068" t="str">
        <f t="shared" si="251"/>
        <v>001</v>
      </c>
      <c r="C2068" t="str">
        <f t="shared" si="252"/>
        <v>04</v>
      </c>
      <c r="D2068" t="str">
        <f t="shared" si="253"/>
        <v>122</v>
      </c>
      <c r="E2068" t="str">
        <f t="shared" si="254"/>
        <v>0001</v>
      </c>
      <c r="F2068" t="str">
        <f t="shared" si="255"/>
        <v>2.001</v>
      </c>
      <c r="G2068" t="str">
        <f t="shared" si="256"/>
        <v>3.3.90.49.00</v>
      </c>
      <c r="H2068" t="s">
        <v>2118</v>
      </c>
      <c r="I2068" t="str">
        <f t="shared" si="264"/>
        <v>31 - SECRETARIA EXECUTIVA DE POLITICAS DE PROMOÇÃO DA IGUALDADE RACIAL</v>
      </c>
      <c r="J2068" t="s">
        <v>20</v>
      </c>
      <c r="K2068" t="str">
        <f t="shared" si="257"/>
        <v>4-ADMINISTRAÇÃO</v>
      </c>
      <c r="L2068" t="str">
        <f t="shared" si="258"/>
        <v>122-ADMINISTRAÇÃO GERAL</v>
      </c>
      <c r="M2068" t="str">
        <f t="shared" si="259"/>
        <v>0001-Administração e Coordenação Geral​</v>
      </c>
      <c r="N2068" t="str">
        <f t="shared" si="260"/>
        <v>2.001-Remuneração, Benefícios e Encargos</v>
      </c>
      <c r="O2068" t="str">
        <f>G2068</f>
        <v>3.3.90.49.00</v>
      </c>
      <c r="R2068" s="25">
        <v>33063.51</v>
      </c>
      <c r="S2068" t="s">
        <v>1035</v>
      </c>
    </row>
    <row r="2069" spans="1:19" x14ac:dyDescent="0.25">
      <c r="A2069" t="str">
        <f t="shared" si="250"/>
        <v>31</v>
      </c>
      <c r="B2069" t="str">
        <f t="shared" si="251"/>
        <v>001</v>
      </c>
      <c r="C2069" t="str">
        <f t="shared" si="252"/>
        <v>14</v>
      </c>
      <c r="D2069" t="str">
        <f t="shared" si="253"/>
        <v>422</v>
      </c>
      <c r="E2069" t="str">
        <f t="shared" si="254"/>
        <v>0018</v>
      </c>
      <c r="F2069" t="str">
        <f t="shared" si="255"/>
        <v>1.002</v>
      </c>
      <c r="G2069" t="str">
        <f t="shared" si="256"/>
        <v>3.3.90.39.00</v>
      </c>
      <c r="H2069" t="s">
        <v>2119</v>
      </c>
      <c r="I2069" t="str">
        <f t="shared" si="264"/>
        <v>31 - SECRETARIA EXECUTIVA DE POLITICAS DE PROMOÇÃO DA IGUALDADE RACIAL</v>
      </c>
      <c r="J2069" t="s">
        <v>20</v>
      </c>
      <c r="K2069" t="str">
        <f t="shared" si="257"/>
        <v>14-DIREITOS DA CIDADANIA</v>
      </c>
      <c r="L2069" t="str">
        <f t="shared" si="258"/>
        <v>422-DIREITOS INDIVIDUAIS, COLETIVOS E DIFUSOS</v>
      </c>
      <c r="M2069" t="str">
        <f t="shared" si="259"/>
        <v>0018-Proteção Social e Garantia de Direitos​</v>
      </c>
      <c r="N2069" t="str">
        <f t="shared" si="260"/>
        <v>1.002-Reforma e Ampliação de Unidades</v>
      </c>
      <c r="O2069" t="str">
        <f t="shared" si="261"/>
        <v>3.3.90.39.00-OUTROS SERVIÇOS DE TERCEIROS - PESSOA JURÍDICA</v>
      </c>
      <c r="R2069" s="25">
        <v>1</v>
      </c>
      <c r="S2069" t="s">
        <v>1035</v>
      </c>
    </row>
    <row r="2070" spans="1:19" x14ac:dyDescent="0.25">
      <c r="A2070" t="str">
        <f t="shared" si="250"/>
        <v>32</v>
      </c>
      <c r="B2070" t="str">
        <f t="shared" si="251"/>
        <v>001</v>
      </c>
      <c r="C2070" t="str">
        <f t="shared" si="252"/>
        <v>04</v>
      </c>
      <c r="D2070" t="str">
        <f t="shared" si="253"/>
        <v>121</v>
      </c>
      <c r="E2070" t="str">
        <f t="shared" si="254"/>
        <v>0004</v>
      </c>
      <c r="F2070" t="str">
        <f t="shared" si="255"/>
        <v>1.001</v>
      </c>
      <c r="G2070" t="str">
        <f t="shared" si="256"/>
        <v>3.3.90.35.00</v>
      </c>
      <c r="H2070" t="s">
        <v>2120</v>
      </c>
      <c r="I2070" t="str">
        <f t="shared" si="264"/>
        <v>32 - SECRETARIA EXECUTIVA DE POLÍTICAS PARA MULHERES E DIVERSIDADE</v>
      </c>
      <c r="J2070" t="s">
        <v>20</v>
      </c>
      <c r="K2070" t="str">
        <f t="shared" si="257"/>
        <v>4-ADMINISTRAÇÃO</v>
      </c>
      <c r="L2070" t="str">
        <f t="shared" si="258"/>
        <v>121-PLANEJAMENTO E ORÇAMENTO</v>
      </c>
      <c r="M2070" t="str">
        <f t="shared" si="259"/>
        <v xml:space="preserve">0004-Planejamento e Gestão de Políticas Públicas </v>
      </c>
      <c r="N2070" t="str">
        <f t="shared" si="260"/>
        <v xml:space="preserve">1.001-Estudos, Pesquisas, Planos e Projetos </v>
      </c>
      <c r="O2070" t="str">
        <f t="shared" si="261"/>
        <v>3.3.90.35.00-SERVIÇOS DE CONSULTORIA</v>
      </c>
      <c r="R2070" s="25">
        <v>2</v>
      </c>
      <c r="S2070" t="s">
        <v>1035</v>
      </c>
    </row>
    <row r="2071" spans="1:19" x14ac:dyDescent="0.25">
      <c r="A2071" t="str">
        <f t="shared" si="250"/>
        <v>32</v>
      </c>
      <c r="B2071" t="str">
        <f t="shared" si="251"/>
        <v>001</v>
      </c>
      <c r="C2071" t="str">
        <f t="shared" si="252"/>
        <v>04</v>
      </c>
      <c r="D2071" t="str">
        <f t="shared" si="253"/>
        <v>122</v>
      </c>
      <c r="E2071" t="str">
        <f t="shared" si="254"/>
        <v>0001</v>
      </c>
      <c r="F2071" t="str">
        <f t="shared" si="255"/>
        <v>2.001</v>
      </c>
      <c r="G2071" t="str">
        <f t="shared" si="256"/>
        <v>3.1.90.11.00</v>
      </c>
      <c r="H2071" t="s">
        <v>2121</v>
      </c>
      <c r="I2071" t="str">
        <f t="shared" si="264"/>
        <v>32 - SECRETARIA EXECUTIVA DE POLÍTICAS PARA MULHERES E DIVERSIDADE</v>
      </c>
      <c r="J2071" t="s">
        <v>20</v>
      </c>
      <c r="K2071" t="str">
        <f t="shared" si="257"/>
        <v>4-ADMINISTRAÇÃO</v>
      </c>
      <c r="L2071" t="str">
        <f t="shared" si="258"/>
        <v>122-ADMINISTRAÇÃO GERAL</v>
      </c>
      <c r="M2071" t="str">
        <f t="shared" si="259"/>
        <v>0001-Administração e Coordenação Geral​</v>
      </c>
      <c r="N2071" t="str">
        <f t="shared" si="260"/>
        <v>2.001-Remuneração, Benefícios e Encargos</v>
      </c>
      <c r="O2071" t="str">
        <f>G2071</f>
        <v>3.1.90.11.00</v>
      </c>
      <c r="R2071" s="25">
        <v>3613790.86</v>
      </c>
      <c r="S2071" t="s">
        <v>1035</v>
      </c>
    </row>
    <row r="2072" spans="1:19" x14ac:dyDescent="0.25">
      <c r="A2072" t="str">
        <f t="shared" si="250"/>
        <v>32</v>
      </c>
      <c r="B2072" t="str">
        <f t="shared" si="251"/>
        <v>001</v>
      </c>
      <c r="C2072" t="str">
        <f t="shared" si="252"/>
        <v>04</v>
      </c>
      <c r="D2072" t="str">
        <f t="shared" si="253"/>
        <v>122</v>
      </c>
      <c r="E2072" t="str">
        <f t="shared" si="254"/>
        <v>0001</v>
      </c>
      <c r="F2072" t="str">
        <f t="shared" si="255"/>
        <v>2.001</v>
      </c>
      <c r="G2072" t="str">
        <f t="shared" si="256"/>
        <v>3.1.90.13.00</v>
      </c>
      <c r="H2072" t="s">
        <v>2122</v>
      </c>
      <c r="I2072" t="str">
        <f t="shared" si="264"/>
        <v>32 - SECRETARIA EXECUTIVA DE POLÍTICAS PARA MULHERES E DIVERSIDADE</v>
      </c>
      <c r="J2072" t="s">
        <v>20</v>
      </c>
      <c r="K2072" t="str">
        <f t="shared" si="257"/>
        <v>4-ADMINISTRAÇÃO</v>
      </c>
      <c r="L2072" t="str">
        <f t="shared" si="258"/>
        <v>122-ADMINISTRAÇÃO GERAL</v>
      </c>
      <c r="M2072" t="str">
        <f t="shared" si="259"/>
        <v>0001-Administração e Coordenação Geral​</v>
      </c>
      <c r="N2072" t="str">
        <f t="shared" si="260"/>
        <v>2.001-Remuneração, Benefícios e Encargos</v>
      </c>
      <c r="O2072" t="str">
        <f>G2072</f>
        <v>3.1.90.13.00</v>
      </c>
      <c r="R2072" s="25">
        <v>555417.38</v>
      </c>
      <c r="S2072" t="s">
        <v>1035</v>
      </c>
    </row>
    <row r="2073" spans="1:19" x14ac:dyDescent="0.25">
      <c r="A2073" t="str">
        <f t="shared" si="250"/>
        <v>32</v>
      </c>
      <c r="B2073" t="str">
        <f t="shared" si="251"/>
        <v>001</v>
      </c>
      <c r="C2073" t="str">
        <f t="shared" si="252"/>
        <v>04</v>
      </c>
      <c r="D2073" t="str">
        <f t="shared" si="253"/>
        <v>122</v>
      </c>
      <c r="E2073" t="str">
        <f t="shared" si="254"/>
        <v>0001</v>
      </c>
      <c r="F2073" t="str">
        <f t="shared" si="255"/>
        <v>2.001</v>
      </c>
      <c r="G2073" t="str">
        <f t="shared" si="256"/>
        <v>3.1.91.13.00</v>
      </c>
      <c r="H2073" t="s">
        <v>2123</v>
      </c>
      <c r="I2073" t="str">
        <f t="shared" si="264"/>
        <v>32 - SECRETARIA EXECUTIVA DE POLÍTICAS PARA MULHERES E DIVERSIDADE</v>
      </c>
      <c r="J2073" t="s">
        <v>20</v>
      </c>
      <c r="K2073" t="str">
        <f t="shared" si="257"/>
        <v>4-ADMINISTRAÇÃO</v>
      </c>
      <c r="L2073" t="str">
        <f t="shared" si="258"/>
        <v>122-ADMINISTRAÇÃO GERAL</v>
      </c>
      <c r="M2073" t="str">
        <f t="shared" si="259"/>
        <v>0001-Administração e Coordenação Geral​</v>
      </c>
      <c r="N2073" t="str">
        <f t="shared" si="260"/>
        <v>2.001-Remuneração, Benefícios e Encargos</v>
      </c>
      <c r="O2073" t="str">
        <f>G2073</f>
        <v>3.1.91.13.00</v>
      </c>
      <c r="R2073" s="25">
        <v>325018.11</v>
      </c>
      <c r="S2073" t="s">
        <v>1035</v>
      </c>
    </row>
    <row r="2074" spans="1:19" x14ac:dyDescent="0.25">
      <c r="A2074" t="str">
        <f t="shared" si="250"/>
        <v>32</v>
      </c>
      <c r="B2074" t="str">
        <f t="shared" si="251"/>
        <v>001</v>
      </c>
      <c r="C2074" t="str">
        <f t="shared" si="252"/>
        <v>04</v>
      </c>
      <c r="D2074" t="str">
        <f t="shared" si="253"/>
        <v>122</v>
      </c>
      <c r="E2074" t="str">
        <f t="shared" si="254"/>
        <v>0001</v>
      </c>
      <c r="F2074" t="str">
        <f t="shared" si="255"/>
        <v>2.001</v>
      </c>
      <c r="G2074" t="str">
        <f t="shared" si="256"/>
        <v>3.3.90.46.00</v>
      </c>
      <c r="H2074" t="s">
        <v>2124</v>
      </c>
      <c r="I2074" t="str">
        <f t="shared" si="264"/>
        <v>32 - SECRETARIA EXECUTIVA DE POLÍTICAS PARA MULHERES E DIVERSIDADE</v>
      </c>
      <c r="J2074" t="s">
        <v>20</v>
      </c>
      <c r="K2074" t="str">
        <f t="shared" si="257"/>
        <v>4-ADMINISTRAÇÃO</v>
      </c>
      <c r="L2074" t="str">
        <f t="shared" si="258"/>
        <v>122-ADMINISTRAÇÃO GERAL</v>
      </c>
      <c r="M2074" t="str">
        <f t="shared" si="259"/>
        <v>0001-Administração e Coordenação Geral​</v>
      </c>
      <c r="N2074" t="str">
        <f t="shared" si="260"/>
        <v>2.001-Remuneração, Benefícios e Encargos</v>
      </c>
      <c r="O2074" t="str">
        <f>G2074</f>
        <v>3.3.90.46.00</v>
      </c>
      <c r="R2074" s="25">
        <v>6.04</v>
      </c>
      <c r="S2074" t="s">
        <v>1035</v>
      </c>
    </row>
    <row r="2075" spans="1:19" x14ac:dyDescent="0.25">
      <c r="A2075" t="str">
        <f t="shared" si="250"/>
        <v>32</v>
      </c>
      <c r="B2075" t="str">
        <f t="shared" si="251"/>
        <v>001</v>
      </c>
      <c r="C2075" t="str">
        <f t="shared" si="252"/>
        <v>04</v>
      </c>
      <c r="D2075" t="str">
        <f t="shared" si="253"/>
        <v>122</v>
      </c>
      <c r="E2075" t="str">
        <f t="shared" si="254"/>
        <v>0001</v>
      </c>
      <c r="F2075" t="str">
        <f t="shared" si="255"/>
        <v>2.001</v>
      </c>
      <c r="G2075" t="str">
        <f t="shared" si="256"/>
        <v>3.3.90.49.00</v>
      </c>
      <c r="H2075" t="s">
        <v>2125</v>
      </c>
      <c r="I2075" t="str">
        <f t="shared" si="264"/>
        <v>32 - SECRETARIA EXECUTIVA DE POLÍTICAS PARA MULHERES E DIVERSIDADE</v>
      </c>
      <c r="J2075" t="s">
        <v>20</v>
      </c>
      <c r="K2075" t="str">
        <f t="shared" si="257"/>
        <v>4-ADMINISTRAÇÃO</v>
      </c>
      <c r="L2075" t="str">
        <f t="shared" si="258"/>
        <v>122-ADMINISTRAÇÃO GERAL</v>
      </c>
      <c r="M2075" t="str">
        <f t="shared" si="259"/>
        <v>0001-Administração e Coordenação Geral​</v>
      </c>
      <c r="N2075" t="str">
        <f t="shared" si="260"/>
        <v>2.001-Remuneração, Benefícios e Encargos</v>
      </c>
      <c r="O2075" t="str">
        <f>G2075</f>
        <v>3.3.90.49.00</v>
      </c>
      <c r="R2075" s="25">
        <v>18071.78</v>
      </c>
      <c r="S2075" t="s">
        <v>1035</v>
      </c>
    </row>
    <row r="2076" spans="1:19" x14ac:dyDescent="0.25">
      <c r="A2076" t="str">
        <f t="shared" ref="A2076:A2136" si="265">LEFT(H2076,2)</f>
        <v>32</v>
      </c>
      <c r="B2076" t="str">
        <f t="shared" ref="B2076:B2136" si="266">MID(H2076,4,3)</f>
        <v>001</v>
      </c>
      <c r="C2076" t="str">
        <f t="shared" ref="C2076:C2136" si="267">MID(H2076,8,2)</f>
        <v>14</v>
      </c>
      <c r="D2076" t="str">
        <f t="shared" ref="D2076:D2136" si="268">MID(H2076,11,3)</f>
        <v>422</v>
      </c>
      <c r="E2076" t="str">
        <f t="shared" ref="E2076:E2136" si="269">MID(H2076,15,4)</f>
        <v>0001</v>
      </c>
      <c r="F2076" t="str">
        <f t="shared" ref="F2076:F2136" si="270">MID(H2076,20,5)</f>
        <v>1.002</v>
      </c>
      <c r="G2076" t="str">
        <f t="shared" ref="G2076:G2136" si="271">MID(H2076,26,12)</f>
        <v>3.3.90.30.00</v>
      </c>
      <c r="H2076" t="s">
        <v>2126</v>
      </c>
      <c r="I2076" t="str">
        <f t="shared" si="264"/>
        <v>32 - SECRETARIA EXECUTIVA DE POLÍTICAS PARA MULHERES E DIVERSIDADE</v>
      </c>
      <c r="J2076" t="s">
        <v>20</v>
      </c>
      <c r="K2076" t="str">
        <f t="shared" ref="K2076:K2136" si="272">VLOOKUP(C2076,$C$1:$O$994,9,0)</f>
        <v>14-DIREITOS DA CIDADANIA</v>
      </c>
      <c r="L2076" t="str">
        <f t="shared" ref="L2076:L2136" si="273">VLOOKUP(D2076,$D$1:$O$994,9,0)</f>
        <v>422-DIREITOS INDIVIDUAIS, COLETIVOS E DIFUSOS</v>
      </c>
      <c r="M2076" t="str">
        <f t="shared" ref="M2076:M2136" si="274">VLOOKUP(E2076,$E$1:$O$994,9,0)</f>
        <v>0001-Administração e Coordenação Geral​</v>
      </c>
      <c r="N2076" t="str">
        <f t="shared" ref="N2076:N2136" si="275">VLOOKUP(F2076,$F$1:$O$994,9,0)</f>
        <v>1.002-Reforma e Ampliação de Unidades</v>
      </c>
      <c r="O2076" t="str">
        <f t="shared" ref="O2076:O2136" si="276">VLOOKUP(G2076,$G$1:$O$994,9,0)</f>
        <v>3.3.90.30.00-MATERIAL DE CONSUMO</v>
      </c>
      <c r="R2076" s="25">
        <v>2</v>
      </c>
      <c r="S2076" t="s">
        <v>1035</v>
      </c>
    </row>
    <row r="2077" spans="1:19" x14ac:dyDescent="0.25">
      <c r="A2077" t="str">
        <f t="shared" si="265"/>
        <v>32</v>
      </c>
      <c r="B2077" t="str">
        <f t="shared" si="266"/>
        <v>001</v>
      </c>
      <c r="C2077" t="str">
        <f t="shared" si="267"/>
        <v>14</v>
      </c>
      <c r="D2077" t="str">
        <f t="shared" si="268"/>
        <v>422</v>
      </c>
      <c r="E2077" t="str">
        <f t="shared" si="269"/>
        <v>0001</v>
      </c>
      <c r="F2077" t="str">
        <f t="shared" si="270"/>
        <v>1.002</v>
      </c>
      <c r="G2077" t="str">
        <f t="shared" si="271"/>
        <v>3.3.90.39.00</v>
      </c>
      <c r="H2077" t="s">
        <v>2127</v>
      </c>
      <c r="I2077" t="str">
        <f t="shared" si="264"/>
        <v>32 - SECRETARIA EXECUTIVA DE POLÍTICAS PARA MULHERES E DIVERSIDADE</v>
      </c>
      <c r="J2077" t="s">
        <v>20</v>
      </c>
      <c r="K2077" t="str">
        <f t="shared" si="272"/>
        <v>14-DIREITOS DA CIDADANIA</v>
      </c>
      <c r="L2077" t="str">
        <f t="shared" si="273"/>
        <v>422-DIREITOS INDIVIDUAIS, COLETIVOS E DIFUSOS</v>
      </c>
      <c r="M2077" t="str">
        <f t="shared" si="274"/>
        <v>0001-Administração e Coordenação Geral​</v>
      </c>
      <c r="N2077" t="str">
        <f t="shared" si="275"/>
        <v>1.002-Reforma e Ampliação de Unidades</v>
      </c>
      <c r="O2077" t="str">
        <f t="shared" si="276"/>
        <v>3.3.90.39.00-OUTROS SERVIÇOS DE TERCEIROS - PESSOA JURÍDICA</v>
      </c>
      <c r="R2077" s="25">
        <v>2</v>
      </c>
      <c r="S2077" t="s">
        <v>1035</v>
      </c>
    </row>
    <row r="2078" spans="1:19" x14ac:dyDescent="0.25">
      <c r="A2078" t="str">
        <f t="shared" si="265"/>
        <v>33</v>
      </c>
      <c r="B2078" t="str">
        <f t="shared" si="266"/>
        <v>001</v>
      </c>
      <c r="C2078" t="str">
        <f t="shared" si="267"/>
        <v>04</v>
      </c>
      <c r="D2078" t="str">
        <f t="shared" si="268"/>
        <v>122</v>
      </c>
      <c r="E2078" t="str">
        <f t="shared" si="269"/>
        <v>0001</v>
      </c>
      <c r="F2078" t="str">
        <f t="shared" si="270"/>
        <v>1.002</v>
      </c>
      <c r="G2078" t="str">
        <f t="shared" si="271"/>
        <v>3.3.90.39.00</v>
      </c>
      <c r="H2078" t="s">
        <v>2128</v>
      </c>
      <c r="I2078" t="str">
        <f t="shared" si="264"/>
        <v>33 - SECRETARIA EXECUTIVA DE COMPRAS E LICITAÇÕES</v>
      </c>
      <c r="J2078" t="s">
        <v>20</v>
      </c>
      <c r="K2078" t="str">
        <f t="shared" si="272"/>
        <v>4-ADMINISTRAÇÃO</v>
      </c>
      <c r="L2078" t="str">
        <f t="shared" si="273"/>
        <v>122-ADMINISTRAÇÃO GERAL</v>
      </c>
      <c r="M2078" t="str">
        <f t="shared" si="274"/>
        <v>0001-Administração e Coordenação Geral​</v>
      </c>
      <c r="N2078" t="str">
        <f t="shared" si="275"/>
        <v>1.002-Reforma e Ampliação de Unidades</v>
      </c>
      <c r="O2078" t="str">
        <f t="shared" si="276"/>
        <v>3.3.90.39.00-OUTROS SERVIÇOS DE TERCEIROS - PESSOA JURÍDICA</v>
      </c>
      <c r="R2078" s="25">
        <v>1</v>
      </c>
      <c r="S2078" t="s">
        <v>1035</v>
      </c>
    </row>
    <row r="2079" spans="1:19" x14ac:dyDescent="0.25">
      <c r="A2079" t="str">
        <f t="shared" si="265"/>
        <v>33</v>
      </c>
      <c r="B2079" t="str">
        <f t="shared" si="266"/>
        <v>001</v>
      </c>
      <c r="C2079" t="str">
        <f t="shared" si="267"/>
        <v>04</v>
      </c>
      <c r="D2079" t="str">
        <f t="shared" si="268"/>
        <v>122</v>
      </c>
      <c r="E2079" t="str">
        <f t="shared" si="269"/>
        <v>0001</v>
      </c>
      <c r="F2079" t="str">
        <f t="shared" si="270"/>
        <v>2.001</v>
      </c>
      <c r="G2079" t="str">
        <f t="shared" si="271"/>
        <v>3.1.90.11.00</v>
      </c>
      <c r="H2079" t="s">
        <v>2129</v>
      </c>
      <c r="I2079" t="str">
        <f t="shared" si="264"/>
        <v>33 - SECRETARIA EXECUTIVA DE COMPRAS E LICITAÇÕES</v>
      </c>
      <c r="J2079" t="s">
        <v>20</v>
      </c>
      <c r="K2079" t="str">
        <f t="shared" si="272"/>
        <v>4-ADMINISTRAÇÃO</v>
      </c>
      <c r="L2079" t="str">
        <f t="shared" si="273"/>
        <v>122-ADMINISTRAÇÃO GERAL</v>
      </c>
      <c r="M2079" t="str">
        <f t="shared" si="274"/>
        <v>0001-Administração e Coordenação Geral​</v>
      </c>
      <c r="N2079" t="str">
        <f t="shared" si="275"/>
        <v>2.001-Remuneração, Benefícios e Encargos</v>
      </c>
      <c r="O2079" t="str">
        <f>G2079</f>
        <v>3.1.90.11.00</v>
      </c>
      <c r="R2079" s="25">
        <v>9309879.5999999996</v>
      </c>
      <c r="S2079" t="s">
        <v>1035</v>
      </c>
    </row>
    <row r="2080" spans="1:19" x14ac:dyDescent="0.25">
      <c r="A2080" t="str">
        <f t="shared" si="265"/>
        <v>33</v>
      </c>
      <c r="B2080" t="str">
        <f t="shared" si="266"/>
        <v>001</v>
      </c>
      <c r="C2080" t="str">
        <f t="shared" si="267"/>
        <v>04</v>
      </c>
      <c r="D2080" t="str">
        <f t="shared" si="268"/>
        <v>122</v>
      </c>
      <c r="E2080" t="str">
        <f t="shared" si="269"/>
        <v>0001</v>
      </c>
      <c r="F2080" t="str">
        <f t="shared" si="270"/>
        <v>2.001</v>
      </c>
      <c r="G2080" t="str">
        <f t="shared" si="271"/>
        <v>3.1.90.13.00</v>
      </c>
      <c r="H2080" t="s">
        <v>2130</v>
      </c>
      <c r="I2080" t="str">
        <f t="shared" si="264"/>
        <v>33 - SECRETARIA EXECUTIVA DE COMPRAS E LICITAÇÕES</v>
      </c>
      <c r="J2080" t="s">
        <v>20</v>
      </c>
      <c r="K2080" t="str">
        <f t="shared" si="272"/>
        <v>4-ADMINISTRAÇÃO</v>
      </c>
      <c r="L2080" t="str">
        <f t="shared" si="273"/>
        <v>122-ADMINISTRAÇÃO GERAL</v>
      </c>
      <c r="M2080" t="str">
        <f t="shared" si="274"/>
        <v>0001-Administração e Coordenação Geral​</v>
      </c>
      <c r="N2080" t="str">
        <f t="shared" si="275"/>
        <v>2.001-Remuneração, Benefícios e Encargos</v>
      </c>
      <c r="O2080" t="str">
        <f>G2080</f>
        <v>3.1.90.13.00</v>
      </c>
      <c r="R2080" s="25">
        <v>658906.91</v>
      </c>
      <c r="S2080" t="s">
        <v>1035</v>
      </c>
    </row>
    <row r="2081" spans="1:19" x14ac:dyDescent="0.25">
      <c r="A2081" t="str">
        <f t="shared" si="265"/>
        <v>33</v>
      </c>
      <c r="B2081" t="str">
        <f t="shared" si="266"/>
        <v>001</v>
      </c>
      <c r="C2081" t="str">
        <f t="shared" si="267"/>
        <v>04</v>
      </c>
      <c r="D2081" t="str">
        <f t="shared" si="268"/>
        <v>122</v>
      </c>
      <c r="E2081" t="str">
        <f t="shared" si="269"/>
        <v>0001</v>
      </c>
      <c r="F2081" t="str">
        <f t="shared" si="270"/>
        <v>2.001</v>
      </c>
      <c r="G2081" t="str">
        <f t="shared" si="271"/>
        <v>3.1.91.13.00</v>
      </c>
      <c r="H2081" t="s">
        <v>2131</v>
      </c>
      <c r="I2081" t="str">
        <f t="shared" si="264"/>
        <v>33 - SECRETARIA EXECUTIVA DE COMPRAS E LICITAÇÕES</v>
      </c>
      <c r="J2081" t="s">
        <v>20</v>
      </c>
      <c r="K2081" t="str">
        <f t="shared" si="272"/>
        <v>4-ADMINISTRAÇÃO</v>
      </c>
      <c r="L2081" t="str">
        <f t="shared" si="273"/>
        <v>122-ADMINISTRAÇÃO GERAL</v>
      </c>
      <c r="M2081" t="str">
        <f t="shared" si="274"/>
        <v>0001-Administração e Coordenação Geral​</v>
      </c>
      <c r="N2081" t="str">
        <f t="shared" si="275"/>
        <v>2.001-Remuneração, Benefícios e Encargos</v>
      </c>
      <c r="O2081" t="str">
        <f>G2081</f>
        <v>3.1.91.13.00</v>
      </c>
      <c r="R2081" s="25">
        <v>324724.21000000002</v>
      </c>
      <c r="S2081" t="s">
        <v>1035</v>
      </c>
    </row>
    <row r="2082" spans="1:19" x14ac:dyDescent="0.25">
      <c r="A2082" t="str">
        <f t="shared" si="265"/>
        <v>33</v>
      </c>
      <c r="B2082" t="str">
        <f t="shared" si="266"/>
        <v>001</v>
      </c>
      <c r="C2082" t="str">
        <f t="shared" si="267"/>
        <v>04</v>
      </c>
      <c r="D2082" t="str">
        <f t="shared" si="268"/>
        <v>122</v>
      </c>
      <c r="E2082" t="str">
        <f t="shared" si="269"/>
        <v>0001</v>
      </c>
      <c r="F2082" t="str">
        <f t="shared" si="270"/>
        <v>2.001</v>
      </c>
      <c r="G2082" t="str">
        <f t="shared" si="271"/>
        <v>3.3.90.46.00</v>
      </c>
      <c r="H2082" t="s">
        <v>2132</v>
      </c>
      <c r="I2082" t="str">
        <f t="shared" si="264"/>
        <v>33 - SECRETARIA EXECUTIVA DE COMPRAS E LICITAÇÕES</v>
      </c>
      <c r="J2082" t="s">
        <v>20</v>
      </c>
      <c r="K2082" t="str">
        <f t="shared" si="272"/>
        <v>4-ADMINISTRAÇÃO</v>
      </c>
      <c r="L2082" t="str">
        <f t="shared" si="273"/>
        <v>122-ADMINISTRAÇÃO GERAL</v>
      </c>
      <c r="M2082" t="str">
        <f t="shared" si="274"/>
        <v>0001-Administração e Coordenação Geral​</v>
      </c>
      <c r="N2082" t="str">
        <f t="shared" si="275"/>
        <v>2.001-Remuneração, Benefícios e Encargos</v>
      </c>
      <c r="O2082" t="str">
        <f>G2082</f>
        <v>3.3.90.46.00</v>
      </c>
      <c r="R2082" s="25">
        <v>2.36</v>
      </c>
      <c r="S2082" t="s">
        <v>1035</v>
      </c>
    </row>
    <row r="2083" spans="1:19" x14ac:dyDescent="0.25">
      <c r="A2083" t="str">
        <f t="shared" si="265"/>
        <v>33</v>
      </c>
      <c r="B2083" t="str">
        <f t="shared" si="266"/>
        <v>001</v>
      </c>
      <c r="C2083" t="str">
        <f t="shared" si="267"/>
        <v>04</v>
      </c>
      <c r="D2083" t="str">
        <f t="shared" si="268"/>
        <v>122</v>
      </c>
      <c r="E2083" t="str">
        <f t="shared" si="269"/>
        <v>0001</v>
      </c>
      <c r="F2083" t="str">
        <f t="shared" si="270"/>
        <v>2.001</v>
      </c>
      <c r="G2083" t="str">
        <f t="shared" si="271"/>
        <v>3.3.90.49.00</v>
      </c>
      <c r="H2083" t="s">
        <v>2133</v>
      </c>
      <c r="I2083" t="str">
        <f t="shared" si="264"/>
        <v>33 - SECRETARIA EXECUTIVA DE COMPRAS E LICITAÇÕES</v>
      </c>
      <c r="J2083" t="s">
        <v>20</v>
      </c>
      <c r="K2083" t="str">
        <f t="shared" si="272"/>
        <v>4-ADMINISTRAÇÃO</v>
      </c>
      <c r="L2083" t="str">
        <f t="shared" si="273"/>
        <v>122-ADMINISTRAÇÃO GERAL</v>
      </c>
      <c r="M2083" t="str">
        <f t="shared" si="274"/>
        <v>0001-Administração e Coordenação Geral​</v>
      </c>
      <c r="N2083" t="str">
        <f t="shared" si="275"/>
        <v>2.001-Remuneração, Benefícios e Encargos</v>
      </c>
      <c r="O2083" t="str">
        <f>G2083</f>
        <v>3.3.90.49.00</v>
      </c>
      <c r="R2083" s="25">
        <v>26315.78</v>
      </c>
      <c r="S2083" t="s">
        <v>1035</v>
      </c>
    </row>
    <row r="2084" spans="1:19" x14ac:dyDescent="0.25">
      <c r="A2084" t="str">
        <f t="shared" si="265"/>
        <v>34</v>
      </c>
      <c r="B2084" t="str">
        <f t="shared" si="266"/>
        <v>001</v>
      </c>
      <c r="C2084" t="str">
        <f t="shared" si="267"/>
        <v>04</v>
      </c>
      <c r="D2084" t="str">
        <f t="shared" si="268"/>
        <v>121</v>
      </c>
      <c r="E2084" t="str">
        <f t="shared" si="269"/>
        <v>0004</v>
      </c>
      <c r="F2084" t="str">
        <f t="shared" si="270"/>
        <v>1.001</v>
      </c>
      <c r="G2084" t="str">
        <f t="shared" si="271"/>
        <v>3.3.90.35.00</v>
      </c>
      <c r="H2084" t="s">
        <v>2134</v>
      </c>
      <c r="I2084" t="str">
        <f t="shared" ref="I2084:I2115" si="277">VLOOKUP(A2084,$A$1:$O$994,9,0)</f>
        <v>34 - COORDENADORIA DA DEFESA CIVIL</v>
      </c>
      <c r="J2084" t="s">
        <v>20</v>
      </c>
      <c r="K2084" t="str">
        <f t="shared" si="272"/>
        <v>4-ADMINISTRAÇÃO</v>
      </c>
      <c r="L2084" t="str">
        <f t="shared" si="273"/>
        <v>121-PLANEJAMENTO E ORÇAMENTO</v>
      </c>
      <c r="M2084" t="str">
        <f t="shared" si="274"/>
        <v xml:space="preserve">0004-Planejamento e Gestão de Políticas Públicas </v>
      </c>
      <c r="N2084" t="str">
        <f t="shared" si="275"/>
        <v xml:space="preserve">1.001-Estudos, Pesquisas, Planos e Projetos </v>
      </c>
      <c r="O2084" t="str">
        <f t="shared" si="276"/>
        <v>3.3.90.35.00-SERVIÇOS DE CONSULTORIA</v>
      </c>
      <c r="R2084" s="25">
        <v>1</v>
      </c>
      <c r="S2084" t="s">
        <v>1035</v>
      </c>
    </row>
    <row r="2085" spans="1:19" x14ac:dyDescent="0.25">
      <c r="A2085" t="str">
        <f t="shared" si="265"/>
        <v>34</v>
      </c>
      <c r="B2085" t="str">
        <f t="shared" si="266"/>
        <v>001</v>
      </c>
      <c r="C2085" t="str">
        <f t="shared" si="267"/>
        <v>04</v>
      </c>
      <c r="D2085" t="str">
        <f t="shared" si="268"/>
        <v>122</v>
      </c>
      <c r="E2085" t="str">
        <f t="shared" si="269"/>
        <v>0001</v>
      </c>
      <c r="F2085" t="str">
        <f t="shared" si="270"/>
        <v>2.001</v>
      </c>
      <c r="G2085" t="str">
        <f t="shared" si="271"/>
        <v>3.1.90.11.00</v>
      </c>
      <c r="H2085" t="s">
        <v>2135</v>
      </c>
      <c r="I2085" t="str">
        <f t="shared" si="277"/>
        <v>34 - COORDENADORIA DA DEFESA CIVIL</v>
      </c>
      <c r="J2085" t="s">
        <v>20</v>
      </c>
      <c r="K2085" t="str">
        <f t="shared" si="272"/>
        <v>4-ADMINISTRAÇÃO</v>
      </c>
      <c r="L2085" t="str">
        <f t="shared" si="273"/>
        <v>122-ADMINISTRAÇÃO GERAL</v>
      </c>
      <c r="M2085" t="str">
        <f t="shared" si="274"/>
        <v>0001-Administração e Coordenação Geral​</v>
      </c>
      <c r="N2085" t="str">
        <f t="shared" si="275"/>
        <v>2.001-Remuneração, Benefícios e Encargos</v>
      </c>
      <c r="O2085" t="str">
        <f>G2085</f>
        <v>3.1.90.11.00</v>
      </c>
      <c r="R2085" s="25">
        <v>6082852.0199999996</v>
      </c>
      <c r="S2085" t="s">
        <v>1035</v>
      </c>
    </row>
    <row r="2086" spans="1:19" x14ac:dyDescent="0.25">
      <c r="A2086" t="str">
        <f t="shared" si="265"/>
        <v>34</v>
      </c>
      <c r="B2086" t="str">
        <f t="shared" si="266"/>
        <v>001</v>
      </c>
      <c r="C2086" t="str">
        <f t="shared" si="267"/>
        <v>04</v>
      </c>
      <c r="D2086" t="str">
        <f t="shared" si="268"/>
        <v>122</v>
      </c>
      <c r="E2086" t="str">
        <f t="shared" si="269"/>
        <v>0001</v>
      </c>
      <c r="F2086" t="str">
        <f t="shared" si="270"/>
        <v>2.001</v>
      </c>
      <c r="G2086" t="str">
        <f t="shared" si="271"/>
        <v>3.1.90.13.00</v>
      </c>
      <c r="H2086" t="s">
        <v>2136</v>
      </c>
      <c r="I2086" t="str">
        <f t="shared" si="277"/>
        <v>34 - COORDENADORIA DA DEFESA CIVIL</v>
      </c>
      <c r="J2086" t="s">
        <v>20</v>
      </c>
      <c r="K2086" t="str">
        <f t="shared" si="272"/>
        <v>4-ADMINISTRAÇÃO</v>
      </c>
      <c r="L2086" t="str">
        <f t="shared" si="273"/>
        <v>122-ADMINISTRAÇÃO GERAL</v>
      </c>
      <c r="M2086" t="str">
        <f t="shared" si="274"/>
        <v>0001-Administração e Coordenação Geral​</v>
      </c>
      <c r="N2086" t="str">
        <f t="shared" si="275"/>
        <v>2.001-Remuneração, Benefícios e Encargos</v>
      </c>
      <c r="O2086" t="str">
        <f>G2086</f>
        <v>3.1.90.13.00</v>
      </c>
      <c r="R2086" s="25">
        <v>212998.92</v>
      </c>
      <c r="S2086" t="s">
        <v>1035</v>
      </c>
    </row>
    <row r="2087" spans="1:19" x14ac:dyDescent="0.25">
      <c r="A2087" t="str">
        <f t="shared" si="265"/>
        <v>34</v>
      </c>
      <c r="B2087" t="str">
        <f t="shared" si="266"/>
        <v>001</v>
      </c>
      <c r="C2087" t="str">
        <f t="shared" si="267"/>
        <v>04</v>
      </c>
      <c r="D2087" t="str">
        <f t="shared" si="268"/>
        <v>122</v>
      </c>
      <c r="E2087" t="str">
        <f t="shared" si="269"/>
        <v>0001</v>
      </c>
      <c r="F2087" t="str">
        <f t="shared" si="270"/>
        <v>2.001</v>
      </c>
      <c r="G2087" t="str">
        <f t="shared" si="271"/>
        <v>3.1.91.13.00</v>
      </c>
      <c r="H2087" t="s">
        <v>2137</v>
      </c>
      <c r="I2087" t="str">
        <f t="shared" si="277"/>
        <v>34 - COORDENADORIA DA DEFESA CIVIL</v>
      </c>
      <c r="J2087" t="s">
        <v>20</v>
      </c>
      <c r="K2087" t="str">
        <f t="shared" si="272"/>
        <v>4-ADMINISTRAÇÃO</v>
      </c>
      <c r="L2087" t="str">
        <f t="shared" si="273"/>
        <v>122-ADMINISTRAÇÃO GERAL</v>
      </c>
      <c r="M2087" t="str">
        <f t="shared" si="274"/>
        <v>0001-Administração e Coordenação Geral​</v>
      </c>
      <c r="N2087" t="str">
        <f t="shared" si="275"/>
        <v>2.001-Remuneração, Benefícios e Encargos</v>
      </c>
      <c r="O2087" t="str">
        <f>G2087</f>
        <v>3.1.91.13.00</v>
      </c>
      <c r="R2087" s="25">
        <v>781851.92</v>
      </c>
      <c r="S2087" t="s">
        <v>1035</v>
      </c>
    </row>
    <row r="2088" spans="1:19" x14ac:dyDescent="0.25">
      <c r="A2088" t="str">
        <f t="shared" si="265"/>
        <v>34</v>
      </c>
      <c r="B2088" t="str">
        <f t="shared" si="266"/>
        <v>001</v>
      </c>
      <c r="C2088" t="str">
        <f t="shared" si="267"/>
        <v>04</v>
      </c>
      <c r="D2088" t="str">
        <f t="shared" si="268"/>
        <v>122</v>
      </c>
      <c r="E2088" t="str">
        <f t="shared" si="269"/>
        <v>0001</v>
      </c>
      <c r="F2088" t="str">
        <f t="shared" si="270"/>
        <v>2.001</v>
      </c>
      <c r="G2088" t="str">
        <f t="shared" si="271"/>
        <v>3.3.90.49.00</v>
      </c>
      <c r="H2088" t="s">
        <v>2138</v>
      </c>
      <c r="I2088" t="str">
        <f t="shared" si="277"/>
        <v>34 - COORDENADORIA DA DEFESA CIVIL</v>
      </c>
      <c r="J2088" t="s">
        <v>20</v>
      </c>
      <c r="K2088" t="str">
        <f t="shared" si="272"/>
        <v>4-ADMINISTRAÇÃO</v>
      </c>
      <c r="L2088" t="str">
        <f t="shared" si="273"/>
        <v>122-ADMINISTRAÇÃO GERAL</v>
      </c>
      <c r="M2088" t="str">
        <f t="shared" si="274"/>
        <v>0001-Administração e Coordenação Geral​</v>
      </c>
      <c r="N2088" t="str">
        <f t="shared" si="275"/>
        <v>2.001-Remuneração, Benefícios e Encargos</v>
      </c>
      <c r="O2088" t="str">
        <f>G2088</f>
        <v>3.3.90.49.00</v>
      </c>
      <c r="R2088" s="25">
        <v>128330.62</v>
      </c>
      <c r="S2088" t="s">
        <v>1035</v>
      </c>
    </row>
    <row r="2089" spans="1:19" x14ac:dyDescent="0.25">
      <c r="A2089" t="str">
        <f t="shared" si="265"/>
        <v>34</v>
      </c>
      <c r="B2089" t="str">
        <f t="shared" si="266"/>
        <v>001</v>
      </c>
      <c r="C2089" t="str">
        <f t="shared" si="267"/>
        <v>15</v>
      </c>
      <c r="D2089" t="str">
        <f t="shared" si="268"/>
        <v>182</v>
      </c>
      <c r="E2089" t="str">
        <f t="shared" si="269"/>
        <v>0005</v>
      </c>
      <c r="F2089" t="str">
        <f t="shared" si="270"/>
        <v>1.002</v>
      </c>
      <c r="G2089" t="str">
        <f t="shared" si="271"/>
        <v>3.3.90.39.00</v>
      </c>
      <c r="H2089" t="s">
        <v>2139</v>
      </c>
      <c r="I2089" t="str">
        <f t="shared" si="277"/>
        <v>34 - COORDENADORIA DA DEFESA CIVIL</v>
      </c>
      <c r="J2089" t="s">
        <v>20</v>
      </c>
      <c r="K2089" t="str">
        <f t="shared" si="272"/>
        <v>15-URBANISMO</v>
      </c>
      <c r="L2089" t="str">
        <f t="shared" si="273"/>
        <v>182-DEFESA CIVIL</v>
      </c>
      <c r="M2089" t="str">
        <f t="shared" si="274"/>
        <v>0005-Resiliência Urbana​</v>
      </c>
      <c r="N2089" t="str">
        <f t="shared" si="275"/>
        <v>1.002-Reforma e Ampliação de Unidades</v>
      </c>
      <c r="O2089" t="str">
        <f t="shared" si="276"/>
        <v>3.3.90.39.00-OUTROS SERVIÇOS DE TERCEIROS - PESSOA JURÍDICA</v>
      </c>
      <c r="R2089" s="25">
        <v>1</v>
      </c>
      <c r="S2089" t="s">
        <v>1035</v>
      </c>
    </row>
    <row r="2090" spans="1:19" x14ac:dyDescent="0.25">
      <c r="A2090" t="str">
        <f t="shared" si="265"/>
        <v>35</v>
      </c>
      <c r="B2090" t="str">
        <f t="shared" si="266"/>
        <v>001</v>
      </c>
      <c r="C2090" t="str">
        <f t="shared" si="267"/>
        <v>04</v>
      </c>
      <c r="D2090" t="str">
        <f t="shared" si="268"/>
        <v>122</v>
      </c>
      <c r="E2090" t="str">
        <f t="shared" si="269"/>
        <v>0001</v>
      </c>
      <c r="F2090" t="str">
        <f t="shared" si="270"/>
        <v>1.002</v>
      </c>
      <c r="G2090" t="str">
        <f t="shared" si="271"/>
        <v>3.3.90.30.00</v>
      </c>
      <c r="H2090" t="s">
        <v>2140</v>
      </c>
      <c r="I2090" t="s">
        <v>4307</v>
      </c>
      <c r="J2090" t="s">
        <v>20</v>
      </c>
      <c r="K2090" t="str">
        <f t="shared" si="272"/>
        <v>4-ADMINISTRAÇÃO</v>
      </c>
      <c r="L2090" t="str">
        <f t="shared" si="273"/>
        <v>122-ADMINISTRAÇÃO GERAL</v>
      </c>
      <c r="M2090" t="str">
        <f t="shared" si="274"/>
        <v>0001-Administração e Coordenação Geral​</v>
      </c>
      <c r="N2090" t="str">
        <f t="shared" si="275"/>
        <v>1.002-Reforma e Ampliação de Unidades</v>
      </c>
      <c r="O2090" t="str">
        <f t="shared" si="276"/>
        <v>3.3.90.30.00-MATERIAL DE CONSUMO</v>
      </c>
      <c r="R2090" s="25">
        <v>1</v>
      </c>
      <c r="S2090" t="s">
        <v>1035</v>
      </c>
    </row>
    <row r="2091" spans="1:19" x14ac:dyDescent="0.25">
      <c r="A2091" t="str">
        <f t="shared" si="265"/>
        <v>35</v>
      </c>
      <c r="B2091" t="str">
        <f t="shared" si="266"/>
        <v>001</v>
      </c>
      <c r="C2091" t="str">
        <f t="shared" si="267"/>
        <v>04</v>
      </c>
      <c r="D2091" t="str">
        <f t="shared" si="268"/>
        <v>122</v>
      </c>
      <c r="E2091" t="str">
        <f t="shared" si="269"/>
        <v>0001</v>
      </c>
      <c r="F2091" t="str">
        <f t="shared" si="270"/>
        <v>1.002</v>
      </c>
      <c r="G2091" t="str">
        <f t="shared" si="271"/>
        <v>3.3.90.39.00</v>
      </c>
      <c r="H2091" t="s">
        <v>2141</v>
      </c>
      <c r="I2091" t="s">
        <v>4307</v>
      </c>
      <c r="J2091" t="s">
        <v>20</v>
      </c>
      <c r="K2091" t="str">
        <f t="shared" si="272"/>
        <v>4-ADMINISTRAÇÃO</v>
      </c>
      <c r="L2091" t="str">
        <f t="shared" si="273"/>
        <v>122-ADMINISTRAÇÃO GERAL</v>
      </c>
      <c r="M2091" t="str">
        <f t="shared" si="274"/>
        <v>0001-Administração e Coordenação Geral​</v>
      </c>
      <c r="N2091" t="str">
        <f t="shared" si="275"/>
        <v>1.002-Reforma e Ampliação de Unidades</v>
      </c>
      <c r="O2091" t="str">
        <f t="shared" si="276"/>
        <v>3.3.90.39.00-OUTROS SERVIÇOS DE TERCEIROS - PESSOA JURÍDICA</v>
      </c>
      <c r="R2091" s="25">
        <v>1</v>
      </c>
      <c r="S2091" t="s">
        <v>1035</v>
      </c>
    </row>
    <row r="2092" spans="1:19" x14ac:dyDescent="0.25">
      <c r="A2092" t="str">
        <f t="shared" si="265"/>
        <v>35</v>
      </c>
      <c r="B2092" t="str">
        <f t="shared" si="266"/>
        <v>001</v>
      </c>
      <c r="C2092" t="str">
        <f t="shared" si="267"/>
        <v>04</v>
      </c>
      <c r="D2092" t="str">
        <f t="shared" si="268"/>
        <v>122</v>
      </c>
      <c r="E2092" t="str">
        <f t="shared" si="269"/>
        <v>0001</v>
      </c>
      <c r="F2092" t="str">
        <f t="shared" si="270"/>
        <v>1.002</v>
      </c>
      <c r="G2092" t="str">
        <f t="shared" si="271"/>
        <v>4.4.90.52.00</v>
      </c>
      <c r="H2092" t="s">
        <v>2142</v>
      </c>
      <c r="I2092" t="s">
        <v>4307</v>
      </c>
      <c r="J2092" t="s">
        <v>20</v>
      </c>
      <c r="K2092" t="str">
        <f t="shared" si="272"/>
        <v>4-ADMINISTRAÇÃO</v>
      </c>
      <c r="L2092" t="str">
        <f t="shared" si="273"/>
        <v>122-ADMINISTRAÇÃO GERAL</v>
      </c>
      <c r="M2092" t="str">
        <f t="shared" si="274"/>
        <v>0001-Administração e Coordenação Geral​</v>
      </c>
      <c r="N2092" t="str">
        <f t="shared" si="275"/>
        <v>1.002-Reforma e Ampliação de Unidades</v>
      </c>
      <c r="O2092" t="str">
        <f t="shared" si="276"/>
        <v>4.4.90.52.00-EQUIPAMENTOS E MATERIAL PERMANENTE</v>
      </c>
      <c r="R2092" s="25">
        <v>1</v>
      </c>
      <c r="S2092" t="s">
        <v>1035</v>
      </c>
    </row>
    <row r="2093" spans="1:19" x14ac:dyDescent="0.25">
      <c r="A2093" t="str">
        <f t="shared" si="265"/>
        <v>35</v>
      </c>
      <c r="B2093" t="str">
        <f t="shared" si="266"/>
        <v>001</v>
      </c>
      <c r="C2093" t="str">
        <f t="shared" si="267"/>
        <v>04</v>
      </c>
      <c r="D2093" t="str">
        <f t="shared" si="268"/>
        <v>122</v>
      </c>
      <c r="E2093" t="str">
        <f t="shared" si="269"/>
        <v>0001</v>
      </c>
      <c r="F2093" t="str">
        <f t="shared" si="270"/>
        <v>2.001</v>
      </c>
      <c r="G2093" t="str">
        <f t="shared" si="271"/>
        <v>3.1.90.11.00</v>
      </c>
      <c r="H2093" t="s">
        <v>2143</v>
      </c>
      <c r="I2093" t="s">
        <v>4307</v>
      </c>
      <c r="J2093" t="s">
        <v>20</v>
      </c>
      <c r="K2093" t="str">
        <f t="shared" si="272"/>
        <v>4-ADMINISTRAÇÃO</v>
      </c>
      <c r="L2093" t="str">
        <f t="shared" si="273"/>
        <v>122-ADMINISTRAÇÃO GERAL</v>
      </c>
      <c r="M2093" t="str">
        <f t="shared" si="274"/>
        <v>0001-Administração e Coordenação Geral​</v>
      </c>
      <c r="N2093" t="str">
        <f t="shared" si="275"/>
        <v>2.001-Remuneração, Benefícios e Encargos</v>
      </c>
      <c r="O2093" t="str">
        <f>G2093</f>
        <v>3.1.90.11.00</v>
      </c>
      <c r="R2093" s="25">
        <v>3633832.7</v>
      </c>
      <c r="S2093" t="s">
        <v>1035</v>
      </c>
    </row>
    <row r="2094" spans="1:19" x14ac:dyDescent="0.25">
      <c r="A2094" t="str">
        <f t="shared" si="265"/>
        <v>35</v>
      </c>
      <c r="B2094" t="str">
        <f t="shared" si="266"/>
        <v>001</v>
      </c>
      <c r="C2094" t="str">
        <f t="shared" si="267"/>
        <v>04</v>
      </c>
      <c r="D2094" t="str">
        <f t="shared" si="268"/>
        <v>122</v>
      </c>
      <c r="E2094" t="str">
        <f t="shared" si="269"/>
        <v>0001</v>
      </c>
      <c r="F2094" t="str">
        <f t="shared" si="270"/>
        <v>2.001</v>
      </c>
      <c r="G2094" t="str">
        <f t="shared" si="271"/>
        <v>3.1.90.13.00</v>
      </c>
      <c r="H2094" t="s">
        <v>2144</v>
      </c>
      <c r="I2094" t="s">
        <v>4307</v>
      </c>
      <c r="J2094" t="s">
        <v>20</v>
      </c>
      <c r="K2094" t="str">
        <f t="shared" si="272"/>
        <v>4-ADMINISTRAÇÃO</v>
      </c>
      <c r="L2094" t="str">
        <f t="shared" si="273"/>
        <v>122-ADMINISTRAÇÃO GERAL</v>
      </c>
      <c r="M2094" t="str">
        <f t="shared" si="274"/>
        <v>0001-Administração e Coordenação Geral​</v>
      </c>
      <c r="N2094" t="str">
        <f t="shared" si="275"/>
        <v>2.001-Remuneração, Benefícios e Encargos</v>
      </c>
      <c r="O2094" t="str">
        <f>G2094</f>
        <v>3.1.90.13.00</v>
      </c>
      <c r="R2094" s="25">
        <v>959030.54</v>
      </c>
      <c r="S2094" t="s">
        <v>1035</v>
      </c>
    </row>
    <row r="2095" spans="1:19" x14ac:dyDescent="0.25">
      <c r="A2095" t="str">
        <f t="shared" si="265"/>
        <v>35</v>
      </c>
      <c r="B2095" t="str">
        <f t="shared" si="266"/>
        <v>001</v>
      </c>
      <c r="C2095" t="str">
        <f t="shared" si="267"/>
        <v>04</v>
      </c>
      <c r="D2095" t="str">
        <f t="shared" si="268"/>
        <v>122</v>
      </c>
      <c r="E2095" t="str">
        <f t="shared" si="269"/>
        <v>0001</v>
      </c>
      <c r="F2095" t="str">
        <f t="shared" si="270"/>
        <v>2.001</v>
      </c>
      <c r="G2095" t="str">
        <f t="shared" si="271"/>
        <v>3.1.91.13.00</v>
      </c>
      <c r="H2095" t="s">
        <v>2145</v>
      </c>
      <c r="I2095" t="s">
        <v>4307</v>
      </c>
      <c r="J2095" t="s">
        <v>20</v>
      </c>
      <c r="K2095" t="str">
        <f t="shared" si="272"/>
        <v>4-ADMINISTRAÇÃO</v>
      </c>
      <c r="L2095" t="str">
        <f t="shared" si="273"/>
        <v>122-ADMINISTRAÇÃO GERAL</v>
      </c>
      <c r="M2095" t="str">
        <f t="shared" si="274"/>
        <v>0001-Administração e Coordenação Geral​</v>
      </c>
      <c r="N2095" t="str">
        <f t="shared" si="275"/>
        <v>2.001-Remuneração, Benefícios e Encargos</v>
      </c>
      <c r="O2095" t="str">
        <f>G2095</f>
        <v>3.1.91.13.00</v>
      </c>
      <c r="R2095" s="25">
        <v>46406.53</v>
      </c>
      <c r="S2095" t="s">
        <v>1035</v>
      </c>
    </row>
    <row r="2096" spans="1:19" x14ac:dyDescent="0.25">
      <c r="A2096" t="str">
        <f t="shared" si="265"/>
        <v>35</v>
      </c>
      <c r="B2096" t="str">
        <f t="shared" si="266"/>
        <v>001</v>
      </c>
      <c r="C2096" t="str">
        <f t="shared" si="267"/>
        <v>04</v>
      </c>
      <c r="D2096" t="str">
        <f t="shared" si="268"/>
        <v>122</v>
      </c>
      <c r="E2096" t="str">
        <f t="shared" si="269"/>
        <v>0001</v>
      </c>
      <c r="F2096" t="str">
        <f t="shared" si="270"/>
        <v>2.001</v>
      </c>
      <c r="G2096" t="str">
        <f t="shared" si="271"/>
        <v>3.3.90.46.00</v>
      </c>
      <c r="H2096" t="s">
        <v>2146</v>
      </c>
      <c r="I2096" t="s">
        <v>4307</v>
      </c>
      <c r="J2096" t="s">
        <v>20</v>
      </c>
      <c r="K2096" t="str">
        <f t="shared" si="272"/>
        <v>4-ADMINISTRAÇÃO</v>
      </c>
      <c r="L2096" t="str">
        <f t="shared" si="273"/>
        <v>122-ADMINISTRAÇÃO GERAL</v>
      </c>
      <c r="M2096" t="str">
        <f t="shared" si="274"/>
        <v>0001-Administração e Coordenação Geral​</v>
      </c>
      <c r="N2096" t="str">
        <f t="shared" si="275"/>
        <v>2.001-Remuneração, Benefícios e Encargos</v>
      </c>
      <c r="O2096" t="str">
        <f>G2096</f>
        <v>3.3.90.46.00</v>
      </c>
      <c r="R2096" s="25">
        <v>5.44</v>
      </c>
      <c r="S2096" t="s">
        <v>1035</v>
      </c>
    </row>
    <row r="2097" spans="1:19" x14ac:dyDescent="0.25">
      <c r="A2097" t="str">
        <f t="shared" si="265"/>
        <v>35</v>
      </c>
      <c r="B2097" t="str">
        <f t="shared" si="266"/>
        <v>001</v>
      </c>
      <c r="C2097" t="str">
        <f t="shared" si="267"/>
        <v>04</v>
      </c>
      <c r="D2097" t="str">
        <f t="shared" si="268"/>
        <v>122</v>
      </c>
      <c r="E2097" t="str">
        <f t="shared" si="269"/>
        <v>0001</v>
      </c>
      <c r="F2097" t="str">
        <f t="shared" si="270"/>
        <v>2.001</v>
      </c>
      <c r="G2097" t="str">
        <f t="shared" si="271"/>
        <v>3.3.90.49.00</v>
      </c>
      <c r="H2097" t="s">
        <v>2147</v>
      </c>
      <c r="I2097" t="s">
        <v>4307</v>
      </c>
      <c r="J2097" t="s">
        <v>20</v>
      </c>
      <c r="K2097" t="str">
        <f t="shared" si="272"/>
        <v>4-ADMINISTRAÇÃO</v>
      </c>
      <c r="L2097" t="str">
        <f t="shared" si="273"/>
        <v>122-ADMINISTRAÇÃO GERAL</v>
      </c>
      <c r="M2097" t="str">
        <f t="shared" si="274"/>
        <v>0001-Administração e Coordenação Geral​</v>
      </c>
      <c r="N2097" t="str">
        <f t="shared" si="275"/>
        <v>2.001-Remuneração, Benefícios e Encargos</v>
      </c>
      <c r="O2097" t="str">
        <f>G2097</f>
        <v>3.3.90.49.00</v>
      </c>
      <c r="R2097" s="25">
        <v>30913.02</v>
      </c>
      <c r="S2097" t="s">
        <v>1035</v>
      </c>
    </row>
    <row r="2098" spans="1:19" x14ac:dyDescent="0.25">
      <c r="A2098" t="str">
        <f t="shared" si="265"/>
        <v>36</v>
      </c>
      <c r="B2098" t="str">
        <f t="shared" si="266"/>
        <v>001</v>
      </c>
      <c r="C2098" t="str">
        <f t="shared" si="267"/>
        <v>04</v>
      </c>
      <c r="D2098" t="str">
        <f t="shared" si="268"/>
        <v>122</v>
      </c>
      <c r="E2098" t="str">
        <f t="shared" si="269"/>
        <v>0001</v>
      </c>
      <c r="F2098" t="str">
        <f t="shared" si="270"/>
        <v>1.002</v>
      </c>
      <c r="G2098" t="str">
        <f t="shared" si="271"/>
        <v>3.3.90.39.00</v>
      </c>
      <c r="H2098" t="s">
        <v>2148</v>
      </c>
      <c r="I2098" t="str">
        <f t="shared" si="277"/>
        <v>36 - SECRETARIA DA FAMÍLIA, CIDADANIA E SEGURANÇA ALIMENTAR</v>
      </c>
      <c r="J2098" t="s">
        <v>20</v>
      </c>
      <c r="K2098" t="str">
        <f t="shared" si="272"/>
        <v>4-ADMINISTRAÇÃO</v>
      </c>
      <c r="L2098" t="str">
        <f t="shared" si="273"/>
        <v>122-ADMINISTRAÇÃO GERAL</v>
      </c>
      <c r="M2098" t="str">
        <f t="shared" si="274"/>
        <v>0001-Administração e Coordenação Geral​</v>
      </c>
      <c r="N2098" t="str">
        <f t="shared" si="275"/>
        <v>1.002-Reforma e Ampliação de Unidades</v>
      </c>
      <c r="O2098" t="str">
        <f t="shared" si="276"/>
        <v>3.3.90.39.00-OUTROS SERVIÇOS DE TERCEIROS - PESSOA JURÍDICA</v>
      </c>
      <c r="R2098" s="25">
        <v>832312.77</v>
      </c>
      <c r="S2098" t="s">
        <v>1035</v>
      </c>
    </row>
    <row r="2099" spans="1:19" x14ac:dyDescent="0.25">
      <c r="A2099" t="str">
        <f t="shared" si="265"/>
        <v>36</v>
      </c>
      <c r="B2099" t="str">
        <f t="shared" si="266"/>
        <v>001</v>
      </c>
      <c r="C2099" t="str">
        <f t="shared" si="267"/>
        <v>04</v>
      </c>
      <c r="D2099" t="str">
        <f t="shared" si="268"/>
        <v>122</v>
      </c>
      <c r="E2099" t="str">
        <f t="shared" si="269"/>
        <v>0001</v>
      </c>
      <c r="F2099" t="str">
        <f t="shared" si="270"/>
        <v>2.001</v>
      </c>
      <c r="G2099" t="str">
        <f t="shared" si="271"/>
        <v>3.1.90.11.00</v>
      </c>
      <c r="H2099" t="s">
        <v>2149</v>
      </c>
      <c r="I2099" t="str">
        <f t="shared" si="277"/>
        <v>36 - SECRETARIA DA FAMÍLIA, CIDADANIA E SEGURANÇA ALIMENTAR</v>
      </c>
      <c r="J2099" t="s">
        <v>20</v>
      </c>
      <c r="K2099" t="str">
        <f t="shared" si="272"/>
        <v>4-ADMINISTRAÇÃO</v>
      </c>
      <c r="L2099" t="str">
        <f t="shared" si="273"/>
        <v>122-ADMINISTRAÇÃO GERAL</v>
      </c>
      <c r="M2099" t="str">
        <f t="shared" si="274"/>
        <v>0001-Administração e Coordenação Geral​</v>
      </c>
      <c r="N2099" t="str">
        <f t="shared" si="275"/>
        <v>2.001-Remuneração, Benefícios e Encargos</v>
      </c>
      <c r="O2099" t="str">
        <f>G2099</f>
        <v>3.1.90.11.00</v>
      </c>
      <c r="R2099" s="25">
        <v>6606133.0899999999</v>
      </c>
      <c r="S2099" t="s">
        <v>1035</v>
      </c>
    </row>
    <row r="2100" spans="1:19" x14ac:dyDescent="0.25">
      <c r="A2100" t="str">
        <f t="shared" si="265"/>
        <v>36</v>
      </c>
      <c r="B2100" t="str">
        <f t="shared" si="266"/>
        <v>001</v>
      </c>
      <c r="C2100" t="str">
        <f t="shared" si="267"/>
        <v>04</v>
      </c>
      <c r="D2100" t="str">
        <f t="shared" si="268"/>
        <v>122</v>
      </c>
      <c r="E2100" t="str">
        <f t="shared" si="269"/>
        <v>0001</v>
      </c>
      <c r="F2100" t="str">
        <f t="shared" si="270"/>
        <v>2.001</v>
      </c>
      <c r="G2100" t="str">
        <f t="shared" si="271"/>
        <v>3.1.90.13.00</v>
      </c>
      <c r="H2100" t="s">
        <v>2150</v>
      </c>
      <c r="I2100" t="str">
        <f t="shared" si="277"/>
        <v>36 - SECRETARIA DA FAMÍLIA, CIDADANIA E SEGURANÇA ALIMENTAR</v>
      </c>
      <c r="J2100" t="s">
        <v>20</v>
      </c>
      <c r="K2100" t="str">
        <f t="shared" si="272"/>
        <v>4-ADMINISTRAÇÃO</v>
      </c>
      <c r="L2100" t="str">
        <f t="shared" si="273"/>
        <v>122-ADMINISTRAÇÃO GERAL</v>
      </c>
      <c r="M2100" t="str">
        <f t="shared" si="274"/>
        <v>0001-Administração e Coordenação Geral​</v>
      </c>
      <c r="N2100" t="str">
        <f t="shared" si="275"/>
        <v>2.001-Remuneração, Benefícios e Encargos</v>
      </c>
      <c r="O2100" t="str">
        <f>G2100</f>
        <v>3.1.90.13.00</v>
      </c>
      <c r="R2100" s="25">
        <v>1250700.78</v>
      </c>
      <c r="S2100" t="s">
        <v>1035</v>
      </c>
    </row>
    <row r="2101" spans="1:19" x14ac:dyDescent="0.25">
      <c r="A2101" t="str">
        <f t="shared" si="265"/>
        <v>36</v>
      </c>
      <c r="B2101" t="str">
        <f t="shared" si="266"/>
        <v>001</v>
      </c>
      <c r="C2101" t="str">
        <f t="shared" si="267"/>
        <v>04</v>
      </c>
      <c r="D2101" t="str">
        <f t="shared" si="268"/>
        <v>122</v>
      </c>
      <c r="E2101" t="str">
        <f t="shared" si="269"/>
        <v>0001</v>
      </c>
      <c r="F2101" t="str">
        <f t="shared" si="270"/>
        <v>2.001</v>
      </c>
      <c r="G2101" t="str">
        <f t="shared" si="271"/>
        <v>3.1.91.13.00</v>
      </c>
      <c r="H2101" t="s">
        <v>2151</v>
      </c>
      <c r="I2101" t="str">
        <f t="shared" si="277"/>
        <v>36 - SECRETARIA DA FAMÍLIA, CIDADANIA E SEGURANÇA ALIMENTAR</v>
      </c>
      <c r="J2101" t="s">
        <v>20</v>
      </c>
      <c r="K2101" t="str">
        <f t="shared" si="272"/>
        <v>4-ADMINISTRAÇÃO</v>
      </c>
      <c r="L2101" t="str">
        <f t="shared" si="273"/>
        <v>122-ADMINISTRAÇÃO GERAL</v>
      </c>
      <c r="M2101" t="str">
        <f t="shared" si="274"/>
        <v>0001-Administração e Coordenação Geral​</v>
      </c>
      <c r="N2101" t="str">
        <f t="shared" si="275"/>
        <v>2.001-Remuneração, Benefícios e Encargos</v>
      </c>
      <c r="O2101" t="str">
        <f>G2101</f>
        <v>3.1.91.13.00</v>
      </c>
      <c r="R2101" s="25">
        <v>406814.14</v>
      </c>
      <c r="S2101" t="s">
        <v>1035</v>
      </c>
    </row>
    <row r="2102" spans="1:19" x14ac:dyDescent="0.25">
      <c r="A2102" t="str">
        <f t="shared" si="265"/>
        <v>36</v>
      </c>
      <c r="B2102" t="str">
        <f t="shared" si="266"/>
        <v>001</v>
      </c>
      <c r="C2102" t="str">
        <f t="shared" si="267"/>
        <v>04</v>
      </c>
      <c r="D2102" t="str">
        <f t="shared" si="268"/>
        <v>122</v>
      </c>
      <c r="E2102" t="str">
        <f t="shared" si="269"/>
        <v>0001</v>
      </c>
      <c r="F2102" t="str">
        <f t="shared" si="270"/>
        <v>2.001</v>
      </c>
      <c r="G2102" t="str">
        <f t="shared" si="271"/>
        <v>3.3.90.46.00</v>
      </c>
      <c r="H2102" t="s">
        <v>2152</v>
      </c>
      <c r="I2102" t="str">
        <f t="shared" si="277"/>
        <v>36 - SECRETARIA DA FAMÍLIA, CIDADANIA E SEGURANÇA ALIMENTAR</v>
      </c>
      <c r="J2102" t="s">
        <v>20</v>
      </c>
      <c r="K2102" t="str">
        <f t="shared" si="272"/>
        <v>4-ADMINISTRAÇÃO</v>
      </c>
      <c r="L2102" t="str">
        <f t="shared" si="273"/>
        <v>122-ADMINISTRAÇÃO GERAL</v>
      </c>
      <c r="M2102" t="str">
        <f t="shared" si="274"/>
        <v>0001-Administração e Coordenação Geral​</v>
      </c>
      <c r="N2102" t="str">
        <f t="shared" si="275"/>
        <v>2.001-Remuneração, Benefícios e Encargos</v>
      </c>
      <c r="O2102" t="str">
        <f>G2102</f>
        <v>3.3.90.46.00</v>
      </c>
      <c r="R2102" s="25">
        <v>6.69</v>
      </c>
      <c r="S2102" t="s">
        <v>1035</v>
      </c>
    </row>
    <row r="2103" spans="1:19" x14ac:dyDescent="0.25">
      <c r="A2103" t="str">
        <f t="shared" si="265"/>
        <v>36</v>
      </c>
      <c r="B2103" t="str">
        <f t="shared" si="266"/>
        <v>001</v>
      </c>
      <c r="C2103" t="str">
        <f t="shared" si="267"/>
        <v>04</v>
      </c>
      <c r="D2103" t="str">
        <f t="shared" si="268"/>
        <v>122</v>
      </c>
      <c r="E2103" t="str">
        <f t="shared" si="269"/>
        <v>0001</v>
      </c>
      <c r="F2103" t="str">
        <f t="shared" si="270"/>
        <v>2.001</v>
      </c>
      <c r="G2103" t="str">
        <f t="shared" si="271"/>
        <v>3.3.90.49.00</v>
      </c>
      <c r="H2103" t="s">
        <v>2153</v>
      </c>
      <c r="I2103" t="str">
        <f t="shared" si="277"/>
        <v>36 - SECRETARIA DA FAMÍLIA, CIDADANIA E SEGURANÇA ALIMENTAR</v>
      </c>
      <c r="J2103" t="s">
        <v>20</v>
      </c>
      <c r="K2103" t="str">
        <f t="shared" si="272"/>
        <v>4-ADMINISTRAÇÃO</v>
      </c>
      <c r="L2103" t="str">
        <f t="shared" si="273"/>
        <v>122-ADMINISTRAÇÃO GERAL</v>
      </c>
      <c r="M2103" t="str">
        <f t="shared" si="274"/>
        <v>0001-Administração e Coordenação Geral​</v>
      </c>
      <c r="N2103" t="str">
        <f t="shared" si="275"/>
        <v>2.001-Remuneração, Benefícios e Encargos</v>
      </c>
      <c r="O2103" t="str">
        <f>G2103</f>
        <v>3.3.90.49.00</v>
      </c>
      <c r="R2103" s="25">
        <v>45240.25</v>
      </c>
      <c r="S2103" t="s">
        <v>1035</v>
      </c>
    </row>
    <row r="2104" spans="1:19" x14ac:dyDescent="0.25">
      <c r="A2104" t="str">
        <f t="shared" si="265"/>
        <v>07</v>
      </c>
      <c r="B2104" t="str">
        <f t="shared" si="266"/>
        <v>001</v>
      </c>
      <c r="C2104" t="str">
        <f t="shared" si="267"/>
        <v>11</v>
      </c>
      <c r="D2104" t="str">
        <f t="shared" si="268"/>
        <v>334</v>
      </c>
      <c r="E2104" t="str">
        <f t="shared" si="269"/>
        <v>0017</v>
      </c>
      <c r="F2104" t="str">
        <f t="shared" si="270"/>
        <v>1.002</v>
      </c>
      <c r="G2104" t="str">
        <f t="shared" si="271"/>
        <v>3.3.90.39.00</v>
      </c>
      <c r="H2104" t="s">
        <v>2154</v>
      </c>
      <c r="I2104" t="str">
        <f t="shared" si="277"/>
        <v>07 - SECRETARIA DE EMPREGO, TRABALHO E RENDA</v>
      </c>
      <c r="J2104" t="s">
        <v>20</v>
      </c>
      <c r="K2104" t="str">
        <f t="shared" si="272"/>
        <v>11-TRABALHO</v>
      </c>
      <c r="L2104" t="str">
        <f t="shared" si="273"/>
        <v>334-FOMENTO AO TRABALHO</v>
      </c>
      <c r="M2104" t="str">
        <f t="shared" si="274"/>
        <v>0017-Trabalho, Emprego e Renda​</v>
      </c>
      <c r="N2104" t="str">
        <f t="shared" si="275"/>
        <v>1.002-Reforma e Ampliação de Unidades</v>
      </c>
      <c r="O2104" t="str">
        <f t="shared" si="276"/>
        <v>3.3.90.39.00-OUTROS SERVIÇOS DE TERCEIROS - PESSOA JURÍDICA</v>
      </c>
      <c r="R2104" s="25">
        <v>0</v>
      </c>
      <c r="S2104" t="s">
        <v>1035</v>
      </c>
    </row>
    <row r="2105" spans="1:19" x14ac:dyDescent="0.25">
      <c r="A2105" t="str">
        <f t="shared" si="265"/>
        <v>08</v>
      </c>
      <c r="B2105" t="str">
        <f t="shared" si="266"/>
        <v>001</v>
      </c>
      <c r="C2105" t="str">
        <f t="shared" si="267"/>
        <v>12</v>
      </c>
      <c r="D2105" t="str">
        <f t="shared" si="268"/>
        <v>122</v>
      </c>
      <c r="E2105" t="str">
        <f t="shared" si="269"/>
        <v>0001</v>
      </c>
      <c r="F2105" t="str">
        <f t="shared" si="270"/>
        <v>2.001</v>
      </c>
      <c r="G2105" t="str">
        <f t="shared" si="271"/>
        <v>3.3.90.92.00</v>
      </c>
      <c r="H2105" t="s">
        <v>2155</v>
      </c>
      <c r="I2105" t="str">
        <f t="shared" si="277"/>
        <v>08 - SECRETARIA DE EDUCAÇÃO</v>
      </c>
      <c r="J2105" t="s">
        <v>20</v>
      </c>
      <c r="K2105" t="str">
        <f t="shared" si="272"/>
        <v>12-EDUCAÇÃO</v>
      </c>
      <c r="L2105" t="str">
        <f t="shared" si="273"/>
        <v>122-ADMINISTRAÇÃO GERAL</v>
      </c>
      <c r="M2105" t="str">
        <f t="shared" si="274"/>
        <v>0001-Administração e Coordenação Geral​</v>
      </c>
      <c r="N2105" t="str">
        <f t="shared" si="275"/>
        <v>2.001-Remuneração, Benefícios e Encargos</v>
      </c>
      <c r="O2105" t="str">
        <f t="shared" si="276"/>
        <v>3.3.90.92.00-DESPESAS DE EXERCÍCIOS ANTERIORES</v>
      </c>
      <c r="R2105" s="25">
        <v>0</v>
      </c>
      <c r="S2105" t="s">
        <v>1035</v>
      </c>
    </row>
    <row r="2106" spans="1:19" x14ac:dyDescent="0.25">
      <c r="A2106" t="str">
        <f t="shared" si="265"/>
        <v>08</v>
      </c>
      <c r="B2106" t="str">
        <f t="shared" si="266"/>
        <v>001</v>
      </c>
      <c r="C2106" t="str">
        <f t="shared" si="267"/>
        <v>12</v>
      </c>
      <c r="D2106" t="str">
        <f t="shared" si="268"/>
        <v>122</v>
      </c>
      <c r="E2106" t="str">
        <f t="shared" si="269"/>
        <v>0001</v>
      </c>
      <c r="F2106" t="str">
        <f t="shared" si="270"/>
        <v>2.001</v>
      </c>
      <c r="G2106" t="str">
        <f t="shared" si="271"/>
        <v>3.3.90.96.00</v>
      </c>
      <c r="H2106" t="s">
        <v>2156</v>
      </c>
      <c r="I2106" t="str">
        <f t="shared" si="277"/>
        <v>08 - SECRETARIA DE EDUCAÇÃO</v>
      </c>
      <c r="J2106" t="s">
        <v>20</v>
      </c>
      <c r="K2106" t="str">
        <f t="shared" si="272"/>
        <v>12-EDUCAÇÃO</v>
      </c>
      <c r="L2106" t="str">
        <f t="shared" si="273"/>
        <v>122-ADMINISTRAÇÃO GERAL</v>
      </c>
      <c r="M2106" t="str">
        <f t="shared" si="274"/>
        <v>0001-Administração e Coordenação Geral​</v>
      </c>
      <c r="N2106" t="str">
        <f t="shared" si="275"/>
        <v>2.001-Remuneração, Benefícios e Encargos</v>
      </c>
      <c r="O2106" t="str">
        <f t="shared" si="276"/>
        <v>3.3.90.96.00-RESSARCIMENTO DE DESPESAS DE PESSOAL REQUISITADO</v>
      </c>
      <c r="R2106" s="25">
        <v>0</v>
      </c>
      <c r="S2106" t="s">
        <v>1035</v>
      </c>
    </row>
    <row r="2107" spans="1:19" x14ac:dyDescent="0.25">
      <c r="A2107" t="str">
        <f t="shared" si="265"/>
        <v>09</v>
      </c>
      <c r="B2107" t="str">
        <f t="shared" si="266"/>
        <v>006</v>
      </c>
      <c r="C2107" t="str">
        <f t="shared" si="267"/>
        <v>10</v>
      </c>
      <c r="D2107" t="str">
        <f t="shared" si="268"/>
        <v>302</v>
      </c>
      <c r="E2107" t="str">
        <f t="shared" si="269"/>
        <v>0015</v>
      </c>
      <c r="F2107" t="str">
        <f t="shared" si="270"/>
        <v>1.002</v>
      </c>
      <c r="G2107" t="str">
        <f t="shared" si="271"/>
        <v/>
      </c>
      <c r="H2107" t="s">
        <v>2157</v>
      </c>
      <c r="I2107" t="str">
        <f t="shared" si="277"/>
        <v>09 - SECRETARIA DA SAÚDE</v>
      </c>
      <c r="J2107" t="s">
        <v>348</v>
      </c>
      <c r="K2107" t="str">
        <f t="shared" si="272"/>
        <v>10-SAÚDE</v>
      </c>
      <c r="L2107" t="str">
        <f t="shared" si="273"/>
        <v>302-ASSISTÊNCIA HOSPITALAR E AMBULATORIAL</v>
      </c>
      <c r="M2107" t="str">
        <f t="shared" si="274"/>
        <v>0015-Atenção e Cuidado em Saúde​</v>
      </c>
      <c r="N2107" t="str">
        <f t="shared" si="275"/>
        <v>1.002-Reforma e Ampliação de Unidades</v>
      </c>
      <c r="O2107" t="str">
        <f>G2107</f>
        <v/>
      </c>
      <c r="R2107" s="25">
        <v>0</v>
      </c>
      <c r="S2107" t="s">
        <v>1035</v>
      </c>
    </row>
    <row r="2108" spans="1:19" x14ac:dyDescent="0.25">
      <c r="A2108" t="str">
        <f t="shared" si="265"/>
        <v>09</v>
      </c>
      <c r="B2108" t="str">
        <f t="shared" si="266"/>
        <v>008</v>
      </c>
      <c r="C2108" t="str">
        <f t="shared" si="267"/>
        <v>10</v>
      </c>
      <c r="D2108" t="str">
        <f t="shared" si="268"/>
        <v>301</v>
      </c>
      <c r="E2108" t="str">
        <f t="shared" si="269"/>
        <v>0015</v>
      </c>
      <c r="F2108" t="str">
        <f t="shared" si="270"/>
        <v>1.002</v>
      </c>
      <c r="G2108" t="str">
        <f t="shared" si="271"/>
        <v/>
      </c>
      <c r="H2108" t="s">
        <v>2158</v>
      </c>
      <c r="I2108" t="str">
        <f t="shared" si="277"/>
        <v>09 - SECRETARIA DA SAÚDE</v>
      </c>
      <c r="J2108" t="s">
        <v>355</v>
      </c>
      <c r="K2108" t="str">
        <f t="shared" si="272"/>
        <v>10-SAÚDE</v>
      </c>
      <c r="L2108" t="str">
        <f t="shared" si="273"/>
        <v>301-ATENÇÃO BÁSICA</v>
      </c>
      <c r="M2108" t="str">
        <f t="shared" si="274"/>
        <v>0015-Atenção e Cuidado em Saúde​</v>
      </c>
      <c r="N2108" t="str">
        <f t="shared" si="275"/>
        <v>1.002-Reforma e Ampliação de Unidades</v>
      </c>
      <c r="O2108" t="str">
        <f>G2108</f>
        <v/>
      </c>
      <c r="R2108" s="25">
        <v>0</v>
      </c>
      <c r="S2108" t="s">
        <v>1035</v>
      </c>
    </row>
    <row r="2109" spans="1:19" x14ac:dyDescent="0.25">
      <c r="A2109" t="str">
        <f t="shared" si="265"/>
        <v>09</v>
      </c>
      <c r="B2109" t="str">
        <f t="shared" si="266"/>
        <v>009</v>
      </c>
      <c r="C2109" t="str">
        <f t="shared" si="267"/>
        <v>10</v>
      </c>
      <c r="D2109" t="str">
        <f t="shared" si="268"/>
        <v>302</v>
      </c>
      <c r="E2109" t="str">
        <f t="shared" si="269"/>
        <v>0015</v>
      </c>
      <c r="F2109" t="str">
        <f t="shared" si="270"/>
        <v>1.002</v>
      </c>
      <c r="G2109" t="str">
        <f t="shared" si="271"/>
        <v/>
      </c>
      <c r="H2109" t="s">
        <v>2159</v>
      </c>
      <c r="I2109" t="str">
        <f t="shared" si="277"/>
        <v>09 - SECRETARIA DA SAÚDE</v>
      </c>
      <c r="J2109" t="s">
        <v>336</v>
      </c>
      <c r="K2109" t="str">
        <f t="shared" si="272"/>
        <v>10-SAÚDE</v>
      </c>
      <c r="L2109" t="str">
        <f t="shared" si="273"/>
        <v>302-ASSISTÊNCIA HOSPITALAR E AMBULATORIAL</v>
      </c>
      <c r="M2109" t="str">
        <f t="shared" si="274"/>
        <v>0015-Atenção e Cuidado em Saúde​</v>
      </c>
      <c r="N2109" t="str">
        <f t="shared" si="275"/>
        <v>1.002-Reforma e Ampliação de Unidades</v>
      </c>
      <c r="O2109" t="str">
        <f>G2109</f>
        <v/>
      </c>
      <c r="R2109" s="25">
        <v>0</v>
      </c>
      <c r="S2109" t="s">
        <v>1035</v>
      </c>
    </row>
    <row r="2110" spans="1:19" x14ac:dyDescent="0.25">
      <c r="A2110" t="str">
        <f t="shared" si="265"/>
        <v>09</v>
      </c>
      <c r="B2110" t="str">
        <f t="shared" si="266"/>
        <v>010</v>
      </c>
      <c r="C2110" t="str">
        <f t="shared" si="267"/>
        <v>10</v>
      </c>
      <c r="D2110" t="str">
        <f t="shared" si="268"/>
        <v>302</v>
      </c>
      <c r="E2110" t="str">
        <f t="shared" si="269"/>
        <v>0015</v>
      </c>
      <c r="F2110" t="str">
        <f t="shared" si="270"/>
        <v>1.002</v>
      </c>
      <c r="G2110" t="str">
        <f t="shared" si="271"/>
        <v/>
      </c>
      <c r="H2110" t="s">
        <v>2160</v>
      </c>
      <c r="I2110" t="str">
        <f t="shared" si="277"/>
        <v>09 - SECRETARIA DA SAÚDE</v>
      </c>
      <c r="J2110" t="s">
        <v>324</v>
      </c>
      <c r="K2110" t="str">
        <f t="shared" si="272"/>
        <v>10-SAÚDE</v>
      </c>
      <c r="L2110" t="str">
        <f t="shared" si="273"/>
        <v>302-ASSISTÊNCIA HOSPITALAR E AMBULATORIAL</v>
      </c>
      <c r="M2110" t="str">
        <f t="shared" si="274"/>
        <v>0015-Atenção e Cuidado em Saúde​</v>
      </c>
      <c r="N2110" t="str">
        <f t="shared" si="275"/>
        <v>1.002-Reforma e Ampliação de Unidades</v>
      </c>
      <c r="O2110" t="str">
        <f>G2110</f>
        <v/>
      </c>
      <c r="R2110" s="25">
        <v>0</v>
      </c>
      <c r="S2110" t="s">
        <v>1035</v>
      </c>
    </row>
    <row r="2111" spans="1:19" x14ac:dyDescent="0.25">
      <c r="A2111" t="str">
        <f t="shared" si="265"/>
        <v>09</v>
      </c>
      <c r="B2111" t="str">
        <f t="shared" si="266"/>
        <v>015</v>
      </c>
      <c r="C2111" t="str">
        <f t="shared" si="267"/>
        <v>10</v>
      </c>
      <c r="D2111" t="str">
        <f t="shared" si="268"/>
        <v>122</v>
      </c>
      <c r="E2111" t="str">
        <f t="shared" si="269"/>
        <v>0014</v>
      </c>
      <c r="F2111" t="str">
        <f t="shared" si="270"/>
        <v>1.002</v>
      </c>
      <c r="G2111" t="str">
        <f t="shared" si="271"/>
        <v/>
      </c>
      <c r="H2111" t="s">
        <v>2161</v>
      </c>
      <c r="I2111" t="str">
        <f t="shared" si="277"/>
        <v>09 - SECRETARIA DA SAÚDE</v>
      </c>
      <c r="J2111" t="s">
        <v>361</v>
      </c>
      <c r="K2111" t="str">
        <f t="shared" si="272"/>
        <v>10-SAÚDE</v>
      </c>
      <c r="L2111" t="str">
        <f t="shared" si="273"/>
        <v>122-ADMINISTRAÇÃO GERAL</v>
      </c>
      <c r="M2111" t="str">
        <f t="shared" si="274"/>
        <v>0014-Gestão em Saúde​</v>
      </c>
      <c r="N2111" t="str">
        <f t="shared" si="275"/>
        <v>1.002-Reforma e Ampliação de Unidades</v>
      </c>
      <c r="O2111" t="str">
        <f>G2111</f>
        <v/>
      </c>
      <c r="R2111" s="25">
        <v>0</v>
      </c>
      <c r="S2111" t="s">
        <v>1035</v>
      </c>
    </row>
    <row r="2112" spans="1:19" x14ac:dyDescent="0.25">
      <c r="A2112" t="str">
        <f t="shared" si="265"/>
        <v>11</v>
      </c>
      <c r="B2112" t="str">
        <f t="shared" si="266"/>
        <v>001</v>
      </c>
      <c r="C2112" t="str">
        <f t="shared" si="267"/>
        <v>04</v>
      </c>
      <c r="D2112" t="str">
        <f t="shared" si="268"/>
        <v>122</v>
      </c>
      <c r="E2112" t="str">
        <f t="shared" si="269"/>
        <v>0001</v>
      </c>
      <c r="F2112" t="str">
        <f t="shared" si="270"/>
        <v>1.001</v>
      </c>
      <c r="G2112" t="str">
        <f t="shared" si="271"/>
        <v>3.3.90.30.00</v>
      </c>
      <c r="H2112" t="s">
        <v>2162</v>
      </c>
      <c r="I2112" t="str">
        <f t="shared" si="277"/>
        <v>11 - SECRETARIA DE SERVIÇOS E OBRAS</v>
      </c>
      <c r="J2112" t="s">
        <v>20</v>
      </c>
      <c r="K2112" t="str">
        <f t="shared" si="272"/>
        <v>4-ADMINISTRAÇÃO</v>
      </c>
      <c r="L2112" t="str">
        <f t="shared" si="273"/>
        <v>122-ADMINISTRAÇÃO GERAL</v>
      </c>
      <c r="M2112" t="str">
        <f t="shared" si="274"/>
        <v>0001-Administração e Coordenação Geral​</v>
      </c>
      <c r="N2112" t="str">
        <f t="shared" si="275"/>
        <v xml:space="preserve">1.001-Estudos, Pesquisas, Planos e Projetos </v>
      </c>
      <c r="O2112" t="str">
        <f t="shared" si="276"/>
        <v>3.3.90.30.00-MATERIAL DE CONSUMO</v>
      </c>
      <c r="R2112" s="25">
        <v>0</v>
      </c>
      <c r="S2112" t="s">
        <v>1035</v>
      </c>
    </row>
    <row r="2113" spans="1:19" x14ac:dyDescent="0.25">
      <c r="A2113" t="str">
        <f t="shared" si="265"/>
        <v>11</v>
      </c>
      <c r="B2113" t="str">
        <f t="shared" si="266"/>
        <v>001</v>
      </c>
      <c r="C2113" t="str">
        <f t="shared" si="267"/>
        <v>04</v>
      </c>
      <c r="D2113" t="str">
        <f t="shared" si="268"/>
        <v>122</v>
      </c>
      <c r="E2113" t="str">
        <f t="shared" si="269"/>
        <v>0001</v>
      </c>
      <c r="F2113" t="str">
        <f t="shared" si="270"/>
        <v>1.002</v>
      </c>
      <c r="G2113" t="str">
        <f t="shared" si="271"/>
        <v>3.3.90.30.00</v>
      </c>
      <c r="H2113" t="s">
        <v>2163</v>
      </c>
      <c r="I2113" t="str">
        <f t="shared" si="277"/>
        <v>11 - SECRETARIA DE SERVIÇOS E OBRAS</v>
      </c>
      <c r="J2113" t="s">
        <v>20</v>
      </c>
      <c r="K2113" t="str">
        <f t="shared" si="272"/>
        <v>4-ADMINISTRAÇÃO</v>
      </c>
      <c r="L2113" t="str">
        <f t="shared" si="273"/>
        <v>122-ADMINISTRAÇÃO GERAL</v>
      </c>
      <c r="M2113" t="str">
        <f t="shared" si="274"/>
        <v>0001-Administração e Coordenação Geral​</v>
      </c>
      <c r="N2113" t="str">
        <f t="shared" si="275"/>
        <v>1.002-Reforma e Ampliação de Unidades</v>
      </c>
      <c r="O2113" t="str">
        <f t="shared" si="276"/>
        <v>3.3.90.30.00-MATERIAL DE CONSUMO</v>
      </c>
      <c r="R2113" s="25">
        <v>0</v>
      </c>
      <c r="S2113" t="s">
        <v>1035</v>
      </c>
    </row>
    <row r="2114" spans="1:19" x14ac:dyDescent="0.25">
      <c r="A2114" t="str">
        <f t="shared" si="265"/>
        <v>11</v>
      </c>
      <c r="B2114" t="str">
        <f t="shared" si="266"/>
        <v>001</v>
      </c>
      <c r="C2114" t="str">
        <f t="shared" si="267"/>
        <v>04</v>
      </c>
      <c r="D2114" t="str">
        <f t="shared" si="268"/>
        <v>122</v>
      </c>
      <c r="E2114" t="str">
        <f t="shared" si="269"/>
        <v>0011</v>
      </c>
      <c r="F2114" t="str">
        <f t="shared" si="270"/>
        <v>1.003</v>
      </c>
      <c r="G2114" t="str">
        <f t="shared" si="271"/>
        <v>3.3.90.39.00</v>
      </c>
      <c r="H2114" t="s">
        <v>2164</v>
      </c>
      <c r="I2114" t="str">
        <f t="shared" si="277"/>
        <v>11 - SECRETARIA DE SERVIÇOS E OBRAS</v>
      </c>
      <c r="J2114" t="s">
        <v>20</v>
      </c>
      <c r="K2114" t="str">
        <f t="shared" si="272"/>
        <v>4-ADMINISTRAÇÃO</v>
      </c>
      <c r="L2114" t="str">
        <f t="shared" si="273"/>
        <v>122-ADMINISTRAÇÃO GERAL</v>
      </c>
      <c r="M2114" t="str">
        <f t="shared" si="274"/>
        <v>0011-Zeladoria Urbana e Cuidados com a Cidade​</v>
      </c>
      <c r="N2114" t="str">
        <f t="shared" si="275"/>
        <v>1.003-Implantação de Novas Unidades</v>
      </c>
      <c r="O2114" t="str">
        <f t="shared" si="276"/>
        <v>3.3.90.39.00-OUTROS SERVIÇOS DE TERCEIROS - PESSOA JURÍDICA</v>
      </c>
      <c r="R2114" s="25">
        <v>0</v>
      </c>
      <c r="S2114" t="s">
        <v>1035</v>
      </c>
    </row>
    <row r="2115" spans="1:19" x14ac:dyDescent="0.25">
      <c r="A2115" t="str">
        <f t="shared" si="265"/>
        <v>12</v>
      </c>
      <c r="B2115" t="str">
        <f t="shared" si="266"/>
        <v>001</v>
      </c>
      <c r="C2115" t="str">
        <f t="shared" si="267"/>
        <v>04</v>
      </c>
      <c r="D2115" t="str">
        <f t="shared" si="268"/>
        <v>121</v>
      </c>
      <c r="E2115" t="str">
        <f t="shared" si="269"/>
        <v>0001</v>
      </c>
      <c r="F2115" t="str">
        <f t="shared" si="270"/>
        <v>1.003</v>
      </c>
      <c r="G2115" t="str">
        <f t="shared" si="271"/>
        <v>3.3.90.39.00</v>
      </c>
      <c r="H2115" t="s">
        <v>2165</v>
      </c>
      <c r="I2115" t="str">
        <f t="shared" si="277"/>
        <v>12 - SECRETARIA DE ESPORTE, RECREAÇÃO E LAZER</v>
      </c>
      <c r="J2115" t="s">
        <v>20</v>
      </c>
      <c r="K2115" t="str">
        <f t="shared" si="272"/>
        <v>4-ADMINISTRAÇÃO</v>
      </c>
      <c r="L2115" t="str">
        <f t="shared" si="273"/>
        <v>121-PLANEJAMENTO E ORÇAMENTO</v>
      </c>
      <c r="M2115" t="str">
        <f t="shared" si="274"/>
        <v>0001-Administração e Coordenação Geral​</v>
      </c>
      <c r="N2115" t="str">
        <f t="shared" si="275"/>
        <v>1.003-Implantação de Novas Unidades</v>
      </c>
      <c r="O2115" t="str">
        <f t="shared" si="276"/>
        <v>3.3.90.39.00-OUTROS SERVIÇOS DE TERCEIROS - PESSOA JURÍDICA</v>
      </c>
      <c r="R2115" s="25">
        <v>0</v>
      </c>
      <c r="S2115" t="s">
        <v>1035</v>
      </c>
    </row>
    <row r="2116" spans="1:19" x14ac:dyDescent="0.25">
      <c r="A2116" t="str">
        <f t="shared" si="265"/>
        <v>12</v>
      </c>
      <c r="B2116" t="str">
        <f t="shared" si="266"/>
        <v>001</v>
      </c>
      <c r="C2116" t="str">
        <f t="shared" si="267"/>
        <v>04</v>
      </c>
      <c r="D2116" t="str">
        <f t="shared" si="268"/>
        <v>122</v>
      </c>
      <c r="E2116" t="str">
        <f t="shared" si="269"/>
        <v>0001</v>
      </c>
      <c r="F2116" t="str">
        <f t="shared" si="270"/>
        <v>2.001</v>
      </c>
      <c r="G2116" t="str">
        <f t="shared" si="271"/>
        <v>3.3.90.93.00</v>
      </c>
      <c r="H2116" t="s">
        <v>2166</v>
      </c>
      <c r="I2116" t="str">
        <f t="shared" ref="I2116:I2136" si="278">VLOOKUP(A2116,$A$1:$O$994,9,0)</f>
        <v>12 - SECRETARIA DE ESPORTE, RECREAÇÃO E LAZER</v>
      </c>
      <c r="J2116" t="s">
        <v>20</v>
      </c>
      <c r="K2116" t="str">
        <f t="shared" si="272"/>
        <v>4-ADMINISTRAÇÃO</v>
      </c>
      <c r="L2116" t="str">
        <f t="shared" si="273"/>
        <v>122-ADMINISTRAÇÃO GERAL</v>
      </c>
      <c r="M2116" t="str">
        <f t="shared" si="274"/>
        <v>0001-Administração e Coordenação Geral​</v>
      </c>
      <c r="N2116" t="str">
        <f t="shared" si="275"/>
        <v>2.001-Remuneração, Benefícios e Encargos</v>
      </c>
      <c r="O2116" t="str">
        <f t="shared" si="276"/>
        <v>3.3.90.93.00-INDENIZAÇÕES E RESTITUIÇÕES</v>
      </c>
      <c r="R2116" s="25">
        <v>0</v>
      </c>
      <c r="S2116" t="s">
        <v>1035</v>
      </c>
    </row>
    <row r="2117" spans="1:19" x14ac:dyDescent="0.25">
      <c r="A2117" t="str">
        <f t="shared" si="265"/>
        <v>12</v>
      </c>
      <c r="B2117" t="str">
        <f t="shared" si="266"/>
        <v>001</v>
      </c>
      <c r="C2117" t="str">
        <f t="shared" si="267"/>
        <v>04</v>
      </c>
      <c r="D2117" t="str">
        <f t="shared" si="268"/>
        <v>122</v>
      </c>
      <c r="E2117" t="str">
        <f t="shared" si="269"/>
        <v>0002</v>
      </c>
      <c r="F2117" t="str">
        <f t="shared" si="270"/>
        <v>1.002</v>
      </c>
      <c r="G2117" t="str">
        <f t="shared" si="271"/>
        <v>4.4.90.51.00</v>
      </c>
      <c r="H2117" t="s">
        <v>2167</v>
      </c>
      <c r="I2117" t="str">
        <f t="shared" si="278"/>
        <v>12 - SECRETARIA DE ESPORTE, RECREAÇÃO E LAZER</v>
      </c>
      <c r="J2117" t="s">
        <v>20</v>
      </c>
      <c r="K2117" t="str">
        <f t="shared" si="272"/>
        <v>4-ADMINISTRAÇÃO</v>
      </c>
      <c r="L2117" t="str">
        <f t="shared" si="273"/>
        <v>122-ADMINISTRAÇÃO GERAL</v>
      </c>
      <c r="M2117" t="str">
        <f t="shared" si="274"/>
        <v>0002-Governo Inteligente, Aberto e Inovador​</v>
      </c>
      <c r="N2117" t="str">
        <f t="shared" si="275"/>
        <v>1.002-Reforma e Ampliação de Unidades</v>
      </c>
      <c r="O2117" t="str">
        <f t="shared" si="276"/>
        <v>4.4.90.51.00-OBRAS E INSTALAÇÕES</v>
      </c>
      <c r="R2117" s="25">
        <v>0</v>
      </c>
      <c r="S2117" t="s">
        <v>1035</v>
      </c>
    </row>
    <row r="2118" spans="1:19" x14ac:dyDescent="0.25">
      <c r="A2118" t="str">
        <f t="shared" si="265"/>
        <v>13</v>
      </c>
      <c r="B2118" t="str">
        <f t="shared" si="266"/>
        <v>001</v>
      </c>
      <c r="C2118" t="str">
        <f t="shared" si="267"/>
        <v>16</v>
      </c>
      <c r="D2118" t="str">
        <f t="shared" si="268"/>
        <v>482</v>
      </c>
      <c r="E2118" t="str">
        <f t="shared" si="269"/>
        <v>0012</v>
      </c>
      <c r="F2118" t="str">
        <f t="shared" si="270"/>
        <v>1.010</v>
      </c>
      <c r="G2118" t="str">
        <f t="shared" si="271"/>
        <v>3.3.90.39.00</v>
      </c>
      <c r="H2118" t="s">
        <v>2168</v>
      </c>
      <c r="I2118" t="str">
        <f t="shared" si="278"/>
        <v>13 - SECRETARIA DE HABITAÇÃO</v>
      </c>
      <c r="J2118" t="s">
        <v>20</v>
      </c>
      <c r="K2118" t="str">
        <f t="shared" si="272"/>
        <v>16-HABITAÇÃO</v>
      </c>
      <c r="L2118" t="str">
        <f t="shared" si="273"/>
        <v>482-HABITAÇÃO URBANA</v>
      </c>
      <c r="M2118" t="str">
        <f t="shared" si="274"/>
        <v>0012-Moradia Digna​</v>
      </c>
      <c r="N2118" t="str">
        <f t="shared" si="275"/>
        <v>1.010-Requalificação de Favelas e Comunidades</v>
      </c>
      <c r="O2118" t="str">
        <f t="shared" si="276"/>
        <v>3.3.90.39.00-OUTROS SERVIÇOS DE TERCEIROS - PESSOA JURÍDICA</v>
      </c>
      <c r="R2118" s="25">
        <v>0</v>
      </c>
      <c r="S2118" t="s">
        <v>1035</v>
      </c>
    </row>
    <row r="2119" spans="1:19" x14ac:dyDescent="0.25">
      <c r="A2119" t="str">
        <f t="shared" si="265"/>
        <v>14</v>
      </c>
      <c r="B2119" t="str">
        <f t="shared" si="266"/>
        <v>001</v>
      </c>
      <c r="C2119" t="str">
        <f t="shared" si="267"/>
        <v>04</v>
      </c>
      <c r="D2119" t="str">
        <f t="shared" si="268"/>
        <v>245</v>
      </c>
      <c r="E2119" t="str">
        <f t="shared" si="269"/>
        <v>0001</v>
      </c>
      <c r="F2119" t="str">
        <f t="shared" si="270"/>
        <v>1.001</v>
      </c>
      <c r="G2119" t="str">
        <f t="shared" si="271"/>
        <v>3.3.90.39.00</v>
      </c>
      <c r="H2119" t="s">
        <v>2169</v>
      </c>
      <c r="I2119" t="str">
        <f t="shared" si="278"/>
        <v>14 - SECRETARIA DE ASSISTÊNCIA SOCIAL</v>
      </c>
      <c r="J2119" t="s">
        <v>20</v>
      </c>
      <c r="K2119" t="str">
        <f t="shared" si="272"/>
        <v>4-ADMINISTRAÇÃO</v>
      </c>
      <c r="L2119" t="str">
        <f t="shared" si="273"/>
        <v>245-SERVIÇOS SOCIOASSISTENCIAIS</v>
      </c>
      <c r="M2119" t="str">
        <f t="shared" si="274"/>
        <v>0001-Administração e Coordenação Geral​</v>
      </c>
      <c r="N2119" t="str">
        <f t="shared" si="275"/>
        <v xml:space="preserve">1.001-Estudos, Pesquisas, Planos e Projetos </v>
      </c>
      <c r="O2119" t="str">
        <f t="shared" si="276"/>
        <v>3.3.90.39.00-OUTROS SERVIÇOS DE TERCEIROS - PESSOA JURÍDICA</v>
      </c>
      <c r="R2119" s="25">
        <v>0</v>
      </c>
      <c r="S2119" t="s">
        <v>1035</v>
      </c>
    </row>
    <row r="2120" spans="1:19" x14ac:dyDescent="0.25">
      <c r="A2120" t="str">
        <f t="shared" si="265"/>
        <v>14</v>
      </c>
      <c r="B2120" t="str">
        <f t="shared" si="266"/>
        <v>001</v>
      </c>
      <c r="C2120" t="str">
        <f t="shared" si="267"/>
        <v>04</v>
      </c>
      <c r="D2120" t="str">
        <f t="shared" si="268"/>
        <v>121</v>
      </c>
      <c r="E2120" t="str">
        <f t="shared" si="269"/>
        <v>0004</v>
      </c>
      <c r="F2120" t="str">
        <f t="shared" si="270"/>
        <v>1.001</v>
      </c>
      <c r="G2120" t="str">
        <f t="shared" si="271"/>
        <v>3.3.90.40.00</v>
      </c>
      <c r="H2120" t="s">
        <v>2170</v>
      </c>
      <c r="I2120" t="str">
        <f t="shared" si="278"/>
        <v>14 - SECRETARIA DE ASSISTÊNCIA SOCIAL</v>
      </c>
      <c r="J2120" t="s">
        <v>20</v>
      </c>
      <c r="K2120" t="str">
        <f t="shared" si="272"/>
        <v>4-ADMINISTRAÇÃO</v>
      </c>
      <c r="L2120" t="str">
        <f t="shared" si="273"/>
        <v>121-PLANEJAMENTO E ORÇAMENTO</v>
      </c>
      <c r="M2120" t="str">
        <f t="shared" si="274"/>
        <v xml:space="preserve">0004-Planejamento e Gestão de Políticas Públicas </v>
      </c>
      <c r="N2120" t="str">
        <f t="shared" si="275"/>
        <v xml:space="preserve">1.001-Estudos, Pesquisas, Planos e Projetos </v>
      </c>
      <c r="O2120" t="str">
        <f t="shared" si="276"/>
        <v>3.3.90.40.00-SERVIÇOS DE TECNOLOGIA DA INFORMAÇÃO E COMUNICAÇÃO - PESSOA JURÍDICA</v>
      </c>
      <c r="R2120" s="25">
        <v>0</v>
      </c>
      <c r="S2120" t="s">
        <v>1035</v>
      </c>
    </row>
    <row r="2121" spans="1:19" x14ac:dyDescent="0.25">
      <c r="A2121" t="str">
        <f t="shared" si="265"/>
        <v>14</v>
      </c>
      <c r="B2121" t="str">
        <f t="shared" si="266"/>
        <v>008</v>
      </c>
      <c r="C2121" t="str">
        <f t="shared" si="267"/>
        <v>08</v>
      </c>
      <c r="D2121" t="str">
        <f t="shared" si="268"/>
        <v>245</v>
      </c>
      <c r="E2121" t="str">
        <f t="shared" si="269"/>
        <v>0018</v>
      </c>
      <c r="F2121" t="str">
        <f t="shared" si="270"/>
        <v>1.002</v>
      </c>
      <c r="G2121" t="str">
        <f t="shared" si="271"/>
        <v>3.3.90.39.00</v>
      </c>
      <c r="H2121" t="s">
        <v>2171</v>
      </c>
      <c r="I2121" t="str">
        <f t="shared" si="278"/>
        <v>14 - SECRETARIA DE ASSISTÊNCIA SOCIAL</v>
      </c>
      <c r="J2121" t="s">
        <v>355</v>
      </c>
      <c r="K2121" t="str">
        <f t="shared" si="272"/>
        <v>8-ASSISTÊNCIA SOCIAL</v>
      </c>
      <c r="L2121" t="str">
        <f t="shared" si="273"/>
        <v>245-SERVIÇOS SOCIOASSISTENCIAIS</v>
      </c>
      <c r="M2121" t="str">
        <f t="shared" si="274"/>
        <v>0018-Proteção Social e Garantia de Direitos​</v>
      </c>
      <c r="N2121" t="str">
        <f t="shared" si="275"/>
        <v>1.002-Reforma e Ampliação de Unidades</v>
      </c>
      <c r="O2121" t="str">
        <f t="shared" si="276"/>
        <v>3.3.90.39.00-OUTROS SERVIÇOS DE TERCEIROS - PESSOA JURÍDICA</v>
      </c>
      <c r="R2121" s="25">
        <v>0</v>
      </c>
      <c r="S2121" t="s">
        <v>1035</v>
      </c>
    </row>
    <row r="2122" spans="1:19" x14ac:dyDescent="0.25">
      <c r="A2122" t="str">
        <f t="shared" si="265"/>
        <v>17</v>
      </c>
      <c r="B2122" t="str">
        <f t="shared" si="266"/>
        <v>001</v>
      </c>
      <c r="C2122" t="str">
        <f t="shared" si="267"/>
        <v>04</v>
      </c>
      <c r="D2122" t="str">
        <f t="shared" si="268"/>
        <v>122</v>
      </c>
      <c r="E2122" t="str">
        <f t="shared" si="269"/>
        <v>0007</v>
      </c>
      <c r="F2122" t="str">
        <f t="shared" si="270"/>
        <v>2.001</v>
      </c>
      <c r="G2122" t="str">
        <f t="shared" si="271"/>
        <v>3.3.90.30.00</v>
      </c>
      <c r="H2122" t="s">
        <v>2172</v>
      </c>
      <c r="I2122" t="str">
        <f t="shared" si="278"/>
        <v>17 - SECRETARIA DE MEIO AMBIENTE E RECURSOS HÍDRICOS</v>
      </c>
      <c r="J2122" t="s">
        <v>20</v>
      </c>
      <c r="K2122" t="str">
        <f t="shared" si="272"/>
        <v>4-ADMINISTRAÇÃO</v>
      </c>
      <c r="L2122" t="str">
        <f t="shared" si="273"/>
        <v>122-ADMINISTRAÇÃO GERAL</v>
      </c>
      <c r="M2122" t="str">
        <f t="shared" si="274"/>
        <v>0007-Meio Ambiente, Sustentabilidade e Bem-Estar Animal​</v>
      </c>
      <c r="N2122" t="str">
        <f t="shared" si="275"/>
        <v>2.001-Remuneração, Benefícios e Encargos</v>
      </c>
      <c r="O2122" t="str">
        <f t="shared" si="276"/>
        <v>3.3.90.30.00-MATERIAL DE CONSUMO</v>
      </c>
      <c r="R2122" s="25">
        <v>0</v>
      </c>
      <c r="S2122" t="s">
        <v>1035</v>
      </c>
    </row>
    <row r="2123" spans="1:19" x14ac:dyDescent="0.25">
      <c r="A2123" t="str">
        <f t="shared" si="265"/>
        <v>17</v>
      </c>
      <c r="B2123" t="str">
        <f t="shared" si="266"/>
        <v>003</v>
      </c>
      <c r="C2123" t="str">
        <f t="shared" si="267"/>
        <v>04</v>
      </c>
      <c r="D2123" t="str">
        <f t="shared" si="268"/>
        <v>541</v>
      </c>
      <c r="E2123" t="str">
        <f t="shared" si="269"/>
        <v>0007</v>
      </c>
      <c r="F2123" t="str">
        <f t="shared" si="270"/>
        <v>1.001</v>
      </c>
      <c r="G2123" t="str">
        <f t="shared" si="271"/>
        <v>3.3.90.39.00</v>
      </c>
      <c r="H2123" t="s">
        <v>2173</v>
      </c>
      <c r="I2123" t="str">
        <f t="shared" si="278"/>
        <v>17 - SECRETARIA DE MEIO AMBIENTE E RECURSOS HÍDRICOS</v>
      </c>
      <c r="J2123" t="s">
        <v>768</v>
      </c>
      <c r="K2123" t="str">
        <f t="shared" si="272"/>
        <v>4-ADMINISTRAÇÃO</v>
      </c>
      <c r="L2123" t="str">
        <f t="shared" si="273"/>
        <v>541-PRESERVAÇÃO E CONSERVAÇÃO AMBIENTAL</v>
      </c>
      <c r="M2123" t="str">
        <f t="shared" si="274"/>
        <v>0007-Meio Ambiente, Sustentabilidade e Bem-Estar Animal​</v>
      </c>
      <c r="N2123" t="str">
        <f t="shared" si="275"/>
        <v xml:space="preserve">1.001-Estudos, Pesquisas, Planos e Projetos </v>
      </c>
      <c r="O2123" t="str">
        <f t="shared" si="276"/>
        <v>3.3.90.39.00-OUTROS SERVIÇOS DE TERCEIROS - PESSOA JURÍDICA</v>
      </c>
      <c r="R2123" s="25">
        <v>0</v>
      </c>
      <c r="S2123" t="s">
        <v>1035</v>
      </c>
    </row>
    <row r="2124" spans="1:19" x14ac:dyDescent="0.25">
      <c r="A2124" t="str">
        <f t="shared" si="265"/>
        <v>18</v>
      </c>
      <c r="B2124" t="str">
        <f t="shared" si="266"/>
        <v>001</v>
      </c>
      <c r="C2124" t="str">
        <f t="shared" si="267"/>
        <v>04</v>
      </c>
      <c r="D2124" t="str">
        <f t="shared" si="268"/>
        <v>122</v>
      </c>
      <c r="E2124" t="str">
        <f t="shared" si="269"/>
        <v>0001</v>
      </c>
      <c r="F2124" t="str">
        <f t="shared" si="270"/>
        <v>0.003</v>
      </c>
      <c r="G2124" t="str">
        <f t="shared" si="271"/>
        <v>3.3.90.39.00</v>
      </c>
      <c r="H2124" t="s">
        <v>2174</v>
      </c>
      <c r="I2124" t="s">
        <v>789</v>
      </c>
      <c r="J2124" t="s">
        <v>20</v>
      </c>
      <c r="K2124" t="str">
        <f t="shared" si="272"/>
        <v>4-ADMINISTRAÇÃO</v>
      </c>
      <c r="L2124" t="str">
        <f t="shared" si="273"/>
        <v>122-ADMINISTRAÇÃO GERAL</v>
      </c>
      <c r="M2124" t="str">
        <f t="shared" si="274"/>
        <v>0001-Administração e Coordenação Geral​</v>
      </c>
      <c r="N2124" t="str">
        <f t="shared" si="275"/>
        <v>0.003-Precatórios e Sentenças Judiciais</v>
      </c>
      <c r="O2124" t="str">
        <f t="shared" si="276"/>
        <v>3.3.90.39.00-OUTROS SERVIÇOS DE TERCEIROS - PESSOA JURÍDICA</v>
      </c>
      <c r="R2124" s="25">
        <v>0</v>
      </c>
      <c r="S2124" t="s">
        <v>1035</v>
      </c>
    </row>
    <row r="2125" spans="1:19" x14ac:dyDescent="0.25">
      <c r="A2125" t="str">
        <f t="shared" si="265"/>
        <v>19</v>
      </c>
      <c r="B2125" t="str">
        <f t="shared" si="266"/>
        <v>001</v>
      </c>
      <c r="C2125" t="str">
        <f t="shared" si="267"/>
        <v>04</v>
      </c>
      <c r="D2125" t="str">
        <f t="shared" si="268"/>
        <v>122</v>
      </c>
      <c r="E2125" t="str">
        <f t="shared" si="269"/>
        <v>0001</v>
      </c>
      <c r="F2125" t="str">
        <f t="shared" si="270"/>
        <v>2.001</v>
      </c>
      <c r="G2125" t="str">
        <f t="shared" si="271"/>
        <v/>
      </c>
      <c r="H2125" t="s">
        <v>2175</v>
      </c>
      <c r="I2125" t="str">
        <f t="shared" si="278"/>
        <v>19 - SECRETARIA DE TRANSPORTE E DA MOBILIDADE URBANA</v>
      </c>
      <c r="J2125" t="s">
        <v>20</v>
      </c>
      <c r="K2125" t="str">
        <f t="shared" si="272"/>
        <v>4-ADMINISTRAÇÃO</v>
      </c>
      <c r="L2125" t="str">
        <f t="shared" si="273"/>
        <v>122-ADMINISTRAÇÃO GERAL</v>
      </c>
      <c r="M2125" t="str">
        <f t="shared" si="274"/>
        <v>0001-Administração e Coordenação Geral​</v>
      </c>
      <c r="N2125" t="str">
        <f t="shared" si="275"/>
        <v>2.001-Remuneração, Benefícios e Encargos</v>
      </c>
      <c r="O2125" t="str">
        <f>G2125</f>
        <v/>
      </c>
      <c r="R2125" s="25">
        <v>0</v>
      </c>
      <c r="S2125" t="s">
        <v>1035</v>
      </c>
    </row>
    <row r="2126" spans="1:19" x14ac:dyDescent="0.25">
      <c r="A2126" t="str">
        <f t="shared" si="265"/>
        <v>19</v>
      </c>
      <c r="B2126" t="str">
        <f t="shared" si="266"/>
        <v>001</v>
      </c>
      <c r="C2126" t="str">
        <f t="shared" si="267"/>
        <v>04</v>
      </c>
      <c r="D2126" t="str">
        <f t="shared" si="268"/>
        <v>121</v>
      </c>
      <c r="E2126" t="str">
        <f t="shared" si="269"/>
        <v>0004</v>
      </c>
      <c r="F2126" t="str">
        <f t="shared" si="270"/>
        <v>1.001</v>
      </c>
      <c r="G2126" t="str">
        <f t="shared" si="271"/>
        <v>3.3.90.39.00</v>
      </c>
      <c r="H2126" t="s">
        <v>2176</v>
      </c>
      <c r="I2126" t="str">
        <f t="shared" si="278"/>
        <v>19 - SECRETARIA DE TRANSPORTE E DA MOBILIDADE URBANA</v>
      </c>
      <c r="J2126" t="s">
        <v>20</v>
      </c>
      <c r="K2126" t="str">
        <f t="shared" si="272"/>
        <v>4-ADMINISTRAÇÃO</v>
      </c>
      <c r="L2126" t="str">
        <f t="shared" si="273"/>
        <v>121-PLANEJAMENTO E ORÇAMENTO</v>
      </c>
      <c r="M2126" t="str">
        <f t="shared" si="274"/>
        <v xml:space="preserve">0004-Planejamento e Gestão de Políticas Públicas </v>
      </c>
      <c r="N2126" t="str">
        <f t="shared" si="275"/>
        <v xml:space="preserve">1.001-Estudos, Pesquisas, Planos e Projetos </v>
      </c>
      <c r="O2126" t="str">
        <f t="shared" si="276"/>
        <v>3.3.90.39.00-OUTROS SERVIÇOS DE TERCEIROS - PESSOA JURÍDICA</v>
      </c>
      <c r="R2126" s="25">
        <v>0</v>
      </c>
      <c r="S2126" t="s">
        <v>1035</v>
      </c>
    </row>
    <row r="2127" spans="1:19" x14ac:dyDescent="0.25">
      <c r="A2127" t="str">
        <f t="shared" si="265"/>
        <v>19</v>
      </c>
      <c r="B2127" t="str">
        <f t="shared" si="266"/>
        <v>001</v>
      </c>
      <c r="C2127" t="str">
        <f t="shared" si="267"/>
        <v>15</v>
      </c>
      <c r="D2127" t="str">
        <f t="shared" si="268"/>
        <v>121</v>
      </c>
      <c r="E2127" t="str">
        <f t="shared" si="269"/>
        <v>0013</v>
      </c>
      <c r="F2127" t="str">
        <f t="shared" si="270"/>
        <v>1.002</v>
      </c>
      <c r="G2127" t="str">
        <f t="shared" si="271"/>
        <v>3.3.90.39.00</v>
      </c>
      <c r="H2127" t="s">
        <v>2177</v>
      </c>
      <c r="I2127" t="str">
        <f t="shared" si="278"/>
        <v>19 - SECRETARIA DE TRANSPORTE E DA MOBILIDADE URBANA</v>
      </c>
      <c r="J2127" t="s">
        <v>20</v>
      </c>
      <c r="K2127" t="str">
        <f t="shared" si="272"/>
        <v>15-URBANISMO</v>
      </c>
      <c r="L2127" t="str">
        <f t="shared" si="273"/>
        <v>121-PLANEJAMENTO E ORÇAMENTO</v>
      </c>
      <c r="M2127" t="str">
        <f t="shared" si="274"/>
        <v>0013-Mobilidade Urbana e Infraestrutura Viária​</v>
      </c>
      <c r="N2127" t="str">
        <f t="shared" si="275"/>
        <v>1.002-Reforma e Ampliação de Unidades</v>
      </c>
      <c r="O2127" t="str">
        <f t="shared" si="276"/>
        <v>3.3.90.39.00-OUTROS SERVIÇOS DE TERCEIROS - PESSOA JURÍDICA</v>
      </c>
      <c r="R2127" s="25">
        <v>0</v>
      </c>
      <c r="S2127" t="s">
        <v>1035</v>
      </c>
    </row>
    <row r="2128" spans="1:19" x14ac:dyDescent="0.25">
      <c r="A2128" t="str">
        <f t="shared" si="265"/>
        <v>19</v>
      </c>
      <c r="B2128" t="str">
        <f t="shared" si="266"/>
        <v>001</v>
      </c>
      <c r="C2128" t="str">
        <f t="shared" si="267"/>
        <v>15</v>
      </c>
      <c r="D2128" t="str">
        <f t="shared" si="268"/>
        <v>451</v>
      </c>
      <c r="E2128" t="str">
        <f t="shared" si="269"/>
        <v>0013</v>
      </c>
      <c r="F2128" t="str">
        <f t="shared" si="270"/>
        <v>1.006</v>
      </c>
      <c r="G2128" t="str">
        <f t="shared" si="271"/>
        <v/>
      </c>
      <c r="H2128" t="s">
        <v>2178</v>
      </c>
      <c r="I2128" t="str">
        <f t="shared" si="278"/>
        <v>19 - SECRETARIA DE TRANSPORTE E DA MOBILIDADE URBANA</v>
      </c>
      <c r="J2128" t="s">
        <v>20</v>
      </c>
      <c r="K2128" t="str">
        <f t="shared" si="272"/>
        <v>15-URBANISMO</v>
      </c>
      <c r="L2128" t="str">
        <f t="shared" si="273"/>
        <v>451-INFRA-ESTRUTURA URBANA</v>
      </c>
      <c r="M2128" t="str">
        <f t="shared" si="274"/>
        <v>0013-Mobilidade Urbana e Infraestrutura Viária​</v>
      </c>
      <c r="N2128" t="str">
        <f t="shared" si="275"/>
        <v>1.006-Desenvolvimento da Infraestrutura Viária</v>
      </c>
      <c r="O2128" t="str">
        <f>G2128</f>
        <v/>
      </c>
      <c r="R2128" s="25">
        <v>0</v>
      </c>
      <c r="S2128" t="s">
        <v>1035</v>
      </c>
    </row>
    <row r="2129" spans="1:20" x14ac:dyDescent="0.25">
      <c r="A2129" t="str">
        <f t="shared" si="265"/>
        <v>23</v>
      </c>
      <c r="B2129" t="str">
        <f t="shared" si="266"/>
        <v>001</v>
      </c>
      <c r="C2129" t="str">
        <f t="shared" si="267"/>
        <v>04</v>
      </c>
      <c r="D2129" t="str">
        <f t="shared" si="268"/>
        <v>122</v>
      </c>
      <c r="E2129" t="str">
        <f t="shared" si="269"/>
        <v>0001</v>
      </c>
      <c r="F2129" t="str">
        <f t="shared" si="270"/>
        <v>2.001</v>
      </c>
      <c r="G2129" t="str">
        <f t="shared" si="271"/>
        <v/>
      </c>
      <c r="H2129" t="s">
        <v>2179</v>
      </c>
      <c r="I2129" t="str">
        <f t="shared" si="278"/>
        <v>23 - SECRETARIA DE COMUNICAÇÃO</v>
      </c>
      <c r="J2129" t="s">
        <v>20</v>
      </c>
      <c r="K2129" t="str">
        <f t="shared" si="272"/>
        <v>4-ADMINISTRAÇÃO</v>
      </c>
      <c r="L2129" t="str">
        <f t="shared" si="273"/>
        <v>122-ADMINISTRAÇÃO GERAL</v>
      </c>
      <c r="M2129" t="str">
        <f t="shared" si="274"/>
        <v>0001-Administração e Coordenação Geral​</v>
      </c>
      <c r="N2129" t="str">
        <f t="shared" si="275"/>
        <v>2.001-Remuneração, Benefícios e Encargos</v>
      </c>
      <c r="O2129" t="str">
        <f>G2129</f>
        <v/>
      </c>
      <c r="R2129" s="25">
        <v>0</v>
      </c>
      <c r="S2129" t="s">
        <v>1035</v>
      </c>
    </row>
    <row r="2130" spans="1:20" x14ac:dyDescent="0.25">
      <c r="A2130" t="str">
        <f t="shared" si="265"/>
        <v>24</v>
      </c>
      <c r="B2130" t="str">
        <f t="shared" si="266"/>
        <v>001</v>
      </c>
      <c r="C2130" t="str">
        <f t="shared" si="267"/>
        <v>04</v>
      </c>
      <c r="D2130" t="str">
        <f t="shared" si="268"/>
        <v>122</v>
      </c>
      <c r="E2130" t="str">
        <f t="shared" si="269"/>
        <v>0001</v>
      </c>
      <c r="F2130" t="str">
        <f t="shared" si="270"/>
        <v>1.001</v>
      </c>
      <c r="G2130" t="str">
        <f t="shared" si="271"/>
        <v>3.3.90.39.00</v>
      </c>
      <c r="H2130" t="s">
        <v>2180</v>
      </c>
      <c r="I2130" t="str">
        <f t="shared" si="278"/>
        <v>24 - SECRETARIA DE PLANEJAMENTO E GESTÃO</v>
      </c>
      <c r="J2130" t="s">
        <v>20</v>
      </c>
      <c r="K2130" t="str">
        <f t="shared" si="272"/>
        <v>4-ADMINISTRAÇÃO</v>
      </c>
      <c r="L2130" t="str">
        <f t="shared" si="273"/>
        <v>122-ADMINISTRAÇÃO GERAL</v>
      </c>
      <c r="M2130" t="str">
        <f t="shared" si="274"/>
        <v>0001-Administração e Coordenação Geral​</v>
      </c>
      <c r="N2130" t="str">
        <f t="shared" si="275"/>
        <v xml:space="preserve">1.001-Estudos, Pesquisas, Planos e Projetos </v>
      </c>
      <c r="O2130" t="str">
        <f t="shared" si="276"/>
        <v>3.3.90.39.00-OUTROS SERVIÇOS DE TERCEIROS - PESSOA JURÍDICA</v>
      </c>
      <c r="R2130" s="25">
        <v>0</v>
      </c>
      <c r="S2130" t="s">
        <v>1035</v>
      </c>
    </row>
    <row r="2131" spans="1:20" x14ac:dyDescent="0.25">
      <c r="A2131" t="str">
        <f t="shared" si="265"/>
        <v>24</v>
      </c>
      <c r="B2131" t="str">
        <f t="shared" si="266"/>
        <v>001</v>
      </c>
      <c r="C2131" t="str">
        <f t="shared" si="267"/>
        <v>04</v>
      </c>
      <c r="D2131" t="str">
        <f t="shared" si="268"/>
        <v>121</v>
      </c>
      <c r="E2131" t="str">
        <f t="shared" si="269"/>
        <v>0001</v>
      </c>
      <c r="F2131" t="str">
        <f t="shared" si="270"/>
        <v>1.002</v>
      </c>
      <c r="G2131" t="str">
        <f t="shared" si="271"/>
        <v>4.4.90.52.00</v>
      </c>
      <c r="H2131" t="s">
        <v>2181</v>
      </c>
      <c r="I2131" t="str">
        <f t="shared" si="278"/>
        <v>24 - SECRETARIA DE PLANEJAMENTO E GESTÃO</v>
      </c>
      <c r="J2131" t="s">
        <v>20</v>
      </c>
      <c r="K2131" t="str">
        <f t="shared" si="272"/>
        <v>4-ADMINISTRAÇÃO</v>
      </c>
      <c r="L2131" t="str">
        <f t="shared" si="273"/>
        <v>121-PLANEJAMENTO E ORÇAMENTO</v>
      </c>
      <c r="M2131" t="str">
        <f t="shared" si="274"/>
        <v>0001-Administração e Coordenação Geral​</v>
      </c>
      <c r="N2131" t="str">
        <f t="shared" si="275"/>
        <v>1.002-Reforma e Ampliação de Unidades</v>
      </c>
      <c r="O2131" t="str">
        <f t="shared" si="276"/>
        <v>4.4.90.52.00-EQUIPAMENTOS E MATERIAL PERMANENTE</v>
      </c>
      <c r="R2131" s="25">
        <v>0</v>
      </c>
      <c r="S2131" t="s">
        <v>1035</v>
      </c>
    </row>
    <row r="2132" spans="1:20" x14ac:dyDescent="0.25">
      <c r="A2132" t="str">
        <f t="shared" si="265"/>
        <v>28</v>
      </c>
      <c r="B2132" t="str">
        <f t="shared" si="266"/>
        <v>001</v>
      </c>
      <c r="C2132" t="str">
        <f t="shared" si="267"/>
        <v>04</v>
      </c>
      <c r="D2132" t="str">
        <f t="shared" si="268"/>
        <v>122</v>
      </c>
      <c r="E2132" t="str">
        <f t="shared" si="269"/>
        <v>0004</v>
      </c>
      <c r="F2132" t="str">
        <f t="shared" si="270"/>
        <v>1.001</v>
      </c>
      <c r="G2132" t="str">
        <f t="shared" si="271"/>
        <v>3.3.90.39.00</v>
      </c>
      <c r="H2132" t="s">
        <v>2182</v>
      </c>
      <c r="I2132" t="str">
        <f t="shared" si="278"/>
        <v>28 - SECRETARIA DE GOVERNO</v>
      </c>
      <c r="J2132" t="s">
        <v>20</v>
      </c>
      <c r="K2132" t="str">
        <f t="shared" si="272"/>
        <v>4-ADMINISTRAÇÃO</v>
      </c>
      <c r="L2132" t="str">
        <f t="shared" si="273"/>
        <v>122-ADMINISTRAÇÃO GERAL</v>
      </c>
      <c r="M2132" t="str">
        <f t="shared" si="274"/>
        <v xml:space="preserve">0004-Planejamento e Gestão de Políticas Públicas </v>
      </c>
      <c r="N2132" t="str">
        <f t="shared" si="275"/>
        <v xml:space="preserve">1.001-Estudos, Pesquisas, Planos e Projetos </v>
      </c>
      <c r="O2132" t="str">
        <f t="shared" si="276"/>
        <v>3.3.90.39.00-OUTROS SERVIÇOS DE TERCEIROS - PESSOA JURÍDICA</v>
      </c>
      <c r="R2132" s="25">
        <v>0</v>
      </c>
      <c r="S2132" t="s">
        <v>1035</v>
      </c>
    </row>
    <row r="2133" spans="1:20" x14ac:dyDescent="0.25">
      <c r="A2133" t="str">
        <f t="shared" si="265"/>
        <v>28</v>
      </c>
      <c r="B2133" t="str">
        <f t="shared" si="266"/>
        <v>001</v>
      </c>
      <c r="C2133" t="str">
        <f t="shared" si="267"/>
        <v>04</v>
      </c>
      <c r="D2133" t="str">
        <f t="shared" si="268"/>
        <v>122</v>
      </c>
      <c r="E2133" t="str">
        <f t="shared" si="269"/>
        <v>0001</v>
      </c>
      <c r="F2133" t="str">
        <f t="shared" si="270"/>
        <v>1.002</v>
      </c>
      <c r="G2133" t="str">
        <f t="shared" si="271"/>
        <v>3.3.90.30.00</v>
      </c>
      <c r="H2133" t="s">
        <v>2183</v>
      </c>
      <c r="I2133" t="str">
        <f t="shared" si="278"/>
        <v>28 - SECRETARIA DE GOVERNO</v>
      </c>
      <c r="J2133" t="s">
        <v>20</v>
      </c>
      <c r="K2133" t="str">
        <f t="shared" si="272"/>
        <v>4-ADMINISTRAÇÃO</v>
      </c>
      <c r="L2133" t="str">
        <f t="shared" si="273"/>
        <v>122-ADMINISTRAÇÃO GERAL</v>
      </c>
      <c r="M2133" t="str">
        <f t="shared" si="274"/>
        <v>0001-Administração e Coordenação Geral​</v>
      </c>
      <c r="N2133" t="str">
        <f t="shared" si="275"/>
        <v>1.002-Reforma e Ampliação de Unidades</v>
      </c>
      <c r="O2133" t="str">
        <f t="shared" si="276"/>
        <v>3.3.90.30.00-MATERIAL DE CONSUMO</v>
      </c>
      <c r="R2133" s="25">
        <v>0</v>
      </c>
      <c r="S2133" t="s">
        <v>1035</v>
      </c>
    </row>
    <row r="2134" spans="1:20" x14ac:dyDescent="0.25">
      <c r="A2134" t="str">
        <f t="shared" si="265"/>
        <v>31</v>
      </c>
      <c r="B2134" t="str">
        <f t="shared" si="266"/>
        <v>001</v>
      </c>
      <c r="C2134" t="str">
        <f t="shared" si="267"/>
        <v>14</v>
      </c>
      <c r="D2134" t="str">
        <f t="shared" si="268"/>
        <v>391</v>
      </c>
      <c r="E2134" t="str">
        <f t="shared" si="269"/>
        <v>0009</v>
      </c>
      <c r="F2134" t="str">
        <f t="shared" si="270"/>
        <v>1.002</v>
      </c>
      <c r="G2134" t="str">
        <f t="shared" si="271"/>
        <v>3.3.90.39.00</v>
      </c>
      <c r="H2134" t="s">
        <v>2184</v>
      </c>
      <c r="I2134" t="str">
        <f t="shared" si="278"/>
        <v>31 - SECRETARIA EXECUTIVA DE POLITICAS DE PROMOÇÃO DA IGUALDADE RACIAL</v>
      </c>
      <c r="J2134" t="s">
        <v>20</v>
      </c>
      <c r="K2134" t="str">
        <f t="shared" si="272"/>
        <v>14-DIREITOS DA CIDADANIA</v>
      </c>
      <c r="L2134" t="str">
        <f t="shared" si="273"/>
        <v>391-PATRIMÔNIO HISTÓRICO, ARTÍSTICO E ARQUEOLÓGICO</v>
      </c>
      <c r="M2134" t="str">
        <f t="shared" si="274"/>
        <v>0009-Cultura, Economia Criativa e Patrimônio Histórico​</v>
      </c>
      <c r="N2134" t="str">
        <f t="shared" si="275"/>
        <v>1.002-Reforma e Ampliação de Unidades</v>
      </c>
      <c r="O2134" t="str">
        <f t="shared" si="276"/>
        <v>3.3.90.39.00-OUTROS SERVIÇOS DE TERCEIROS - PESSOA JURÍDICA</v>
      </c>
      <c r="R2134" s="25">
        <v>0</v>
      </c>
      <c r="S2134" t="s">
        <v>1035</v>
      </c>
    </row>
    <row r="2135" spans="1:20" x14ac:dyDescent="0.25">
      <c r="A2135" t="str">
        <f t="shared" si="265"/>
        <v>36</v>
      </c>
      <c r="B2135" t="str">
        <f t="shared" si="266"/>
        <v>001</v>
      </c>
      <c r="C2135" t="str">
        <f t="shared" si="267"/>
        <v>04</v>
      </c>
      <c r="D2135" t="str">
        <f t="shared" si="268"/>
        <v>128</v>
      </c>
      <c r="E2135" t="str">
        <f t="shared" si="269"/>
        <v>0019</v>
      </c>
      <c r="F2135" t="str">
        <f t="shared" si="270"/>
        <v>2.001</v>
      </c>
      <c r="G2135" t="str">
        <f t="shared" si="271"/>
        <v>3.3.90.39.00</v>
      </c>
      <c r="H2135" t="s">
        <v>2185</v>
      </c>
      <c r="I2135" t="str">
        <f t="shared" si="278"/>
        <v>36 - SECRETARIA DA FAMÍLIA, CIDADANIA E SEGURANÇA ALIMENTAR</v>
      </c>
      <c r="J2135" t="s">
        <v>20</v>
      </c>
      <c r="K2135" t="str">
        <f t="shared" si="272"/>
        <v>4-ADMINISTRAÇÃO</v>
      </c>
      <c r="L2135" t="str">
        <f t="shared" si="273"/>
        <v>128-FORMAÇÃO DE RECURSOS HUMANOS</v>
      </c>
      <c r="M2135" t="str">
        <f t="shared" si="274"/>
        <v>0019-Segurança Alimentar e Combate à Pobreza​</v>
      </c>
      <c r="N2135" t="str">
        <f t="shared" si="275"/>
        <v>2.001-Remuneração, Benefícios e Encargos</v>
      </c>
      <c r="O2135" t="str">
        <f t="shared" si="276"/>
        <v>3.3.90.39.00-OUTROS SERVIÇOS DE TERCEIROS - PESSOA JURÍDICA</v>
      </c>
      <c r="R2135" s="25">
        <v>0</v>
      </c>
      <c r="S2135" t="s">
        <v>1035</v>
      </c>
    </row>
    <row r="2136" spans="1:20" x14ac:dyDescent="0.25">
      <c r="A2136" t="str">
        <f t="shared" si="265"/>
        <v>36</v>
      </c>
      <c r="B2136" t="str">
        <f t="shared" si="266"/>
        <v>001</v>
      </c>
      <c r="C2136" t="str">
        <f t="shared" si="267"/>
        <v>08</v>
      </c>
      <c r="D2136" t="str">
        <f t="shared" si="268"/>
        <v>244</v>
      </c>
      <c r="E2136" t="str">
        <f t="shared" si="269"/>
        <v>0019</v>
      </c>
      <c r="F2136" t="str">
        <f t="shared" si="270"/>
        <v>1.002</v>
      </c>
      <c r="G2136" t="str">
        <f t="shared" si="271"/>
        <v>3.3.90.39.00</v>
      </c>
      <c r="H2136" t="s">
        <v>2186</v>
      </c>
      <c r="I2136" t="str">
        <f t="shared" si="278"/>
        <v>36 - SECRETARIA DA FAMÍLIA, CIDADANIA E SEGURANÇA ALIMENTAR</v>
      </c>
      <c r="J2136" t="s">
        <v>20</v>
      </c>
      <c r="K2136" t="str">
        <f t="shared" si="272"/>
        <v>8-ASSISTÊNCIA SOCIAL</v>
      </c>
      <c r="L2136" t="str">
        <f t="shared" si="273"/>
        <v>244-ASSISTÊNCIA COMUNITÁRIA</v>
      </c>
      <c r="M2136" t="str">
        <f t="shared" si="274"/>
        <v>0019-Segurança Alimentar e Combate à Pobreza​</v>
      </c>
      <c r="N2136" t="str">
        <f t="shared" si="275"/>
        <v>1.002-Reforma e Ampliação de Unidades</v>
      </c>
      <c r="O2136" t="str">
        <f t="shared" si="276"/>
        <v>3.3.90.39.00-OUTROS SERVIÇOS DE TERCEIROS - PESSOA JURÍDICA</v>
      </c>
      <c r="R2136" s="25">
        <v>0</v>
      </c>
      <c r="S2136" t="s">
        <v>1035</v>
      </c>
    </row>
    <row r="2137" spans="1:20" x14ac:dyDescent="0.25">
      <c r="A2137" t="str">
        <f t="shared" ref="A2137:A2163" si="279">LEFT(H2137,2)</f>
        <v>18</v>
      </c>
      <c r="B2137" t="str">
        <f t="shared" ref="B2137:B2163" si="280">MID(H2137,4,3)</f>
        <v>001</v>
      </c>
      <c r="C2137" t="str">
        <f t="shared" ref="C2137:C2163" si="281">MID(H2137,8,2)</f>
        <v>04</v>
      </c>
      <c r="D2137" t="str">
        <f t="shared" ref="D2137:D2163" si="282">MID(H2137,11,3)</f>
        <v>123</v>
      </c>
      <c r="E2137" t="str">
        <f t="shared" ref="E2137:E2163" si="283">MID(H2137,15,4)</f>
        <v>0021</v>
      </c>
      <c r="F2137" t="str">
        <f t="shared" ref="F2137:F2163" si="284">MID(H2137,20,5)</f>
        <v>0.001</v>
      </c>
      <c r="G2137" t="str">
        <f t="shared" ref="G2137:G2163" si="285">MID(H2137,26,12)</f>
        <v>3.2.90.21.00</v>
      </c>
      <c r="H2137" s="26" t="s">
        <v>1955</v>
      </c>
      <c r="I2137" t="s">
        <v>789</v>
      </c>
      <c r="J2137" t="s">
        <v>20</v>
      </c>
      <c r="K2137" t="str">
        <f t="shared" ref="K2137:K2163" si="286">VLOOKUP(C2137,$C$1:$O$994,9,0)</f>
        <v>4-ADMINISTRAÇÃO</v>
      </c>
      <c r="L2137" t="str">
        <f t="shared" ref="L2137:O2143" si="287">D2137</f>
        <v>123</v>
      </c>
      <c r="M2137" t="str">
        <f t="shared" si="287"/>
        <v>0021</v>
      </c>
      <c r="N2137" t="str">
        <f t="shared" si="287"/>
        <v>0.001</v>
      </c>
      <c r="O2137" t="str">
        <f t="shared" si="287"/>
        <v>3.2.90.21.00</v>
      </c>
      <c r="R2137" s="25">
        <v>79447850.049999997</v>
      </c>
      <c r="S2137" t="s">
        <v>27</v>
      </c>
      <c r="T2137" t="s">
        <v>2187</v>
      </c>
    </row>
    <row r="2138" spans="1:20" x14ac:dyDescent="0.25">
      <c r="A2138" t="str">
        <f t="shared" si="279"/>
        <v>18</v>
      </c>
      <c r="B2138" t="str">
        <f t="shared" si="280"/>
        <v>001</v>
      </c>
      <c r="C2138" t="str">
        <f t="shared" si="281"/>
        <v>04</v>
      </c>
      <c r="D2138" t="str">
        <f t="shared" si="282"/>
        <v>123</v>
      </c>
      <c r="E2138" t="str">
        <f t="shared" si="283"/>
        <v>0021</v>
      </c>
      <c r="F2138" t="str">
        <f t="shared" si="284"/>
        <v>0.001</v>
      </c>
      <c r="G2138" t="str">
        <f t="shared" si="285"/>
        <v>3.2.90.22.00</v>
      </c>
      <c r="H2138" s="26" t="s">
        <v>1956</v>
      </c>
      <c r="I2138" t="s">
        <v>789</v>
      </c>
      <c r="J2138" t="s">
        <v>20</v>
      </c>
      <c r="K2138" t="str">
        <f t="shared" si="286"/>
        <v>4-ADMINISTRAÇÃO</v>
      </c>
      <c r="L2138" t="str">
        <f t="shared" si="287"/>
        <v>123</v>
      </c>
      <c r="M2138" t="str">
        <f t="shared" si="287"/>
        <v>0021</v>
      </c>
      <c r="N2138" t="str">
        <f t="shared" si="287"/>
        <v>0.001</v>
      </c>
      <c r="O2138" t="str">
        <f t="shared" si="287"/>
        <v>3.2.90.22.00</v>
      </c>
      <c r="R2138" s="25">
        <v>1000000</v>
      </c>
      <c r="S2138" t="s">
        <v>27</v>
      </c>
      <c r="T2138" t="s">
        <v>2187</v>
      </c>
    </row>
    <row r="2139" spans="1:20" x14ac:dyDescent="0.25">
      <c r="A2139" t="str">
        <f t="shared" si="279"/>
        <v>18</v>
      </c>
      <c r="B2139" t="str">
        <f t="shared" si="280"/>
        <v>001</v>
      </c>
      <c r="C2139" t="str">
        <f t="shared" si="281"/>
        <v>04</v>
      </c>
      <c r="D2139" t="str">
        <f t="shared" si="282"/>
        <v>123</v>
      </c>
      <c r="E2139" t="str">
        <f t="shared" si="283"/>
        <v>0021</v>
      </c>
      <c r="F2139" t="str">
        <f t="shared" si="284"/>
        <v>0.001</v>
      </c>
      <c r="G2139" t="str">
        <f t="shared" si="285"/>
        <v>3.2.91.21.00</v>
      </c>
      <c r="H2139" s="26" t="s">
        <v>1957</v>
      </c>
      <c r="I2139" t="s">
        <v>789</v>
      </c>
      <c r="J2139" t="s">
        <v>20</v>
      </c>
      <c r="K2139" t="str">
        <f t="shared" si="286"/>
        <v>4-ADMINISTRAÇÃO</v>
      </c>
      <c r="L2139" t="str">
        <f t="shared" si="287"/>
        <v>123</v>
      </c>
      <c r="M2139" t="str">
        <f t="shared" si="287"/>
        <v>0021</v>
      </c>
      <c r="N2139" t="str">
        <f t="shared" si="287"/>
        <v>0.001</v>
      </c>
      <c r="O2139" t="str">
        <f t="shared" si="287"/>
        <v>3.2.91.21.00</v>
      </c>
      <c r="R2139" s="25">
        <v>5544936.2699999996</v>
      </c>
      <c r="S2139" t="s">
        <v>27</v>
      </c>
      <c r="T2139" t="s">
        <v>2187</v>
      </c>
    </row>
    <row r="2140" spans="1:20" x14ac:dyDescent="0.25">
      <c r="A2140" t="str">
        <f t="shared" si="279"/>
        <v>18</v>
      </c>
      <c r="B2140" t="str">
        <f t="shared" si="280"/>
        <v>001</v>
      </c>
      <c r="C2140" t="str">
        <f t="shared" si="281"/>
        <v>04</v>
      </c>
      <c r="D2140" t="str">
        <f t="shared" si="282"/>
        <v>123</v>
      </c>
      <c r="E2140" t="str">
        <f t="shared" si="283"/>
        <v>0021</v>
      </c>
      <c r="F2140" t="str">
        <f t="shared" si="284"/>
        <v>0.001</v>
      </c>
      <c r="G2140" t="str">
        <f t="shared" si="285"/>
        <v>4.6.90.71.00</v>
      </c>
      <c r="H2140" s="26" t="s">
        <v>1958</v>
      </c>
      <c r="I2140" t="s">
        <v>789</v>
      </c>
      <c r="J2140" t="s">
        <v>20</v>
      </c>
      <c r="K2140" t="str">
        <f t="shared" si="286"/>
        <v>4-ADMINISTRAÇÃO</v>
      </c>
      <c r="L2140" t="str">
        <f t="shared" si="287"/>
        <v>123</v>
      </c>
      <c r="M2140" t="str">
        <f t="shared" si="287"/>
        <v>0021</v>
      </c>
      <c r="N2140" t="str">
        <f t="shared" si="287"/>
        <v>0.001</v>
      </c>
      <c r="O2140" t="str">
        <f t="shared" si="287"/>
        <v>4.6.90.71.00</v>
      </c>
      <c r="R2140" s="25">
        <v>142548168.24000001</v>
      </c>
      <c r="S2140" t="s">
        <v>27</v>
      </c>
      <c r="T2140" t="s">
        <v>2187</v>
      </c>
    </row>
    <row r="2141" spans="1:20" x14ac:dyDescent="0.25">
      <c r="A2141" t="str">
        <f t="shared" si="279"/>
        <v>18</v>
      </c>
      <c r="B2141" t="str">
        <f t="shared" si="280"/>
        <v>001</v>
      </c>
      <c r="C2141" t="str">
        <f t="shared" si="281"/>
        <v>04</v>
      </c>
      <c r="D2141" t="str">
        <f t="shared" si="282"/>
        <v>123</v>
      </c>
      <c r="E2141" t="str">
        <f t="shared" si="283"/>
        <v>0021</v>
      </c>
      <c r="F2141" t="str">
        <f t="shared" si="284"/>
        <v>0.001</v>
      </c>
      <c r="G2141" t="str">
        <f t="shared" si="285"/>
        <v>4.6.91.71.00</v>
      </c>
      <c r="H2141" s="26" t="s">
        <v>1959</v>
      </c>
      <c r="I2141" t="s">
        <v>789</v>
      </c>
      <c r="J2141" t="s">
        <v>20</v>
      </c>
      <c r="K2141" t="str">
        <f t="shared" si="286"/>
        <v>4-ADMINISTRAÇÃO</v>
      </c>
      <c r="L2141" t="str">
        <f t="shared" si="287"/>
        <v>123</v>
      </c>
      <c r="M2141" t="str">
        <f t="shared" si="287"/>
        <v>0021</v>
      </c>
      <c r="N2141" t="str">
        <f t="shared" si="287"/>
        <v>0.001</v>
      </c>
      <c r="O2141" t="str">
        <f t="shared" si="287"/>
        <v>4.6.91.71.00</v>
      </c>
      <c r="R2141" s="25">
        <v>714039.84</v>
      </c>
      <c r="S2141" t="s">
        <v>27</v>
      </c>
      <c r="T2141" t="s">
        <v>2187</v>
      </c>
    </row>
    <row r="2142" spans="1:20" x14ac:dyDescent="0.25">
      <c r="A2142" t="str">
        <f t="shared" si="279"/>
        <v>18</v>
      </c>
      <c r="B2142" t="str">
        <f t="shared" si="280"/>
        <v>001</v>
      </c>
      <c r="C2142" t="str">
        <f t="shared" si="281"/>
        <v>04</v>
      </c>
      <c r="D2142" t="str">
        <f t="shared" si="282"/>
        <v>123</v>
      </c>
      <c r="E2142" t="str">
        <f t="shared" si="283"/>
        <v>0021</v>
      </c>
      <c r="F2142" t="str">
        <f t="shared" si="284"/>
        <v>0.002</v>
      </c>
      <c r="G2142" t="str">
        <f t="shared" si="285"/>
        <v>3.3.90.47.00</v>
      </c>
      <c r="H2142" s="26" t="s">
        <v>1960</v>
      </c>
      <c r="I2142" t="s">
        <v>789</v>
      </c>
      <c r="J2142" t="s">
        <v>20</v>
      </c>
      <c r="K2142" t="str">
        <f t="shared" si="286"/>
        <v>4-ADMINISTRAÇÃO</v>
      </c>
      <c r="L2142" t="str">
        <f t="shared" si="287"/>
        <v>123</v>
      </c>
      <c r="M2142" t="str">
        <f t="shared" si="287"/>
        <v>0021</v>
      </c>
      <c r="N2142" t="str">
        <f t="shared" si="287"/>
        <v>0.002</v>
      </c>
      <c r="O2142" t="str">
        <f t="shared" si="287"/>
        <v>3.3.90.47.00</v>
      </c>
      <c r="R2142" s="25">
        <v>55021000</v>
      </c>
      <c r="S2142" t="s">
        <v>27</v>
      </c>
      <c r="T2142" t="s">
        <v>2187</v>
      </c>
    </row>
    <row r="2143" spans="1:20" x14ac:dyDescent="0.25">
      <c r="A2143" t="str">
        <f t="shared" si="279"/>
        <v>18</v>
      </c>
      <c r="B2143" t="str">
        <f t="shared" si="280"/>
        <v>001</v>
      </c>
      <c r="C2143" t="str">
        <f t="shared" si="281"/>
        <v>04</v>
      </c>
      <c r="D2143" t="str">
        <f t="shared" si="282"/>
        <v>123</v>
      </c>
      <c r="E2143" t="str">
        <f t="shared" si="283"/>
        <v>0021</v>
      </c>
      <c r="F2143" t="str">
        <f t="shared" si="284"/>
        <v>0.002</v>
      </c>
      <c r="G2143" t="str">
        <f t="shared" si="285"/>
        <v>3.3.91.97.00</v>
      </c>
      <c r="H2143" s="26" t="s">
        <v>1961</v>
      </c>
      <c r="I2143" t="s">
        <v>789</v>
      </c>
      <c r="J2143" t="s">
        <v>20</v>
      </c>
      <c r="K2143" t="str">
        <f t="shared" si="286"/>
        <v>4-ADMINISTRAÇÃO</v>
      </c>
      <c r="L2143" t="str">
        <f t="shared" si="287"/>
        <v>123</v>
      </c>
      <c r="M2143" t="str">
        <f t="shared" si="287"/>
        <v>0021</v>
      </c>
      <c r="N2143" t="str">
        <f t="shared" si="287"/>
        <v>0.002</v>
      </c>
      <c r="O2143" t="str">
        <f t="shared" si="287"/>
        <v>3.3.91.97.00</v>
      </c>
      <c r="R2143" s="25">
        <v>40000000</v>
      </c>
      <c r="S2143" t="s">
        <v>27</v>
      </c>
      <c r="T2143" t="s">
        <v>2187</v>
      </c>
    </row>
    <row r="2144" spans="1:20" x14ac:dyDescent="0.25">
      <c r="A2144" t="str">
        <f t="shared" si="279"/>
        <v>18</v>
      </c>
      <c r="B2144" t="str">
        <f t="shared" si="280"/>
        <v>001</v>
      </c>
      <c r="C2144" t="str">
        <f t="shared" si="281"/>
        <v>04</v>
      </c>
      <c r="D2144" t="str">
        <f t="shared" si="282"/>
        <v>123</v>
      </c>
      <c r="E2144" t="str">
        <f t="shared" si="283"/>
        <v>0021</v>
      </c>
      <c r="F2144" t="str">
        <f t="shared" si="284"/>
        <v>0.003</v>
      </c>
      <c r="G2144" t="str">
        <f t="shared" si="285"/>
        <v>3.1.90.91.00</v>
      </c>
      <c r="H2144" s="26" t="s">
        <v>1962</v>
      </c>
      <c r="I2144" t="s">
        <v>789</v>
      </c>
      <c r="J2144" t="s">
        <v>20</v>
      </c>
      <c r="K2144" t="str">
        <f t="shared" si="286"/>
        <v>4-ADMINISTRAÇÃO</v>
      </c>
      <c r="L2144" t="str">
        <f t="shared" ref="L2144:L2153" si="288">D2144</f>
        <v>123</v>
      </c>
      <c r="M2144" t="str">
        <f t="shared" ref="M2144:M2153" si="289">E2144</f>
        <v>0021</v>
      </c>
      <c r="N2144" t="str">
        <f t="shared" ref="N2144:N2163" si="290">VLOOKUP(F2144,$F$1:$O$994,9,0)</f>
        <v>0.003-Precatórios e Sentenças Judiciais</v>
      </c>
      <c r="O2144" t="str">
        <f>G2144</f>
        <v>3.1.90.91.00</v>
      </c>
      <c r="R2144" s="25">
        <v>4485130.83</v>
      </c>
      <c r="S2144" t="s">
        <v>27</v>
      </c>
      <c r="T2144" t="s">
        <v>2187</v>
      </c>
    </row>
    <row r="2145" spans="1:20" x14ac:dyDescent="0.25">
      <c r="A2145" t="str">
        <f t="shared" si="279"/>
        <v>18</v>
      </c>
      <c r="B2145" t="str">
        <f t="shared" si="280"/>
        <v>001</v>
      </c>
      <c r="C2145" t="str">
        <f t="shared" si="281"/>
        <v>04</v>
      </c>
      <c r="D2145" t="str">
        <f t="shared" si="282"/>
        <v>123</v>
      </c>
      <c r="E2145" t="str">
        <f t="shared" si="283"/>
        <v>0021</v>
      </c>
      <c r="F2145" t="str">
        <f t="shared" si="284"/>
        <v>0.003</v>
      </c>
      <c r="G2145" t="str">
        <f t="shared" si="285"/>
        <v>3.3.90.91.00</v>
      </c>
      <c r="H2145" s="26" t="s">
        <v>1963</v>
      </c>
      <c r="I2145" t="s">
        <v>789</v>
      </c>
      <c r="J2145" t="s">
        <v>20</v>
      </c>
      <c r="K2145" t="str">
        <f t="shared" si="286"/>
        <v>4-ADMINISTRAÇÃO</v>
      </c>
      <c r="L2145" t="str">
        <f t="shared" si="288"/>
        <v>123</v>
      </c>
      <c r="M2145" t="str">
        <f t="shared" si="289"/>
        <v>0021</v>
      </c>
      <c r="N2145" t="str">
        <f t="shared" si="290"/>
        <v>0.003-Precatórios e Sentenças Judiciais</v>
      </c>
      <c r="O2145" t="str">
        <f t="shared" ref="O2145:O2153" si="291">VLOOKUP(G2145,$G$1:$O$994,9,0)</f>
        <v>3.3.90.91.00-SENTENÇAS JUDICIAIS</v>
      </c>
      <c r="R2145" s="25">
        <v>2691078.5</v>
      </c>
      <c r="S2145" t="s">
        <v>27</v>
      </c>
      <c r="T2145" t="s">
        <v>2187</v>
      </c>
    </row>
    <row r="2146" spans="1:20" x14ac:dyDescent="0.25">
      <c r="A2146" t="str">
        <f t="shared" si="279"/>
        <v>18</v>
      </c>
      <c r="B2146" t="str">
        <f t="shared" si="280"/>
        <v>001</v>
      </c>
      <c r="C2146" t="str">
        <f t="shared" si="281"/>
        <v>04</v>
      </c>
      <c r="D2146" t="str">
        <f t="shared" si="282"/>
        <v>123</v>
      </c>
      <c r="E2146" t="str">
        <f t="shared" si="283"/>
        <v>0021</v>
      </c>
      <c r="F2146" t="str">
        <f t="shared" si="284"/>
        <v>0.003</v>
      </c>
      <c r="G2146" t="str">
        <f t="shared" si="285"/>
        <v>4.4.90.91.00</v>
      </c>
      <c r="H2146" s="26" t="s">
        <v>1964</v>
      </c>
      <c r="I2146" t="s">
        <v>789</v>
      </c>
      <c r="J2146" t="s">
        <v>20</v>
      </c>
      <c r="K2146" t="str">
        <f t="shared" si="286"/>
        <v>4-ADMINISTRAÇÃO</v>
      </c>
      <c r="L2146" t="str">
        <f t="shared" si="288"/>
        <v>123</v>
      </c>
      <c r="M2146" t="str">
        <f t="shared" si="289"/>
        <v>0021</v>
      </c>
      <c r="N2146" t="str">
        <f t="shared" si="290"/>
        <v>0.003-Precatórios e Sentenças Judiciais</v>
      </c>
      <c r="O2146" t="str">
        <f>G2146</f>
        <v>4.4.90.91.00</v>
      </c>
      <c r="R2146" s="25">
        <v>1</v>
      </c>
      <c r="S2146" t="s">
        <v>27</v>
      </c>
      <c r="T2146" t="s">
        <v>2187</v>
      </c>
    </row>
    <row r="2147" spans="1:20" x14ac:dyDescent="0.25">
      <c r="A2147" t="str">
        <f t="shared" si="279"/>
        <v>18</v>
      </c>
      <c r="B2147" t="str">
        <f t="shared" si="280"/>
        <v>001</v>
      </c>
      <c r="C2147" t="str">
        <f t="shared" si="281"/>
        <v>04</v>
      </c>
      <c r="D2147" t="str">
        <f t="shared" si="282"/>
        <v>123</v>
      </c>
      <c r="E2147" t="str">
        <f t="shared" si="283"/>
        <v>0021</v>
      </c>
      <c r="F2147" t="str">
        <f t="shared" si="284"/>
        <v>0.003</v>
      </c>
      <c r="G2147" t="str">
        <f t="shared" si="285"/>
        <v>4.6.90.91.00</v>
      </c>
      <c r="H2147" s="26" t="s">
        <v>1965</v>
      </c>
      <c r="I2147" t="s">
        <v>789</v>
      </c>
      <c r="J2147" t="s">
        <v>20</v>
      </c>
      <c r="K2147" t="str">
        <f t="shared" si="286"/>
        <v>4-ADMINISTRAÇÃO</v>
      </c>
      <c r="L2147" t="str">
        <f t="shared" si="288"/>
        <v>123</v>
      </c>
      <c r="M2147" t="str">
        <f t="shared" si="289"/>
        <v>0021</v>
      </c>
      <c r="N2147" t="str">
        <f t="shared" si="290"/>
        <v>0.003-Precatórios e Sentenças Judiciais</v>
      </c>
      <c r="O2147" t="str">
        <f>G2147</f>
        <v>4.6.90.91.00</v>
      </c>
      <c r="R2147" s="25">
        <v>47185370.43</v>
      </c>
      <c r="S2147" t="s">
        <v>27</v>
      </c>
      <c r="T2147" t="s">
        <v>2187</v>
      </c>
    </row>
    <row r="2148" spans="1:20" x14ac:dyDescent="0.25">
      <c r="A2148" t="str">
        <f t="shared" si="279"/>
        <v>18</v>
      </c>
      <c r="B2148" t="str">
        <f t="shared" si="280"/>
        <v>001</v>
      </c>
      <c r="C2148" t="str">
        <f t="shared" si="281"/>
        <v>28</v>
      </c>
      <c r="D2148" t="str">
        <f t="shared" si="282"/>
        <v>846</v>
      </c>
      <c r="E2148" t="str">
        <f t="shared" si="283"/>
        <v>0021</v>
      </c>
      <c r="F2148" t="str">
        <f t="shared" si="284"/>
        <v>0.003</v>
      </c>
      <c r="G2148" t="str">
        <f t="shared" si="285"/>
        <v>3.1.90.13.00</v>
      </c>
      <c r="H2148" s="26" t="s">
        <v>1966</v>
      </c>
      <c r="I2148" t="s">
        <v>789</v>
      </c>
      <c r="J2148" t="s">
        <v>20</v>
      </c>
      <c r="K2148" t="str">
        <f t="shared" ref="K2148:K2153" si="292">C2148</f>
        <v>28</v>
      </c>
      <c r="L2148" t="str">
        <f t="shared" si="288"/>
        <v>846</v>
      </c>
      <c r="M2148" t="str">
        <f t="shared" si="289"/>
        <v>0021</v>
      </c>
      <c r="N2148" t="str">
        <f t="shared" si="290"/>
        <v>0.003-Precatórios e Sentenças Judiciais</v>
      </c>
      <c r="O2148" t="str">
        <f>G2148</f>
        <v>3.1.90.13.00</v>
      </c>
      <c r="R2148" s="25">
        <v>179405.23</v>
      </c>
      <c r="S2148" t="s">
        <v>27</v>
      </c>
      <c r="T2148" t="s">
        <v>2187</v>
      </c>
    </row>
    <row r="2149" spans="1:20" x14ac:dyDescent="0.25">
      <c r="A2149" t="str">
        <f t="shared" si="279"/>
        <v>18</v>
      </c>
      <c r="B2149" t="str">
        <f t="shared" si="280"/>
        <v>001</v>
      </c>
      <c r="C2149" t="str">
        <f t="shared" si="281"/>
        <v>28</v>
      </c>
      <c r="D2149" t="str">
        <f t="shared" si="282"/>
        <v>846</v>
      </c>
      <c r="E2149" t="str">
        <f t="shared" si="283"/>
        <v>0021</v>
      </c>
      <c r="F2149" t="str">
        <f t="shared" si="284"/>
        <v>0.003</v>
      </c>
      <c r="G2149" t="str">
        <f t="shared" si="285"/>
        <v>3.1.91.13.00</v>
      </c>
      <c r="H2149" s="26" t="s">
        <v>1967</v>
      </c>
      <c r="I2149" t="s">
        <v>789</v>
      </c>
      <c r="J2149" t="s">
        <v>20</v>
      </c>
      <c r="K2149" t="str">
        <f t="shared" si="292"/>
        <v>28</v>
      </c>
      <c r="L2149" t="str">
        <f t="shared" si="288"/>
        <v>846</v>
      </c>
      <c r="M2149" t="str">
        <f t="shared" si="289"/>
        <v>0021</v>
      </c>
      <c r="N2149" t="str">
        <f t="shared" si="290"/>
        <v>0.003-Precatórios e Sentenças Judiciais</v>
      </c>
      <c r="O2149" t="str">
        <f>G2149</f>
        <v>3.1.91.13.00</v>
      </c>
      <c r="R2149" s="25">
        <v>53818.9</v>
      </c>
      <c r="S2149" t="s">
        <v>27</v>
      </c>
      <c r="T2149" t="s">
        <v>2187</v>
      </c>
    </row>
    <row r="2150" spans="1:20" x14ac:dyDescent="0.25">
      <c r="A2150" t="str">
        <f t="shared" si="279"/>
        <v>18</v>
      </c>
      <c r="B2150" t="str">
        <f t="shared" si="280"/>
        <v>001</v>
      </c>
      <c r="C2150" t="str">
        <f t="shared" si="281"/>
        <v>28</v>
      </c>
      <c r="D2150" t="str">
        <f t="shared" si="282"/>
        <v>846</v>
      </c>
      <c r="E2150" t="str">
        <f t="shared" si="283"/>
        <v>0021</v>
      </c>
      <c r="F2150" t="str">
        <f t="shared" si="284"/>
        <v>0.003</v>
      </c>
      <c r="G2150" t="str">
        <f t="shared" si="285"/>
        <v>3.3.90.93.00</v>
      </c>
      <c r="H2150" s="26" t="s">
        <v>1968</v>
      </c>
      <c r="I2150" t="s">
        <v>789</v>
      </c>
      <c r="J2150" t="s">
        <v>20</v>
      </c>
      <c r="K2150" t="str">
        <f t="shared" si="292"/>
        <v>28</v>
      </c>
      <c r="L2150" t="str">
        <f t="shared" si="288"/>
        <v>846</v>
      </c>
      <c r="M2150" t="str">
        <f t="shared" si="289"/>
        <v>0021</v>
      </c>
      <c r="N2150" t="str">
        <f t="shared" si="290"/>
        <v>0.003-Precatórios e Sentenças Judiciais</v>
      </c>
      <c r="O2150" t="str">
        <f t="shared" si="291"/>
        <v>3.3.90.93.00-INDENIZAÇÕES E RESTITUIÇÕES</v>
      </c>
      <c r="R2150" s="25">
        <v>426087.43</v>
      </c>
      <c r="S2150" t="s">
        <v>27</v>
      </c>
      <c r="T2150" t="s">
        <v>2187</v>
      </c>
    </row>
    <row r="2151" spans="1:20" x14ac:dyDescent="0.25">
      <c r="A2151" t="str">
        <f t="shared" si="279"/>
        <v>21</v>
      </c>
      <c r="B2151" t="str">
        <f t="shared" si="280"/>
        <v>001</v>
      </c>
      <c r="C2151" t="str">
        <f t="shared" si="281"/>
        <v>09</v>
      </c>
      <c r="D2151" t="str">
        <f t="shared" si="282"/>
        <v>272</v>
      </c>
      <c r="E2151" t="str">
        <f t="shared" si="283"/>
        <v>0021</v>
      </c>
      <c r="F2151" t="str">
        <f t="shared" si="284"/>
        <v>0.002</v>
      </c>
      <c r="G2151" t="str">
        <f t="shared" si="285"/>
        <v>3.3.90.47.00</v>
      </c>
      <c r="H2151" s="26" t="s">
        <v>2010</v>
      </c>
      <c r="I2151" t="s">
        <v>1432</v>
      </c>
      <c r="J2151" t="s">
        <v>20</v>
      </c>
      <c r="K2151" t="str">
        <f t="shared" si="292"/>
        <v>09</v>
      </c>
      <c r="L2151" t="str">
        <f t="shared" si="288"/>
        <v>272</v>
      </c>
      <c r="M2151" t="str">
        <f t="shared" si="289"/>
        <v>0021</v>
      </c>
      <c r="N2151" t="str">
        <f>F2151</f>
        <v>0.002</v>
      </c>
      <c r="O2151" t="str">
        <f>G2151</f>
        <v>3.3.90.47.00</v>
      </c>
      <c r="R2151" s="25">
        <v>1000000</v>
      </c>
      <c r="S2151" t="s">
        <v>27</v>
      </c>
      <c r="T2151" t="s">
        <v>2187</v>
      </c>
    </row>
    <row r="2152" spans="1:20" x14ac:dyDescent="0.25">
      <c r="A2152" t="str">
        <f t="shared" si="279"/>
        <v>21</v>
      </c>
      <c r="B2152" t="str">
        <f t="shared" si="280"/>
        <v>001</v>
      </c>
      <c r="C2152" t="str">
        <f t="shared" si="281"/>
        <v>09</v>
      </c>
      <c r="D2152" t="str">
        <f t="shared" si="282"/>
        <v>272</v>
      </c>
      <c r="E2152" t="str">
        <f t="shared" si="283"/>
        <v>0021</v>
      </c>
      <c r="F2152" t="str">
        <f t="shared" si="284"/>
        <v>0.003</v>
      </c>
      <c r="G2152" t="str">
        <f t="shared" si="285"/>
        <v>3.1.90.91.00</v>
      </c>
      <c r="H2152" s="26" t="s">
        <v>2011</v>
      </c>
      <c r="I2152" t="s">
        <v>1432</v>
      </c>
      <c r="J2152" t="s">
        <v>20</v>
      </c>
      <c r="K2152" t="str">
        <f t="shared" si="292"/>
        <v>09</v>
      </c>
      <c r="L2152" t="str">
        <f t="shared" si="288"/>
        <v>272</v>
      </c>
      <c r="M2152" t="str">
        <f t="shared" si="289"/>
        <v>0021</v>
      </c>
      <c r="N2152" t="str">
        <f t="shared" si="290"/>
        <v>0.003-Precatórios e Sentenças Judiciais</v>
      </c>
      <c r="O2152" t="str">
        <f>G2152</f>
        <v>3.1.90.91.00</v>
      </c>
      <c r="R2152" s="25">
        <v>200000</v>
      </c>
      <c r="S2152" t="s">
        <v>27</v>
      </c>
      <c r="T2152" t="s">
        <v>2187</v>
      </c>
    </row>
    <row r="2153" spans="1:20" x14ac:dyDescent="0.25">
      <c r="A2153" t="str">
        <f t="shared" si="279"/>
        <v>21</v>
      </c>
      <c r="B2153" t="str">
        <f t="shared" si="280"/>
        <v>001</v>
      </c>
      <c r="C2153" t="str">
        <f t="shared" si="281"/>
        <v>09</v>
      </c>
      <c r="D2153" t="str">
        <f t="shared" si="282"/>
        <v>272</v>
      </c>
      <c r="E2153" t="str">
        <f t="shared" si="283"/>
        <v>0021</v>
      </c>
      <c r="F2153" t="str">
        <f t="shared" si="284"/>
        <v>0.003</v>
      </c>
      <c r="G2153" t="str">
        <f t="shared" si="285"/>
        <v>3.3.90.91.00</v>
      </c>
      <c r="H2153" s="26" t="s">
        <v>2012</v>
      </c>
      <c r="I2153" t="s">
        <v>1432</v>
      </c>
      <c r="J2153" t="s">
        <v>20</v>
      </c>
      <c r="K2153" t="str">
        <f t="shared" si="292"/>
        <v>09</v>
      </c>
      <c r="L2153" t="str">
        <f t="shared" si="288"/>
        <v>272</v>
      </c>
      <c r="M2153" t="str">
        <f t="shared" si="289"/>
        <v>0021</v>
      </c>
      <c r="N2153" t="str">
        <f t="shared" si="290"/>
        <v>0.003-Precatórios e Sentenças Judiciais</v>
      </c>
      <c r="O2153" t="str">
        <f t="shared" si="291"/>
        <v>3.3.90.91.00-SENTENÇAS JUDICIAIS</v>
      </c>
      <c r="R2153" s="25">
        <v>200000</v>
      </c>
      <c r="S2153" t="s">
        <v>27</v>
      </c>
      <c r="T2153" t="s">
        <v>2187</v>
      </c>
    </row>
    <row r="2154" spans="1:20" x14ac:dyDescent="0.25">
      <c r="A2154" t="str">
        <f t="shared" si="279"/>
        <v>22</v>
      </c>
      <c r="B2154" t="str">
        <f t="shared" si="280"/>
        <v>001</v>
      </c>
      <c r="C2154" t="str">
        <f t="shared" si="281"/>
        <v>04</v>
      </c>
      <c r="D2154" t="str">
        <f t="shared" si="282"/>
        <v>122</v>
      </c>
      <c r="E2154" t="str">
        <f t="shared" si="283"/>
        <v>0021</v>
      </c>
      <c r="F2154" t="str">
        <f t="shared" si="284"/>
        <v>0.001</v>
      </c>
      <c r="G2154" t="str">
        <f t="shared" si="285"/>
        <v>3.2.90.21.00</v>
      </c>
      <c r="H2154" s="26" t="s">
        <v>2020</v>
      </c>
      <c r="I2154" t="s">
        <v>1454</v>
      </c>
      <c r="J2154" t="s">
        <v>20</v>
      </c>
      <c r="K2154" t="str">
        <f t="shared" si="286"/>
        <v>4-ADMINISTRAÇÃO</v>
      </c>
      <c r="L2154" t="str">
        <f t="shared" ref="L2154:L2163" si="293">VLOOKUP(D2154,$D$1:$O$994,9,0)</f>
        <v>122-ADMINISTRAÇÃO GERAL</v>
      </c>
      <c r="M2154" t="str">
        <f t="shared" ref="M2154:O2155" si="294">E2154</f>
        <v>0021</v>
      </c>
      <c r="N2154" t="str">
        <f t="shared" si="294"/>
        <v>0.001</v>
      </c>
      <c r="O2154" t="str">
        <f t="shared" si="294"/>
        <v>3.2.90.21.00</v>
      </c>
      <c r="R2154" s="25">
        <v>174941</v>
      </c>
      <c r="S2154" t="s">
        <v>27</v>
      </c>
    </row>
    <row r="2155" spans="1:20" x14ac:dyDescent="0.25">
      <c r="A2155" t="str">
        <f t="shared" si="279"/>
        <v>22</v>
      </c>
      <c r="B2155" t="str">
        <f t="shared" si="280"/>
        <v>001</v>
      </c>
      <c r="C2155" t="str">
        <f t="shared" si="281"/>
        <v>04</v>
      </c>
      <c r="D2155" t="str">
        <f t="shared" si="282"/>
        <v>122</v>
      </c>
      <c r="E2155" t="str">
        <f t="shared" si="283"/>
        <v>0021</v>
      </c>
      <c r="F2155" t="str">
        <f t="shared" si="284"/>
        <v>0.001</v>
      </c>
      <c r="G2155" t="str">
        <f t="shared" si="285"/>
        <v>4.6.90.71.00</v>
      </c>
      <c r="H2155" s="26" t="s">
        <v>2021</v>
      </c>
      <c r="I2155" t="s">
        <v>1454</v>
      </c>
      <c r="J2155" t="s">
        <v>20</v>
      </c>
      <c r="K2155" t="str">
        <f t="shared" si="286"/>
        <v>4-ADMINISTRAÇÃO</v>
      </c>
      <c r="L2155" t="str">
        <f t="shared" si="293"/>
        <v>122-ADMINISTRAÇÃO GERAL</v>
      </c>
      <c r="M2155" t="str">
        <f t="shared" si="294"/>
        <v>0021</v>
      </c>
      <c r="N2155" t="str">
        <f t="shared" si="294"/>
        <v>0.001</v>
      </c>
      <c r="O2155" t="str">
        <f t="shared" si="294"/>
        <v>4.6.90.71.00</v>
      </c>
      <c r="R2155" s="25">
        <v>630000</v>
      </c>
      <c r="S2155" t="s">
        <v>27</v>
      </c>
    </row>
    <row r="2156" spans="1:20" x14ac:dyDescent="0.25">
      <c r="A2156" t="str">
        <f t="shared" si="279"/>
        <v>22</v>
      </c>
      <c r="B2156" t="str">
        <f t="shared" si="280"/>
        <v>001</v>
      </c>
      <c r="C2156" t="str">
        <f t="shared" si="281"/>
        <v>04</v>
      </c>
      <c r="D2156" t="str">
        <f t="shared" si="282"/>
        <v>122</v>
      </c>
      <c r="E2156" t="str">
        <f t="shared" si="283"/>
        <v>0021</v>
      </c>
      <c r="F2156" t="str">
        <f t="shared" si="284"/>
        <v>0.003</v>
      </c>
      <c r="G2156" t="str">
        <f t="shared" si="285"/>
        <v>3.1.90.91.00</v>
      </c>
      <c r="H2156" s="26" t="s">
        <v>2022</v>
      </c>
      <c r="I2156" t="s">
        <v>1454</v>
      </c>
      <c r="J2156" t="s">
        <v>20</v>
      </c>
      <c r="K2156" t="str">
        <f t="shared" si="286"/>
        <v>4-ADMINISTRAÇÃO</v>
      </c>
      <c r="L2156" t="str">
        <f t="shared" si="293"/>
        <v>122-ADMINISTRAÇÃO GERAL</v>
      </c>
      <c r="M2156" t="str">
        <f t="shared" ref="M2156:M2198" si="295">E2156</f>
        <v>0021</v>
      </c>
      <c r="N2156" t="str">
        <f t="shared" si="290"/>
        <v>0.003-Precatórios e Sentenças Judiciais</v>
      </c>
      <c r="O2156" t="str">
        <f t="shared" ref="O2156:O2164" si="296">G2156</f>
        <v>3.1.90.91.00</v>
      </c>
      <c r="R2156" s="25">
        <v>659426.94999999995</v>
      </c>
      <c r="S2156" t="s">
        <v>27</v>
      </c>
    </row>
    <row r="2157" spans="1:20" x14ac:dyDescent="0.25">
      <c r="A2157" t="str">
        <f t="shared" si="279"/>
        <v>22</v>
      </c>
      <c r="B2157" t="str">
        <f t="shared" si="280"/>
        <v>002</v>
      </c>
      <c r="C2157" t="str">
        <f t="shared" si="281"/>
        <v>12</v>
      </c>
      <c r="D2157" t="str">
        <f t="shared" si="282"/>
        <v>122</v>
      </c>
      <c r="E2157" t="str">
        <f t="shared" si="283"/>
        <v>0021</v>
      </c>
      <c r="F2157" t="str">
        <f t="shared" si="284"/>
        <v>0.003</v>
      </c>
      <c r="G2157" t="str">
        <f t="shared" si="285"/>
        <v>3.1.90.91.00</v>
      </c>
      <c r="H2157" s="26" t="s">
        <v>2024</v>
      </c>
      <c r="I2157" t="s">
        <v>1454</v>
      </c>
      <c r="J2157" t="s">
        <v>775</v>
      </c>
      <c r="K2157" t="str">
        <f t="shared" si="286"/>
        <v>12-EDUCAÇÃO</v>
      </c>
      <c r="L2157" t="str">
        <f t="shared" si="293"/>
        <v>122-ADMINISTRAÇÃO GERAL</v>
      </c>
      <c r="M2157" t="str">
        <f t="shared" si="295"/>
        <v>0021</v>
      </c>
      <c r="N2157" t="str">
        <f t="shared" si="290"/>
        <v>0.003-Precatórios e Sentenças Judiciais</v>
      </c>
      <c r="O2157" t="str">
        <f t="shared" si="296"/>
        <v>3.1.90.91.00</v>
      </c>
      <c r="R2157" s="25">
        <v>288156.7</v>
      </c>
      <c r="S2157" t="s">
        <v>27</v>
      </c>
    </row>
    <row r="2158" spans="1:20" x14ac:dyDescent="0.25">
      <c r="A2158" t="str">
        <f t="shared" si="279"/>
        <v>22</v>
      </c>
      <c r="B2158" t="str">
        <f t="shared" si="280"/>
        <v>003</v>
      </c>
      <c r="C2158" t="str">
        <f t="shared" si="281"/>
        <v>12</v>
      </c>
      <c r="D2158" t="str">
        <f t="shared" si="282"/>
        <v>122</v>
      </c>
      <c r="E2158" t="str">
        <f t="shared" si="283"/>
        <v>0021</v>
      </c>
      <c r="F2158" t="str">
        <f t="shared" si="284"/>
        <v>0.003</v>
      </c>
      <c r="G2158" t="str">
        <f t="shared" si="285"/>
        <v>3.1.90.91.00</v>
      </c>
      <c r="H2158" s="26" t="s">
        <v>2031</v>
      </c>
      <c r="I2158" t="s">
        <v>1454</v>
      </c>
      <c r="J2158" t="s">
        <v>768</v>
      </c>
      <c r="K2158" t="str">
        <f t="shared" si="286"/>
        <v>12-EDUCAÇÃO</v>
      </c>
      <c r="L2158" t="str">
        <f t="shared" si="293"/>
        <v>122-ADMINISTRAÇÃO GERAL</v>
      </c>
      <c r="M2158" t="str">
        <f t="shared" si="295"/>
        <v>0021</v>
      </c>
      <c r="N2158" t="str">
        <f t="shared" si="290"/>
        <v>0.003-Precatórios e Sentenças Judiciais</v>
      </c>
      <c r="O2158" t="str">
        <f t="shared" si="296"/>
        <v>3.1.90.91.00</v>
      </c>
      <c r="R2158" s="25">
        <v>1206.45</v>
      </c>
      <c r="S2158" t="s">
        <v>27</v>
      </c>
    </row>
    <row r="2159" spans="1:20" x14ac:dyDescent="0.25">
      <c r="A2159" t="str">
        <f t="shared" si="279"/>
        <v>22</v>
      </c>
      <c r="B2159" t="str">
        <f t="shared" si="280"/>
        <v>004</v>
      </c>
      <c r="C2159" t="str">
        <f t="shared" si="281"/>
        <v>12</v>
      </c>
      <c r="D2159" t="str">
        <f t="shared" si="282"/>
        <v>122</v>
      </c>
      <c r="E2159" t="str">
        <f t="shared" si="283"/>
        <v>0021</v>
      </c>
      <c r="F2159" t="str">
        <f t="shared" si="284"/>
        <v>0.003</v>
      </c>
      <c r="G2159" t="str">
        <f t="shared" si="285"/>
        <v>3.1.90.91.00</v>
      </c>
      <c r="H2159" s="26" t="s">
        <v>2032</v>
      </c>
      <c r="I2159" t="s">
        <v>1454</v>
      </c>
      <c r="J2159" t="s">
        <v>2210</v>
      </c>
      <c r="K2159" t="str">
        <f t="shared" si="286"/>
        <v>12-EDUCAÇÃO</v>
      </c>
      <c r="L2159" t="str">
        <f t="shared" si="293"/>
        <v>122-ADMINISTRAÇÃO GERAL</v>
      </c>
      <c r="M2159" t="str">
        <f t="shared" si="295"/>
        <v>0021</v>
      </c>
      <c r="N2159" t="str">
        <f t="shared" si="290"/>
        <v>0.003-Precatórios e Sentenças Judiciais</v>
      </c>
      <c r="O2159" t="str">
        <f t="shared" si="296"/>
        <v>3.1.90.91.00</v>
      </c>
      <c r="R2159" s="25">
        <v>96558</v>
      </c>
      <c r="S2159" t="s">
        <v>27</v>
      </c>
    </row>
    <row r="2160" spans="1:20" x14ac:dyDescent="0.25">
      <c r="A2160" t="str">
        <f t="shared" si="279"/>
        <v>22</v>
      </c>
      <c r="B2160" t="str">
        <f t="shared" si="280"/>
        <v>005</v>
      </c>
      <c r="C2160" t="str">
        <f t="shared" si="281"/>
        <v>12</v>
      </c>
      <c r="D2160" t="str">
        <f t="shared" si="282"/>
        <v>122</v>
      </c>
      <c r="E2160" t="str">
        <f t="shared" si="283"/>
        <v>0021</v>
      </c>
      <c r="F2160" t="str">
        <f t="shared" si="284"/>
        <v>0.003</v>
      </c>
      <c r="G2160" t="str">
        <f t="shared" si="285"/>
        <v>3.1.90.91.00</v>
      </c>
      <c r="H2160" s="26" t="s">
        <v>2039</v>
      </c>
      <c r="I2160" t="s">
        <v>1454</v>
      </c>
      <c r="J2160" t="s">
        <v>619</v>
      </c>
      <c r="K2160" t="str">
        <f t="shared" si="286"/>
        <v>12-EDUCAÇÃO</v>
      </c>
      <c r="L2160" t="str">
        <f t="shared" si="293"/>
        <v>122-ADMINISTRAÇÃO GERAL</v>
      </c>
      <c r="M2160" t="str">
        <f t="shared" si="295"/>
        <v>0021</v>
      </c>
      <c r="N2160" t="str">
        <f t="shared" si="290"/>
        <v>0.003-Precatórios e Sentenças Judiciais</v>
      </c>
      <c r="O2160" t="str">
        <f t="shared" si="296"/>
        <v>3.1.90.91.00</v>
      </c>
      <c r="R2160" s="25">
        <v>1206.45</v>
      </c>
      <c r="S2160" t="s">
        <v>27</v>
      </c>
    </row>
    <row r="2161" spans="1:19" x14ac:dyDescent="0.25">
      <c r="A2161" t="str">
        <f t="shared" si="279"/>
        <v>22</v>
      </c>
      <c r="B2161" t="str">
        <f t="shared" si="280"/>
        <v>006</v>
      </c>
      <c r="C2161" t="str">
        <f t="shared" si="281"/>
        <v>12</v>
      </c>
      <c r="D2161" t="str">
        <f t="shared" si="282"/>
        <v>122</v>
      </c>
      <c r="E2161" t="str">
        <f t="shared" si="283"/>
        <v>0021</v>
      </c>
      <c r="F2161" t="str">
        <f t="shared" si="284"/>
        <v>0.003</v>
      </c>
      <c r="G2161" t="str">
        <f t="shared" si="285"/>
        <v>3.1.90.91.00</v>
      </c>
      <c r="H2161" s="26" t="s">
        <v>2040</v>
      </c>
      <c r="I2161" t="s">
        <v>1454</v>
      </c>
      <c r="J2161" t="s">
        <v>348</v>
      </c>
      <c r="K2161" t="str">
        <f t="shared" si="286"/>
        <v>12-EDUCAÇÃO</v>
      </c>
      <c r="L2161" t="str">
        <f t="shared" si="293"/>
        <v>122-ADMINISTRAÇÃO GERAL</v>
      </c>
      <c r="M2161" t="str">
        <f t="shared" si="295"/>
        <v>0021</v>
      </c>
      <c r="N2161" t="str">
        <f t="shared" si="290"/>
        <v>0.003-Precatórios e Sentenças Judiciais</v>
      </c>
      <c r="O2161" t="str">
        <f t="shared" si="296"/>
        <v>3.1.90.91.00</v>
      </c>
      <c r="R2161" s="25">
        <v>30173.85</v>
      </c>
      <c r="S2161" t="s">
        <v>27</v>
      </c>
    </row>
    <row r="2162" spans="1:19" x14ac:dyDescent="0.25">
      <c r="A2162" t="str">
        <f t="shared" si="279"/>
        <v>22</v>
      </c>
      <c r="B2162" t="str">
        <f t="shared" si="280"/>
        <v>007</v>
      </c>
      <c r="C2162" t="str">
        <f t="shared" si="281"/>
        <v>13</v>
      </c>
      <c r="D2162" t="str">
        <f t="shared" si="282"/>
        <v>122</v>
      </c>
      <c r="E2162" t="str">
        <f t="shared" si="283"/>
        <v>0021</v>
      </c>
      <c r="F2162" t="str">
        <f t="shared" si="284"/>
        <v>0.003</v>
      </c>
      <c r="G2162" t="str">
        <f t="shared" si="285"/>
        <v>3.1.90.91.00</v>
      </c>
      <c r="H2162" s="26" t="s">
        <v>2042</v>
      </c>
      <c r="I2162" t="s">
        <v>1454</v>
      </c>
      <c r="J2162" t="s">
        <v>660</v>
      </c>
      <c r="K2162" t="str">
        <f t="shared" si="286"/>
        <v>13-CULTURA</v>
      </c>
      <c r="L2162" t="str">
        <f t="shared" si="293"/>
        <v>122-ADMINISTRAÇÃO GERAL</v>
      </c>
      <c r="M2162" t="str">
        <f t="shared" si="295"/>
        <v>0021</v>
      </c>
      <c r="N2162" t="str">
        <f t="shared" si="290"/>
        <v>0.003-Precatórios e Sentenças Judiciais</v>
      </c>
      <c r="O2162" t="str">
        <f t="shared" si="296"/>
        <v>3.1.90.91.00</v>
      </c>
      <c r="R2162" s="25">
        <v>30173.85</v>
      </c>
      <c r="S2162" t="s">
        <v>27</v>
      </c>
    </row>
    <row r="2163" spans="1:19" x14ac:dyDescent="0.25">
      <c r="A2163" t="str">
        <f t="shared" si="279"/>
        <v>22</v>
      </c>
      <c r="B2163" t="str">
        <f t="shared" si="280"/>
        <v>016</v>
      </c>
      <c r="C2163" t="str">
        <f t="shared" si="281"/>
        <v>12</v>
      </c>
      <c r="D2163" t="str">
        <f t="shared" si="282"/>
        <v>122</v>
      </c>
      <c r="E2163" t="str">
        <f t="shared" si="283"/>
        <v>0021</v>
      </c>
      <c r="F2163" t="str">
        <f t="shared" si="284"/>
        <v>0.003</v>
      </c>
      <c r="G2163" t="str">
        <f t="shared" si="285"/>
        <v>3.1.90.91.00</v>
      </c>
      <c r="H2163" s="26" t="s">
        <v>2061</v>
      </c>
      <c r="I2163" t="s">
        <v>1454</v>
      </c>
      <c r="J2163" t="s">
        <v>2212</v>
      </c>
      <c r="K2163" t="str">
        <f t="shared" si="286"/>
        <v>12-EDUCAÇÃO</v>
      </c>
      <c r="L2163" t="str">
        <f t="shared" si="293"/>
        <v>122-ADMINISTRAÇÃO GERAL</v>
      </c>
      <c r="M2163" t="str">
        <f t="shared" si="295"/>
        <v>0021</v>
      </c>
      <c r="N2163" t="str">
        <f t="shared" si="290"/>
        <v>0.003-Precatórios e Sentenças Judiciais</v>
      </c>
      <c r="O2163" t="str">
        <f t="shared" si="296"/>
        <v>3.1.90.91.00</v>
      </c>
      <c r="R2163" s="25">
        <v>210</v>
      </c>
      <c r="S2163" t="s">
        <v>27</v>
      </c>
    </row>
    <row r="2164" spans="1:19" x14ac:dyDescent="0.25">
      <c r="A2164" t="s">
        <v>2188</v>
      </c>
      <c r="B2164" t="s">
        <v>13</v>
      </c>
      <c r="C2164" t="s">
        <v>2188</v>
      </c>
      <c r="D2164" t="s">
        <v>2189</v>
      </c>
      <c r="E2164" t="s">
        <v>2190</v>
      </c>
      <c r="F2164" t="s">
        <v>2191</v>
      </c>
      <c r="G2164" t="s">
        <v>2192</v>
      </c>
      <c r="H2164" t="s">
        <v>1033</v>
      </c>
      <c r="I2164" t="s">
        <v>1034</v>
      </c>
      <c r="J2164" t="s">
        <v>20</v>
      </c>
      <c r="K2164" t="str">
        <f t="shared" ref="K2164:K2198" si="297">C2164</f>
        <v>01</v>
      </c>
      <c r="L2164" t="str">
        <f t="shared" ref="L2164:L2198" si="298">D2164</f>
        <v>031</v>
      </c>
      <c r="M2164" t="str">
        <f t="shared" si="295"/>
        <v>0003</v>
      </c>
      <c r="N2164" t="str">
        <f t="shared" ref="N2164:N2177" si="299">F2164</f>
        <v>2.042</v>
      </c>
      <c r="O2164" t="str">
        <f t="shared" si="296"/>
        <v>3.3.90.14.00</v>
      </c>
      <c r="R2164" s="25">
        <v>1</v>
      </c>
      <c r="S2164" t="s">
        <v>27</v>
      </c>
    </row>
    <row r="2165" spans="1:19" x14ac:dyDescent="0.25">
      <c r="A2165" t="s">
        <v>2188</v>
      </c>
      <c r="B2165" t="s">
        <v>13</v>
      </c>
      <c r="C2165" t="s">
        <v>2188</v>
      </c>
      <c r="D2165" t="s">
        <v>2189</v>
      </c>
      <c r="E2165" t="s">
        <v>2190</v>
      </c>
      <c r="F2165" t="s">
        <v>2191</v>
      </c>
      <c r="G2165" t="s">
        <v>18</v>
      </c>
      <c r="H2165" t="s">
        <v>1036</v>
      </c>
      <c r="I2165" t="s">
        <v>1034</v>
      </c>
      <c r="J2165" t="s">
        <v>20</v>
      </c>
      <c r="K2165" t="str">
        <f t="shared" si="297"/>
        <v>01</v>
      </c>
      <c r="L2165" t="str">
        <f t="shared" si="298"/>
        <v>031</v>
      </c>
      <c r="M2165" t="str">
        <f t="shared" si="295"/>
        <v>0003</v>
      </c>
      <c r="N2165" t="str">
        <f t="shared" si="299"/>
        <v>2.042</v>
      </c>
      <c r="O2165" t="s">
        <v>25</v>
      </c>
      <c r="R2165" s="25">
        <v>1575000</v>
      </c>
      <c r="S2165" t="s">
        <v>27</v>
      </c>
    </row>
    <row r="2166" spans="1:19" x14ac:dyDescent="0.25">
      <c r="A2166" t="s">
        <v>2188</v>
      </c>
      <c r="B2166" t="s">
        <v>13</v>
      </c>
      <c r="C2166" t="s">
        <v>2188</v>
      </c>
      <c r="D2166" t="s">
        <v>2189</v>
      </c>
      <c r="E2166" t="s">
        <v>2190</v>
      </c>
      <c r="F2166" t="s">
        <v>2191</v>
      </c>
      <c r="G2166" t="s">
        <v>263</v>
      </c>
      <c r="H2166" t="s">
        <v>1037</v>
      </c>
      <c r="I2166" t="s">
        <v>1034</v>
      </c>
      <c r="J2166" t="s">
        <v>20</v>
      </c>
      <c r="K2166" t="str">
        <f t="shared" si="297"/>
        <v>01</v>
      </c>
      <c r="L2166" t="str">
        <f t="shared" si="298"/>
        <v>031</v>
      </c>
      <c r="M2166" t="str">
        <f t="shared" si="295"/>
        <v>0003</v>
      </c>
      <c r="N2166" t="str">
        <f t="shared" si="299"/>
        <v>2.042</v>
      </c>
      <c r="O2166" t="s">
        <v>264</v>
      </c>
      <c r="R2166" s="25">
        <v>1</v>
      </c>
      <c r="S2166" t="s">
        <v>27</v>
      </c>
    </row>
    <row r="2167" spans="1:19" x14ac:dyDescent="0.25">
      <c r="A2167" t="s">
        <v>2188</v>
      </c>
      <c r="B2167" t="s">
        <v>13</v>
      </c>
      <c r="C2167" t="s">
        <v>2188</v>
      </c>
      <c r="D2167" t="s">
        <v>2189</v>
      </c>
      <c r="E2167" t="s">
        <v>2190</v>
      </c>
      <c r="F2167" t="s">
        <v>2191</v>
      </c>
      <c r="G2167" t="s">
        <v>73</v>
      </c>
      <c r="H2167" t="s">
        <v>1038</v>
      </c>
      <c r="I2167" t="s">
        <v>1034</v>
      </c>
      <c r="J2167" t="s">
        <v>20</v>
      </c>
      <c r="K2167" t="str">
        <f t="shared" si="297"/>
        <v>01</v>
      </c>
      <c r="L2167" t="str">
        <f t="shared" si="298"/>
        <v>031</v>
      </c>
      <c r="M2167" t="str">
        <f t="shared" si="295"/>
        <v>0003</v>
      </c>
      <c r="N2167" t="str">
        <f t="shared" si="299"/>
        <v>2.042</v>
      </c>
      <c r="O2167" t="s">
        <v>74</v>
      </c>
      <c r="R2167" s="25">
        <v>1</v>
      </c>
      <c r="S2167" t="s">
        <v>27</v>
      </c>
    </row>
    <row r="2168" spans="1:19" x14ac:dyDescent="0.25">
      <c r="A2168" t="s">
        <v>2188</v>
      </c>
      <c r="B2168" t="s">
        <v>13</v>
      </c>
      <c r="C2168" t="s">
        <v>2188</v>
      </c>
      <c r="D2168" t="s">
        <v>2189</v>
      </c>
      <c r="E2168" t="s">
        <v>2190</v>
      </c>
      <c r="F2168" t="s">
        <v>2191</v>
      </c>
      <c r="G2168" t="s">
        <v>930</v>
      </c>
      <c r="H2168" t="s">
        <v>1039</v>
      </c>
      <c r="I2168" t="s">
        <v>1034</v>
      </c>
      <c r="J2168" t="s">
        <v>20</v>
      </c>
      <c r="K2168" t="str">
        <f t="shared" si="297"/>
        <v>01</v>
      </c>
      <c r="L2168" t="str">
        <f t="shared" si="298"/>
        <v>031</v>
      </c>
      <c r="M2168" t="str">
        <f t="shared" si="295"/>
        <v>0003</v>
      </c>
      <c r="N2168" t="str">
        <f t="shared" si="299"/>
        <v>2.042</v>
      </c>
      <c r="O2168" t="s">
        <v>931</v>
      </c>
      <c r="R2168" s="25">
        <v>1</v>
      </c>
      <c r="S2168" t="s">
        <v>27</v>
      </c>
    </row>
    <row r="2169" spans="1:19" x14ac:dyDescent="0.25">
      <c r="A2169" t="s">
        <v>2188</v>
      </c>
      <c r="B2169" t="s">
        <v>13</v>
      </c>
      <c r="C2169" t="s">
        <v>2188</v>
      </c>
      <c r="D2169" t="s">
        <v>2189</v>
      </c>
      <c r="E2169" t="s">
        <v>2190</v>
      </c>
      <c r="F2169" t="s">
        <v>2191</v>
      </c>
      <c r="G2169" t="s">
        <v>2193</v>
      </c>
      <c r="H2169" t="s">
        <v>1040</v>
      </c>
      <c r="I2169" t="s">
        <v>1034</v>
      </c>
      <c r="J2169" t="s">
        <v>20</v>
      </c>
      <c r="K2169" t="str">
        <f t="shared" si="297"/>
        <v>01</v>
      </c>
      <c r="L2169" t="str">
        <f t="shared" si="298"/>
        <v>031</v>
      </c>
      <c r="M2169" t="str">
        <f t="shared" si="295"/>
        <v>0003</v>
      </c>
      <c r="N2169" t="str">
        <f t="shared" si="299"/>
        <v>2.042</v>
      </c>
      <c r="O2169" t="str">
        <f>G2169</f>
        <v>3.3.90.37.00</v>
      </c>
      <c r="R2169" s="25">
        <v>1</v>
      </c>
      <c r="S2169" t="s">
        <v>27</v>
      </c>
    </row>
    <row r="2170" spans="1:19" x14ac:dyDescent="0.25">
      <c r="A2170" t="s">
        <v>2188</v>
      </c>
      <c r="B2170" t="s">
        <v>13</v>
      </c>
      <c r="C2170" t="s">
        <v>2188</v>
      </c>
      <c r="D2170" t="s">
        <v>2189</v>
      </c>
      <c r="E2170" t="s">
        <v>2190</v>
      </c>
      <c r="F2170" t="s">
        <v>2191</v>
      </c>
      <c r="G2170" t="s">
        <v>31</v>
      </c>
      <c r="H2170" t="s">
        <v>1041</v>
      </c>
      <c r="I2170" t="s">
        <v>1034</v>
      </c>
      <c r="J2170" t="s">
        <v>20</v>
      </c>
      <c r="K2170" t="str">
        <f t="shared" si="297"/>
        <v>01</v>
      </c>
      <c r="L2170" t="str">
        <f t="shared" si="298"/>
        <v>031</v>
      </c>
      <c r="M2170" t="str">
        <f t="shared" si="295"/>
        <v>0003</v>
      </c>
      <c r="N2170" t="str">
        <f t="shared" si="299"/>
        <v>2.042</v>
      </c>
      <c r="O2170" t="s">
        <v>32</v>
      </c>
      <c r="R2170" s="25">
        <v>35000000</v>
      </c>
      <c r="S2170" t="s">
        <v>27</v>
      </c>
    </row>
    <row r="2171" spans="1:19" x14ac:dyDescent="0.25">
      <c r="A2171" t="s">
        <v>2188</v>
      </c>
      <c r="B2171" t="s">
        <v>13</v>
      </c>
      <c r="C2171" t="s">
        <v>2188</v>
      </c>
      <c r="D2171" t="s">
        <v>2189</v>
      </c>
      <c r="E2171" t="s">
        <v>2190</v>
      </c>
      <c r="F2171" t="s">
        <v>2191</v>
      </c>
      <c r="G2171" t="s">
        <v>54</v>
      </c>
      <c r="H2171" t="s">
        <v>1042</v>
      </c>
      <c r="I2171" t="s">
        <v>1034</v>
      </c>
      <c r="J2171" t="s">
        <v>20</v>
      </c>
      <c r="K2171" t="str">
        <f t="shared" si="297"/>
        <v>01</v>
      </c>
      <c r="L2171" t="str">
        <f t="shared" si="298"/>
        <v>031</v>
      </c>
      <c r="M2171" t="str">
        <f t="shared" si="295"/>
        <v>0003</v>
      </c>
      <c r="N2171" t="str">
        <f t="shared" si="299"/>
        <v>2.042</v>
      </c>
      <c r="O2171" t="s">
        <v>60</v>
      </c>
      <c r="R2171" s="25">
        <v>5000000</v>
      </c>
      <c r="S2171" t="s">
        <v>27</v>
      </c>
    </row>
    <row r="2172" spans="1:19" x14ac:dyDescent="0.25">
      <c r="A2172" t="s">
        <v>2188</v>
      </c>
      <c r="B2172" t="s">
        <v>13</v>
      </c>
      <c r="C2172" t="s">
        <v>2188</v>
      </c>
      <c r="D2172" t="s">
        <v>2189</v>
      </c>
      <c r="E2172" t="s">
        <v>2190</v>
      </c>
      <c r="F2172" t="s">
        <v>2191</v>
      </c>
      <c r="G2172" t="s">
        <v>2194</v>
      </c>
      <c r="H2172" t="s">
        <v>1043</v>
      </c>
      <c r="I2172" t="s">
        <v>1034</v>
      </c>
      <c r="J2172" t="s">
        <v>20</v>
      </c>
      <c r="K2172" t="str">
        <f t="shared" si="297"/>
        <v>01</v>
      </c>
      <c r="L2172" t="str">
        <f t="shared" si="298"/>
        <v>031</v>
      </c>
      <c r="M2172" t="str">
        <f t="shared" si="295"/>
        <v>0003</v>
      </c>
      <c r="N2172" t="str">
        <f t="shared" si="299"/>
        <v>2.042</v>
      </c>
      <c r="O2172" t="str">
        <f>G2172</f>
        <v>3.3.90.47.00</v>
      </c>
      <c r="R2172" s="25">
        <v>1</v>
      </c>
      <c r="S2172" t="s">
        <v>27</v>
      </c>
    </row>
    <row r="2173" spans="1:19" x14ac:dyDescent="0.25">
      <c r="A2173" t="s">
        <v>2188</v>
      </c>
      <c r="B2173" t="s">
        <v>13</v>
      </c>
      <c r="C2173" t="s">
        <v>2188</v>
      </c>
      <c r="D2173" t="s">
        <v>2189</v>
      </c>
      <c r="E2173" t="s">
        <v>2190</v>
      </c>
      <c r="F2173" t="s">
        <v>2191</v>
      </c>
      <c r="G2173" t="s">
        <v>204</v>
      </c>
      <c r="H2173" t="s">
        <v>1044</v>
      </c>
      <c r="I2173" t="s">
        <v>1034</v>
      </c>
      <c r="J2173" t="s">
        <v>20</v>
      </c>
      <c r="K2173" t="str">
        <f t="shared" si="297"/>
        <v>01</v>
      </c>
      <c r="L2173" t="str">
        <f t="shared" si="298"/>
        <v>031</v>
      </c>
      <c r="M2173" t="str">
        <f t="shared" si="295"/>
        <v>0003</v>
      </c>
      <c r="N2173" t="str">
        <f t="shared" si="299"/>
        <v>2.042</v>
      </c>
      <c r="O2173" t="s">
        <v>205</v>
      </c>
      <c r="R2173" s="25">
        <v>189300</v>
      </c>
      <c r="S2173" t="s">
        <v>27</v>
      </c>
    </row>
    <row r="2174" spans="1:19" x14ac:dyDescent="0.25">
      <c r="A2174" t="s">
        <v>2188</v>
      </c>
      <c r="B2174" t="s">
        <v>13</v>
      </c>
      <c r="C2174" t="s">
        <v>2188</v>
      </c>
      <c r="D2174" t="s">
        <v>2189</v>
      </c>
      <c r="E2174" t="s">
        <v>2190</v>
      </c>
      <c r="F2174" t="s">
        <v>2191</v>
      </c>
      <c r="G2174" t="s">
        <v>118</v>
      </c>
      <c r="H2174" t="s">
        <v>1045</v>
      </c>
      <c r="I2174" t="s">
        <v>1034</v>
      </c>
      <c r="J2174" t="s">
        <v>20</v>
      </c>
      <c r="K2174" t="str">
        <f t="shared" si="297"/>
        <v>01</v>
      </c>
      <c r="L2174" t="str">
        <f t="shared" si="298"/>
        <v>031</v>
      </c>
      <c r="M2174" t="str">
        <f t="shared" si="295"/>
        <v>0003</v>
      </c>
      <c r="N2174" t="str">
        <f t="shared" si="299"/>
        <v>2.042</v>
      </c>
      <c r="O2174" t="s">
        <v>119</v>
      </c>
      <c r="R2174" s="25">
        <v>1</v>
      </c>
      <c r="S2174" t="s">
        <v>27</v>
      </c>
    </row>
    <row r="2175" spans="1:19" x14ac:dyDescent="0.25">
      <c r="A2175" t="s">
        <v>2188</v>
      </c>
      <c r="B2175" t="s">
        <v>13</v>
      </c>
      <c r="C2175" t="s">
        <v>2188</v>
      </c>
      <c r="D2175" t="s">
        <v>2189</v>
      </c>
      <c r="E2175" t="s">
        <v>2190</v>
      </c>
      <c r="F2175" t="s">
        <v>2191</v>
      </c>
      <c r="G2175" t="s">
        <v>69</v>
      </c>
      <c r="H2175" t="s">
        <v>1046</v>
      </c>
      <c r="I2175" t="s">
        <v>1034</v>
      </c>
      <c r="J2175" t="s">
        <v>20</v>
      </c>
      <c r="K2175" t="str">
        <f t="shared" si="297"/>
        <v>01</v>
      </c>
      <c r="L2175" t="str">
        <f t="shared" si="298"/>
        <v>031</v>
      </c>
      <c r="M2175" t="str">
        <f t="shared" si="295"/>
        <v>0003</v>
      </c>
      <c r="N2175" t="str">
        <f t="shared" si="299"/>
        <v>2.042</v>
      </c>
      <c r="O2175" t="s">
        <v>70</v>
      </c>
      <c r="R2175" s="25">
        <v>1</v>
      </c>
      <c r="S2175" t="s">
        <v>27</v>
      </c>
    </row>
    <row r="2176" spans="1:19" x14ac:dyDescent="0.25">
      <c r="A2176" t="s">
        <v>2188</v>
      </c>
      <c r="B2176" t="s">
        <v>13</v>
      </c>
      <c r="C2176" t="s">
        <v>2188</v>
      </c>
      <c r="D2176" t="s">
        <v>2189</v>
      </c>
      <c r="E2176" t="s">
        <v>2190</v>
      </c>
      <c r="F2176" t="s">
        <v>2191</v>
      </c>
      <c r="G2176" t="s">
        <v>40</v>
      </c>
      <c r="H2176" t="s">
        <v>1047</v>
      </c>
      <c r="I2176" t="s">
        <v>1034</v>
      </c>
      <c r="J2176" t="s">
        <v>20</v>
      </c>
      <c r="K2176" t="str">
        <f t="shared" si="297"/>
        <v>01</v>
      </c>
      <c r="L2176" t="str">
        <f t="shared" si="298"/>
        <v>031</v>
      </c>
      <c r="M2176" t="str">
        <f t="shared" si="295"/>
        <v>0003</v>
      </c>
      <c r="N2176" t="str">
        <f t="shared" si="299"/>
        <v>2.042</v>
      </c>
      <c r="O2176" t="s">
        <v>41</v>
      </c>
      <c r="R2176" s="25">
        <v>2100000</v>
      </c>
      <c r="S2176" t="s">
        <v>27</v>
      </c>
    </row>
    <row r="2177" spans="1:19" x14ac:dyDescent="0.25">
      <c r="A2177" t="s">
        <v>2188</v>
      </c>
      <c r="B2177" t="s">
        <v>13</v>
      </c>
      <c r="C2177" t="s">
        <v>2188</v>
      </c>
      <c r="D2177" t="s">
        <v>2189</v>
      </c>
      <c r="E2177" t="s">
        <v>2190</v>
      </c>
      <c r="F2177" t="s">
        <v>2191</v>
      </c>
      <c r="G2177" t="s">
        <v>2195</v>
      </c>
      <c r="H2177" t="s">
        <v>1048</v>
      </c>
      <c r="I2177" t="s">
        <v>1034</v>
      </c>
      <c r="J2177" t="s">
        <v>20</v>
      </c>
      <c r="K2177" t="str">
        <f t="shared" si="297"/>
        <v>01</v>
      </c>
      <c r="L2177" t="str">
        <f t="shared" si="298"/>
        <v>031</v>
      </c>
      <c r="M2177" t="str">
        <f t="shared" si="295"/>
        <v>0003</v>
      </c>
      <c r="N2177" t="str">
        <f t="shared" si="299"/>
        <v>2.042</v>
      </c>
      <c r="O2177" t="str">
        <f>G2177</f>
        <v>4.4.90.92.00</v>
      </c>
      <c r="R2177" s="25">
        <v>1</v>
      </c>
      <c r="S2177" t="s">
        <v>27</v>
      </c>
    </row>
    <row r="2178" spans="1:19" x14ac:dyDescent="0.25">
      <c r="A2178" t="s">
        <v>2188</v>
      </c>
      <c r="B2178" t="s">
        <v>13</v>
      </c>
      <c r="C2178" t="s">
        <v>2188</v>
      </c>
      <c r="D2178" t="s">
        <v>2189</v>
      </c>
      <c r="E2178" t="s">
        <v>2190</v>
      </c>
      <c r="F2178" t="s">
        <v>177</v>
      </c>
      <c r="G2178" t="s">
        <v>31</v>
      </c>
      <c r="H2178" t="s">
        <v>1756</v>
      </c>
      <c r="I2178" t="s">
        <v>1034</v>
      </c>
      <c r="J2178" t="s">
        <v>20</v>
      </c>
      <c r="K2178" t="str">
        <f t="shared" si="297"/>
        <v>01</v>
      </c>
      <c r="L2178" t="str">
        <f t="shared" si="298"/>
        <v>031</v>
      </c>
      <c r="M2178" t="str">
        <f t="shared" si="295"/>
        <v>0003</v>
      </c>
      <c r="N2178" t="s">
        <v>179</v>
      </c>
      <c r="O2178" t="s">
        <v>32</v>
      </c>
      <c r="R2178" s="25">
        <v>2000000</v>
      </c>
      <c r="S2178" t="s">
        <v>27</v>
      </c>
    </row>
    <row r="2179" spans="1:19" x14ac:dyDescent="0.25">
      <c r="A2179" t="s">
        <v>2188</v>
      </c>
      <c r="B2179" t="s">
        <v>13</v>
      </c>
      <c r="C2179" t="s">
        <v>2188</v>
      </c>
      <c r="D2179" t="s">
        <v>2189</v>
      </c>
      <c r="E2179" t="s">
        <v>2190</v>
      </c>
      <c r="F2179" t="s">
        <v>177</v>
      </c>
      <c r="G2179" t="s">
        <v>118</v>
      </c>
      <c r="H2179" t="s">
        <v>1757</v>
      </c>
      <c r="I2179" t="s">
        <v>1034</v>
      </c>
      <c r="J2179" t="s">
        <v>20</v>
      </c>
      <c r="K2179" t="str">
        <f t="shared" si="297"/>
        <v>01</v>
      </c>
      <c r="L2179" t="str">
        <f t="shared" si="298"/>
        <v>031</v>
      </c>
      <c r="M2179" t="str">
        <f t="shared" si="295"/>
        <v>0003</v>
      </c>
      <c r="N2179" t="s">
        <v>179</v>
      </c>
      <c r="O2179" t="s">
        <v>119</v>
      </c>
      <c r="R2179" s="25">
        <v>1</v>
      </c>
      <c r="S2179" t="s">
        <v>27</v>
      </c>
    </row>
    <row r="2180" spans="1:19" x14ac:dyDescent="0.25">
      <c r="A2180" t="s">
        <v>2188</v>
      </c>
      <c r="B2180" t="s">
        <v>13</v>
      </c>
      <c r="C2180" t="s">
        <v>2188</v>
      </c>
      <c r="D2180" t="s">
        <v>2189</v>
      </c>
      <c r="E2180" t="s">
        <v>2190</v>
      </c>
      <c r="F2180" t="s">
        <v>177</v>
      </c>
      <c r="G2180" t="s">
        <v>69</v>
      </c>
      <c r="H2180" t="s">
        <v>1758</v>
      </c>
      <c r="I2180" t="s">
        <v>1034</v>
      </c>
      <c r="J2180" t="s">
        <v>20</v>
      </c>
      <c r="K2180" t="str">
        <f t="shared" si="297"/>
        <v>01</v>
      </c>
      <c r="L2180" t="str">
        <f t="shared" si="298"/>
        <v>031</v>
      </c>
      <c r="M2180" t="str">
        <f t="shared" si="295"/>
        <v>0003</v>
      </c>
      <c r="N2180" t="s">
        <v>179</v>
      </c>
      <c r="O2180" t="s">
        <v>70</v>
      </c>
      <c r="R2180" s="25">
        <v>1</v>
      </c>
      <c r="S2180" t="s">
        <v>27</v>
      </c>
    </row>
    <row r="2181" spans="1:19" x14ac:dyDescent="0.25">
      <c r="A2181" t="s">
        <v>2188</v>
      </c>
      <c r="B2181" t="s">
        <v>13</v>
      </c>
      <c r="C2181" t="s">
        <v>2188</v>
      </c>
      <c r="D2181" t="s">
        <v>2189</v>
      </c>
      <c r="E2181" t="s">
        <v>2190</v>
      </c>
      <c r="F2181" t="s">
        <v>177</v>
      </c>
      <c r="G2181" t="s">
        <v>178</v>
      </c>
      <c r="H2181" t="s">
        <v>1759</v>
      </c>
      <c r="I2181" t="s">
        <v>1034</v>
      </c>
      <c r="J2181" t="s">
        <v>20</v>
      </c>
      <c r="K2181" t="str">
        <f t="shared" si="297"/>
        <v>01</v>
      </c>
      <c r="L2181" t="str">
        <f t="shared" si="298"/>
        <v>031</v>
      </c>
      <c r="M2181" t="str">
        <f t="shared" si="295"/>
        <v>0003</v>
      </c>
      <c r="N2181" t="s">
        <v>179</v>
      </c>
      <c r="O2181" t="s">
        <v>180</v>
      </c>
      <c r="R2181" s="25">
        <v>1000000</v>
      </c>
      <c r="S2181" t="s">
        <v>27</v>
      </c>
    </row>
    <row r="2182" spans="1:19" x14ac:dyDescent="0.25">
      <c r="A2182" t="s">
        <v>2188</v>
      </c>
      <c r="B2182" t="s">
        <v>13</v>
      </c>
      <c r="C2182" t="s">
        <v>2188</v>
      </c>
      <c r="D2182" t="s">
        <v>2189</v>
      </c>
      <c r="E2182" t="s">
        <v>2190</v>
      </c>
      <c r="F2182" t="s">
        <v>177</v>
      </c>
      <c r="G2182" t="s">
        <v>80</v>
      </c>
      <c r="H2182" t="s">
        <v>1760</v>
      </c>
      <c r="I2182" t="s">
        <v>1034</v>
      </c>
      <c r="J2182" t="s">
        <v>20</v>
      </c>
      <c r="K2182" t="str">
        <f t="shared" si="297"/>
        <v>01</v>
      </c>
      <c r="L2182" t="str">
        <f t="shared" si="298"/>
        <v>031</v>
      </c>
      <c r="M2182" t="str">
        <f t="shared" si="295"/>
        <v>0003</v>
      </c>
      <c r="N2182" t="s">
        <v>179</v>
      </c>
      <c r="O2182" t="s">
        <v>81</v>
      </c>
      <c r="R2182" s="25">
        <v>3500000</v>
      </c>
      <c r="S2182" t="s">
        <v>27</v>
      </c>
    </row>
    <row r="2183" spans="1:19" x14ac:dyDescent="0.25">
      <c r="A2183" t="s">
        <v>2188</v>
      </c>
      <c r="B2183" t="s">
        <v>13</v>
      </c>
      <c r="C2183" t="s">
        <v>2188</v>
      </c>
      <c r="D2183" t="s">
        <v>2189</v>
      </c>
      <c r="E2183" t="s">
        <v>2190</v>
      </c>
      <c r="F2183" t="s">
        <v>177</v>
      </c>
      <c r="G2183" t="s">
        <v>2195</v>
      </c>
      <c r="H2183" t="s">
        <v>1761</v>
      </c>
      <c r="I2183" t="s">
        <v>1034</v>
      </c>
      <c r="J2183" t="s">
        <v>20</v>
      </c>
      <c r="K2183" t="str">
        <f t="shared" si="297"/>
        <v>01</v>
      </c>
      <c r="L2183" t="str">
        <f t="shared" si="298"/>
        <v>031</v>
      </c>
      <c r="M2183" t="str">
        <f t="shared" si="295"/>
        <v>0003</v>
      </c>
      <c r="N2183" t="s">
        <v>179</v>
      </c>
      <c r="O2183" t="str">
        <f t="shared" ref="O2183:O2193" si="300">G2183</f>
        <v>4.4.90.92.00</v>
      </c>
      <c r="R2183" s="25">
        <v>1</v>
      </c>
      <c r="S2183" t="s">
        <v>27</v>
      </c>
    </row>
    <row r="2184" spans="1:19" x14ac:dyDescent="0.25">
      <c r="A2184" t="s">
        <v>2188</v>
      </c>
      <c r="B2184" t="s">
        <v>13</v>
      </c>
      <c r="C2184" t="s">
        <v>2188</v>
      </c>
      <c r="D2184" t="s">
        <v>15</v>
      </c>
      <c r="E2184" t="s">
        <v>2190</v>
      </c>
      <c r="F2184" t="s">
        <v>182</v>
      </c>
      <c r="G2184" t="s">
        <v>2196</v>
      </c>
      <c r="H2184" t="s">
        <v>1762</v>
      </c>
      <c r="I2184" t="s">
        <v>1034</v>
      </c>
      <c r="J2184" t="s">
        <v>20</v>
      </c>
      <c r="K2184" t="str">
        <f t="shared" si="297"/>
        <v>01</v>
      </c>
      <c r="L2184" t="str">
        <f t="shared" si="298"/>
        <v>122</v>
      </c>
      <c r="M2184" t="str">
        <f t="shared" si="295"/>
        <v>0003</v>
      </c>
      <c r="N2184" t="s">
        <v>183</v>
      </c>
      <c r="O2184" t="str">
        <f t="shared" si="300"/>
        <v>3.1.90.11.00</v>
      </c>
      <c r="R2184" s="25">
        <v>72722107</v>
      </c>
      <c r="S2184" t="s">
        <v>27</v>
      </c>
    </row>
    <row r="2185" spans="1:19" x14ac:dyDescent="0.25">
      <c r="A2185" t="s">
        <v>2188</v>
      </c>
      <c r="B2185" t="s">
        <v>13</v>
      </c>
      <c r="C2185" t="s">
        <v>2188</v>
      </c>
      <c r="D2185" t="s">
        <v>15</v>
      </c>
      <c r="E2185" t="s">
        <v>2190</v>
      </c>
      <c r="F2185" t="s">
        <v>182</v>
      </c>
      <c r="G2185" t="s">
        <v>2197</v>
      </c>
      <c r="H2185" t="s">
        <v>1763</v>
      </c>
      <c r="I2185" t="s">
        <v>1034</v>
      </c>
      <c r="J2185" t="s">
        <v>20</v>
      </c>
      <c r="K2185" t="str">
        <f t="shared" si="297"/>
        <v>01</v>
      </c>
      <c r="L2185" t="str">
        <f t="shared" si="298"/>
        <v>122</v>
      </c>
      <c r="M2185" t="str">
        <f t="shared" si="295"/>
        <v>0003</v>
      </c>
      <c r="N2185" t="s">
        <v>183</v>
      </c>
      <c r="O2185" t="str">
        <f t="shared" si="300"/>
        <v>3.1.90.13.00</v>
      </c>
      <c r="R2185" s="25">
        <v>8654868</v>
      </c>
      <c r="S2185" t="s">
        <v>27</v>
      </c>
    </row>
    <row r="2186" spans="1:19" x14ac:dyDescent="0.25">
      <c r="A2186" t="s">
        <v>2188</v>
      </c>
      <c r="B2186" t="s">
        <v>13</v>
      </c>
      <c r="C2186" t="s">
        <v>2188</v>
      </c>
      <c r="D2186" t="s">
        <v>15</v>
      </c>
      <c r="E2186" t="s">
        <v>2190</v>
      </c>
      <c r="F2186" t="s">
        <v>182</v>
      </c>
      <c r="G2186" t="s">
        <v>2198</v>
      </c>
      <c r="H2186" t="s">
        <v>1764</v>
      </c>
      <c r="I2186" t="s">
        <v>1034</v>
      </c>
      <c r="J2186" t="s">
        <v>20</v>
      </c>
      <c r="K2186" t="str">
        <f t="shared" si="297"/>
        <v>01</v>
      </c>
      <c r="L2186" t="str">
        <f t="shared" si="298"/>
        <v>122</v>
      </c>
      <c r="M2186" t="str">
        <f t="shared" si="295"/>
        <v>0003</v>
      </c>
      <c r="N2186" t="s">
        <v>183</v>
      </c>
      <c r="O2186" t="str">
        <f t="shared" si="300"/>
        <v>3.1.90.16.00</v>
      </c>
      <c r="R2186" s="25">
        <v>1</v>
      </c>
      <c r="S2186" t="s">
        <v>27</v>
      </c>
    </row>
    <row r="2187" spans="1:19" x14ac:dyDescent="0.25">
      <c r="A2187" t="s">
        <v>2188</v>
      </c>
      <c r="B2187" t="s">
        <v>13</v>
      </c>
      <c r="C2187" t="s">
        <v>2188</v>
      </c>
      <c r="D2187" t="s">
        <v>15</v>
      </c>
      <c r="E2187" t="s">
        <v>2190</v>
      </c>
      <c r="F2187" t="s">
        <v>182</v>
      </c>
      <c r="G2187" t="s">
        <v>2199</v>
      </c>
      <c r="H2187" t="s">
        <v>1765</v>
      </c>
      <c r="I2187" t="s">
        <v>1034</v>
      </c>
      <c r="J2187" t="s">
        <v>20</v>
      </c>
      <c r="K2187" t="str">
        <f t="shared" si="297"/>
        <v>01</v>
      </c>
      <c r="L2187" t="str">
        <f t="shared" si="298"/>
        <v>122</v>
      </c>
      <c r="M2187" t="str">
        <f t="shared" si="295"/>
        <v>0003</v>
      </c>
      <c r="N2187" t="s">
        <v>183</v>
      </c>
      <c r="O2187" t="str">
        <f t="shared" si="300"/>
        <v>3.1.90.91.00</v>
      </c>
      <c r="R2187" s="25">
        <v>1</v>
      </c>
      <c r="S2187" t="s">
        <v>27</v>
      </c>
    </row>
    <row r="2188" spans="1:19" x14ac:dyDescent="0.25">
      <c r="A2188" t="s">
        <v>2188</v>
      </c>
      <c r="B2188" t="s">
        <v>13</v>
      </c>
      <c r="C2188" t="s">
        <v>2188</v>
      </c>
      <c r="D2188" t="s">
        <v>15</v>
      </c>
      <c r="E2188" t="s">
        <v>2190</v>
      </c>
      <c r="F2188" t="s">
        <v>182</v>
      </c>
      <c r="G2188" t="s">
        <v>2200</v>
      </c>
      <c r="H2188" t="s">
        <v>1766</v>
      </c>
      <c r="I2188" t="s">
        <v>1034</v>
      </c>
      <c r="J2188" t="s">
        <v>20</v>
      </c>
      <c r="K2188" t="str">
        <f t="shared" si="297"/>
        <v>01</v>
      </c>
      <c r="L2188" t="str">
        <f t="shared" si="298"/>
        <v>122</v>
      </c>
      <c r="M2188" t="str">
        <f t="shared" si="295"/>
        <v>0003</v>
      </c>
      <c r="N2188" t="s">
        <v>183</v>
      </c>
      <c r="O2188" t="str">
        <f t="shared" si="300"/>
        <v>3.1.90.92.00</v>
      </c>
      <c r="R2188" s="25">
        <v>1</v>
      </c>
      <c r="S2188" t="s">
        <v>27</v>
      </c>
    </row>
    <row r="2189" spans="1:19" x14ac:dyDescent="0.25">
      <c r="A2189" t="s">
        <v>2188</v>
      </c>
      <c r="B2189" t="s">
        <v>13</v>
      </c>
      <c r="C2189" t="s">
        <v>2188</v>
      </c>
      <c r="D2189" t="s">
        <v>15</v>
      </c>
      <c r="E2189" t="s">
        <v>2190</v>
      </c>
      <c r="F2189" t="s">
        <v>182</v>
      </c>
      <c r="G2189" t="s">
        <v>2201</v>
      </c>
      <c r="H2189" t="s">
        <v>1767</v>
      </c>
      <c r="I2189" t="s">
        <v>1034</v>
      </c>
      <c r="J2189" t="s">
        <v>20</v>
      </c>
      <c r="K2189" t="str">
        <f t="shared" si="297"/>
        <v>01</v>
      </c>
      <c r="L2189" t="str">
        <f t="shared" si="298"/>
        <v>122</v>
      </c>
      <c r="M2189" t="str">
        <f t="shared" si="295"/>
        <v>0003</v>
      </c>
      <c r="N2189" t="s">
        <v>183</v>
      </c>
      <c r="O2189" t="str">
        <f t="shared" si="300"/>
        <v>3.1.90.94.00</v>
      </c>
      <c r="R2189" s="25">
        <v>1</v>
      </c>
      <c r="S2189" t="s">
        <v>27</v>
      </c>
    </row>
    <row r="2190" spans="1:19" x14ac:dyDescent="0.25">
      <c r="A2190" t="s">
        <v>2188</v>
      </c>
      <c r="B2190" t="s">
        <v>13</v>
      </c>
      <c r="C2190" t="s">
        <v>2188</v>
      </c>
      <c r="D2190" t="s">
        <v>15</v>
      </c>
      <c r="E2190" t="s">
        <v>2190</v>
      </c>
      <c r="F2190" t="s">
        <v>182</v>
      </c>
      <c r="G2190" t="s">
        <v>2202</v>
      </c>
      <c r="H2190" t="s">
        <v>1768</v>
      </c>
      <c r="I2190" t="s">
        <v>1034</v>
      </c>
      <c r="J2190" t="s">
        <v>20</v>
      </c>
      <c r="K2190" t="str">
        <f t="shared" si="297"/>
        <v>01</v>
      </c>
      <c r="L2190" t="str">
        <f t="shared" si="298"/>
        <v>122</v>
      </c>
      <c r="M2190" t="str">
        <f t="shared" si="295"/>
        <v>0003</v>
      </c>
      <c r="N2190" t="s">
        <v>183</v>
      </c>
      <c r="O2190" t="str">
        <f t="shared" si="300"/>
        <v>3.1.90.96.00</v>
      </c>
      <c r="R2190" s="25">
        <v>1</v>
      </c>
      <c r="S2190" t="s">
        <v>27</v>
      </c>
    </row>
    <row r="2191" spans="1:19" x14ac:dyDescent="0.25">
      <c r="A2191" t="s">
        <v>2188</v>
      </c>
      <c r="B2191" t="s">
        <v>13</v>
      </c>
      <c r="C2191" t="s">
        <v>2188</v>
      </c>
      <c r="D2191" t="s">
        <v>15</v>
      </c>
      <c r="E2191" t="s">
        <v>2190</v>
      </c>
      <c r="F2191" t="s">
        <v>182</v>
      </c>
      <c r="G2191" t="s">
        <v>2203</v>
      </c>
      <c r="H2191" t="s">
        <v>1769</v>
      </c>
      <c r="I2191" t="s">
        <v>1034</v>
      </c>
      <c r="J2191" t="s">
        <v>20</v>
      </c>
      <c r="K2191" t="str">
        <f t="shared" si="297"/>
        <v>01</v>
      </c>
      <c r="L2191" t="str">
        <f t="shared" si="298"/>
        <v>122</v>
      </c>
      <c r="M2191" t="str">
        <f t="shared" si="295"/>
        <v>0003</v>
      </c>
      <c r="N2191" t="s">
        <v>183</v>
      </c>
      <c r="O2191" t="str">
        <f t="shared" si="300"/>
        <v>3.1.91.13.00</v>
      </c>
      <c r="R2191" s="25">
        <v>4840368</v>
      </c>
      <c r="S2191" t="s">
        <v>27</v>
      </c>
    </row>
    <row r="2192" spans="1:19" x14ac:dyDescent="0.25">
      <c r="A2192" t="s">
        <v>2188</v>
      </c>
      <c r="B2192" t="s">
        <v>13</v>
      </c>
      <c r="C2192" t="s">
        <v>2188</v>
      </c>
      <c r="D2192" t="s">
        <v>15</v>
      </c>
      <c r="E2192" t="s">
        <v>2190</v>
      </c>
      <c r="F2192" t="s">
        <v>182</v>
      </c>
      <c r="G2192" t="s">
        <v>2204</v>
      </c>
      <c r="H2192" t="s">
        <v>1770</v>
      </c>
      <c r="I2192" t="s">
        <v>1034</v>
      </c>
      <c r="J2192" t="s">
        <v>20</v>
      </c>
      <c r="K2192" t="str">
        <f t="shared" si="297"/>
        <v>01</v>
      </c>
      <c r="L2192" t="str">
        <f t="shared" si="298"/>
        <v>122</v>
      </c>
      <c r="M2192" t="str">
        <f t="shared" si="295"/>
        <v>0003</v>
      </c>
      <c r="N2192" t="s">
        <v>183</v>
      </c>
      <c r="O2192" t="str">
        <f t="shared" si="300"/>
        <v>3.1.91.92.00</v>
      </c>
      <c r="R2192" s="25">
        <v>1050</v>
      </c>
      <c r="S2192" t="s">
        <v>27</v>
      </c>
    </row>
    <row r="2193" spans="1:19" x14ac:dyDescent="0.25">
      <c r="A2193" t="s">
        <v>2188</v>
      </c>
      <c r="B2193" t="s">
        <v>13</v>
      </c>
      <c r="C2193" t="s">
        <v>2188</v>
      </c>
      <c r="D2193" t="s">
        <v>15</v>
      </c>
      <c r="E2193" t="s">
        <v>2190</v>
      </c>
      <c r="F2193" t="s">
        <v>182</v>
      </c>
      <c r="G2193" t="s">
        <v>2205</v>
      </c>
      <c r="H2193" t="s">
        <v>1771</v>
      </c>
      <c r="I2193" t="s">
        <v>1034</v>
      </c>
      <c r="J2193" t="s">
        <v>20</v>
      </c>
      <c r="K2193" t="str">
        <f t="shared" si="297"/>
        <v>01</v>
      </c>
      <c r="L2193" t="str">
        <f t="shared" si="298"/>
        <v>122</v>
      </c>
      <c r="M2193" t="str">
        <f t="shared" si="295"/>
        <v>0003</v>
      </c>
      <c r="N2193" t="s">
        <v>183</v>
      </c>
      <c r="O2193" t="str">
        <f t="shared" si="300"/>
        <v>3.3.90.08.00</v>
      </c>
      <c r="R2193" s="25">
        <v>7002773</v>
      </c>
      <c r="S2193" t="s">
        <v>27</v>
      </c>
    </row>
    <row r="2194" spans="1:19" x14ac:dyDescent="0.25">
      <c r="A2194" t="s">
        <v>2188</v>
      </c>
      <c r="B2194" t="s">
        <v>13</v>
      </c>
      <c r="C2194" t="s">
        <v>2188</v>
      </c>
      <c r="D2194" t="s">
        <v>15</v>
      </c>
      <c r="E2194" t="s">
        <v>2190</v>
      </c>
      <c r="F2194" t="s">
        <v>182</v>
      </c>
      <c r="G2194" t="s">
        <v>31</v>
      </c>
      <c r="H2194" t="s">
        <v>1772</v>
      </c>
      <c r="I2194" t="s">
        <v>1034</v>
      </c>
      <c r="J2194" t="s">
        <v>20</v>
      </c>
      <c r="K2194" t="str">
        <f t="shared" si="297"/>
        <v>01</v>
      </c>
      <c r="L2194" t="str">
        <f t="shared" si="298"/>
        <v>122</v>
      </c>
      <c r="M2194" t="str">
        <f t="shared" si="295"/>
        <v>0003</v>
      </c>
      <c r="N2194" t="s">
        <v>183</v>
      </c>
      <c r="O2194" t="s">
        <v>32</v>
      </c>
      <c r="R2194" s="25">
        <v>1</v>
      </c>
      <c r="S2194" t="s">
        <v>27</v>
      </c>
    </row>
    <row r="2195" spans="1:19" x14ac:dyDescent="0.25">
      <c r="A2195" t="s">
        <v>2188</v>
      </c>
      <c r="B2195" t="s">
        <v>13</v>
      </c>
      <c r="C2195" t="s">
        <v>2188</v>
      </c>
      <c r="D2195" t="s">
        <v>15</v>
      </c>
      <c r="E2195" t="s">
        <v>2190</v>
      </c>
      <c r="F2195" t="s">
        <v>182</v>
      </c>
      <c r="G2195" t="s">
        <v>2206</v>
      </c>
      <c r="H2195" t="s">
        <v>1773</v>
      </c>
      <c r="I2195" t="s">
        <v>1034</v>
      </c>
      <c r="J2195" t="s">
        <v>20</v>
      </c>
      <c r="K2195" t="str">
        <f t="shared" si="297"/>
        <v>01</v>
      </c>
      <c r="L2195" t="str">
        <f t="shared" si="298"/>
        <v>122</v>
      </c>
      <c r="M2195" t="str">
        <f t="shared" si="295"/>
        <v>0003</v>
      </c>
      <c r="N2195" t="s">
        <v>183</v>
      </c>
      <c r="O2195" t="str">
        <f>G2195</f>
        <v>3.3.90.46.00</v>
      </c>
      <c r="R2195" s="25">
        <v>4480278</v>
      </c>
      <c r="S2195" t="s">
        <v>27</v>
      </c>
    </row>
    <row r="2196" spans="1:19" x14ac:dyDescent="0.25">
      <c r="A2196" t="s">
        <v>2188</v>
      </c>
      <c r="B2196" t="s">
        <v>13</v>
      </c>
      <c r="C2196" t="s">
        <v>2188</v>
      </c>
      <c r="D2196" t="s">
        <v>15</v>
      </c>
      <c r="E2196" t="s">
        <v>2190</v>
      </c>
      <c r="F2196" t="s">
        <v>182</v>
      </c>
      <c r="G2196" t="s">
        <v>2194</v>
      </c>
      <c r="H2196" t="s">
        <v>1774</v>
      </c>
      <c r="I2196" t="s">
        <v>1034</v>
      </c>
      <c r="J2196" t="s">
        <v>20</v>
      </c>
      <c r="K2196" t="str">
        <f t="shared" si="297"/>
        <v>01</v>
      </c>
      <c r="L2196" t="str">
        <f t="shared" si="298"/>
        <v>122</v>
      </c>
      <c r="M2196" t="str">
        <f t="shared" si="295"/>
        <v>0003</v>
      </c>
      <c r="N2196" t="s">
        <v>183</v>
      </c>
      <c r="O2196" t="str">
        <f>G2196</f>
        <v>3.3.90.47.00</v>
      </c>
      <c r="R2196" s="25">
        <v>1</v>
      </c>
      <c r="S2196" t="s">
        <v>27</v>
      </c>
    </row>
    <row r="2197" spans="1:19" x14ac:dyDescent="0.25">
      <c r="A2197" t="s">
        <v>2188</v>
      </c>
      <c r="B2197" t="s">
        <v>13</v>
      </c>
      <c r="C2197" t="s">
        <v>2188</v>
      </c>
      <c r="D2197" t="s">
        <v>15</v>
      </c>
      <c r="E2197" t="s">
        <v>2190</v>
      </c>
      <c r="F2197" t="s">
        <v>182</v>
      </c>
      <c r="G2197" t="s">
        <v>2207</v>
      </c>
      <c r="H2197" t="s">
        <v>1775</v>
      </c>
      <c r="I2197" t="s">
        <v>1034</v>
      </c>
      <c r="J2197" t="s">
        <v>20</v>
      </c>
      <c r="K2197" t="str">
        <f t="shared" si="297"/>
        <v>01</v>
      </c>
      <c r="L2197" t="str">
        <f t="shared" si="298"/>
        <v>122</v>
      </c>
      <c r="M2197" t="str">
        <f t="shared" si="295"/>
        <v>0003</v>
      </c>
      <c r="N2197" t="s">
        <v>183</v>
      </c>
      <c r="O2197" t="str">
        <f>G2197</f>
        <v>3.3.90.49.00</v>
      </c>
      <c r="R2197" s="25">
        <v>1</v>
      </c>
      <c r="S2197" t="s">
        <v>27</v>
      </c>
    </row>
    <row r="2198" spans="1:19" x14ac:dyDescent="0.25">
      <c r="A2198" t="s">
        <v>2188</v>
      </c>
      <c r="B2198" t="s">
        <v>13</v>
      </c>
      <c r="C2198" t="s">
        <v>2188</v>
      </c>
      <c r="D2198" t="s">
        <v>15</v>
      </c>
      <c r="E2198" t="s">
        <v>2190</v>
      </c>
      <c r="F2198" t="s">
        <v>182</v>
      </c>
      <c r="G2198" t="s">
        <v>118</v>
      </c>
      <c r="H2198" t="s">
        <v>1776</v>
      </c>
      <c r="I2198" t="s">
        <v>1034</v>
      </c>
      <c r="J2198" t="s">
        <v>20</v>
      </c>
      <c r="K2198" t="str">
        <f t="shared" si="297"/>
        <v>01</v>
      </c>
      <c r="L2198" t="str">
        <f t="shared" si="298"/>
        <v>122</v>
      </c>
      <c r="M2198" t="str">
        <f t="shared" si="295"/>
        <v>0003</v>
      </c>
      <c r="N2198" t="s">
        <v>183</v>
      </c>
      <c r="O2198" t="s">
        <v>119</v>
      </c>
      <c r="R2198" s="25">
        <v>1</v>
      </c>
      <c r="S2198" t="s">
        <v>27</v>
      </c>
    </row>
    <row r="2199" spans="1:19" x14ac:dyDescent="0.25">
      <c r="A2199" t="s">
        <v>2208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2193</v>
      </c>
      <c r="H2199" t="s">
        <v>1453</v>
      </c>
      <c r="I2199" t="s">
        <v>1454</v>
      </c>
      <c r="J2199" t="s">
        <v>20</v>
      </c>
      <c r="K2199" t="s">
        <v>21</v>
      </c>
      <c r="L2199" t="s">
        <v>22</v>
      </c>
      <c r="M2199" t="s">
        <v>23</v>
      </c>
      <c r="N2199" t="s">
        <v>24</v>
      </c>
      <c r="O2199" t="str">
        <f>G2199</f>
        <v>3.3.90.37.00</v>
      </c>
      <c r="R2199" s="25">
        <v>1760000</v>
      </c>
      <c r="S2199" t="s">
        <v>27</v>
      </c>
    </row>
    <row r="2200" spans="1:19" x14ac:dyDescent="0.25">
      <c r="A2200" t="s">
        <v>2208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2209</v>
      </c>
      <c r="H2200" t="s">
        <v>1455</v>
      </c>
      <c r="I2200" t="s">
        <v>1454</v>
      </c>
      <c r="J2200" t="s">
        <v>20</v>
      </c>
      <c r="K2200" t="s">
        <v>21</v>
      </c>
      <c r="L2200" t="s">
        <v>22</v>
      </c>
      <c r="M2200" t="s">
        <v>23</v>
      </c>
      <c r="N2200" t="s">
        <v>24</v>
      </c>
      <c r="O2200" t="str">
        <f>G2200</f>
        <v>4.4.90.93.00</v>
      </c>
      <c r="R2200" s="25">
        <v>1505396</v>
      </c>
      <c r="S2200" t="s">
        <v>27</v>
      </c>
    </row>
    <row r="2201" spans="1:19" x14ac:dyDescent="0.25">
      <c r="A2201" t="s">
        <v>2208</v>
      </c>
      <c r="B2201" t="s">
        <v>13</v>
      </c>
      <c r="C2201" t="s">
        <v>14</v>
      </c>
      <c r="D2201" t="s">
        <v>51</v>
      </c>
      <c r="E2201" t="s">
        <v>52</v>
      </c>
      <c r="F2201" t="s">
        <v>53</v>
      </c>
      <c r="G2201" t="s">
        <v>54</v>
      </c>
      <c r="H2201" t="s">
        <v>1456</v>
      </c>
      <c r="I2201" t="s">
        <v>1454</v>
      </c>
      <c r="J2201" t="s">
        <v>20</v>
      </c>
      <c r="K2201" t="s">
        <v>21</v>
      </c>
      <c r="L2201" t="s">
        <v>57</v>
      </c>
      <c r="M2201" t="s">
        <v>58</v>
      </c>
      <c r="N2201" t="s">
        <v>59</v>
      </c>
      <c r="O2201" t="s">
        <v>60</v>
      </c>
      <c r="R2201" s="25">
        <v>141204</v>
      </c>
      <c r="S2201" t="s">
        <v>27</v>
      </c>
    </row>
    <row r="2202" spans="1:19" x14ac:dyDescent="0.25">
      <c r="A2202" t="s">
        <v>2208</v>
      </c>
      <c r="B2202" t="s">
        <v>13</v>
      </c>
      <c r="C2202" t="s">
        <v>14</v>
      </c>
      <c r="D2202" t="s">
        <v>121</v>
      </c>
      <c r="E2202" t="s">
        <v>16</v>
      </c>
      <c r="F2202" t="s">
        <v>201</v>
      </c>
      <c r="G2202" t="s">
        <v>131</v>
      </c>
      <c r="H2202" t="s">
        <v>1457</v>
      </c>
      <c r="I2202" t="s">
        <v>1454</v>
      </c>
      <c r="J2202" t="s">
        <v>20</v>
      </c>
      <c r="K2202" t="s">
        <v>21</v>
      </c>
      <c r="L2202" t="s">
        <v>124</v>
      </c>
      <c r="M2202" t="s">
        <v>23</v>
      </c>
      <c r="N2202" t="s">
        <v>202</v>
      </c>
      <c r="O2202" t="s">
        <v>132</v>
      </c>
      <c r="R2202" s="25">
        <v>100000</v>
      </c>
      <c r="S2202" t="s">
        <v>27</v>
      </c>
    </row>
    <row r="2203" spans="1:19" x14ac:dyDescent="0.25">
      <c r="A2203" t="s">
        <v>2208</v>
      </c>
      <c r="B2203" t="s">
        <v>13</v>
      </c>
      <c r="C2203" t="s">
        <v>14</v>
      </c>
      <c r="D2203" t="s">
        <v>121</v>
      </c>
      <c r="E2203" t="s">
        <v>52</v>
      </c>
      <c r="F2203" t="s">
        <v>122</v>
      </c>
      <c r="G2203" t="s">
        <v>31</v>
      </c>
      <c r="H2203" t="s">
        <v>1458</v>
      </c>
      <c r="I2203" t="s">
        <v>1454</v>
      </c>
      <c r="J2203" t="s">
        <v>20</v>
      </c>
      <c r="K2203" t="s">
        <v>21</v>
      </c>
      <c r="L2203" t="s">
        <v>124</v>
      </c>
      <c r="M2203" t="s">
        <v>58</v>
      </c>
      <c r="N2203" t="s">
        <v>125</v>
      </c>
      <c r="O2203" t="s">
        <v>32</v>
      </c>
      <c r="R2203" s="25">
        <v>800000</v>
      </c>
      <c r="S2203" t="s">
        <v>27</v>
      </c>
    </row>
    <row r="2204" spans="1:19" x14ac:dyDescent="0.25">
      <c r="A2204" t="s">
        <v>2208</v>
      </c>
      <c r="B2204" t="s">
        <v>773</v>
      </c>
      <c r="C2204" t="s">
        <v>14</v>
      </c>
      <c r="D2204" t="s">
        <v>171</v>
      </c>
      <c r="E2204" t="s">
        <v>52</v>
      </c>
      <c r="F2204" t="s">
        <v>122</v>
      </c>
      <c r="G2204" t="s">
        <v>31</v>
      </c>
      <c r="H2204" t="s">
        <v>1459</v>
      </c>
      <c r="I2204" t="s">
        <v>1454</v>
      </c>
      <c r="J2204" t="s">
        <v>775</v>
      </c>
      <c r="K2204" t="s">
        <v>21</v>
      </c>
      <c r="L2204" t="s">
        <v>173</v>
      </c>
      <c r="M2204" t="s">
        <v>58</v>
      </c>
      <c r="N2204" t="s">
        <v>125</v>
      </c>
      <c r="O2204" t="s">
        <v>32</v>
      </c>
      <c r="R2204" s="25">
        <v>367500</v>
      </c>
      <c r="S2204" t="s">
        <v>27</v>
      </c>
    </row>
    <row r="2205" spans="1:19" x14ac:dyDescent="0.25">
      <c r="A2205" t="s">
        <v>2208</v>
      </c>
      <c r="B2205" t="s">
        <v>773</v>
      </c>
      <c r="C2205" t="s">
        <v>166</v>
      </c>
      <c r="D2205" t="s">
        <v>15</v>
      </c>
      <c r="E2205" t="s">
        <v>16</v>
      </c>
      <c r="F2205" t="s">
        <v>17</v>
      </c>
      <c r="G2205" t="s">
        <v>18</v>
      </c>
      <c r="H2205" t="s">
        <v>1460</v>
      </c>
      <c r="I2205" t="s">
        <v>1454</v>
      </c>
      <c r="J2205" t="s">
        <v>775</v>
      </c>
      <c r="K2205" t="s">
        <v>169</v>
      </c>
      <c r="L2205" t="s">
        <v>22</v>
      </c>
      <c r="M2205" t="s">
        <v>23</v>
      </c>
      <c r="N2205" t="s">
        <v>24</v>
      </c>
      <c r="O2205" t="s">
        <v>25</v>
      </c>
      <c r="R2205" s="25">
        <v>210000</v>
      </c>
      <c r="S2205" t="s">
        <v>27</v>
      </c>
    </row>
    <row r="2206" spans="1:19" x14ac:dyDescent="0.25">
      <c r="A2206" t="s">
        <v>2208</v>
      </c>
      <c r="B2206" t="s">
        <v>773</v>
      </c>
      <c r="C2206" t="s">
        <v>166</v>
      </c>
      <c r="D2206" t="s">
        <v>51</v>
      </c>
      <c r="E2206" t="s">
        <v>52</v>
      </c>
      <c r="F2206" t="s">
        <v>53</v>
      </c>
      <c r="G2206" t="s">
        <v>54</v>
      </c>
      <c r="H2206" t="s">
        <v>1461</v>
      </c>
      <c r="I2206" t="s">
        <v>1454</v>
      </c>
      <c r="J2206" t="s">
        <v>775</v>
      </c>
      <c r="K2206" t="s">
        <v>169</v>
      </c>
      <c r="L2206" t="s">
        <v>57</v>
      </c>
      <c r="M2206" t="s">
        <v>58</v>
      </c>
      <c r="N2206" t="s">
        <v>59</v>
      </c>
      <c r="O2206" t="s">
        <v>60</v>
      </c>
      <c r="R2206" s="25">
        <v>5918.85</v>
      </c>
      <c r="S2206" t="s">
        <v>27</v>
      </c>
    </row>
    <row r="2207" spans="1:19" x14ac:dyDescent="0.25">
      <c r="A2207" t="s">
        <v>2208</v>
      </c>
      <c r="B2207" t="s">
        <v>773</v>
      </c>
      <c r="C2207" t="s">
        <v>166</v>
      </c>
      <c r="D2207" t="s">
        <v>171</v>
      </c>
      <c r="E2207" t="s">
        <v>16</v>
      </c>
      <c r="F2207" t="s">
        <v>201</v>
      </c>
      <c r="G2207" t="s">
        <v>131</v>
      </c>
      <c r="H2207" t="s">
        <v>1462</v>
      </c>
      <c r="I2207" t="s">
        <v>1454</v>
      </c>
      <c r="J2207" t="s">
        <v>775</v>
      </c>
      <c r="K2207" t="s">
        <v>169</v>
      </c>
      <c r="L2207" t="s">
        <v>173</v>
      </c>
      <c r="M2207" t="s">
        <v>23</v>
      </c>
      <c r="N2207" t="s">
        <v>202</v>
      </c>
      <c r="O2207" t="s">
        <v>132</v>
      </c>
      <c r="R2207" s="25">
        <v>105000</v>
      </c>
      <c r="S2207" t="s">
        <v>27</v>
      </c>
    </row>
    <row r="2208" spans="1:19" x14ac:dyDescent="0.25">
      <c r="A2208" t="s">
        <v>2208</v>
      </c>
      <c r="B2208" t="s">
        <v>773</v>
      </c>
      <c r="C2208" t="s">
        <v>166</v>
      </c>
      <c r="D2208" t="s">
        <v>171</v>
      </c>
      <c r="E2208" t="s">
        <v>172</v>
      </c>
      <c r="F2208" t="s">
        <v>17</v>
      </c>
      <c r="G2208" t="s">
        <v>2194</v>
      </c>
      <c r="H2208" t="s">
        <v>1463</v>
      </c>
      <c r="I2208" t="s">
        <v>1454</v>
      </c>
      <c r="J2208" t="s">
        <v>775</v>
      </c>
      <c r="K2208" t="s">
        <v>169</v>
      </c>
      <c r="L2208" t="s">
        <v>173</v>
      </c>
      <c r="M2208" t="s">
        <v>174</v>
      </c>
      <c r="N2208" t="s">
        <v>24</v>
      </c>
      <c r="O2208" t="str">
        <f>G2208</f>
        <v>3.3.90.47.00</v>
      </c>
      <c r="R2208" s="25">
        <v>178530.45</v>
      </c>
      <c r="S2208" t="s">
        <v>27</v>
      </c>
    </row>
    <row r="2209" spans="1:19" x14ac:dyDescent="0.25">
      <c r="A2209" t="s">
        <v>2208</v>
      </c>
      <c r="B2209" t="s">
        <v>773</v>
      </c>
      <c r="C2209" t="s">
        <v>166</v>
      </c>
      <c r="D2209" t="s">
        <v>171</v>
      </c>
      <c r="E2209" t="s">
        <v>172</v>
      </c>
      <c r="F2209" t="s">
        <v>295</v>
      </c>
      <c r="G2209" t="s">
        <v>80</v>
      </c>
      <c r="H2209" t="s">
        <v>1464</v>
      </c>
      <c r="I2209" t="s">
        <v>1454</v>
      </c>
      <c r="J2209" t="s">
        <v>775</v>
      </c>
      <c r="K2209" t="s">
        <v>169</v>
      </c>
      <c r="L2209" t="s">
        <v>173</v>
      </c>
      <c r="M2209" t="s">
        <v>174</v>
      </c>
      <c r="N2209" t="s">
        <v>296</v>
      </c>
      <c r="O2209" t="s">
        <v>81</v>
      </c>
      <c r="R2209" s="25">
        <v>105000</v>
      </c>
      <c r="S2209" t="s">
        <v>27</v>
      </c>
    </row>
    <row r="2210" spans="1:19" x14ac:dyDescent="0.25">
      <c r="A2210" t="s">
        <v>2208</v>
      </c>
      <c r="B2210" t="s">
        <v>2210</v>
      </c>
      <c r="C2210" t="s">
        <v>14</v>
      </c>
      <c r="D2210" t="s">
        <v>2211</v>
      </c>
      <c r="E2210" t="s">
        <v>52</v>
      </c>
      <c r="F2210" t="s">
        <v>122</v>
      </c>
      <c r="G2210" t="s">
        <v>31</v>
      </c>
      <c r="H2210" t="s">
        <v>1465</v>
      </c>
      <c r="I2210" t="s">
        <v>1454</v>
      </c>
      <c r="J2210" t="s">
        <v>2210</v>
      </c>
      <c r="K2210" t="s">
        <v>21</v>
      </c>
      <c r="L2210" t="str">
        <f>D2210</f>
        <v>362</v>
      </c>
      <c r="M2210" t="s">
        <v>58</v>
      </c>
      <c r="N2210" t="s">
        <v>125</v>
      </c>
      <c r="O2210" t="s">
        <v>32</v>
      </c>
      <c r="R2210" s="25">
        <v>300000</v>
      </c>
      <c r="S2210" t="s">
        <v>27</v>
      </c>
    </row>
    <row r="2211" spans="1:19" x14ac:dyDescent="0.25">
      <c r="A2211" t="s">
        <v>2208</v>
      </c>
      <c r="B2211" t="s">
        <v>2210</v>
      </c>
      <c r="C2211" t="s">
        <v>166</v>
      </c>
      <c r="D2211" t="s">
        <v>15</v>
      </c>
      <c r="E2211" t="s">
        <v>16</v>
      </c>
      <c r="F2211" t="s">
        <v>17</v>
      </c>
      <c r="G2211" t="s">
        <v>18</v>
      </c>
      <c r="H2211" t="s">
        <v>1466</v>
      </c>
      <c r="I2211" t="s">
        <v>1454</v>
      </c>
      <c r="J2211" t="s">
        <v>2210</v>
      </c>
      <c r="K2211" t="s">
        <v>169</v>
      </c>
      <c r="L2211" t="s">
        <v>22</v>
      </c>
      <c r="M2211" t="s">
        <v>23</v>
      </c>
      <c r="N2211" t="s">
        <v>24</v>
      </c>
      <c r="O2211" t="s">
        <v>25</v>
      </c>
      <c r="R2211" s="25">
        <v>200000</v>
      </c>
      <c r="S2211" t="s">
        <v>27</v>
      </c>
    </row>
    <row r="2212" spans="1:19" x14ac:dyDescent="0.25">
      <c r="A2212" t="s">
        <v>2208</v>
      </c>
      <c r="B2212" t="s">
        <v>2210</v>
      </c>
      <c r="C2212" t="s">
        <v>166</v>
      </c>
      <c r="D2212" t="s">
        <v>51</v>
      </c>
      <c r="E2212" t="s">
        <v>52</v>
      </c>
      <c r="F2212" t="s">
        <v>53</v>
      </c>
      <c r="G2212" t="s">
        <v>54</v>
      </c>
      <c r="H2212" t="s">
        <v>1467</v>
      </c>
      <c r="I2212" t="s">
        <v>1454</v>
      </c>
      <c r="J2212" t="s">
        <v>2210</v>
      </c>
      <c r="K2212" t="s">
        <v>169</v>
      </c>
      <c r="L2212" t="s">
        <v>57</v>
      </c>
      <c r="M2212" t="s">
        <v>58</v>
      </c>
      <c r="N2212" t="s">
        <v>59</v>
      </c>
      <c r="O2212" t="s">
        <v>60</v>
      </c>
      <c r="R2212" s="25">
        <v>5918.85</v>
      </c>
      <c r="S2212" t="s">
        <v>27</v>
      </c>
    </row>
    <row r="2213" spans="1:19" x14ac:dyDescent="0.25">
      <c r="A2213" t="s">
        <v>2208</v>
      </c>
      <c r="B2213" t="s">
        <v>2210</v>
      </c>
      <c r="C2213" t="s">
        <v>166</v>
      </c>
      <c r="D2213" t="s">
        <v>2211</v>
      </c>
      <c r="E2213" t="s">
        <v>16</v>
      </c>
      <c r="F2213" t="s">
        <v>201</v>
      </c>
      <c r="G2213" t="s">
        <v>131</v>
      </c>
      <c r="H2213" t="s">
        <v>1468</v>
      </c>
      <c r="I2213" t="s">
        <v>1454</v>
      </c>
      <c r="J2213" t="s">
        <v>2210</v>
      </c>
      <c r="K2213" t="s">
        <v>169</v>
      </c>
      <c r="L2213" t="str">
        <f>D2213</f>
        <v>362</v>
      </c>
      <c r="M2213" t="s">
        <v>23</v>
      </c>
      <c r="N2213" t="s">
        <v>202</v>
      </c>
      <c r="O2213" t="s">
        <v>132</v>
      </c>
      <c r="R2213" s="25">
        <v>12210.45</v>
      </c>
      <c r="S2213" t="s">
        <v>27</v>
      </c>
    </row>
    <row r="2214" spans="1:19" x14ac:dyDescent="0.25">
      <c r="A2214" t="s">
        <v>2208</v>
      </c>
      <c r="B2214" t="s">
        <v>2210</v>
      </c>
      <c r="C2214" t="s">
        <v>166</v>
      </c>
      <c r="D2214" t="s">
        <v>2211</v>
      </c>
      <c r="E2214" t="s">
        <v>16</v>
      </c>
      <c r="F2214" t="s">
        <v>17</v>
      </c>
      <c r="G2214" t="s">
        <v>18</v>
      </c>
      <c r="H2214" t="s">
        <v>1469</v>
      </c>
      <c r="I2214" t="s">
        <v>1454</v>
      </c>
      <c r="J2214" t="s">
        <v>2210</v>
      </c>
      <c r="K2214" t="s">
        <v>169</v>
      </c>
      <c r="L2214" t="str">
        <f>D2214</f>
        <v>362</v>
      </c>
      <c r="M2214" t="s">
        <v>23</v>
      </c>
      <c r="N2214" t="s">
        <v>24</v>
      </c>
      <c r="O2214" t="s">
        <v>25</v>
      </c>
      <c r="R2214" s="25">
        <v>210000</v>
      </c>
      <c r="S2214" t="s">
        <v>27</v>
      </c>
    </row>
    <row r="2215" spans="1:19" x14ac:dyDescent="0.25">
      <c r="A2215" t="s">
        <v>2208</v>
      </c>
      <c r="B2215" t="s">
        <v>2210</v>
      </c>
      <c r="C2215" t="s">
        <v>166</v>
      </c>
      <c r="D2215" t="s">
        <v>2211</v>
      </c>
      <c r="E2215" t="s">
        <v>172</v>
      </c>
      <c r="F2215" t="s">
        <v>295</v>
      </c>
      <c r="G2215" t="s">
        <v>80</v>
      </c>
      <c r="H2215" t="s">
        <v>1470</v>
      </c>
      <c r="I2215" t="s">
        <v>1454</v>
      </c>
      <c r="J2215" t="s">
        <v>2210</v>
      </c>
      <c r="K2215" t="s">
        <v>169</v>
      </c>
      <c r="L2215" t="str">
        <f>D2215</f>
        <v>362</v>
      </c>
      <c r="M2215" t="s">
        <v>174</v>
      </c>
      <c r="N2215" t="s">
        <v>296</v>
      </c>
      <c r="O2215" t="s">
        <v>81</v>
      </c>
      <c r="R2215" s="25">
        <v>262500</v>
      </c>
      <c r="S2215" t="s">
        <v>27</v>
      </c>
    </row>
    <row r="2216" spans="1:19" x14ac:dyDescent="0.25">
      <c r="A2216" t="s">
        <v>2208</v>
      </c>
      <c r="B2216" t="s">
        <v>346</v>
      </c>
      <c r="C2216" t="s">
        <v>166</v>
      </c>
      <c r="D2216" t="s">
        <v>207</v>
      </c>
      <c r="E2216" t="s">
        <v>16</v>
      </c>
      <c r="F2216" t="s">
        <v>17</v>
      </c>
      <c r="G2216" t="s">
        <v>31</v>
      </c>
      <c r="H2216" t="s">
        <v>1471</v>
      </c>
      <c r="I2216" t="s">
        <v>1454</v>
      </c>
      <c r="J2216" t="s">
        <v>348</v>
      </c>
      <c r="K2216" t="s">
        <v>169</v>
      </c>
      <c r="L2216" t="s">
        <v>208</v>
      </c>
      <c r="M2216" t="s">
        <v>23</v>
      </c>
      <c r="N2216" t="s">
        <v>24</v>
      </c>
      <c r="O2216" t="s">
        <v>32</v>
      </c>
      <c r="R2216" s="25">
        <v>1080.45</v>
      </c>
      <c r="S2216" t="s">
        <v>27</v>
      </c>
    </row>
    <row r="2217" spans="1:19" x14ac:dyDescent="0.25">
      <c r="A2217" t="s">
        <v>2208</v>
      </c>
      <c r="B2217" t="s">
        <v>659</v>
      </c>
      <c r="C2217" t="s">
        <v>14</v>
      </c>
      <c r="D2217" t="s">
        <v>121</v>
      </c>
      <c r="E2217" t="s">
        <v>52</v>
      </c>
      <c r="F2217" t="s">
        <v>122</v>
      </c>
      <c r="G2217" t="s">
        <v>31</v>
      </c>
      <c r="H2217" t="s">
        <v>1472</v>
      </c>
      <c r="I2217" t="s">
        <v>1454</v>
      </c>
      <c r="J2217" t="s">
        <v>660</v>
      </c>
      <c r="K2217" t="s">
        <v>21</v>
      </c>
      <c r="L2217" t="s">
        <v>124</v>
      </c>
      <c r="M2217" t="s">
        <v>58</v>
      </c>
      <c r="N2217" t="s">
        <v>125</v>
      </c>
      <c r="O2217" t="s">
        <v>32</v>
      </c>
      <c r="R2217" s="25">
        <v>1076.25</v>
      </c>
      <c r="S2217" t="s">
        <v>27</v>
      </c>
    </row>
    <row r="2218" spans="1:19" x14ac:dyDescent="0.25">
      <c r="A2218" t="s">
        <v>2208</v>
      </c>
      <c r="B2218" t="s">
        <v>659</v>
      </c>
      <c r="C2218" t="s">
        <v>559</v>
      </c>
      <c r="D2218" t="s">
        <v>51</v>
      </c>
      <c r="E2218" t="s">
        <v>52</v>
      </c>
      <c r="F2218" t="s">
        <v>53</v>
      </c>
      <c r="G2218" t="s">
        <v>54</v>
      </c>
      <c r="H2218" t="s">
        <v>1473</v>
      </c>
      <c r="I2218" t="s">
        <v>1454</v>
      </c>
      <c r="J2218" t="s">
        <v>660</v>
      </c>
      <c r="K2218" t="s">
        <v>698</v>
      </c>
      <c r="L2218" t="s">
        <v>57</v>
      </c>
      <c r="M2218" t="s">
        <v>58</v>
      </c>
      <c r="N2218" t="s">
        <v>59</v>
      </c>
      <c r="O2218" t="s">
        <v>60</v>
      </c>
      <c r="R2218" s="25">
        <v>5918.85</v>
      </c>
      <c r="S2218" t="s">
        <v>27</v>
      </c>
    </row>
    <row r="2219" spans="1:19" x14ac:dyDescent="0.25">
      <c r="A2219" t="s">
        <v>2208</v>
      </c>
      <c r="B2219" t="s">
        <v>659</v>
      </c>
      <c r="C2219" t="s">
        <v>559</v>
      </c>
      <c r="D2219" t="s">
        <v>121</v>
      </c>
      <c r="E2219" t="s">
        <v>16</v>
      </c>
      <c r="F2219" t="s">
        <v>201</v>
      </c>
      <c r="G2219" t="s">
        <v>131</v>
      </c>
      <c r="H2219" t="s">
        <v>1474</v>
      </c>
      <c r="I2219" t="s">
        <v>1454</v>
      </c>
      <c r="J2219" t="s">
        <v>660</v>
      </c>
      <c r="K2219" t="s">
        <v>698</v>
      </c>
      <c r="L2219" t="s">
        <v>124</v>
      </c>
      <c r="M2219" t="s">
        <v>23</v>
      </c>
      <c r="N2219" t="s">
        <v>202</v>
      </c>
      <c r="O2219" t="s">
        <v>132</v>
      </c>
      <c r="R2219" s="25">
        <v>12210.45</v>
      </c>
      <c r="S2219" t="s">
        <v>27</v>
      </c>
    </row>
    <row r="2220" spans="1:19" x14ac:dyDescent="0.25">
      <c r="A2220" t="s">
        <v>2208</v>
      </c>
      <c r="B2220" t="s">
        <v>659</v>
      </c>
      <c r="C2220" t="s">
        <v>559</v>
      </c>
      <c r="D2220" t="s">
        <v>700</v>
      </c>
      <c r="E2220" t="s">
        <v>695</v>
      </c>
      <c r="F2220" t="s">
        <v>17</v>
      </c>
      <c r="G2220" t="s">
        <v>118</v>
      </c>
      <c r="H2220" t="s">
        <v>1475</v>
      </c>
      <c r="I2220" t="s">
        <v>1454</v>
      </c>
      <c r="J2220" t="s">
        <v>660</v>
      </c>
      <c r="K2220" t="s">
        <v>698</v>
      </c>
      <c r="L2220" t="s">
        <v>701</v>
      </c>
      <c r="M2220" t="s">
        <v>699</v>
      </c>
      <c r="N2220" t="s">
        <v>24</v>
      </c>
      <c r="O2220" t="s">
        <v>119</v>
      </c>
      <c r="R2220" s="25">
        <v>0</v>
      </c>
      <c r="S2220" t="s">
        <v>27</v>
      </c>
    </row>
    <row r="2221" spans="1:19" x14ac:dyDescent="0.25">
      <c r="A2221" t="s">
        <v>2208</v>
      </c>
      <c r="B2221" t="s">
        <v>352</v>
      </c>
      <c r="C2221" t="s">
        <v>166</v>
      </c>
      <c r="D2221" t="s">
        <v>175</v>
      </c>
      <c r="E2221" t="s">
        <v>16</v>
      </c>
      <c r="F2221" t="s">
        <v>201</v>
      </c>
      <c r="G2221" t="s">
        <v>131</v>
      </c>
      <c r="H2221" t="s">
        <v>1476</v>
      </c>
      <c r="I2221" t="s">
        <v>1454</v>
      </c>
      <c r="J2221" t="s">
        <v>355</v>
      </c>
      <c r="K2221" t="s">
        <v>169</v>
      </c>
      <c r="L2221" t="s">
        <v>176</v>
      </c>
      <c r="M2221" t="s">
        <v>23</v>
      </c>
      <c r="N2221" t="s">
        <v>202</v>
      </c>
      <c r="O2221" t="s">
        <v>132</v>
      </c>
      <c r="R2221" s="25">
        <v>1.0499999999992724</v>
      </c>
      <c r="S2221" t="s">
        <v>27</v>
      </c>
    </row>
    <row r="2222" spans="1:19" x14ac:dyDescent="0.25">
      <c r="A2222" t="s">
        <v>2208</v>
      </c>
      <c r="B2222" t="s">
        <v>2212</v>
      </c>
      <c r="C2222" t="s">
        <v>166</v>
      </c>
      <c r="D2222" t="s">
        <v>51</v>
      </c>
      <c r="E2222" t="s">
        <v>52</v>
      </c>
      <c r="F2222" t="s">
        <v>53</v>
      </c>
      <c r="G2222" t="s">
        <v>54</v>
      </c>
      <c r="H2222" t="s">
        <v>1477</v>
      </c>
      <c r="I2222" t="s">
        <v>1454</v>
      </c>
      <c r="J2222" t="s">
        <v>2212</v>
      </c>
      <c r="K2222" t="s">
        <v>169</v>
      </c>
      <c r="L2222" t="s">
        <v>57</v>
      </c>
      <c r="M2222" t="s">
        <v>58</v>
      </c>
      <c r="N2222" t="s">
        <v>59</v>
      </c>
      <c r="O2222" t="s">
        <v>60</v>
      </c>
      <c r="R2222" s="25">
        <v>210</v>
      </c>
      <c r="S2222" t="s">
        <v>27</v>
      </c>
    </row>
    <row r="2223" spans="1:19" x14ac:dyDescent="0.25">
      <c r="A2223" t="s">
        <v>2208</v>
      </c>
      <c r="B2223" t="s">
        <v>2212</v>
      </c>
      <c r="C2223" t="s">
        <v>166</v>
      </c>
      <c r="D2223" t="s">
        <v>175</v>
      </c>
      <c r="E2223" t="s">
        <v>16</v>
      </c>
      <c r="F2223" t="s">
        <v>201</v>
      </c>
      <c r="G2223" t="s">
        <v>131</v>
      </c>
      <c r="H2223" t="s">
        <v>1478</v>
      </c>
      <c r="I2223" t="s">
        <v>1454</v>
      </c>
      <c r="J2223" t="s">
        <v>2212</v>
      </c>
      <c r="K2223" t="s">
        <v>169</v>
      </c>
      <c r="L2223" t="s">
        <v>176</v>
      </c>
      <c r="M2223" t="s">
        <v>23</v>
      </c>
      <c r="N2223" t="s">
        <v>202</v>
      </c>
      <c r="O2223" t="s">
        <v>132</v>
      </c>
      <c r="R2223" s="25">
        <v>31122</v>
      </c>
      <c r="S2223" t="s">
        <v>27</v>
      </c>
    </row>
    <row r="2224" spans="1:19" x14ac:dyDescent="0.25">
      <c r="A2224" t="s">
        <v>2208</v>
      </c>
      <c r="B2224" t="s">
        <v>2212</v>
      </c>
      <c r="C2224" t="s">
        <v>166</v>
      </c>
      <c r="D2224" t="s">
        <v>175</v>
      </c>
      <c r="E2224" t="s">
        <v>52</v>
      </c>
      <c r="F2224" t="s">
        <v>122</v>
      </c>
      <c r="G2224" t="s">
        <v>31</v>
      </c>
      <c r="H2224" t="s">
        <v>1479</v>
      </c>
      <c r="I2224" t="s">
        <v>1454</v>
      </c>
      <c r="J2224" t="s">
        <v>2212</v>
      </c>
      <c r="K2224" t="s">
        <v>169</v>
      </c>
      <c r="L2224" t="s">
        <v>176</v>
      </c>
      <c r="M2224" t="s">
        <v>58</v>
      </c>
      <c r="N2224" t="s">
        <v>125</v>
      </c>
      <c r="O2224" t="s">
        <v>32</v>
      </c>
      <c r="R2224" s="25">
        <v>21000</v>
      </c>
      <c r="S2224" t="s">
        <v>27</v>
      </c>
    </row>
    <row r="2225" spans="1:19" x14ac:dyDescent="0.25">
      <c r="A2225" t="s">
        <v>2208</v>
      </c>
      <c r="B2225" t="s">
        <v>2212</v>
      </c>
      <c r="C2225" t="s">
        <v>166</v>
      </c>
      <c r="D2225" t="s">
        <v>175</v>
      </c>
      <c r="E2225" t="s">
        <v>172</v>
      </c>
      <c r="F2225" t="s">
        <v>17</v>
      </c>
      <c r="G2225" t="s">
        <v>73</v>
      </c>
      <c r="H2225" t="s">
        <v>1480</v>
      </c>
      <c r="I2225" t="s">
        <v>1454</v>
      </c>
      <c r="J2225" t="s">
        <v>2212</v>
      </c>
      <c r="K2225" t="s">
        <v>169</v>
      </c>
      <c r="L2225" t="s">
        <v>176</v>
      </c>
      <c r="M2225" t="s">
        <v>174</v>
      </c>
      <c r="N2225" t="s">
        <v>24</v>
      </c>
      <c r="O2225" t="s">
        <v>74</v>
      </c>
      <c r="R2225" s="25">
        <v>8400</v>
      </c>
      <c r="S2225" t="s">
        <v>27</v>
      </c>
    </row>
    <row r="2226" spans="1:19" x14ac:dyDescent="0.25">
      <c r="A2226" t="s">
        <v>2208</v>
      </c>
      <c r="B2226" t="s">
        <v>2212</v>
      </c>
      <c r="C2226" t="s">
        <v>166</v>
      </c>
      <c r="D2226" t="s">
        <v>175</v>
      </c>
      <c r="E2226" t="s">
        <v>172</v>
      </c>
      <c r="F2226" t="s">
        <v>17</v>
      </c>
      <c r="G2226" t="s">
        <v>2193</v>
      </c>
      <c r="H2226" t="s">
        <v>1481</v>
      </c>
      <c r="I2226" t="s">
        <v>1454</v>
      </c>
      <c r="J2226" t="s">
        <v>2212</v>
      </c>
      <c r="K2226" t="s">
        <v>169</v>
      </c>
      <c r="L2226" t="s">
        <v>176</v>
      </c>
      <c r="M2226" t="s">
        <v>174</v>
      </c>
      <c r="N2226" t="s">
        <v>24</v>
      </c>
      <c r="O2226" t="str">
        <f>G2226</f>
        <v>3.3.90.37.00</v>
      </c>
      <c r="R2226" s="25">
        <v>210</v>
      </c>
      <c r="S2226" t="s">
        <v>27</v>
      </c>
    </row>
    <row r="2227" spans="1:19" x14ac:dyDescent="0.25">
      <c r="A2227" t="s">
        <v>2208</v>
      </c>
      <c r="B2227" t="s">
        <v>2212</v>
      </c>
      <c r="C2227" t="s">
        <v>166</v>
      </c>
      <c r="D2227" t="s">
        <v>175</v>
      </c>
      <c r="E2227" t="s">
        <v>172</v>
      </c>
      <c r="F2227" t="s">
        <v>248</v>
      </c>
      <c r="G2227" t="s">
        <v>18</v>
      </c>
      <c r="H2227" t="s">
        <v>1482</v>
      </c>
      <c r="I2227" t="s">
        <v>1454</v>
      </c>
      <c r="J2227" t="s">
        <v>2212</v>
      </c>
      <c r="K2227" t="s">
        <v>169</v>
      </c>
      <c r="L2227" t="s">
        <v>176</v>
      </c>
      <c r="M2227" t="s">
        <v>174</v>
      </c>
      <c r="N2227" t="s">
        <v>249</v>
      </c>
      <c r="O2227" t="s">
        <v>25</v>
      </c>
      <c r="R2227" s="25">
        <v>2100</v>
      </c>
      <c r="S2227" t="s">
        <v>27</v>
      </c>
    </row>
    <row r="2228" spans="1:19" x14ac:dyDescent="0.25">
      <c r="A2228" t="s">
        <v>2208</v>
      </c>
      <c r="B2228" t="s">
        <v>2212</v>
      </c>
      <c r="C2228" t="s">
        <v>166</v>
      </c>
      <c r="D2228" t="s">
        <v>175</v>
      </c>
      <c r="E2228" t="s">
        <v>172</v>
      </c>
      <c r="F2228" t="s">
        <v>295</v>
      </c>
      <c r="G2228" t="s">
        <v>80</v>
      </c>
      <c r="H2228" t="s">
        <v>1483</v>
      </c>
      <c r="I2228" t="s">
        <v>1454</v>
      </c>
      <c r="J2228" t="s">
        <v>2212</v>
      </c>
      <c r="K2228" t="s">
        <v>169</v>
      </c>
      <c r="L2228" t="s">
        <v>176</v>
      </c>
      <c r="M2228" t="s">
        <v>174</v>
      </c>
      <c r="N2228" t="s">
        <v>296</v>
      </c>
      <c r="O2228" t="s">
        <v>81</v>
      </c>
      <c r="R2228" s="25">
        <v>210</v>
      </c>
      <c r="S2228" t="s">
        <v>27</v>
      </c>
    </row>
    <row r="2229" spans="1:19" x14ac:dyDescent="0.25">
      <c r="A2229" t="s">
        <v>2208</v>
      </c>
      <c r="B2229" t="s">
        <v>13</v>
      </c>
      <c r="C2229" t="s">
        <v>14</v>
      </c>
      <c r="D2229" t="s">
        <v>15</v>
      </c>
      <c r="E2229" t="s">
        <v>16</v>
      </c>
      <c r="F2229" t="s">
        <v>139</v>
      </c>
      <c r="G2229" t="s">
        <v>178</v>
      </c>
      <c r="H2229" t="s">
        <v>2013</v>
      </c>
      <c r="I2229" t="s">
        <v>1454</v>
      </c>
      <c r="J2229" t="s">
        <v>20</v>
      </c>
      <c r="K2229" t="s">
        <v>21</v>
      </c>
      <c r="L2229" t="s">
        <v>22</v>
      </c>
      <c r="M2229" t="s">
        <v>23</v>
      </c>
      <c r="N2229" t="s">
        <v>143</v>
      </c>
      <c r="O2229" t="s">
        <v>180</v>
      </c>
      <c r="R2229" s="25">
        <v>10764.6</v>
      </c>
      <c r="S2229" t="s">
        <v>27</v>
      </c>
    </row>
    <row r="2230" spans="1:19" x14ac:dyDescent="0.25">
      <c r="A2230" t="s">
        <v>2208</v>
      </c>
      <c r="B2230" t="s">
        <v>13</v>
      </c>
      <c r="C2230" t="s">
        <v>14</v>
      </c>
      <c r="D2230" t="s">
        <v>15</v>
      </c>
      <c r="E2230" t="s">
        <v>16</v>
      </c>
      <c r="F2230" t="s">
        <v>139</v>
      </c>
      <c r="G2230" t="s">
        <v>2195</v>
      </c>
      <c r="H2230" t="s">
        <v>2014</v>
      </c>
      <c r="I2230" t="s">
        <v>1454</v>
      </c>
      <c r="J2230" t="s">
        <v>20</v>
      </c>
      <c r="K2230" t="s">
        <v>21</v>
      </c>
      <c r="L2230" t="s">
        <v>22</v>
      </c>
      <c r="M2230" t="s">
        <v>23</v>
      </c>
      <c r="N2230" t="s">
        <v>143</v>
      </c>
      <c r="O2230" t="str">
        <f t="shared" ref="O2230:O2270" si="301">G2230</f>
        <v>4.4.90.92.00</v>
      </c>
      <c r="R2230" s="25">
        <v>0</v>
      </c>
      <c r="S2230" t="s">
        <v>27</v>
      </c>
    </row>
    <row r="2231" spans="1:19" x14ac:dyDescent="0.25">
      <c r="A2231" t="s">
        <v>2208</v>
      </c>
      <c r="B2231" t="s">
        <v>13</v>
      </c>
      <c r="C2231" t="s">
        <v>14</v>
      </c>
      <c r="D2231" t="s">
        <v>15</v>
      </c>
      <c r="E2231" t="s">
        <v>16</v>
      </c>
      <c r="F2231" t="s">
        <v>182</v>
      </c>
      <c r="G2231" t="s">
        <v>2196</v>
      </c>
      <c r="H2231" t="s">
        <v>2015</v>
      </c>
      <c r="I2231" t="s">
        <v>1454</v>
      </c>
      <c r="J2231" t="s">
        <v>20</v>
      </c>
      <c r="K2231" t="s">
        <v>21</v>
      </c>
      <c r="L2231" t="s">
        <v>22</v>
      </c>
      <c r="M2231" t="s">
        <v>23</v>
      </c>
      <c r="N2231" t="s">
        <v>183</v>
      </c>
      <c r="O2231" t="str">
        <f t="shared" si="301"/>
        <v>3.1.90.11.00</v>
      </c>
      <c r="R2231" s="25">
        <v>3400000</v>
      </c>
      <c r="S2231" t="s">
        <v>27</v>
      </c>
    </row>
    <row r="2232" spans="1:19" x14ac:dyDescent="0.25">
      <c r="A2232" t="s">
        <v>2208</v>
      </c>
      <c r="B2232" t="s">
        <v>13</v>
      </c>
      <c r="C2232" t="s">
        <v>14</v>
      </c>
      <c r="D2232" t="s">
        <v>15</v>
      </c>
      <c r="E2232" t="s">
        <v>16</v>
      </c>
      <c r="F2232" t="s">
        <v>182</v>
      </c>
      <c r="G2232" t="s">
        <v>2197</v>
      </c>
      <c r="H2232" t="s">
        <v>2016</v>
      </c>
      <c r="I2232" t="s">
        <v>1454</v>
      </c>
      <c r="J2232" t="s">
        <v>20</v>
      </c>
      <c r="K2232" t="s">
        <v>21</v>
      </c>
      <c r="L2232" t="s">
        <v>22</v>
      </c>
      <c r="M2232" t="s">
        <v>23</v>
      </c>
      <c r="N2232" t="s">
        <v>183</v>
      </c>
      <c r="O2232" t="str">
        <f t="shared" si="301"/>
        <v>3.1.90.13.00</v>
      </c>
      <c r="R2232" s="25">
        <v>525000</v>
      </c>
      <c r="S2232" t="s">
        <v>27</v>
      </c>
    </row>
    <row r="2233" spans="1:19" x14ac:dyDescent="0.25">
      <c r="A2233" t="s">
        <v>2208</v>
      </c>
      <c r="B2233" t="s">
        <v>13</v>
      </c>
      <c r="C2233" t="s">
        <v>14</v>
      </c>
      <c r="D2233" t="s">
        <v>15</v>
      </c>
      <c r="E2233" t="s">
        <v>16</v>
      </c>
      <c r="F2233" t="s">
        <v>182</v>
      </c>
      <c r="G2233" t="s">
        <v>2201</v>
      </c>
      <c r="H2233" t="s">
        <v>2017</v>
      </c>
      <c r="I2233" t="s">
        <v>1454</v>
      </c>
      <c r="J2233" t="s">
        <v>20</v>
      </c>
      <c r="K2233" t="s">
        <v>21</v>
      </c>
      <c r="L2233" t="s">
        <v>22</v>
      </c>
      <c r="M2233" t="s">
        <v>23</v>
      </c>
      <c r="N2233" t="s">
        <v>183</v>
      </c>
      <c r="O2233" t="str">
        <f t="shared" si="301"/>
        <v>3.1.90.94.00</v>
      </c>
      <c r="R2233" s="25">
        <v>150000</v>
      </c>
      <c r="S2233" t="s">
        <v>27</v>
      </c>
    </row>
    <row r="2234" spans="1:19" x14ac:dyDescent="0.25">
      <c r="A2234" t="s">
        <v>2208</v>
      </c>
      <c r="B2234" t="s">
        <v>13</v>
      </c>
      <c r="C2234" t="s">
        <v>14</v>
      </c>
      <c r="D2234" t="s">
        <v>15</v>
      </c>
      <c r="E2234" t="s">
        <v>16</v>
      </c>
      <c r="F2234" t="s">
        <v>182</v>
      </c>
      <c r="G2234" t="s">
        <v>2203</v>
      </c>
      <c r="H2234" t="s">
        <v>2018</v>
      </c>
      <c r="I2234" t="s">
        <v>1454</v>
      </c>
      <c r="J2234" t="s">
        <v>20</v>
      </c>
      <c r="K2234" t="s">
        <v>21</v>
      </c>
      <c r="L2234" t="s">
        <v>22</v>
      </c>
      <c r="M2234" t="s">
        <v>23</v>
      </c>
      <c r="N2234" t="s">
        <v>183</v>
      </c>
      <c r="O2234" t="str">
        <f t="shared" si="301"/>
        <v>3.1.91.13.00</v>
      </c>
      <c r="R2234" s="25">
        <v>350000</v>
      </c>
      <c r="S2234" t="s">
        <v>27</v>
      </c>
    </row>
    <row r="2235" spans="1:19" x14ac:dyDescent="0.25">
      <c r="A2235" t="s">
        <v>2208</v>
      </c>
      <c r="B2235" t="s">
        <v>13</v>
      </c>
      <c r="C2235" t="s">
        <v>14</v>
      </c>
      <c r="D2235" t="s">
        <v>15</v>
      </c>
      <c r="E2235" t="s">
        <v>16</v>
      </c>
      <c r="F2235" t="s">
        <v>182</v>
      </c>
      <c r="G2235" t="s">
        <v>2206</v>
      </c>
      <c r="H2235" t="s">
        <v>2019</v>
      </c>
      <c r="I2235" t="s">
        <v>1454</v>
      </c>
      <c r="J2235" t="s">
        <v>20</v>
      </c>
      <c r="K2235" t="s">
        <v>21</v>
      </c>
      <c r="L2235" t="s">
        <v>22</v>
      </c>
      <c r="M2235" t="s">
        <v>23</v>
      </c>
      <c r="N2235" t="s">
        <v>183</v>
      </c>
      <c r="O2235" t="str">
        <f t="shared" si="301"/>
        <v>3.3.90.46.00</v>
      </c>
      <c r="R2235" s="25">
        <v>525000</v>
      </c>
      <c r="S2235" t="s">
        <v>27</v>
      </c>
    </row>
    <row r="2236" spans="1:19" x14ac:dyDescent="0.25">
      <c r="A2236" t="s">
        <v>2208</v>
      </c>
      <c r="B2236" t="s">
        <v>13</v>
      </c>
      <c r="C2236" t="s">
        <v>14</v>
      </c>
      <c r="D2236" t="s">
        <v>2213</v>
      </c>
      <c r="E2236" t="s">
        <v>16</v>
      </c>
      <c r="F2236" t="s">
        <v>182</v>
      </c>
      <c r="G2236" t="s">
        <v>2207</v>
      </c>
      <c r="H2236" t="s">
        <v>2023</v>
      </c>
      <c r="I2236" t="s">
        <v>1454</v>
      </c>
      <c r="J2236" t="s">
        <v>20</v>
      </c>
      <c r="K2236" t="s">
        <v>21</v>
      </c>
      <c r="L2236" t="str">
        <f>D2236</f>
        <v>331</v>
      </c>
      <c r="M2236" t="s">
        <v>23</v>
      </c>
      <c r="N2236" t="s">
        <v>183</v>
      </c>
      <c r="O2236" t="str">
        <f t="shared" si="301"/>
        <v>3.3.90.49.00</v>
      </c>
      <c r="R2236" s="25">
        <v>13650</v>
      </c>
      <c r="S2236" t="s">
        <v>27</v>
      </c>
    </row>
    <row r="2237" spans="1:19" x14ac:dyDescent="0.25">
      <c r="A2237" t="s">
        <v>2208</v>
      </c>
      <c r="B2237" t="s">
        <v>773</v>
      </c>
      <c r="C2237" t="s">
        <v>166</v>
      </c>
      <c r="D2237" t="s">
        <v>171</v>
      </c>
      <c r="E2237" t="s">
        <v>16</v>
      </c>
      <c r="F2237" t="s">
        <v>182</v>
      </c>
      <c r="G2237" t="s">
        <v>2196</v>
      </c>
      <c r="H2237" t="s">
        <v>2025</v>
      </c>
      <c r="I2237" t="s">
        <v>1454</v>
      </c>
      <c r="J2237" t="s">
        <v>775</v>
      </c>
      <c r="K2237" t="s">
        <v>169</v>
      </c>
      <c r="L2237" t="s">
        <v>173</v>
      </c>
      <c r="M2237" t="s">
        <v>23</v>
      </c>
      <c r="N2237" t="s">
        <v>183</v>
      </c>
      <c r="O2237" t="str">
        <f t="shared" si="301"/>
        <v>3.1.90.11.00</v>
      </c>
      <c r="R2237" s="25">
        <v>2625000</v>
      </c>
      <c r="S2237" t="s">
        <v>27</v>
      </c>
    </row>
    <row r="2238" spans="1:19" x14ac:dyDescent="0.25">
      <c r="A2238" t="s">
        <v>2208</v>
      </c>
      <c r="B2238" t="s">
        <v>773</v>
      </c>
      <c r="C2238" t="s">
        <v>166</v>
      </c>
      <c r="D2238" t="s">
        <v>171</v>
      </c>
      <c r="E2238" t="s">
        <v>16</v>
      </c>
      <c r="F2238" t="s">
        <v>182</v>
      </c>
      <c r="G2238" t="s">
        <v>2197</v>
      </c>
      <c r="H2238" t="s">
        <v>2026</v>
      </c>
      <c r="I2238" t="s">
        <v>1454</v>
      </c>
      <c r="J2238" t="s">
        <v>775</v>
      </c>
      <c r="K2238" t="s">
        <v>169</v>
      </c>
      <c r="L2238" t="s">
        <v>173</v>
      </c>
      <c r="M2238" t="s">
        <v>23</v>
      </c>
      <c r="N2238" t="s">
        <v>183</v>
      </c>
      <c r="O2238" t="str">
        <f t="shared" si="301"/>
        <v>3.1.90.13.00</v>
      </c>
      <c r="R2238" s="25">
        <v>168040</v>
      </c>
      <c r="S2238" t="s">
        <v>27</v>
      </c>
    </row>
    <row r="2239" spans="1:19" x14ac:dyDescent="0.25">
      <c r="A2239" t="s">
        <v>2208</v>
      </c>
      <c r="B2239" t="s">
        <v>773</v>
      </c>
      <c r="C2239" t="s">
        <v>166</v>
      </c>
      <c r="D2239" t="s">
        <v>171</v>
      </c>
      <c r="E2239" t="s">
        <v>16</v>
      </c>
      <c r="F2239" t="s">
        <v>182</v>
      </c>
      <c r="G2239" t="s">
        <v>2198</v>
      </c>
      <c r="H2239" t="s">
        <v>2027</v>
      </c>
      <c r="I2239" t="s">
        <v>1454</v>
      </c>
      <c r="J2239" t="s">
        <v>775</v>
      </c>
      <c r="K2239" t="s">
        <v>169</v>
      </c>
      <c r="L2239" t="s">
        <v>173</v>
      </c>
      <c r="M2239" t="s">
        <v>23</v>
      </c>
      <c r="N2239" t="s">
        <v>183</v>
      </c>
      <c r="O2239" t="str">
        <f t="shared" si="301"/>
        <v>3.1.90.16.00</v>
      </c>
      <c r="R2239" s="25">
        <v>356457</v>
      </c>
      <c r="S2239" t="s">
        <v>27</v>
      </c>
    </row>
    <row r="2240" spans="1:19" x14ac:dyDescent="0.25">
      <c r="A2240" t="s">
        <v>2208</v>
      </c>
      <c r="B2240" t="s">
        <v>773</v>
      </c>
      <c r="C2240" t="s">
        <v>166</v>
      </c>
      <c r="D2240" t="s">
        <v>171</v>
      </c>
      <c r="E2240" t="s">
        <v>16</v>
      </c>
      <c r="F2240" t="s">
        <v>182</v>
      </c>
      <c r="G2240" t="s">
        <v>2201</v>
      </c>
      <c r="H2240" t="s">
        <v>2028</v>
      </c>
      <c r="I2240" t="s">
        <v>1454</v>
      </c>
      <c r="J2240" t="s">
        <v>775</v>
      </c>
      <c r="K2240" t="s">
        <v>169</v>
      </c>
      <c r="L2240" t="s">
        <v>173</v>
      </c>
      <c r="M2240" t="s">
        <v>23</v>
      </c>
      <c r="N2240" t="s">
        <v>183</v>
      </c>
      <c r="O2240" t="str">
        <f t="shared" si="301"/>
        <v>3.1.90.94.00</v>
      </c>
      <c r="R2240" s="25">
        <v>400000</v>
      </c>
      <c r="S2240" t="s">
        <v>27</v>
      </c>
    </row>
    <row r="2241" spans="1:19" x14ac:dyDescent="0.25">
      <c r="A2241" t="s">
        <v>2208</v>
      </c>
      <c r="B2241" t="s">
        <v>773</v>
      </c>
      <c r="C2241" t="s">
        <v>166</v>
      </c>
      <c r="D2241" t="s">
        <v>171</v>
      </c>
      <c r="E2241" t="s">
        <v>16</v>
      </c>
      <c r="F2241" t="s">
        <v>182</v>
      </c>
      <c r="G2241" t="s">
        <v>2203</v>
      </c>
      <c r="H2241" t="s">
        <v>2029</v>
      </c>
      <c r="I2241" t="s">
        <v>1454</v>
      </c>
      <c r="J2241" t="s">
        <v>775</v>
      </c>
      <c r="K2241" t="s">
        <v>169</v>
      </c>
      <c r="L2241" t="s">
        <v>173</v>
      </c>
      <c r="M2241" t="s">
        <v>23</v>
      </c>
      <c r="N2241" t="s">
        <v>183</v>
      </c>
      <c r="O2241" t="str">
        <f t="shared" si="301"/>
        <v>3.1.91.13.00</v>
      </c>
      <c r="R2241" s="25">
        <v>631478.4</v>
      </c>
      <c r="S2241" t="s">
        <v>27</v>
      </c>
    </row>
    <row r="2242" spans="1:19" x14ac:dyDescent="0.25">
      <c r="A2242" t="s">
        <v>2208</v>
      </c>
      <c r="B2242" t="s">
        <v>773</v>
      </c>
      <c r="C2242" t="s">
        <v>166</v>
      </c>
      <c r="D2242" t="s">
        <v>171</v>
      </c>
      <c r="E2242" t="s">
        <v>16</v>
      </c>
      <c r="F2242" t="s">
        <v>182</v>
      </c>
      <c r="G2242" t="s">
        <v>2206</v>
      </c>
      <c r="H2242" t="s">
        <v>2030</v>
      </c>
      <c r="I2242" t="s">
        <v>1454</v>
      </c>
      <c r="J2242" t="s">
        <v>775</v>
      </c>
      <c r="K2242" t="s">
        <v>169</v>
      </c>
      <c r="L2242" t="s">
        <v>173</v>
      </c>
      <c r="M2242" t="s">
        <v>23</v>
      </c>
      <c r="N2242" t="s">
        <v>183</v>
      </c>
      <c r="O2242" t="str">
        <f t="shared" si="301"/>
        <v>3.3.90.46.00</v>
      </c>
      <c r="R2242" s="25">
        <v>635125.05000000005</v>
      </c>
      <c r="S2242" t="s">
        <v>27</v>
      </c>
    </row>
    <row r="2243" spans="1:19" x14ac:dyDescent="0.25">
      <c r="A2243" t="s">
        <v>2208</v>
      </c>
      <c r="B2243" t="s">
        <v>2210</v>
      </c>
      <c r="C2243" t="s">
        <v>166</v>
      </c>
      <c r="D2243" t="s">
        <v>2211</v>
      </c>
      <c r="E2243" t="s">
        <v>16</v>
      </c>
      <c r="F2243" t="s">
        <v>182</v>
      </c>
      <c r="G2243" t="s">
        <v>2196</v>
      </c>
      <c r="H2243" t="s">
        <v>2033</v>
      </c>
      <c r="I2243" t="s">
        <v>1454</v>
      </c>
      <c r="J2243" t="s">
        <v>2210</v>
      </c>
      <c r="K2243" t="s">
        <v>169</v>
      </c>
      <c r="L2243" t="str">
        <f t="shared" ref="L2243:L2248" si="302">D2243</f>
        <v>362</v>
      </c>
      <c r="M2243" t="s">
        <v>23</v>
      </c>
      <c r="N2243" t="s">
        <v>183</v>
      </c>
      <c r="O2243" t="str">
        <f t="shared" si="301"/>
        <v>3.1.90.11.00</v>
      </c>
      <c r="R2243" s="25">
        <v>1859180.4</v>
      </c>
      <c r="S2243" t="s">
        <v>27</v>
      </c>
    </row>
    <row r="2244" spans="1:19" x14ac:dyDescent="0.25">
      <c r="A2244" t="s">
        <v>2208</v>
      </c>
      <c r="B2244" t="s">
        <v>2210</v>
      </c>
      <c r="C2244" t="s">
        <v>166</v>
      </c>
      <c r="D2244" t="s">
        <v>2211</v>
      </c>
      <c r="E2244" t="s">
        <v>16</v>
      </c>
      <c r="F2244" t="s">
        <v>182</v>
      </c>
      <c r="G2244" t="s">
        <v>2197</v>
      </c>
      <c r="H2244" t="s">
        <v>2034</v>
      </c>
      <c r="I2244" t="s">
        <v>1454</v>
      </c>
      <c r="J2244" t="s">
        <v>2210</v>
      </c>
      <c r="K2244" t="s">
        <v>169</v>
      </c>
      <c r="L2244" t="str">
        <f t="shared" si="302"/>
        <v>362</v>
      </c>
      <c r="M2244" t="s">
        <v>23</v>
      </c>
      <c r="N2244" t="s">
        <v>183</v>
      </c>
      <c r="O2244" t="str">
        <f t="shared" si="301"/>
        <v>3.1.90.13.00</v>
      </c>
      <c r="R2244" s="25">
        <v>229374.6</v>
      </c>
      <c r="S2244" t="s">
        <v>27</v>
      </c>
    </row>
    <row r="2245" spans="1:19" x14ac:dyDescent="0.25">
      <c r="A2245" t="s">
        <v>2208</v>
      </c>
      <c r="B2245" t="s">
        <v>2210</v>
      </c>
      <c r="C2245" t="s">
        <v>166</v>
      </c>
      <c r="D2245" t="s">
        <v>2211</v>
      </c>
      <c r="E2245" t="s">
        <v>16</v>
      </c>
      <c r="F2245" t="s">
        <v>182</v>
      </c>
      <c r="G2245" t="s">
        <v>2198</v>
      </c>
      <c r="H2245" t="s">
        <v>2035</v>
      </c>
      <c r="I2245" t="s">
        <v>1454</v>
      </c>
      <c r="J2245" t="s">
        <v>2210</v>
      </c>
      <c r="K2245" t="s">
        <v>169</v>
      </c>
      <c r="L2245" t="str">
        <f t="shared" si="302"/>
        <v>362</v>
      </c>
      <c r="M2245" t="s">
        <v>23</v>
      </c>
      <c r="N2245" t="s">
        <v>183</v>
      </c>
      <c r="O2245" t="str">
        <f t="shared" si="301"/>
        <v>3.1.90.16.00</v>
      </c>
      <c r="R2245" s="25">
        <v>630000</v>
      </c>
      <c r="S2245" t="s">
        <v>27</v>
      </c>
    </row>
    <row r="2246" spans="1:19" x14ac:dyDescent="0.25">
      <c r="A2246" t="s">
        <v>2208</v>
      </c>
      <c r="B2246" t="s">
        <v>2210</v>
      </c>
      <c r="C2246" t="s">
        <v>166</v>
      </c>
      <c r="D2246" t="s">
        <v>2211</v>
      </c>
      <c r="E2246" t="s">
        <v>16</v>
      </c>
      <c r="F2246" t="s">
        <v>182</v>
      </c>
      <c r="G2246" t="s">
        <v>2201</v>
      </c>
      <c r="H2246" t="s">
        <v>2036</v>
      </c>
      <c r="I2246" t="s">
        <v>1454</v>
      </c>
      <c r="J2246" t="s">
        <v>2210</v>
      </c>
      <c r="K2246" t="s">
        <v>169</v>
      </c>
      <c r="L2246" t="str">
        <f t="shared" si="302"/>
        <v>362</v>
      </c>
      <c r="M2246" t="s">
        <v>23</v>
      </c>
      <c r="N2246" t="s">
        <v>183</v>
      </c>
      <c r="O2246" t="str">
        <f t="shared" si="301"/>
        <v>3.1.90.94.00</v>
      </c>
      <c r="R2246" s="25">
        <v>472500</v>
      </c>
      <c r="S2246" t="s">
        <v>27</v>
      </c>
    </row>
    <row r="2247" spans="1:19" x14ac:dyDescent="0.25">
      <c r="A2247" t="s">
        <v>2208</v>
      </c>
      <c r="B2247" t="s">
        <v>2210</v>
      </c>
      <c r="C2247" t="s">
        <v>166</v>
      </c>
      <c r="D2247" t="s">
        <v>2211</v>
      </c>
      <c r="E2247" t="s">
        <v>16</v>
      </c>
      <c r="F2247" t="s">
        <v>182</v>
      </c>
      <c r="G2247" t="s">
        <v>2203</v>
      </c>
      <c r="H2247" t="s">
        <v>2037</v>
      </c>
      <c r="I2247" t="s">
        <v>1454</v>
      </c>
      <c r="J2247" t="s">
        <v>2210</v>
      </c>
      <c r="K2247" t="s">
        <v>169</v>
      </c>
      <c r="L2247" t="str">
        <f t="shared" si="302"/>
        <v>362</v>
      </c>
      <c r="M2247" t="s">
        <v>23</v>
      </c>
      <c r="N2247" t="s">
        <v>183</v>
      </c>
      <c r="O2247" t="str">
        <f t="shared" si="301"/>
        <v>3.1.91.13.00</v>
      </c>
      <c r="R2247" s="25">
        <v>781830</v>
      </c>
      <c r="S2247" t="s">
        <v>27</v>
      </c>
    </row>
    <row r="2248" spans="1:19" x14ac:dyDescent="0.25">
      <c r="A2248" t="s">
        <v>2208</v>
      </c>
      <c r="B2248" t="s">
        <v>2210</v>
      </c>
      <c r="C2248" t="s">
        <v>166</v>
      </c>
      <c r="D2248" t="s">
        <v>2211</v>
      </c>
      <c r="E2248" t="s">
        <v>16</v>
      </c>
      <c r="F2248" t="s">
        <v>182</v>
      </c>
      <c r="G2248" t="s">
        <v>2206</v>
      </c>
      <c r="H2248" t="s">
        <v>2038</v>
      </c>
      <c r="I2248" t="s">
        <v>1454</v>
      </c>
      <c r="J2248" t="s">
        <v>2210</v>
      </c>
      <c r="K2248" t="s">
        <v>169</v>
      </c>
      <c r="L2248" t="str">
        <f t="shared" si="302"/>
        <v>362</v>
      </c>
      <c r="M2248" t="s">
        <v>23</v>
      </c>
      <c r="N2248" t="s">
        <v>183</v>
      </c>
      <c r="O2248" t="str">
        <f t="shared" si="301"/>
        <v>3.3.90.46.00</v>
      </c>
      <c r="R2248" s="25">
        <v>786344</v>
      </c>
      <c r="S2248" t="s">
        <v>27</v>
      </c>
    </row>
    <row r="2249" spans="1:19" x14ac:dyDescent="0.25">
      <c r="A2249" t="s">
        <v>2208</v>
      </c>
      <c r="B2249" t="s">
        <v>346</v>
      </c>
      <c r="C2249" t="s">
        <v>166</v>
      </c>
      <c r="D2249" t="s">
        <v>207</v>
      </c>
      <c r="E2249" t="s">
        <v>16</v>
      </c>
      <c r="F2249" t="s">
        <v>182</v>
      </c>
      <c r="G2249" t="s">
        <v>2198</v>
      </c>
      <c r="H2249" t="s">
        <v>2041</v>
      </c>
      <c r="I2249" t="s">
        <v>1454</v>
      </c>
      <c r="J2249" t="s">
        <v>348</v>
      </c>
      <c r="K2249" t="s">
        <v>169</v>
      </c>
      <c r="L2249" t="s">
        <v>208</v>
      </c>
      <c r="M2249" t="s">
        <v>23</v>
      </c>
      <c r="N2249" t="s">
        <v>183</v>
      </c>
      <c r="O2249" t="str">
        <f t="shared" si="301"/>
        <v>3.1.90.16.00</v>
      </c>
      <c r="R2249" s="25">
        <v>36840.300000000003</v>
      </c>
      <c r="S2249" t="s">
        <v>27</v>
      </c>
    </row>
    <row r="2250" spans="1:19" x14ac:dyDescent="0.25">
      <c r="A2250" t="s">
        <v>2208</v>
      </c>
      <c r="B2250" t="s">
        <v>659</v>
      </c>
      <c r="C2250" t="s">
        <v>559</v>
      </c>
      <c r="D2250" t="s">
        <v>700</v>
      </c>
      <c r="E2250" t="s">
        <v>16</v>
      </c>
      <c r="F2250" t="s">
        <v>182</v>
      </c>
      <c r="G2250" t="s">
        <v>2196</v>
      </c>
      <c r="H2250" t="s">
        <v>2043</v>
      </c>
      <c r="I2250" t="s">
        <v>1454</v>
      </c>
      <c r="J2250" t="s">
        <v>660</v>
      </c>
      <c r="K2250" t="s">
        <v>698</v>
      </c>
      <c r="L2250" t="s">
        <v>701</v>
      </c>
      <c r="M2250" t="s">
        <v>23</v>
      </c>
      <c r="N2250" t="s">
        <v>183</v>
      </c>
      <c r="O2250" t="str">
        <f t="shared" si="301"/>
        <v>3.1.90.11.00</v>
      </c>
      <c r="R2250" s="25">
        <v>189183.75</v>
      </c>
      <c r="S2250" t="s">
        <v>27</v>
      </c>
    </row>
    <row r="2251" spans="1:19" x14ac:dyDescent="0.25">
      <c r="A2251" t="s">
        <v>2208</v>
      </c>
      <c r="B2251" t="s">
        <v>659</v>
      </c>
      <c r="C2251" t="s">
        <v>559</v>
      </c>
      <c r="D2251" t="s">
        <v>700</v>
      </c>
      <c r="E2251" t="s">
        <v>16</v>
      </c>
      <c r="F2251" t="s">
        <v>182</v>
      </c>
      <c r="G2251" t="s">
        <v>2197</v>
      </c>
      <c r="H2251" t="s">
        <v>2044</v>
      </c>
      <c r="I2251" t="s">
        <v>1454</v>
      </c>
      <c r="J2251" t="s">
        <v>660</v>
      </c>
      <c r="K2251" t="s">
        <v>698</v>
      </c>
      <c r="L2251" t="s">
        <v>701</v>
      </c>
      <c r="M2251" t="s">
        <v>23</v>
      </c>
      <c r="N2251" t="s">
        <v>183</v>
      </c>
      <c r="O2251" t="str">
        <f t="shared" si="301"/>
        <v>3.1.90.13.00</v>
      </c>
      <c r="R2251" s="25">
        <v>55809.599999999999</v>
      </c>
      <c r="S2251" t="s">
        <v>27</v>
      </c>
    </row>
    <row r="2252" spans="1:19" x14ac:dyDescent="0.25">
      <c r="A2252" t="s">
        <v>2208</v>
      </c>
      <c r="B2252" t="s">
        <v>659</v>
      </c>
      <c r="C2252" t="s">
        <v>559</v>
      </c>
      <c r="D2252" t="s">
        <v>700</v>
      </c>
      <c r="E2252" t="s">
        <v>16</v>
      </c>
      <c r="F2252" t="s">
        <v>182</v>
      </c>
      <c r="G2252" t="s">
        <v>2206</v>
      </c>
      <c r="H2252" t="s">
        <v>2045</v>
      </c>
      <c r="I2252" t="s">
        <v>1454</v>
      </c>
      <c r="J2252" t="s">
        <v>660</v>
      </c>
      <c r="K2252" t="s">
        <v>698</v>
      </c>
      <c r="L2252" t="s">
        <v>701</v>
      </c>
      <c r="M2252" t="s">
        <v>23</v>
      </c>
      <c r="N2252" t="s">
        <v>183</v>
      </c>
      <c r="O2252" t="str">
        <f t="shared" si="301"/>
        <v>3.3.90.46.00</v>
      </c>
      <c r="R2252" s="25">
        <v>10106.25</v>
      </c>
      <c r="S2252" t="s">
        <v>27</v>
      </c>
    </row>
    <row r="2253" spans="1:19" x14ac:dyDescent="0.25">
      <c r="A2253" t="s">
        <v>2208</v>
      </c>
      <c r="B2253" t="s">
        <v>659</v>
      </c>
      <c r="C2253" t="s">
        <v>559</v>
      </c>
      <c r="D2253" t="s">
        <v>700</v>
      </c>
      <c r="E2253" t="s">
        <v>16</v>
      </c>
      <c r="F2253" t="s">
        <v>182</v>
      </c>
      <c r="G2253" t="s">
        <v>2207</v>
      </c>
      <c r="H2253" t="s">
        <v>2046</v>
      </c>
      <c r="I2253" t="s">
        <v>1454</v>
      </c>
      <c r="J2253" t="s">
        <v>660</v>
      </c>
      <c r="K2253" t="s">
        <v>698</v>
      </c>
      <c r="L2253" t="s">
        <v>701</v>
      </c>
      <c r="M2253" t="s">
        <v>23</v>
      </c>
      <c r="N2253" t="s">
        <v>183</v>
      </c>
      <c r="O2253" t="str">
        <f t="shared" si="301"/>
        <v>3.3.90.49.00</v>
      </c>
      <c r="R2253" s="25">
        <v>157529.4</v>
      </c>
      <c r="S2253" t="s">
        <v>27</v>
      </c>
    </row>
    <row r="2254" spans="1:19" x14ac:dyDescent="0.25">
      <c r="A2254" t="s">
        <v>2208</v>
      </c>
      <c r="B2254" t="s">
        <v>352</v>
      </c>
      <c r="C2254" t="s">
        <v>166</v>
      </c>
      <c r="D2254" t="s">
        <v>175</v>
      </c>
      <c r="E2254" t="s">
        <v>16</v>
      </c>
      <c r="F2254" t="s">
        <v>182</v>
      </c>
      <c r="G2254" t="s">
        <v>2196</v>
      </c>
      <c r="H2254" t="s">
        <v>2047</v>
      </c>
      <c r="I2254" t="s">
        <v>1454</v>
      </c>
      <c r="J2254" t="s">
        <v>355</v>
      </c>
      <c r="K2254" t="s">
        <v>169</v>
      </c>
      <c r="L2254" t="s">
        <v>176</v>
      </c>
      <c r="M2254" t="s">
        <v>23</v>
      </c>
      <c r="N2254" t="s">
        <v>183</v>
      </c>
      <c r="O2254" t="str">
        <f t="shared" si="301"/>
        <v>3.1.90.11.00</v>
      </c>
      <c r="R2254" s="25">
        <v>1.0499999998137355</v>
      </c>
      <c r="S2254" t="s">
        <v>27</v>
      </c>
    </row>
    <row r="2255" spans="1:19" x14ac:dyDescent="0.25">
      <c r="A2255" t="s">
        <v>2208</v>
      </c>
      <c r="B2255" t="s">
        <v>352</v>
      </c>
      <c r="C2255" t="s">
        <v>166</v>
      </c>
      <c r="D2255" t="s">
        <v>175</v>
      </c>
      <c r="E2255" t="s">
        <v>16</v>
      </c>
      <c r="F2255" t="s">
        <v>182</v>
      </c>
      <c r="G2255" t="s">
        <v>2197</v>
      </c>
      <c r="H2255" t="s">
        <v>2048</v>
      </c>
      <c r="I2255" t="s">
        <v>1454</v>
      </c>
      <c r="J2255" t="s">
        <v>355</v>
      </c>
      <c r="K2255" t="s">
        <v>169</v>
      </c>
      <c r="L2255" t="s">
        <v>176</v>
      </c>
      <c r="M2255" t="s">
        <v>23</v>
      </c>
      <c r="N2255" t="s">
        <v>183</v>
      </c>
      <c r="O2255" t="str">
        <f t="shared" si="301"/>
        <v>3.1.90.13.00</v>
      </c>
      <c r="R2255" s="25">
        <v>1.0500000000029104</v>
      </c>
      <c r="S2255" t="s">
        <v>27</v>
      </c>
    </row>
    <row r="2256" spans="1:19" x14ac:dyDescent="0.25">
      <c r="A2256" t="s">
        <v>2208</v>
      </c>
      <c r="B2256" t="s">
        <v>352</v>
      </c>
      <c r="C2256" t="s">
        <v>166</v>
      </c>
      <c r="D2256" t="s">
        <v>175</v>
      </c>
      <c r="E2256" t="s">
        <v>16</v>
      </c>
      <c r="F2256" t="s">
        <v>182</v>
      </c>
      <c r="G2256" t="s">
        <v>2198</v>
      </c>
      <c r="H2256" t="s">
        <v>2049</v>
      </c>
      <c r="I2256" t="s">
        <v>1454</v>
      </c>
      <c r="J2256" t="s">
        <v>355</v>
      </c>
      <c r="K2256" t="s">
        <v>169</v>
      </c>
      <c r="L2256" t="s">
        <v>176</v>
      </c>
      <c r="M2256" t="s">
        <v>23</v>
      </c>
      <c r="N2256" t="s">
        <v>183</v>
      </c>
      <c r="O2256" t="str">
        <f t="shared" si="301"/>
        <v>3.1.90.16.00</v>
      </c>
      <c r="R2256" s="25">
        <v>1.0499999999883585</v>
      </c>
      <c r="S2256" t="s">
        <v>27</v>
      </c>
    </row>
    <row r="2257" spans="1:19" x14ac:dyDescent="0.25">
      <c r="A2257" t="s">
        <v>2208</v>
      </c>
      <c r="B2257" t="s">
        <v>352</v>
      </c>
      <c r="C2257" t="s">
        <v>166</v>
      </c>
      <c r="D2257" t="s">
        <v>175</v>
      </c>
      <c r="E2257" t="s">
        <v>16</v>
      </c>
      <c r="F2257" t="s">
        <v>182</v>
      </c>
      <c r="G2257" t="s">
        <v>2201</v>
      </c>
      <c r="H2257" t="s">
        <v>2050</v>
      </c>
      <c r="I2257" t="s">
        <v>1454</v>
      </c>
      <c r="J2257" t="s">
        <v>355</v>
      </c>
      <c r="K2257" t="s">
        <v>169</v>
      </c>
      <c r="L2257" t="s">
        <v>176</v>
      </c>
      <c r="M2257" t="s">
        <v>23</v>
      </c>
      <c r="N2257" t="s">
        <v>183</v>
      </c>
      <c r="O2257" t="str">
        <f t="shared" si="301"/>
        <v>3.1.90.94.00</v>
      </c>
      <c r="R2257" s="25">
        <v>1.0500000000465661</v>
      </c>
      <c r="S2257" t="s">
        <v>27</v>
      </c>
    </row>
    <row r="2258" spans="1:19" x14ac:dyDescent="0.25">
      <c r="A2258" t="s">
        <v>2208</v>
      </c>
      <c r="B2258" t="s">
        <v>352</v>
      </c>
      <c r="C2258" t="s">
        <v>166</v>
      </c>
      <c r="D2258" t="s">
        <v>175</v>
      </c>
      <c r="E2258" t="s">
        <v>16</v>
      </c>
      <c r="F2258" t="s">
        <v>182</v>
      </c>
      <c r="G2258" t="s">
        <v>2203</v>
      </c>
      <c r="H2258" t="s">
        <v>2051</v>
      </c>
      <c r="I2258" t="s">
        <v>1454</v>
      </c>
      <c r="J2258" t="s">
        <v>355</v>
      </c>
      <c r="K2258" t="s">
        <v>169</v>
      </c>
      <c r="L2258" t="s">
        <v>176</v>
      </c>
      <c r="M2258" t="s">
        <v>23</v>
      </c>
      <c r="N2258" t="s">
        <v>183</v>
      </c>
      <c r="O2258" t="str">
        <f t="shared" si="301"/>
        <v>3.1.91.13.00</v>
      </c>
      <c r="R2258" s="25">
        <v>1.0500000000465661</v>
      </c>
      <c r="S2258" t="s">
        <v>27</v>
      </c>
    </row>
    <row r="2259" spans="1:19" x14ac:dyDescent="0.25">
      <c r="A2259" t="s">
        <v>2208</v>
      </c>
      <c r="B2259" t="s">
        <v>352</v>
      </c>
      <c r="C2259" t="s">
        <v>166</v>
      </c>
      <c r="D2259" t="s">
        <v>175</v>
      </c>
      <c r="E2259" t="s">
        <v>16</v>
      </c>
      <c r="F2259" t="s">
        <v>182</v>
      </c>
      <c r="G2259" t="s">
        <v>2206</v>
      </c>
      <c r="H2259" t="s">
        <v>2052</v>
      </c>
      <c r="I2259" t="s">
        <v>1454</v>
      </c>
      <c r="J2259" t="s">
        <v>355</v>
      </c>
      <c r="K2259" t="s">
        <v>169</v>
      </c>
      <c r="L2259" t="s">
        <v>176</v>
      </c>
      <c r="M2259" t="s">
        <v>23</v>
      </c>
      <c r="N2259" t="s">
        <v>183</v>
      </c>
      <c r="O2259" t="str">
        <f t="shared" si="301"/>
        <v>3.3.90.46.00</v>
      </c>
      <c r="R2259" s="25">
        <v>1.0499999999883585</v>
      </c>
      <c r="S2259" t="s">
        <v>27</v>
      </c>
    </row>
    <row r="2260" spans="1:19" x14ac:dyDescent="0.25">
      <c r="A2260" t="s">
        <v>2208</v>
      </c>
      <c r="B2260" t="s">
        <v>352</v>
      </c>
      <c r="C2260" t="s">
        <v>166</v>
      </c>
      <c r="D2260" t="s">
        <v>175</v>
      </c>
      <c r="E2260" t="s">
        <v>16</v>
      </c>
      <c r="F2260" t="s">
        <v>182</v>
      </c>
      <c r="G2260" t="s">
        <v>2207</v>
      </c>
      <c r="H2260" t="s">
        <v>2053</v>
      </c>
      <c r="I2260" t="s">
        <v>1454</v>
      </c>
      <c r="J2260" t="s">
        <v>355</v>
      </c>
      <c r="K2260" t="s">
        <v>169</v>
      </c>
      <c r="L2260" t="s">
        <v>176</v>
      </c>
      <c r="M2260" t="s">
        <v>23</v>
      </c>
      <c r="N2260" t="s">
        <v>183</v>
      </c>
      <c r="O2260" t="str">
        <f t="shared" si="301"/>
        <v>3.3.90.49.00</v>
      </c>
      <c r="R2260" s="25">
        <v>1.0500000000029104</v>
      </c>
      <c r="S2260" t="s">
        <v>27</v>
      </c>
    </row>
    <row r="2261" spans="1:19" x14ac:dyDescent="0.25">
      <c r="A2261" t="s">
        <v>2208</v>
      </c>
      <c r="B2261" t="s">
        <v>335</v>
      </c>
      <c r="C2261" t="s">
        <v>166</v>
      </c>
      <c r="D2261" t="s">
        <v>175</v>
      </c>
      <c r="E2261" t="s">
        <v>16</v>
      </c>
      <c r="F2261" t="s">
        <v>182</v>
      </c>
      <c r="G2261" t="s">
        <v>2201</v>
      </c>
      <c r="H2261" t="s">
        <v>2054</v>
      </c>
      <c r="I2261" t="s">
        <v>1454</v>
      </c>
      <c r="J2261" t="s">
        <v>336</v>
      </c>
      <c r="K2261" t="s">
        <v>169</v>
      </c>
      <c r="L2261" t="s">
        <v>176</v>
      </c>
      <c r="M2261" t="s">
        <v>23</v>
      </c>
      <c r="N2261" t="s">
        <v>183</v>
      </c>
      <c r="O2261" t="str">
        <f t="shared" si="301"/>
        <v>3.1.90.94.00</v>
      </c>
      <c r="R2261" s="25">
        <v>1.05</v>
      </c>
      <c r="S2261" t="s">
        <v>27</v>
      </c>
    </row>
    <row r="2262" spans="1:19" x14ac:dyDescent="0.25">
      <c r="A2262" t="s">
        <v>2208</v>
      </c>
      <c r="B2262" t="s">
        <v>319</v>
      </c>
      <c r="C2262" t="s">
        <v>166</v>
      </c>
      <c r="D2262" t="s">
        <v>175</v>
      </c>
      <c r="E2262" t="s">
        <v>16</v>
      </c>
      <c r="F2262" t="s">
        <v>182</v>
      </c>
      <c r="G2262" t="s">
        <v>2201</v>
      </c>
      <c r="H2262" t="s">
        <v>2055</v>
      </c>
      <c r="I2262" t="s">
        <v>1454</v>
      </c>
      <c r="J2262" t="s">
        <v>324</v>
      </c>
      <c r="K2262" t="s">
        <v>169</v>
      </c>
      <c r="L2262" t="s">
        <v>176</v>
      </c>
      <c r="M2262" t="s">
        <v>23</v>
      </c>
      <c r="N2262" t="s">
        <v>183</v>
      </c>
      <c r="O2262" t="str">
        <f t="shared" si="301"/>
        <v>3.1.90.94.00</v>
      </c>
      <c r="R2262" s="25">
        <v>1.05</v>
      </c>
      <c r="S2262" t="s">
        <v>27</v>
      </c>
    </row>
    <row r="2263" spans="1:19" x14ac:dyDescent="0.25">
      <c r="A2263" t="s">
        <v>2208</v>
      </c>
      <c r="B2263" t="s">
        <v>120</v>
      </c>
      <c r="C2263" t="s">
        <v>166</v>
      </c>
      <c r="D2263" t="s">
        <v>175</v>
      </c>
      <c r="E2263" t="s">
        <v>16</v>
      </c>
      <c r="F2263" t="s">
        <v>182</v>
      </c>
      <c r="G2263" t="s">
        <v>2201</v>
      </c>
      <c r="H2263" t="s">
        <v>2056</v>
      </c>
      <c r="I2263" t="s">
        <v>1454</v>
      </c>
      <c r="J2263" t="s">
        <v>123</v>
      </c>
      <c r="K2263" t="s">
        <v>169</v>
      </c>
      <c r="L2263" t="s">
        <v>176</v>
      </c>
      <c r="M2263" t="s">
        <v>23</v>
      </c>
      <c r="N2263" t="s">
        <v>183</v>
      </c>
      <c r="O2263" t="str">
        <f t="shared" si="301"/>
        <v>3.1.90.94.00</v>
      </c>
      <c r="R2263" s="25">
        <v>1.05</v>
      </c>
      <c r="S2263" t="s">
        <v>27</v>
      </c>
    </row>
    <row r="2264" spans="1:19" x14ac:dyDescent="0.25">
      <c r="A2264" t="s">
        <v>2208</v>
      </c>
      <c r="B2264" t="s">
        <v>47</v>
      </c>
      <c r="C2264" t="s">
        <v>166</v>
      </c>
      <c r="D2264" t="s">
        <v>175</v>
      </c>
      <c r="E2264" t="s">
        <v>16</v>
      </c>
      <c r="F2264" t="s">
        <v>182</v>
      </c>
      <c r="G2264" t="s">
        <v>2201</v>
      </c>
      <c r="H2264" t="s">
        <v>2057</v>
      </c>
      <c r="I2264" t="s">
        <v>1454</v>
      </c>
      <c r="J2264" t="s">
        <v>48</v>
      </c>
      <c r="K2264" t="s">
        <v>169</v>
      </c>
      <c r="L2264" t="s">
        <v>176</v>
      </c>
      <c r="M2264" t="s">
        <v>23</v>
      </c>
      <c r="N2264" t="s">
        <v>183</v>
      </c>
      <c r="O2264" t="str">
        <f t="shared" si="301"/>
        <v>3.1.90.94.00</v>
      </c>
      <c r="R2264" s="25">
        <v>1.05</v>
      </c>
      <c r="S2264" t="s">
        <v>27</v>
      </c>
    </row>
    <row r="2265" spans="1:19" x14ac:dyDescent="0.25">
      <c r="A2265" t="s">
        <v>2208</v>
      </c>
      <c r="B2265" t="s">
        <v>2214</v>
      </c>
      <c r="C2265" t="s">
        <v>166</v>
      </c>
      <c r="D2265" t="s">
        <v>175</v>
      </c>
      <c r="E2265" t="s">
        <v>16</v>
      </c>
      <c r="F2265" t="s">
        <v>182</v>
      </c>
      <c r="G2265" t="s">
        <v>2201</v>
      </c>
      <c r="H2265" t="s">
        <v>2058</v>
      </c>
      <c r="I2265" t="s">
        <v>1454</v>
      </c>
      <c r="J2265" t="s">
        <v>2214</v>
      </c>
      <c r="K2265" t="s">
        <v>169</v>
      </c>
      <c r="L2265" t="s">
        <v>176</v>
      </c>
      <c r="M2265" t="s">
        <v>23</v>
      </c>
      <c r="N2265" t="s">
        <v>183</v>
      </c>
      <c r="O2265" t="str">
        <f t="shared" si="301"/>
        <v>3.1.90.94.00</v>
      </c>
      <c r="R2265" s="25">
        <v>1.05</v>
      </c>
      <c r="S2265" t="s">
        <v>27</v>
      </c>
    </row>
    <row r="2266" spans="1:19" x14ac:dyDescent="0.25">
      <c r="A2266" t="s">
        <v>2208</v>
      </c>
      <c r="B2266" t="s">
        <v>473</v>
      </c>
      <c r="C2266" t="s">
        <v>166</v>
      </c>
      <c r="D2266" t="s">
        <v>175</v>
      </c>
      <c r="E2266" t="s">
        <v>16</v>
      </c>
      <c r="F2266" t="s">
        <v>182</v>
      </c>
      <c r="G2266" t="s">
        <v>2201</v>
      </c>
      <c r="H2266" t="s">
        <v>2059</v>
      </c>
      <c r="I2266" t="s">
        <v>1454</v>
      </c>
      <c r="J2266" t="s">
        <v>474</v>
      </c>
      <c r="K2266" t="s">
        <v>169</v>
      </c>
      <c r="L2266" t="s">
        <v>176</v>
      </c>
      <c r="M2266" t="s">
        <v>23</v>
      </c>
      <c r="N2266" t="s">
        <v>183</v>
      </c>
      <c r="O2266" t="str">
        <f t="shared" si="301"/>
        <v>3.1.90.94.00</v>
      </c>
      <c r="R2266" s="25">
        <v>1.05</v>
      </c>
      <c r="S2266" t="s">
        <v>27</v>
      </c>
    </row>
    <row r="2267" spans="1:19" x14ac:dyDescent="0.25">
      <c r="A2267" t="s">
        <v>2208</v>
      </c>
      <c r="B2267" t="s">
        <v>359</v>
      </c>
      <c r="C2267" t="s">
        <v>166</v>
      </c>
      <c r="D2267" t="s">
        <v>175</v>
      </c>
      <c r="E2267" t="s">
        <v>16</v>
      </c>
      <c r="F2267" t="s">
        <v>182</v>
      </c>
      <c r="G2267" t="s">
        <v>2201</v>
      </c>
      <c r="H2267" t="s">
        <v>2060</v>
      </c>
      <c r="I2267" t="s">
        <v>1454</v>
      </c>
      <c r="J2267" t="s">
        <v>361</v>
      </c>
      <c r="K2267" t="s">
        <v>169</v>
      </c>
      <c r="L2267" t="s">
        <v>176</v>
      </c>
      <c r="M2267" t="s">
        <v>23</v>
      </c>
      <c r="N2267" t="s">
        <v>183</v>
      </c>
      <c r="O2267" t="str">
        <f t="shared" si="301"/>
        <v>3.1.90.94.00</v>
      </c>
      <c r="R2267" s="25">
        <v>1.05</v>
      </c>
      <c r="S2267" t="s">
        <v>27</v>
      </c>
    </row>
    <row r="2268" spans="1:19" x14ac:dyDescent="0.25">
      <c r="A2268" t="s">
        <v>2208</v>
      </c>
      <c r="B2268" t="s">
        <v>2212</v>
      </c>
      <c r="C2268" t="s">
        <v>166</v>
      </c>
      <c r="D2268" t="s">
        <v>175</v>
      </c>
      <c r="E2268" t="s">
        <v>16</v>
      </c>
      <c r="F2268" t="s">
        <v>182</v>
      </c>
      <c r="G2268" t="s">
        <v>2196</v>
      </c>
      <c r="H2268" t="s">
        <v>2062</v>
      </c>
      <c r="I2268" t="s">
        <v>1454</v>
      </c>
      <c r="J2268" t="s">
        <v>2212</v>
      </c>
      <c r="K2268" t="s">
        <v>169</v>
      </c>
      <c r="L2268" t="s">
        <v>176</v>
      </c>
      <c r="M2268" t="s">
        <v>23</v>
      </c>
      <c r="N2268" t="s">
        <v>183</v>
      </c>
      <c r="O2268" t="str">
        <f t="shared" si="301"/>
        <v>3.1.90.11.00</v>
      </c>
      <c r="R2268" s="25">
        <v>315000</v>
      </c>
      <c r="S2268" t="s">
        <v>27</v>
      </c>
    </row>
    <row r="2269" spans="1:19" x14ac:dyDescent="0.25">
      <c r="A2269" t="s">
        <v>2208</v>
      </c>
      <c r="B2269" t="s">
        <v>2212</v>
      </c>
      <c r="C2269" t="s">
        <v>166</v>
      </c>
      <c r="D2269" t="s">
        <v>175</v>
      </c>
      <c r="E2269" t="s">
        <v>16</v>
      </c>
      <c r="F2269" t="s">
        <v>182</v>
      </c>
      <c r="G2269" t="s">
        <v>2198</v>
      </c>
      <c r="H2269" t="s">
        <v>2063</v>
      </c>
      <c r="I2269" t="s">
        <v>1454</v>
      </c>
      <c r="J2269" t="s">
        <v>2212</v>
      </c>
      <c r="K2269" t="s">
        <v>169</v>
      </c>
      <c r="L2269" t="s">
        <v>176</v>
      </c>
      <c r="M2269" t="s">
        <v>23</v>
      </c>
      <c r="N2269" t="s">
        <v>183</v>
      </c>
      <c r="O2269" t="str">
        <f t="shared" si="301"/>
        <v>3.1.90.16.00</v>
      </c>
      <c r="R2269" s="25">
        <v>191406.6</v>
      </c>
      <c r="S2269" t="s">
        <v>27</v>
      </c>
    </row>
    <row r="2270" spans="1:19" x14ac:dyDescent="0.25">
      <c r="A2270" t="s">
        <v>2208</v>
      </c>
      <c r="B2270" t="s">
        <v>2212</v>
      </c>
      <c r="C2270" t="s">
        <v>166</v>
      </c>
      <c r="D2270" t="s">
        <v>175</v>
      </c>
      <c r="E2270" t="s">
        <v>16</v>
      </c>
      <c r="F2270" t="s">
        <v>182</v>
      </c>
      <c r="G2270" t="s">
        <v>2203</v>
      </c>
      <c r="H2270" t="s">
        <v>2064</v>
      </c>
      <c r="I2270" t="s">
        <v>1454</v>
      </c>
      <c r="J2270" t="s">
        <v>2212</v>
      </c>
      <c r="K2270" t="s">
        <v>169</v>
      </c>
      <c r="L2270" t="s">
        <v>176</v>
      </c>
      <c r="M2270" t="s">
        <v>23</v>
      </c>
      <c r="N2270" t="s">
        <v>183</v>
      </c>
      <c r="O2270" t="str">
        <f t="shared" si="301"/>
        <v>3.1.91.13.00</v>
      </c>
      <c r="R2270" s="25">
        <v>126000</v>
      </c>
      <c r="S2270" t="s">
        <v>27</v>
      </c>
    </row>
    <row r="2271" spans="1:19" x14ac:dyDescent="0.25">
      <c r="A2271" t="s">
        <v>2208</v>
      </c>
      <c r="B2271" t="s">
        <v>2212</v>
      </c>
      <c r="C2271" t="s">
        <v>166</v>
      </c>
      <c r="D2271" t="s">
        <v>175</v>
      </c>
      <c r="E2271" t="s">
        <v>172</v>
      </c>
      <c r="F2271" t="s">
        <v>139</v>
      </c>
      <c r="G2271" t="s">
        <v>31</v>
      </c>
      <c r="H2271" t="s">
        <v>2065</v>
      </c>
      <c r="I2271" t="s">
        <v>1454</v>
      </c>
      <c r="J2271" t="s">
        <v>2212</v>
      </c>
      <c r="K2271" t="s">
        <v>169</v>
      </c>
      <c r="L2271" t="s">
        <v>176</v>
      </c>
      <c r="M2271" t="s">
        <v>174</v>
      </c>
      <c r="N2271" t="s">
        <v>143</v>
      </c>
      <c r="O2271" t="s">
        <v>32</v>
      </c>
      <c r="R2271" s="25">
        <v>420</v>
      </c>
      <c r="S2271" t="s">
        <v>27</v>
      </c>
    </row>
    <row r="2272" spans="1:19" x14ac:dyDescent="0.25">
      <c r="A2272" t="s">
        <v>2215</v>
      </c>
      <c r="B2272" t="s">
        <v>13</v>
      </c>
      <c r="C2272" t="s">
        <v>14</v>
      </c>
      <c r="D2272" t="s">
        <v>15</v>
      </c>
      <c r="E2272" t="s">
        <v>16</v>
      </c>
      <c r="F2272" t="s">
        <v>127</v>
      </c>
      <c r="G2272" t="s">
        <v>73</v>
      </c>
      <c r="H2272" t="s">
        <v>1527</v>
      </c>
      <c r="I2272" t="s">
        <v>1528</v>
      </c>
      <c r="J2272" t="s">
        <v>20</v>
      </c>
      <c r="K2272" t="s">
        <v>21</v>
      </c>
      <c r="L2272" t="s">
        <v>22</v>
      </c>
      <c r="M2272" t="s">
        <v>23</v>
      </c>
      <c r="N2272" t="s">
        <v>130</v>
      </c>
      <c r="O2272" t="s">
        <v>74</v>
      </c>
      <c r="R2272" s="25">
        <v>1</v>
      </c>
      <c r="S2272" t="s">
        <v>27</v>
      </c>
    </row>
    <row r="2273" spans="1:19" x14ac:dyDescent="0.25">
      <c r="A2273" t="s">
        <v>2215</v>
      </c>
      <c r="B2273" t="s">
        <v>13</v>
      </c>
      <c r="C2273" t="s">
        <v>14</v>
      </c>
      <c r="D2273" t="s">
        <v>15</v>
      </c>
      <c r="E2273" t="s">
        <v>16</v>
      </c>
      <c r="F2273" t="s">
        <v>127</v>
      </c>
      <c r="G2273" t="s">
        <v>31</v>
      </c>
      <c r="H2273" t="s">
        <v>1529</v>
      </c>
      <c r="I2273" t="s">
        <v>1528</v>
      </c>
      <c r="J2273" t="s">
        <v>20</v>
      </c>
      <c r="K2273" t="s">
        <v>21</v>
      </c>
      <c r="L2273" t="s">
        <v>22</v>
      </c>
      <c r="M2273" t="s">
        <v>23</v>
      </c>
      <c r="N2273" t="s">
        <v>130</v>
      </c>
      <c r="O2273" t="s">
        <v>32</v>
      </c>
      <c r="R2273" s="25">
        <v>1</v>
      </c>
      <c r="S2273" t="s">
        <v>27</v>
      </c>
    </row>
    <row r="2274" spans="1:19" x14ac:dyDescent="0.25">
      <c r="A2274" t="s">
        <v>2215</v>
      </c>
      <c r="B2274" t="s">
        <v>13</v>
      </c>
      <c r="C2274" t="s">
        <v>14</v>
      </c>
      <c r="D2274" t="s">
        <v>121</v>
      </c>
      <c r="E2274" t="s">
        <v>52</v>
      </c>
      <c r="F2274" t="s">
        <v>122</v>
      </c>
      <c r="G2274" t="s">
        <v>131</v>
      </c>
      <c r="H2274" t="s">
        <v>1530</v>
      </c>
      <c r="I2274" t="s">
        <v>1528</v>
      </c>
      <c r="J2274" t="s">
        <v>20</v>
      </c>
      <c r="K2274" t="s">
        <v>21</v>
      </c>
      <c r="L2274" t="s">
        <v>124</v>
      </c>
      <c r="M2274" t="s">
        <v>58</v>
      </c>
      <c r="N2274" t="s">
        <v>125</v>
      </c>
      <c r="O2274" t="s">
        <v>132</v>
      </c>
      <c r="R2274" s="25">
        <v>1</v>
      </c>
      <c r="S2274" t="s">
        <v>27</v>
      </c>
    </row>
    <row r="2275" spans="1:19" x14ac:dyDescent="0.25">
      <c r="A2275" t="s">
        <v>2215</v>
      </c>
      <c r="B2275" t="s">
        <v>13</v>
      </c>
      <c r="C2275" t="s">
        <v>14</v>
      </c>
      <c r="D2275" t="s">
        <v>121</v>
      </c>
      <c r="E2275" t="s">
        <v>52</v>
      </c>
      <c r="F2275" t="s">
        <v>122</v>
      </c>
      <c r="G2275" t="s">
        <v>31</v>
      </c>
      <c r="H2275" t="s">
        <v>1531</v>
      </c>
      <c r="I2275" t="s">
        <v>1528</v>
      </c>
      <c r="J2275" t="s">
        <v>20</v>
      </c>
      <c r="K2275" t="s">
        <v>21</v>
      </c>
      <c r="L2275" t="s">
        <v>124</v>
      </c>
      <c r="M2275" t="s">
        <v>58</v>
      </c>
      <c r="N2275" t="s">
        <v>125</v>
      </c>
      <c r="O2275" t="s">
        <v>32</v>
      </c>
      <c r="R2275" s="25">
        <v>1</v>
      </c>
      <c r="S2275" t="s">
        <v>27</v>
      </c>
    </row>
    <row r="2276" spans="1:19" x14ac:dyDescent="0.25">
      <c r="A2276" t="s">
        <v>2215</v>
      </c>
      <c r="B2276" t="s">
        <v>13</v>
      </c>
      <c r="C2276" t="s">
        <v>14</v>
      </c>
      <c r="D2276" t="s">
        <v>312</v>
      </c>
      <c r="E2276" t="s">
        <v>52</v>
      </c>
      <c r="F2276" t="s">
        <v>133</v>
      </c>
      <c r="G2276" t="s">
        <v>18</v>
      </c>
      <c r="H2276" t="s">
        <v>1532</v>
      </c>
      <c r="I2276" t="s">
        <v>1528</v>
      </c>
      <c r="J2276" t="s">
        <v>20</v>
      </c>
      <c r="K2276" t="s">
        <v>21</v>
      </c>
      <c r="L2276" t="s">
        <v>313</v>
      </c>
      <c r="M2276" t="s">
        <v>58</v>
      </c>
      <c r="N2276" t="s">
        <v>134</v>
      </c>
      <c r="O2276" t="s">
        <v>25</v>
      </c>
      <c r="R2276" s="25">
        <v>3117.3</v>
      </c>
      <c r="S2276" t="s">
        <v>27</v>
      </c>
    </row>
    <row r="2277" spans="1:19" x14ac:dyDescent="0.25">
      <c r="A2277" t="s">
        <v>2215</v>
      </c>
      <c r="B2277" t="s">
        <v>13</v>
      </c>
      <c r="C2277" t="s">
        <v>14</v>
      </c>
      <c r="D2277" t="s">
        <v>312</v>
      </c>
      <c r="E2277" t="s">
        <v>52</v>
      </c>
      <c r="F2277" t="s">
        <v>133</v>
      </c>
      <c r="G2277" t="s">
        <v>31</v>
      </c>
      <c r="H2277" t="s">
        <v>1533</v>
      </c>
      <c r="I2277" t="s">
        <v>1528</v>
      </c>
      <c r="J2277" t="s">
        <v>20</v>
      </c>
      <c r="K2277" t="s">
        <v>21</v>
      </c>
      <c r="L2277" t="s">
        <v>313</v>
      </c>
      <c r="M2277" t="s">
        <v>58</v>
      </c>
      <c r="N2277" t="s">
        <v>134</v>
      </c>
      <c r="O2277" t="s">
        <v>32</v>
      </c>
      <c r="R2277" s="25">
        <v>7274.7</v>
      </c>
      <c r="S2277" t="s">
        <v>27</v>
      </c>
    </row>
    <row r="2278" spans="1:19" x14ac:dyDescent="0.25">
      <c r="A2278" t="s">
        <v>2215</v>
      </c>
      <c r="B2278" t="s">
        <v>13</v>
      </c>
      <c r="C2278" t="s">
        <v>610</v>
      </c>
      <c r="D2278" t="s">
        <v>2216</v>
      </c>
      <c r="E2278" t="s">
        <v>643</v>
      </c>
      <c r="F2278" t="s">
        <v>17</v>
      </c>
      <c r="G2278" t="s">
        <v>18</v>
      </c>
      <c r="H2278" t="s">
        <v>1534</v>
      </c>
      <c r="I2278" t="s">
        <v>1528</v>
      </c>
      <c r="J2278" t="s">
        <v>20</v>
      </c>
      <c r="K2278" t="s">
        <v>914</v>
      </c>
      <c r="L2278" t="str">
        <f t="shared" ref="L2278:L2284" si="303">D2278</f>
        <v>243</v>
      </c>
      <c r="M2278" t="s">
        <v>645</v>
      </c>
      <c r="N2278" t="s">
        <v>24</v>
      </c>
      <c r="O2278" t="s">
        <v>25</v>
      </c>
      <c r="R2278" s="25">
        <v>67541.5</v>
      </c>
      <c r="S2278" t="s">
        <v>27</v>
      </c>
    </row>
    <row r="2279" spans="1:19" x14ac:dyDescent="0.25">
      <c r="A2279" t="s">
        <v>2215</v>
      </c>
      <c r="B2279" t="s">
        <v>13</v>
      </c>
      <c r="C2279" t="s">
        <v>610</v>
      </c>
      <c r="D2279" t="s">
        <v>2216</v>
      </c>
      <c r="E2279" t="s">
        <v>643</v>
      </c>
      <c r="F2279" t="s">
        <v>17</v>
      </c>
      <c r="G2279" t="s">
        <v>31</v>
      </c>
      <c r="H2279" t="s">
        <v>1535</v>
      </c>
      <c r="I2279" t="s">
        <v>1528</v>
      </c>
      <c r="J2279" t="s">
        <v>20</v>
      </c>
      <c r="K2279" t="s">
        <v>914</v>
      </c>
      <c r="L2279" t="str">
        <f t="shared" si="303"/>
        <v>243</v>
      </c>
      <c r="M2279" t="s">
        <v>645</v>
      </c>
      <c r="N2279" t="s">
        <v>24</v>
      </c>
      <c r="O2279" t="s">
        <v>32</v>
      </c>
      <c r="R2279" s="25">
        <v>36173</v>
      </c>
      <c r="S2279" t="s">
        <v>27</v>
      </c>
    </row>
    <row r="2280" spans="1:19" x14ac:dyDescent="0.25">
      <c r="A2280" t="s">
        <v>2215</v>
      </c>
      <c r="B2280" t="s">
        <v>13</v>
      </c>
      <c r="C2280" t="s">
        <v>610</v>
      </c>
      <c r="D2280" t="s">
        <v>2216</v>
      </c>
      <c r="E2280" t="s">
        <v>643</v>
      </c>
      <c r="F2280" t="s">
        <v>17</v>
      </c>
      <c r="G2280" t="s">
        <v>80</v>
      </c>
      <c r="H2280" t="s">
        <v>1536</v>
      </c>
      <c r="I2280" t="s">
        <v>1528</v>
      </c>
      <c r="J2280" t="s">
        <v>20</v>
      </c>
      <c r="K2280" t="s">
        <v>914</v>
      </c>
      <c r="L2280" t="str">
        <f t="shared" si="303"/>
        <v>243</v>
      </c>
      <c r="M2280" t="s">
        <v>645</v>
      </c>
      <c r="N2280" t="s">
        <v>24</v>
      </c>
      <c r="O2280" t="s">
        <v>81</v>
      </c>
      <c r="R2280" s="25">
        <v>44517.122199999998</v>
      </c>
      <c r="S2280" t="s">
        <v>27</v>
      </c>
    </row>
    <row r="2281" spans="1:19" x14ac:dyDescent="0.25">
      <c r="A2281" t="s">
        <v>2215</v>
      </c>
      <c r="B2281" t="s">
        <v>13</v>
      </c>
      <c r="C2281" t="s">
        <v>610</v>
      </c>
      <c r="D2281" t="s">
        <v>2216</v>
      </c>
      <c r="E2281" t="s">
        <v>643</v>
      </c>
      <c r="F2281" t="s">
        <v>686</v>
      </c>
      <c r="G2281" t="s">
        <v>152</v>
      </c>
      <c r="H2281" t="s">
        <v>1537</v>
      </c>
      <c r="I2281" t="s">
        <v>1528</v>
      </c>
      <c r="J2281" t="s">
        <v>20</v>
      </c>
      <c r="K2281" t="s">
        <v>914</v>
      </c>
      <c r="L2281" t="str">
        <f t="shared" si="303"/>
        <v>243</v>
      </c>
      <c r="M2281" t="s">
        <v>645</v>
      </c>
      <c r="N2281" t="s">
        <v>688</v>
      </c>
      <c r="O2281" t="s">
        <v>154</v>
      </c>
      <c r="R2281" s="25">
        <v>0</v>
      </c>
      <c r="S2281" t="s">
        <v>27</v>
      </c>
    </row>
    <row r="2282" spans="1:19" x14ac:dyDescent="0.25">
      <c r="A2282" t="s">
        <v>2215</v>
      </c>
      <c r="B2282" t="s">
        <v>773</v>
      </c>
      <c r="C2282" t="s">
        <v>610</v>
      </c>
      <c r="D2282" t="s">
        <v>2216</v>
      </c>
      <c r="E2282" t="s">
        <v>643</v>
      </c>
      <c r="F2282" t="s">
        <v>686</v>
      </c>
      <c r="G2282" t="s">
        <v>152</v>
      </c>
      <c r="H2282" t="s">
        <v>1538</v>
      </c>
      <c r="I2282" t="s">
        <v>1528</v>
      </c>
      <c r="J2282" t="s">
        <v>775</v>
      </c>
      <c r="K2282" t="s">
        <v>914</v>
      </c>
      <c r="L2282" t="str">
        <f t="shared" si="303"/>
        <v>243</v>
      </c>
      <c r="M2282" t="s">
        <v>645</v>
      </c>
      <c r="N2282" t="s">
        <v>688</v>
      </c>
      <c r="O2282" t="s">
        <v>154</v>
      </c>
      <c r="R2282" s="25">
        <v>13451278.24</v>
      </c>
      <c r="S2282" t="s">
        <v>27</v>
      </c>
    </row>
    <row r="2283" spans="1:19" x14ac:dyDescent="0.25">
      <c r="A2283" t="s">
        <v>2215</v>
      </c>
      <c r="B2283" t="s">
        <v>773</v>
      </c>
      <c r="C2283" t="s">
        <v>610</v>
      </c>
      <c r="D2283" t="s">
        <v>2216</v>
      </c>
      <c r="E2283" t="s">
        <v>643</v>
      </c>
      <c r="F2283" t="s">
        <v>686</v>
      </c>
      <c r="G2283" t="s">
        <v>303</v>
      </c>
      <c r="H2283" t="s">
        <v>1539</v>
      </c>
      <c r="I2283" t="s">
        <v>1528</v>
      </c>
      <c r="J2283" t="s">
        <v>775</v>
      </c>
      <c r="K2283" t="s">
        <v>914</v>
      </c>
      <c r="L2283" t="str">
        <f t="shared" si="303"/>
        <v>243</v>
      </c>
      <c r="M2283" t="s">
        <v>645</v>
      </c>
      <c r="N2283" t="s">
        <v>688</v>
      </c>
      <c r="O2283" t="s">
        <v>304</v>
      </c>
      <c r="R2283" s="25">
        <v>1</v>
      </c>
      <c r="S2283" t="s">
        <v>27</v>
      </c>
    </row>
    <row r="2284" spans="1:19" x14ac:dyDescent="0.25">
      <c r="A2284" t="s">
        <v>2215</v>
      </c>
      <c r="B2284" t="s">
        <v>773</v>
      </c>
      <c r="C2284" t="s">
        <v>610</v>
      </c>
      <c r="D2284" t="s">
        <v>2216</v>
      </c>
      <c r="E2284" t="s">
        <v>643</v>
      </c>
      <c r="F2284" t="s">
        <v>686</v>
      </c>
      <c r="G2284" t="s">
        <v>40</v>
      </c>
      <c r="H2284" t="s">
        <v>1540</v>
      </c>
      <c r="I2284" t="s">
        <v>1528</v>
      </c>
      <c r="J2284" t="s">
        <v>775</v>
      </c>
      <c r="K2284" t="s">
        <v>914</v>
      </c>
      <c r="L2284" t="str">
        <f t="shared" si="303"/>
        <v>243</v>
      </c>
      <c r="M2284" t="s">
        <v>645</v>
      </c>
      <c r="N2284" t="s">
        <v>688</v>
      </c>
      <c r="O2284" t="s">
        <v>41</v>
      </c>
      <c r="R2284" s="25">
        <v>1</v>
      </c>
      <c r="S2284" t="s">
        <v>27</v>
      </c>
    </row>
    <row r="2285" spans="1:19" x14ac:dyDescent="0.25">
      <c r="A2285" t="s">
        <v>2215</v>
      </c>
      <c r="B2285" t="s">
        <v>13</v>
      </c>
      <c r="C2285" t="s">
        <v>14</v>
      </c>
      <c r="D2285" t="s">
        <v>15</v>
      </c>
      <c r="E2285" t="s">
        <v>16</v>
      </c>
      <c r="F2285" t="s">
        <v>182</v>
      </c>
      <c r="G2285" t="s">
        <v>2196</v>
      </c>
      <c r="H2285" t="s">
        <v>2095</v>
      </c>
      <c r="I2285" t="s">
        <v>1528</v>
      </c>
      <c r="J2285" t="s">
        <v>20</v>
      </c>
      <c r="K2285" t="s">
        <v>21</v>
      </c>
      <c r="L2285" t="s">
        <v>22</v>
      </c>
      <c r="M2285" t="s">
        <v>23</v>
      </c>
      <c r="N2285" t="s">
        <v>183</v>
      </c>
      <c r="O2285" t="str">
        <f>G2285</f>
        <v>3.1.90.11.00</v>
      </c>
      <c r="R2285" s="25">
        <v>5916025.21</v>
      </c>
      <c r="S2285" t="s">
        <v>27</v>
      </c>
    </row>
    <row r="2286" spans="1:19" x14ac:dyDescent="0.25">
      <c r="A2286" t="s">
        <v>2215</v>
      </c>
      <c r="B2286" t="s">
        <v>13</v>
      </c>
      <c r="C2286" t="s">
        <v>14</v>
      </c>
      <c r="D2286" t="s">
        <v>15</v>
      </c>
      <c r="E2286" t="s">
        <v>16</v>
      </c>
      <c r="F2286" t="s">
        <v>182</v>
      </c>
      <c r="G2286" t="s">
        <v>2197</v>
      </c>
      <c r="H2286" t="s">
        <v>2096</v>
      </c>
      <c r="I2286" t="s">
        <v>1528</v>
      </c>
      <c r="J2286" t="s">
        <v>20</v>
      </c>
      <c r="K2286" t="s">
        <v>21</v>
      </c>
      <c r="L2286" t="s">
        <v>22</v>
      </c>
      <c r="M2286" t="s">
        <v>23</v>
      </c>
      <c r="N2286" t="s">
        <v>183</v>
      </c>
      <c r="O2286" t="str">
        <f>G2286</f>
        <v>3.1.90.13.00</v>
      </c>
      <c r="R2286" s="25">
        <v>1115527.1000000001</v>
      </c>
      <c r="S2286" t="s">
        <v>27</v>
      </c>
    </row>
    <row r="2287" spans="1:19" x14ac:dyDescent="0.25">
      <c r="A2287" t="s">
        <v>2215</v>
      </c>
      <c r="B2287" t="s">
        <v>13</v>
      </c>
      <c r="C2287" t="s">
        <v>14</v>
      </c>
      <c r="D2287" t="s">
        <v>15</v>
      </c>
      <c r="E2287" t="s">
        <v>16</v>
      </c>
      <c r="F2287" t="s">
        <v>182</v>
      </c>
      <c r="G2287" t="s">
        <v>2203</v>
      </c>
      <c r="H2287" t="s">
        <v>2097</v>
      </c>
      <c r="I2287" t="s">
        <v>1528</v>
      </c>
      <c r="J2287" t="s">
        <v>20</v>
      </c>
      <c r="K2287" t="s">
        <v>21</v>
      </c>
      <c r="L2287" t="s">
        <v>22</v>
      </c>
      <c r="M2287" t="s">
        <v>23</v>
      </c>
      <c r="N2287" t="s">
        <v>183</v>
      </c>
      <c r="O2287" t="str">
        <f>G2287</f>
        <v>3.1.91.13.00</v>
      </c>
      <c r="R2287" s="25">
        <v>230249.16</v>
      </c>
      <c r="S2287" t="s">
        <v>27</v>
      </c>
    </row>
    <row r="2288" spans="1:19" x14ac:dyDescent="0.25">
      <c r="A2288" t="s">
        <v>2215</v>
      </c>
      <c r="B2288" t="s">
        <v>13</v>
      </c>
      <c r="C2288" t="s">
        <v>14</v>
      </c>
      <c r="D2288" t="s">
        <v>15</v>
      </c>
      <c r="E2288" t="s">
        <v>16</v>
      </c>
      <c r="F2288" t="s">
        <v>182</v>
      </c>
      <c r="G2288" t="s">
        <v>2206</v>
      </c>
      <c r="H2288" t="s">
        <v>2098</v>
      </c>
      <c r="I2288" t="s">
        <v>1528</v>
      </c>
      <c r="J2288" t="s">
        <v>20</v>
      </c>
      <c r="K2288" t="s">
        <v>21</v>
      </c>
      <c r="L2288" t="s">
        <v>22</v>
      </c>
      <c r="M2288" t="s">
        <v>23</v>
      </c>
      <c r="N2288" t="s">
        <v>183</v>
      </c>
      <c r="O2288" t="str">
        <f>G2288</f>
        <v>3.3.90.46.00</v>
      </c>
      <c r="R2288" s="25">
        <v>3.33</v>
      </c>
      <c r="S2288" t="s">
        <v>27</v>
      </c>
    </row>
    <row r="2289" spans="1:19" x14ac:dyDescent="0.25">
      <c r="A2289" t="s">
        <v>2215</v>
      </c>
      <c r="B2289" t="s">
        <v>13</v>
      </c>
      <c r="C2289" t="s">
        <v>14</v>
      </c>
      <c r="D2289" t="s">
        <v>15</v>
      </c>
      <c r="E2289" t="s">
        <v>16</v>
      </c>
      <c r="F2289" t="s">
        <v>182</v>
      </c>
      <c r="G2289" t="s">
        <v>2207</v>
      </c>
      <c r="H2289" t="s">
        <v>2099</v>
      </c>
      <c r="I2289" t="s">
        <v>1528</v>
      </c>
      <c r="J2289" t="s">
        <v>20</v>
      </c>
      <c r="K2289" t="s">
        <v>21</v>
      </c>
      <c r="L2289" t="s">
        <v>22</v>
      </c>
      <c r="M2289" t="s">
        <v>23</v>
      </c>
      <c r="N2289" t="s">
        <v>183</v>
      </c>
      <c r="O2289" t="str">
        <f>G2289</f>
        <v>3.3.90.49.00</v>
      </c>
      <c r="R2289" s="25">
        <v>49690.21</v>
      </c>
      <c r="S2289" t="s">
        <v>27</v>
      </c>
    </row>
    <row r="2290" spans="1:19" x14ac:dyDescent="0.25">
      <c r="A2290" t="s">
        <v>2215</v>
      </c>
      <c r="B2290" t="s">
        <v>13</v>
      </c>
      <c r="C2290" t="s">
        <v>610</v>
      </c>
      <c r="D2290" t="s">
        <v>2216</v>
      </c>
      <c r="E2290" t="s">
        <v>16</v>
      </c>
      <c r="F2290" t="s">
        <v>139</v>
      </c>
      <c r="G2290" t="s">
        <v>31</v>
      </c>
      <c r="H2290" t="s">
        <v>2100</v>
      </c>
      <c r="I2290" t="s">
        <v>1528</v>
      </c>
      <c r="J2290" t="s">
        <v>20</v>
      </c>
      <c r="K2290" t="s">
        <v>914</v>
      </c>
      <c r="L2290" t="str">
        <f t="shared" ref="L2290:L2311" si="304">D2290</f>
        <v>243</v>
      </c>
      <c r="M2290" t="s">
        <v>23</v>
      </c>
      <c r="N2290" t="s">
        <v>143</v>
      </c>
      <c r="O2290" t="s">
        <v>32</v>
      </c>
      <c r="R2290" s="25">
        <v>1</v>
      </c>
      <c r="S2290" t="s">
        <v>27</v>
      </c>
    </row>
    <row r="2291" spans="1:19" x14ac:dyDescent="0.25">
      <c r="A2291" t="s">
        <v>2215</v>
      </c>
      <c r="B2291" t="s">
        <v>13</v>
      </c>
      <c r="C2291" t="s">
        <v>610</v>
      </c>
      <c r="D2291" t="s">
        <v>2216</v>
      </c>
      <c r="E2291" t="s">
        <v>643</v>
      </c>
      <c r="F2291" t="s">
        <v>177</v>
      </c>
      <c r="G2291" t="s">
        <v>80</v>
      </c>
      <c r="H2291" t="s">
        <v>2101</v>
      </c>
      <c r="I2291" t="s">
        <v>1528</v>
      </c>
      <c r="J2291" t="s">
        <v>20</v>
      </c>
      <c r="K2291" t="s">
        <v>914</v>
      </c>
      <c r="L2291" t="str">
        <f t="shared" si="304"/>
        <v>243</v>
      </c>
      <c r="M2291" t="s">
        <v>645</v>
      </c>
      <c r="N2291" t="s">
        <v>179</v>
      </c>
      <c r="O2291" t="s">
        <v>81</v>
      </c>
      <c r="R2291" s="25">
        <v>1</v>
      </c>
      <c r="S2291" t="s">
        <v>27</v>
      </c>
    </row>
    <row r="2292" spans="1:19" x14ac:dyDescent="0.25">
      <c r="A2292" t="s">
        <v>2217</v>
      </c>
      <c r="B2292" t="s">
        <v>13</v>
      </c>
      <c r="C2292" t="s">
        <v>308</v>
      </c>
      <c r="D2292" t="s">
        <v>2218</v>
      </c>
      <c r="E2292" t="s">
        <v>16</v>
      </c>
      <c r="F2292" t="s">
        <v>17</v>
      </c>
      <c r="G2292" t="s">
        <v>2192</v>
      </c>
      <c r="H2292" t="s">
        <v>1431</v>
      </c>
      <c r="I2292" t="s">
        <v>1432</v>
      </c>
      <c r="J2292" t="s">
        <v>20</v>
      </c>
      <c r="K2292" t="str">
        <f t="shared" ref="K2292:K2311" si="305">C2292</f>
        <v>09</v>
      </c>
      <c r="L2292" t="str">
        <f t="shared" si="304"/>
        <v>272</v>
      </c>
      <c r="M2292" t="s">
        <v>23</v>
      </c>
      <c r="N2292" t="s">
        <v>24</v>
      </c>
      <c r="O2292" t="str">
        <f>G2292</f>
        <v>3.3.90.14.00</v>
      </c>
      <c r="R2292" s="25">
        <v>70000</v>
      </c>
      <c r="S2292" t="s">
        <v>27</v>
      </c>
    </row>
    <row r="2293" spans="1:19" x14ac:dyDescent="0.25">
      <c r="A2293" t="s">
        <v>2217</v>
      </c>
      <c r="B2293" t="s">
        <v>13</v>
      </c>
      <c r="C2293" t="s">
        <v>308</v>
      </c>
      <c r="D2293" t="s">
        <v>2218</v>
      </c>
      <c r="E2293" t="s">
        <v>16</v>
      </c>
      <c r="F2293" t="s">
        <v>17</v>
      </c>
      <c r="G2293" t="s">
        <v>18</v>
      </c>
      <c r="H2293" t="s">
        <v>1433</v>
      </c>
      <c r="I2293" t="s">
        <v>1432</v>
      </c>
      <c r="J2293" t="s">
        <v>20</v>
      </c>
      <c r="K2293" t="str">
        <f t="shared" si="305"/>
        <v>09</v>
      </c>
      <c r="L2293" t="str">
        <f t="shared" si="304"/>
        <v>272</v>
      </c>
      <c r="M2293" t="s">
        <v>23</v>
      </c>
      <c r="N2293" t="s">
        <v>24</v>
      </c>
      <c r="O2293" t="s">
        <v>25</v>
      </c>
      <c r="R2293" s="25">
        <v>300000</v>
      </c>
      <c r="S2293" t="s">
        <v>27</v>
      </c>
    </row>
    <row r="2294" spans="1:19" x14ac:dyDescent="0.25">
      <c r="A2294" t="s">
        <v>2217</v>
      </c>
      <c r="B2294" t="s">
        <v>13</v>
      </c>
      <c r="C2294" t="s">
        <v>308</v>
      </c>
      <c r="D2294" t="s">
        <v>2218</v>
      </c>
      <c r="E2294" t="s">
        <v>16</v>
      </c>
      <c r="F2294" t="s">
        <v>17</v>
      </c>
      <c r="G2294" t="s">
        <v>73</v>
      </c>
      <c r="H2294" t="s">
        <v>1434</v>
      </c>
      <c r="I2294" t="s">
        <v>1432</v>
      </c>
      <c r="J2294" t="s">
        <v>20</v>
      </c>
      <c r="K2294" t="str">
        <f t="shared" si="305"/>
        <v>09</v>
      </c>
      <c r="L2294" t="str">
        <f t="shared" si="304"/>
        <v>272</v>
      </c>
      <c r="M2294" t="s">
        <v>23</v>
      </c>
      <c r="N2294" t="s">
        <v>24</v>
      </c>
      <c r="O2294" t="s">
        <v>74</v>
      </c>
      <c r="R2294" s="25">
        <v>20000</v>
      </c>
      <c r="S2294" t="s">
        <v>27</v>
      </c>
    </row>
    <row r="2295" spans="1:19" x14ac:dyDescent="0.25">
      <c r="A2295" t="s">
        <v>2217</v>
      </c>
      <c r="B2295" t="s">
        <v>13</v>
      </c>
      <c r="C2295" t="s">
        <v>308</v>
      </c>
      <c r="D2295" t="s">
        <v>2218</v>
      </c>
      <c r="E2295" t="s">
        <v>16</v>
      </c>
      <c r="F2295" t="s">
        <v>17</v>
      </c>
      <c r="G2295" t="s">
        <v>930</v>
      </c>
      <c r="H2295" t="s">
        <v>1435</v>
      </c>
      <c r="I2295" t="s">
        <v>1432</v>
      </c>
      <c r="J2295" t="s">
        <v>20</v>
      </c>
      <c r="K2295" t="str">
        <f t="shared" si="305"/>
        <v>09</v>
      </c>
      <c r="L2295" t="str">
        <f t="shared" si="304"/>
        <v>272</v>
      </c>
      <c r="M2295" t="s">
        <v>23</v>
      </c>
      <c r="N2295" t="s">
        <v>24</v>
      </c>
      <c r="O2295" t="s">
        <v>931</v>
      </c>
      <c r="R2295" s="25">
        <v>890000</v>
      </c>
      <c r="S2295" t="s">
        <v>27</v>
      </c>
    </row>
    <row r="2296" spans="1:19" x14ac:dyDescent="0.25">
      <c r="A2296" t="s">
        <v>2217</v>
      </c>
      <c r="B2296" t="s">
        <v>13</v>
      </c>
      <c r="C2296" t="s">
        <v>308</v>
      </c>
      <c r="D2296" t="s">
        <v>2218</v>
      </c>
      <c r="E2296" t="s">
        <v>16</v>
      </c>
      <c r="F2296" t="s">
        <v>17</v>
      </c>
      <c r="G2296" t="s">
        <v>131</v>
      </c>
      <c r="H2296" t="s">
        <v>1436</v>
      </c>
      <c r="I2296" t="s">
        <v>1432</v>
      </c>
      <c r="J2296" t="s">
        <v>20</v>
      </c>
      <c r="K2296" t="str">
        <f t="shared" si="305"/>
        <v>09</v>
      </c>
      <c r="L2296" t="str">
        <f t="shared" si="304"/>
        <v>272</v>
      </c>
      <c r="M2296" t="s">
        <v>23</v>
      </c>
      <c r="N2296" t="s">
        <v>24</v>
      </c>
      <c r="O2296" t="s">
        <v>132</v>
      </c>
      <c r="R2296" s="25">
        <v>100000</v>
      </c>
      <c r="S2296" t="s">
        <v>27</v>
      </c>
    </row>
    <row r="2297" spans="1:19" x14ac:dyDescent="0.25">
      <c r="A2297" t="s">
        <v>2217</v>
      </c>
      <c r="B2297" t="s">
        <v>13</v>
      </c>
      <c r="C2297" t="s">
        <v>308</v>
      </c>
      <c r="D2297" t="s">
        <v>2218</v>
      </c>
      <c r="E2297" t="s">
        <v>16</v>
      </c>
      <c r="F2297" t="s">
        <v>17</v>
      </c>
      <c r="G2297" t="s">
        <v>31</v>
      </c>
      <c r="H2297" t="s">
        <v>1437</v>
      </c>
      <c r="I2297" t="s">
        <v>1432</v>
      </c>
      <c r="J2297" t="s">
        <v>20</v>
      </c>
      <c r="K2297" t="str">
        <f t="shared" si="305"/>
        <v>09</v>
      </c>
      <c r="L2297" t="str">
        <f t="shared" si="304"/>
        <v>272</v>
      </c>
      <c r="M2297" t="s">
        <v>23</v>
      </c>
      <c r="N2297" t="s">
        <v>24</v>
      </c>
      <c r="O2297" t="s">
        <v>32</v>
      </c>
      <c r="R2297" s="25">
        <v>7560000</v>
      </c>
      <c r="S2297" t="s">
        <v>27</v>
      </c>
    </row>
    <row r="2298" spans="1:19" x14ac:dyDescent="0.25">
      <c r="A2298" t="s">
        <v>2217</v>
      </c>
      <c r="B2298" t="s">
        <v>13</v>
      </c>
      <c r="C2298" t="s">
        <v>308</v>
      </c>
      <c r="D2298" t="s">
        <v>2218</v>
      </c>
      <c r="E2298" t="s">
        <v>16</v>
      </c>
      <c r="F2298" t="s">
        <v>17</v>
      </c>
      <c r="G2298" t="s">
        <v>54</v>
      </c>
      <c r="H2298" t="s">
        <v>1438</v>
      </c>
      <c r="I2298" t="s">
        <v>1432</v>
      </c>
      <c r="J2298" t="s">
        <v>20</v>
      </c>
      <c r="K2298" t="str">
        <f t="shared" si="305"/>
        <v>09</v>
      </c>
      <c r="L2298" t="str">
        <f t="shared" si="304"/>
        <v>272</v>
      </c>
      <c r="M2298" t="s">
        <v>23</v>
      </c>
      <c r="N2298" t="s">
        <v>24</v>
      </c>
      <c r="O2298" t="s">
        <v>60</v>
      </c>
      <c r="R2298" s="25">
        <v>6000000</v>
      </c>
      <c r="S2298" t="s">
        <v>27</v>
      </c>
    </row>
    <row r="2299" spans="1:19" x14ac:dyDescent="0.25">
      <c r="A2299" t="s">
        <v>2217</v>
      </c>
      <c r="B2299" t="s">
        <v>13</v>
      </c>
      <c r="C2299" t="s">
        <v>308</v>
      </c>
      <c r="D2299" t="s">
        <v>2218</v>
      </c>
      <c r="E2299" t="s">
        <v>16</v>
      </c>
      <c r="F2299" t="s">
        <v>17</v>
      </c>
      <c r="G2299" t="s">
        <v>118</v>
      </c>
      <c r="H2299" t="s">
        <v>1439</v>
      </c>
      <c r="I2299" t="s">
        <v>1432</v>
      </c>
      <c r="J2299" t="s">
        <v>20</v>
      </c>
      <c r="K2299" t="str">
        <f t="shared" si="305"/>
        <v>09</v>
      </c>
      <c r="L2299" t="str">
        <f t="shared" si="304"/>
        <v>272</v>
      </c>
      <c r="M2299" t="s">
        <v>23</v>
      </c>
      <c r="N2299" t="s">
        <v>24</v>
      </c>
      <c r="O2299" t="s">
        <v>119</v>
      </c>
      <c r="R2299" s="25">
        <v>1000</v>
      </c>
      <c r="S2299" t="s">
        <v>27</v>
      </c>
    </row>
    <row r="2300" spans="1:19" x14ac:dyDescent="0.25">
      <c r="A2300" t="s">
        <v>2217</v>
      </c>
      <c r="B2300" t="s">
        <v>13</v>
      </c>
      <c r="C2300" t="s">
        <v>308</v>
      </c>
      <c r="D2300" t="s">
        <v>2218</v>
      </c>
      <c r="E2300" t="s">
        <v>16</v>
      </c>
      <c r="F2300" t="s">
        <v>17</v>
      </c>
      <c r="G2300" t="s">
        <v>80</v>
      </c>
      <c r="H2300" t="s">
        <v>1440</v>
      </c>
      <c r="I2300" t="s">
        <v>1432</v>
      </c>
      <c r="J2300" t="s">
        <v>20</v>
      </c>
      <c r="K2300" t="str">
        <f t="shared" si="305"/>
        <v>09</v>
      </c>
      <c r="L2300" t="str">
        <f t="shared" si="304"/>
        <v>272</v>
      </c>
      <c r="M2300" t="s">
        <v>23</v>
      </c>
      <c r="N2300" t="s">
        <v>24</v>
      </c>
      <c r="O2300" t="s">
        <v>81</v>
      </c>
      <c r="R2300" s="25">
        <v>500000</v>
      </c>
      <c r="S2300" t="s">
        <v>27</v>
      </c>
    </row>
    <row r="2301" spans="1:19" x14ac:dyDescent="0.25">
      <c r="A2301" t="s">
        <v>2217</v>
      </c>
      <c r="B2301" t="s">
        <v>13</v>
      </c>
      <c r="C2301" t="s">
        <v>308</v>
      </c>
      <c r="D2301" t="s">
        <v>2218</v>
      </c>
      <c r="E2301" t="s">
        <v>52</v>
      </c>
      <c r="F2301" t="s">
        <v>122</v>
      </c>
      <c r="G2301" t="s">
        <v>2192</v>
      </c>
      <c r="H2301" t="s">
        <v>1441</v>
      </c>
      <c r="I2301" t="s">
        <v>1432</v>
      </c>
      <c r="J2301" t="s">
        <v>20</v>
      </c>
      <c r="K2301" t="str">
        <f t="shared" si="305"/>
        <v>09</v>
      </c>
      <c r="L2301" t="str">
        <f t="shared" si="304"/>
        <v>272</v>
      </c>
      <c r="M2301" t="s">
        <v>58</v>
      </c>
      <c r="N2301" t="s">
        <v>125</v>
      </c>
      <c r="O2301" t="str">
        <f>G2301</f>
        <v>3.3.90.14.00</v>
      </c>
      <c r="R2301" s="25">
        <v>20000</v>
      </c>
      <c r="S2301" t="s">
        <v>27</v>
      </c>
    </row>
    <row r="2302" spans="1:19" x14ac:dyDescent="0.25">
      <c r="A2302" t="s">
        <v>2217</v>
      </c>
      <c r="B2302" t="s">
        <v>13</v>
      </c>
      <c r="C2302" t="s">
        <v>308</v>
      </c>
      <c r="D2302" t="s">
        <v>2218</v>
      </c>
      <c r="E2302" t="s">
        <v>52</v>
      </c>
      <c r="F2302" t="s">
        <v>122</v>
      </c>
      <c r="G2302" t="s">
        <v>31</v>
      </c>
      <c r="H2302" t="s">
        <v>1442</v>
      </c>
      <c r="I2302" t="s">
        <v>1432</v>
      </c>
      <c r="J2302" t="s">
        <v>20</v>
      </c>
      <c r="K2302" t="str">
        <f t="shared" si="305"/>
        <v>09</v>
      </c>
      <c r="L2302" t="str">
        <f t="shared" si="304"/>
        <v>272</v>
      </c>
      <c r="M2302" t="s">
        <v>58</v>
      </c>
      <c r="N2302" t="s">
        <v>125</v>
      </c>
      <c r="O2302" t="s">
        <v>32</v>
      </c>
      <c r="R2302" s="25">
        <v>300000</v>
      </c>
      <c r="S2302" t="s">
        <v>27</v>
      </c>
    </row>
    <row r="2303" spans="1:19" x14ac:dyDescent="0.25">
      <c r="A2303" t="s">
        <v>2217</v>
      </c>
      <c r="B2303" t="s">
        <v>13</v>
      </c>
      <c r="C2303" t="s">
        <v>308</v>
      </c>
      <c r="D2303" t="s">
        <v>2218</v>
      </c>
      <c r="E2303" t="s">
        <v>52</v>
      </c>
      <c r="F2303" t="s">
        <v>122</v>
      </c>
      <c r="G2303" t="s">
        <v>69</v>
      </c>
      <c r="H2303" t="s">
        <v>1443</v>
      </c>
      <c r="I2303" t="s">
        <v>1432</v>
      </c>
      <c r="J2303" t="s">
        <v>20</v>
      </c>
      <c r="K2303" t="str">
        <f t="shared" si="305"/>
        <v>09</v>
      </c>
      <c r="L2303" t="str">
        <f t="shared" si="304"/>
        <v>272</v>
      </c>
      <c r="M2303" t="s">
        <v>58</v>
      </c>
      <c r="N2303" t="s">
        <v>125</v>
      </c>
      <c r="O2303" t="s">
        <v>70</v>
      </c>
      <c r="R2303" s="25">
        <v>15000</v>
      </c>
      <c r="S2303" t="s">
        <v>27</v>
      </c>
    </row>
    <row r="2304" spans="1:19" x14ac:dyDescent="0.25">
      <c r="A2304" t="s">
        <v>2217</v>
      </c>
      <c r="B2304" t="s">
        <v>767</v>
      </c>
      <c r="C2304" t="s">
        <v>308</v>
      </c>
      <c r="D2304" t="s">
        <v>2218</v>
      </c>
      <c r="E2304" t="s">
        <v>2219</v>
      </c>
      <c r="F2304" t="s">
        <v>2220</v>
      </c>
      <c r="G2304" t="s">
        <v>2221</v>
      </c>
      <c r="H2304" t="s">
        <v>1444</v>
      </c>
      <c r="I2304" t="s">
        <v>1432</v>
      </c>
      <c r="J2304" t="s">
        <v>768</v>
      </c>
      <c r="K2304" t="str">
        <f t="shared" si="305"/>
        <v>09</v>
      </c>
      <c r="L2304" t="str">
        <f t="shared" si="304"/>
        <v>272</v>
      </c>
      <c r="M2304" t="str">
        <f t="shared" ref="M2304:O2306" si="306">E2304</f>
        <v>0020</v>
      </c>
      <c r="N2304" t="str">
        <f t="shared" si="306"/>
        <v>2.043</v>
      </c>
      <c r="O2304" t="str">
        <f t="shared" si="306"/>
        <v>3.1.90.01.00</v>
      </c>
      <c r="R2304" s="25">
        <v>270000000</v>
      </c>
      <c r="S2304" t="s">
        <v>27</v>
      </c>
    </row>
    <row r="2305" spans="1:19" x14ac:dyDescent="0.25">
      <c r="A2305" t="s">
        <v>2217</v>
      </c>
      <c r="B2305" t="s">
        <v>767</v>
      </c>
      <c r="C2305" t="s">
        <v>308</v>
      </c>
      <c r="D2305" t="s">
        <v>2218</v>
      </c>
      <c r="E2305" t="s">
        <v>2219</v>
      </c>
      <c r="F2305" t="s">
        <v>2220</v>
      </c>
      <c r="G2305" t="s">
        <v>2222</v>
      </c>
      <c r="H2305" t="s">
        <v>1445</v>
      </c>
      <c r="I2305" t="s">
        <v>1432</v>
      </c>
      <c r="J2305" t="s">
        <v>768</v>
      </c>
      <c r="K2305" t="str">
        <f t="shared" si="305"/>
        <v>09</v>
      </c>
      <c r="L2305" t="str">
        <f t="shared" si="304"/>
        <v>272</v>
      </c>
      <c r="M2305" t="str">
        <f t="shared" si="306"/>
        <v>0020</v>
      </c>
      <c r="N2305" t="str">
        <f t="shared" si="306"/>
        <v>2.043</v>
      </c>
      <c r="O2305" t="str">
        <f t="shared" si="306"/>
        <v>3.1.90.03.00</v>
      </c>
      <c r="R2305" s="25">
        <v>7500000</v>
      </c>
      <c r="S2305" t="s">
        <v>27</v>
      </c>
    </row>
    <row r="2306" spans="1:19" x14ac:dyDescent="0.25">
      <c r="A2306" t="s">
        <v>2217</v>
      </c>
      <c r="B2306" t="s">
        <v>767</v>
      </c>
      <c r="C2306" t="s">
        <v>308</v>
      </c>
      <c r="D2306" t="s">
        <v>2218</v>
      </c>
      <c r="E2306" t="s">
        <v>2219</v>
      </c>
      <c r="F2306" t="s">
        <v>2220</v>
      </c>
      <c r="G2306" t="s">
        <v>2199</v>
      </c>
      <c r="H2306" t="s">
        <v>1446</v>
      </c>
      <c r="I2306" t="s">
        <v>1432</v>
      </c>
      <c r="J2306" t="s">
        <v>768</v>
      </c>
      <c r="K2306" t="str">
        <f t="shared" si="305"/>
        <v>09</v>
      </c>
      <c r="L2306" t="str">
        <f t="shared" si="304"/>
        <v>272</v>
      </c>
      <c r="M2306" t="str">
        <f t="shared" si="306"/>
        <v>0020</v>
      </c>
      <c r="N2306" t="str">
        <f t="shared" si="306"/>
        <v>2.043</v>
      </c>
      <c r="O2306" t="str">
        <f t="shared" si="306"/>
        <v>3.1.90.91.00</v>
      </c>
      <c r="R2306" s="25">
        <v>1000000</v>
      </c>
      <c r="S2306" t="s">
        <v>27</v>
      </c>
    </row>
    <row r="2307" spans="1:19" x14ac:dyDescent="0.25">
      <c r="A2307" t="s">
        <v>2217</v>
      </c>
      <c r="B2307" t="s">
        <v>767</v>
      </c>
      <c r="C2307" t="s">
        <v>308</v>
      </c>
      <c r="D2307" t="s">
        <v>2218</v>
      </c>
      <c r="E2307" t="s">
        <v>2219</v>
      </c>
      <c r="F2307" t="s">
        <v>2220</v>
      </c>
      <c r="G2307" t="s">
        <v>69</v>
      </c>
      <c r="H2307" t="s">
        <v>1447</v>
      </c>
      <c r="I2307" t="s">
        <v>1432</v>
      </c>
      <c r="J2307" t="s">
        <v>768</v>
      </c>
      <c r="K2307" t="str">
        <f t="shared" si="305"/>
        <v>09</v>
      </c>
      <c r="L2307" t="str">
        <f t="shared" si="304"/>
        <v>272</v>
      </c>
      <c r="M2307" t="str">
        <f t="shared" ref="M2307:N2311" si="307">E2307</f>
        <v>0020</v>
      </c>
      <c r="N2307" t="str">
        <f t="shared" si="307"/>
        <v>2.043</v>
      </c>
      <c r="O2307" t="s">
        <v>70</v>
      </c>
      <c r="R2307" s="25">
        <v>1000000</v>
      </c>
      <c r="S2307" t="s">
        <v>27</v>
      </c>
    </row>
    <row r="2308" spans="1:19" x14ac:dyDescent="0.25">
      <c r="A2308" t="s">
        <v>2217</v>
      </c>
      <c r="B2308" t="s">
        <v>618</v>
      </c>
      <c r="C2308" t="s">
        <v>308</v>
      </c>
      <c r="D2308" t="s">
        <v>2218</v>
      </c>
      <c r="E2308" t="s">
        <v>2219</v>
      </c>
      <c r="F2308" t="s">
        <v>2220</v>
      </c>
      <c r="G2308" t="s">
        <v>2221</v>
      </c>
      <c r="H2308" t="s">
        <v>1448</v>
      </c>
      <c r="I2308" t="s">
        <v>1432</v>
      </c>
      <c r="J2308" t="s">
        <v>619</v>
      </c>
      <c r="K2308" t="str">
        <f t="shared" si="305"/>
        <v>09</v>
      </c>
      <c r="L2308" t="str">
        <f t="shared" si="304"/>
        <v>272</v>
      </c>
      <c r="M2308" t="str">
        <f t="shared" si="307"/>
        <v>0020</v>
      </c>
      <c r="N2308" t="str">
        <f t="shared" si="307"/>
        <v>2.043</v>
      </c>
      <c r="O2308" t="str">
        <f>G2308</f>
        <v>3.1.90.01.00</v>
      </c>
      <c r="R2308" s="25">
        <v>150000000</v>
      </c>
      <c r="S2308" t="s">
        <v>27</v>
      </c>
    </row>
    <row r="2309" spans="1:19" x14ac:dyDescent="0.25">
      <c r="A2309" t="s">
        <v>2217</v>
      </c>
      <c r="B2309" t="s">
        <v>618</v>
      </c>
      <c r="C2309" t="s">
        <v>308</v>
      </c>
      <c r="D2309" t="s">
        <v>2218</v>
      </c>
      <c r="E2309" t="s">
        <v>2219</v>
      </c>
      <c r="F2309" t="s">
        <v>2220</v>
      </c>
      <c r="G2309" t="s">
        <v>2222</v>
      </c>
      <c r="H2309" t="s">
        <v>1449</v>
      </c>
      <c r="I2309" t="s">
        <v>1432</v>
      </c>
      <c r="J2309" t="s">
        <v>619</v>
      </c>
      <c r="K2309" t="str">
        <f t="shared" si="305"/>
        <v>09</v>
      </c>
      <c r="L2309" t="str">
        <f t="shared" si="304"/>
        <v>272</v>
      </c>
      <c r="M2309" t="str">
        <f t="shared" si="307"/>
        <v>0020</v>
      </c>
      <c r="N2309" t="str">
        <f t="shared" si="307"/>
        <v>2.043</v>
      </c>
      <c r="O2309" t="str">
        <f>G2309</f>
        <v>3.1.90.03.00</v>
      </c>
      <c r="R2309" s="25">
        <v>70000000</v>
      </c>
      <c r="S2309" t="s">
        <v>27</v>
      </c>
    </row>
    <row r="2310" spans="1:19" x14ac:dyDescent="0.25">
      <c r="A2310" t="s">
        <v>2217</v>
      </c>
      <c r="B2310" t="s">
        <v>618</v>
      </c>
      <c r="C2310" t="s">
        <v>308</v>
      </c>
      <c r="D2310" t="s">
        <v>2218</v>
      </c>
      <c r="E2310" t="s">
        <v>2219</v>
      </c>
      <c r="F2310" t="s">
        <v>2220</v>
      </c>
      <c r="G2310" t="s">
        <v>2199</v>
      </c>
      <c r="H2310" t="s">
        <v>1450</v>
      </c>
      <c r="I2310" t="s">
        <v>1432</v>
      </c>
      <c r="J2310" t="s">
        <v>619</v>
      </c>
      <c r="K2310" t="str">
        <f t="shared" si="305"/>
        <v>09</v>
      </c>
      <c r="L2310" t="str">
        <f t="shared" si="304"/>
        <v>272</v>
      </c>
      <c r="M2310" t="str">
        <f t="shared" si="307"/>
        <v>0020</v>
      </c>
      <c r="N2310" t="str">
        <f t="shared" si="307"/>
        <v>2.043</v>
      </c>
      <c r="O2310" t="str">
        <f>G2310</f>
        <v>3.1.90.91.00</v>
      </c>
      <c r="R2310" s="25">
        <v>1000000</v>
      </c>
      <c r="S2310" t="s">
        <v>27</v>
      </c>
    </row>
    <row r="2311" spans="1:19" x14ac:dyDescent="0.25">
      <c r="A2311" t="s">
        <v>2217</v>
      </c>
      <c r="B2311" t="s">
        <v>618</v>
      </c>
      <c r="C2311" t="s">
        <v>308</v>
      </c>
      <c r="D2311" t="s">
        <v>2218</v>
      </c>
      <c r="E2311" t="s">
        <v>2219</v>
      </c>
      <c r="F2311" t="s">
        <v>2220</v>
      </c>
      <c r="G2311" t="s">
        <v>69</v>
      </c>
      <c r="H2311" t="s">
        <v>1451</v>
      </c>
      <c r="I2311" t="s">
        <v>1432</v>
      </c>
      <c r="J2311" t="s">
        <v>619</v>
      </c>
      <c r="K2311" t="str">
        <f t="shared" si="305"/>
        <v>09</v>
      </c>
      <c r="L2311" t="str">
        <f t="shared" si="304"/>
        <v>272</v>
      </c>
      <c r="M2311" t="str">
        <f t="shared" si="307"/>
        <v>0020</v>
      </c>
      <c r="N2311" t="str">
        <f t="shared" si="307"/>
        <v>2.043</v>
      </c>
      <c r="O2311" t="s">
        <v>70</v>
      </c>
      <c r="R2311" s="25">
        <v>1000000</v>
      </c>
      <c r="S2311" t="s">
        <v>27</v>
      </c>
    </row>
    <row r="2312" spans="1:19" x14ac:dyDescent="0.25">
      <c r="A2312" t="s">
        <v>2217</v>
      </c>
      <c r="B2312" t="s">
        <v>346</v>
      </c>
      <c r="C2312" t="s">
        <v>14</v>
      </c>
      <c r="D2312" t="s">
        <v>685</v>
      </c>
      <c r="E2312" t="s">
        <v>643</v>
      </c>
      <c r="F2312" t="s">
        <v>2223</v>
      </c>
      <c r="G2312" t="s">
        <v>204</v>
      </c>
      <c r="H2312" t="s">
        <v>1452</v>
      </c>
      <c r="I2312" t="s">
        <v>1432</v>
      </c>
      <c r="J2312" t="s">
        <v>348</v>
      </c>
      <c r="K2312" t="s">
        <v>21</v>
      </c>
      <c r="L2312" t="s">
        <v>687</v>
      </c>
      <c r="M2312" t="s">
        <v>645</v>
      </c>
      <c r="N2312" t="str">
        <f>F2312</f>
        <v>2.044</v>
      </c>
      <c r="O2312" t="s">
        <v>205</v>
      </c>
      <c r="R2312" s="25">
        <v>45000000</v>
      </c>
      <c r="S2312" t="s">
        <v>27</v>
      </c>
    </row>
    <row r="2313" spans="1:19" x14ac:dyDescent="0.25">
      <c r="A2313" t="s">
        <v>2217</v>
      </c>
      <c r="B2313" t="s">
        <v>13</v>
      </c>
      <c r="C2313" t="s">
        <v>308</v>
      </c>
      <c r="D2313" t="s">
        <v>2218</v>
      </c>
      <c r="E2313" t="s">
        <v>16</v>
      </c>
      <c r="F2313" t="s">
        <v>139</v>
      </c>
      <c r="G2313" t="s">
        <v>31</v>
      </c>
      <c r="H2313" t="s">
        <v>1995</v>
      </c>
      <c r="I2313" t="s">
        <v>1432</v>
      </c>
      <c r="J2313" t="s">
        <v>20</v>
      </c>
      <c r="K2313" t="str">
        <f t="shared" ref="K2313:K2344" si="308">C2313</f>
        <v>09</v>
      </c>
      <c r="L2313" t="str">
        <f t="shared" ref="L2313:L2344" si="309">D2313</f>
        <v>272</v>
      </c>
      <c r="M2313" t="s">
        <v>23</v>
      </c>
      <c r="N2313" t="s">
        <v>143</v>
      </c>
      <c r="O2313" t="s">
        <v>32</v>
      </c>
      <c r="R2313" s="25">
        <v>1000</v>
      </c>
      <c r="S2313" t="s">
        <v>27</v>
      </c>
    </row>
    <row r="2314" spans="1:19" x14ac:dyDescent="0.25">
      <c r="A2314" t="s">
        <v>2217</v>
      </c>
      <c r="B2314" t="s">
        <v>13</v>
      </c>
      <c r="C2314" t="s">
        <v>308</v>
      </c>
      <c r="D2314" t="s">
        <v>2218</v>
      </c>
      <c r="E2314" t="s">
        <v>16</v>
      </c>
      <c r="F2314" t="s">
        <v>139</v>
      </c>
      <c r="G2314" t="s">
        <v>178</v>
      </c>
      <c r="H2314" t="s">
        <v>1996</v>
      </c>
      <c r="I2314" t="s">
        <v>1432</v>
      </c>
      <c r="J2314" t="s">
        <v>20</v>
      </c>
      <c r="K2314" t="str">
        <f t="shared" si="308"/>
        <v>09</v>
      </c>
      <c r="L2314" t="str">
        <f t="shared" si="309"/>
        <v>272</v>
      </c>
      <c r="M2314" t="s">
        <v>23</v>
      </c>
      <c r="N2314" t="s">
        <v>143</v>
      </c>
      <c r="O2314" t="s">
        <v>180</v>
      </c>
      <c r="R2314" s="25">
        <v>500000</v>
      </c>
      <c r="S2314" t="s">
        <v>27</v>
      </c>
    </row>
    <row r="2315" spans="1:19" x14ac:dyDescent="0.25">
      <c r="A2315" t="s">
        <v>2217</v>
      </c>
      <c r="B2315" t="s">
        <v>13</v>
      </c>
      <c r="C2315" t="s">
        <v>308</v>
      </c>
      <c r="D2315" t="s">
        <v>2218</v>
      </c>
      <c r="E2315" t="s">
        <v>16</v>
      </c>
      <c r="F2315" t="s">
        <v>139</v>
      </c>
      <c r="G2315" t="s">
        <v>80</v>
      </c>
      <c r="H2315" t="s">
        <v>1997</v>
      </c>
      <c r="I2315" t="s">
        <v>1432</v>
      </c>
      <c r="J2315" t="s">
        <v>20</v>
      </c>
      <c r="K2315" t="str">
        <f t="shared" si="308"/>
        <v>09</v>
      </c>
      <c r="L2315" t="str">
        <f t="shared" si="309"/>
        <v>272</v>
      </c>
      <c r="M2315" t="s">
        <v>23</v>
      </c>
      <c r="N2315" t="s">
        <v>143</v>
      </c>
      <c r="O2315" t="s">
        <v>81</v>
      </c>
      <c r="R2315" s="25">
        <v>100000</v>
      </c>
      <c r="S2315" t="s">
        <v>27</v>
      </c>
    </row>
    <row r="2316" spans="1:19" x14ac:dyDescent="0.25">
      <c r="A2316" t="s">
        <v>2217</v>
      </c>
      <c r="B2316" t="s">
        <v>13</v>
      </c>
      <c r="C2316" t="s">
        <v>308</v>
      </c>
      <c r="D2316" t="s">
        <v>2218</v>
      </c>
      <c r="E2316" t="s">
        <v>16</v>
      </c>
      <c r="F2316" t="s">
        <v>139</v>
      </c>
      <c r="G2316" t="s">
        <v>2224</v>
      </c>
      <c r="H2316" t="s">
        <v>1998</v>
      </c>
      <c r="I2316" t="s">
        <v>1432</v>
      </c>
      <c r="J2316" t="s">
        <v>20</v>
      </c>
      <c r="K2316" t="str">
        <f t="shared" si="308"/>
        <v>09</v>
      </c>
      <c r="L2316" t="str">
        <f t="shared" si="309"/>
        <v>272</v>
      </c>
      <c r="M2316" t="s">
        <v>23</v>
      </c>
      <c r="N2316" t="s">
        <v>143</v>
      </c>
      <c r="O2316" t="str">
        <f t="shared" ref="O2316:O2322" si="310">G2316</f>
        <v>4.4.90.61.00</v>
      </c>
      <c r="R2316" s="25">
        <v>1000</v>
      </c>
      <c r="S2316" t="s">
        <v>27</v>
      </c>
    </row>
    <row r="2317" spans="1:19" x14ac:dyDescent="0.25">
      <c r="A2317" t="s">
        <v>2217</v>
      </c>
      <c r="B2317" t="s">
        <v>13</v>
      </c>
      <c r="C2317" t="s">
        <v>308</v>
      </c>
      <c r="D2317" t="s">
        <v>2218</v>
      </c>
      <c r="E2317" t="s">
        <v>16</v>
      </c>
      <c r="F2317" t="s">
        <v>182</v>
      </c>
      <c r="G2317" t="s">
        <v>2196</v>
      </c>
      <c r="H2317" t="s">
        <v>1999</v>
      </c>
      <c r="I2317" t="s">
        <v>1432</v>
      </c>
      <c r="J2317" t="s">
        <v>20</v>
      </c>
      <c r="K2317" t="str">
        <f t="shared" si="308"/>
        <v>09</v>
      </c>
      <c r="L2317" t="str">
        <f t="shared" si="309"/>
        <v>272</v>
      </c>
      <c r="M2317" t="s">
        <v>23</v>
      </c>
      <c r="N2317" t="s">
        <v>183</v>
      </c>
      <c r="O2317" t="str">
        <f t="shared" si="310"/>
        <v>3.1.90.11.00</v>
      </c>
      <c r="R2317" s="25">
        <v>15885000</v>
      </c>
      <c r="S2317" t="s">
        <v>27</v>
      </c>
    </row>
    <row r="2318" spans="1:19" x14ac:dyDescent="0.25">
      <c r="A2318" t="s">
        <v>2217</v>
      </c>
      <c r="B2318" t="s">
        <v>13</v>
      </c>
      <c r="C2318" t="s">
        <v>308</v>
      </c>
      <c r="D2318" t="s">
        <v>2218</v>
      </c>
      <c r="E2318" t="s">
        <v>16</v>
      </c>
      <c r="F2318" t="s">
        <v>182</v>
      </c>
      <c r="G2318" t="s">
        <v>2197</v>
      </c>
      <c r="H2318" t="s">
        <v>2000</v>
      </c>
      <c r="I2318" t="s">
        <v>1432</v>
      </c>
      <c r="J2318" t="s">
        <v>20</v>
      </c>
      <c r="K2318" t="str">
        <f t="shared" si="308"/>
        <v>09</v>
      </c>
      <c r="L2318" t="str">
        <f t="shared" si="309"/>
        <v>272</v>
      </c>
      <c r="M2318" t="s">
        <v>23</v>
      </c>
      <c r="N2318" t="s">
        <v>183</v>
      </c>
      <c r="O2318" t="str">
        <f t="shared" si="310"/>
        <v>3.1.90.13.00</v>
      </c>
      <c r="R2318" s="25">
        <v>1715000</v>
      </c>
      <c r="S2318" t="s">
        <v>27</v>
      </c>
    </row>
    <row r="2319" spans="1:19" x14ac:dyDescent="0.25">
      <c r="A2319" t="s">
        <v>2217</v>
      </c>
      <c r="B2319" t="s">
        <v>13</v>
      </c>
      <c r="C2319" t="s">
        <v>308</v>
      </c>
      <c r="D2319" t="s">
        <v>2218</v>
      </c>
      <c r="E2319" t="s">
        <v>16</v>
      </c>
      <c r="F2319" t="s">
        <v>182</v>
      </c>
      <c r="G2319" t="s">
        <v>2198</v>
      </c>
      <c r="H2319" t="s">
        <v>2001</v>
      </c>
      <c r="I2319" t="s">
        <v>1432</v>
      </c>
      <c r="J2319" t="s">
        <v>20</v>
      </c>
      <c r="K2319" t="str">
        <f t="shared" si="308"/>
        <v>09</v>
      </c>
      <c r="L2319" t="str">
        <f t="shared" si="309"/>
        <v>272</v>
      </c>
      <c r="M2319" t="s">
        <v>23</v>
      </c>
      <c r="N2319" t="s">
        <v>183</v>
      </c>
      <c r="O2319" t="str">
        <f t="shared" si="310"/>
        <v>3.1.90.16.00</v>
      </c>
      <c r="R2319" s="25">
        <v>1000</v>
      </c>
      <c r="S2319" t="s">
        <v>27</v>
      </c>
    </row>
    <row r="2320" spans="1:19" x14ac:dyDescent="0.25">
      <c r="A2320" t="s">
        <v>2217</v>
      </c>
      <c r="B2320" t="s">
        <v>13</v>
      </c>
      <c r="C2320" t="s">
        <v>308</v>
      </c>
      <c r="D2320" t="s">
        <v>2218</v>
      </c>
      <c r="E2320" t="s">
        <v>16</v>
      </c>
      <c r="F2320" t="s">
        <v>182</v>
      </c>
      <c r="G2320" t="s">
        <v>2200</v>
      </c>
      <c r="H2320" t="s">
        <v>2002</v>
      </c>
      <c r="I2320" t="s">
        <v>1432</v>
      </c>
      <c r="J2320" t="s">
        <v>20</v>
      </c>
      <c r="K2320" t="str">
        <f t="shared" si="308"/>
        <v>09</v>
      </c>
      <c r="L2320" t="str">
        <f t="shared" si="309"/>
        <v>272</v>
      </c>
      <c r="M2320" t="s">
        <v>23</v>
      </c>
      <c r="N2320" t="s">
        <v>183</v>
      </c>
      <c r="O2320" t="str">
        <f t="shared" si="310"/>
        <v>3.1.90.92.00</v>
      </c>
      <c r="R2320" s="25">
        <v>1000</v>
      </c>
      <c r="S2320" t="s">
        <v>27</v>
      </c>
    </row>
    <row r="2321" spans="1:19" x14ac:dyDescent="0.25">
      <c r="A2321" t="s">
        <v>2217</v>
      </c>
      <c r="B2321" t="s">
        <v>13</v>
      </c>
      <c r="C2321" t="s">
        <v>308</v>
      </c>
      <c r="D2321" t="s">
        <v>2218</v>
      </c>
      <c r="E2321" t="s">
        <v>16</v>
      </c>
      <c r="F2321" t="s">
        <v>182</v>
      </c>
      <c r="G2321" t="s">
        <v>2201</v>
      </c>
      <c r="H2321" t="s">
        <v>2003</v>
      </c>
      <c r="I2321" t="s">
        <v>1432</v>
      </c>
      <c r="J2321" t="s">
        <v>20</v>
      </c>
      <c r="K2321" t="str">
        <f t="shared" si="308"/>
        <v>09</v>
      </c>
      <c r="L2321" t="str">
        <f t="shared" si="309"/>
        <v>272</v>
      </c>
      <c r="M2321" t="s">
        <v>23</v>
      </c>
      <c r="N2321" t="s">
        <v>183</v>
      </c>
      <c r="O2321" t="str">
        <f t="shared" si="310"/>
        <v>3.1.90.94.00</v>
      </c>
      <c r="R2321" s="25">
        <v>200000</v>
      </c>
      <c r="S2321" t="s">
        <v>27</v>
      </c>
    </row>
    <row r="2322" spans="1:19" x14ac:dyDescent="0.25">
      <c r="A2322" t="s">
        <v>2217</v>
      </c>
      <c r="B2322" t="s">
        <v>13</v>
      </c>
      <c r="C2322" t="s">
        <v>308</v>
      </c>
      <c r="D2322" t="s">
        <v>2218</v>
      </c>
      <c r="E2322" t="s">
        <v>16</v>
      </c>
      <c r="F2322" t="s">
        <v>182</v>
      </c>
      <c r="G2322" t="s">
        <v>2203</v>
      </c>
      <c r="H2322" t="s">
        <v>2004</v>
      </c>
      <c r="I2322" t="s">
        <v>1432</v>
      </c>
      <c r="J2322" t="s">
        <v>20</v>
      </c>
      <c r="K2322" t="str">
        <f t="shared" si="308"/>
        <v>09</v>
      </c>
      <c r="L2322" t="str">
        <f t="shared" si="309"/>
        <v>272</v>
      </c>
      <c r="M2322" t="s">
        <v>23</v>
      </c>
      <c r="N2322" t="s">
        <v>183</v>
      </c>
      <c r="O2322" t="str">
        <f t="shared" si="310"/>
        <v>3.1.91.13.00</v>
      </c>
      <c r="R2322" s="25">
        <v>1733000</v>
      </c>
      <c r="S2322" t="s">
        <v>27</v>
      </c>
    </row>
    <row r="2323" spans="1:19" x14ac:dyDescent="0.25">
      <c r="A2323" t="s">
        <v>2217</v>
      </c>
      <c r="B2323" t="s">
        <v>13</v>
      </c>
      <c r="C2323" t="s">
        <v>308</v>
      </c>
      <c r="D2323" t="s">
        <v>2218</v>
      </c>
      <c r="E2323" t="s">
        <v>16</v>
      </c>
      <c r="F2323" t="s">
        <v>182</v>
      </c>
      <c r="G2323" t="s">
        <v>31</v>
      </c>
      <c r="H2323" t="s">
        <v>2005</v>
      </c>
      <c r="I2323" t="s">
        <v>1432</v>
      </c>
      <c r="J2323" t="s">
        <v>20</v>
      </c>
      <c r="K2323" t="str">
        <f t="shared" si="308"/>
        <v>09</v>
      </c>
      <c r="L2323" t="str">
        <f t="shared" si="309"/>
        <v>272</v>
      </c>
      <c r="M2323" t="s">
        <v>23</v>
      </c>
      <c r="N2323" t="s">
        <v>183</v>
      </c>
      <c r="O2323" t="s">
        <v>32</v>
      </c>
      <c r="R2323" s="25">
        <v>1718000</v>
      </c>
      <c r="S2323" t="s">
        <v>27</v>
      </c>
    </row>
    <row r="2324" spans="1:19" x14ac:dyDescent="0.25">
      <c r="A2324" t="s">
        <v>2217</v>
      </c>
      <c r="B2324" t="s">
        <v>13</v>
      </c>
      <c r="C2324" t="s">
        <v>308</v>
      </c>
      <c r="D2324" t="s">
        <v>2218</v>
      </c>
      <c r="E2324" t="s">
        <v>16</v>
      </c>
      <c r="F2324" t="s">
        <v>182</v>
      </c>
      <c r="G2324" t="s">
        <v>2206</v>
      </c>
      <c r="H2324" t="s">
        <v>2006</v>
      </c>
      <c r="I2324" t="s">
        <v>1432</v>
      </c>
      <c r="J2324" t="s">
        <v>20</v>
      </c>
      <c r="K2324" t="str">
        <f t="shared" si="308"/>
        <v>09</v>
      </c>
      <c r="L2324" t="str">
        <f t="shared" si="309"/>
        <v>272</v>
      </c>
      <c r="M2324" t="s">
        <v>23</v>
      </c>
      <c r="N2324" t="s">
        <v>183</v>
      </c>
      <c r="O2324" t="str">
        <f>G2324</f>
        <v>3.3.90.46.00</v>
      </c>
      <c r="R2324" s="25">
        <v>1000</v>
      </c>
      <c r="S2324" t="s">
        <v>27</v>
      </c>
    </row>
    <row r="2325" spans="1:19" x14ac:dyDescent="0.25">
      <c r="A2325" t="s">
        <v>2217</v>
      </c>
      <c r="B2325" t="s">
        <v>13</v>
      </c>
      <c r="C2325" t="s">
        <v>308</v>
      </c>
      <c r="D2325" t="s">
        <v>2218</v>
      </c>
      <c r="E2325" t="s">
        <v>16</v>
      </c>
      <c r="F2325" t="s">
        <v>182</v>
      </c>
      <c r="G2325" t="s">
        <v>2207</v>
      </c>
      <c r="H2325" t="s">
        <v>2007</v>
      </c>
      <c r="I2325" t="s">
        <v>1432</v>
      </c>
      <c r="J2325" t="s">
        <v>20</v>
      </c>
      <c r="K2325" t="str">
        <f t="shared" si="308"/>
        <v>09</v>
      </c>
      <c r="L2325" t="str">
        <f t="shared" si="309"/>
        <v>272</v>
      </c>
      <c r="M2325" t="s">
        <v>23</v>
      </c>
      <c r="N2325" t="s">
        <v>183</v>
      </c>
      <c r="O2325" t="str">
        <f>G2325</f>
        <v>3.3.90.49.00</v>
      </c>
      <c r="R2325" s="25">
        <v>100000</v>
      </c>
      <c r="S2325" t="s">
        <v>27</v>
      </c>
    </row>
    <row r="2326" spans="1:19" x14ac:dyDescent="0.25">
      <c r="A2326" t="s">
        <v>2217</v>
      </c>
      <c r="B2326" t="s">
        <v>13</v>
      </c>
      <c r="C2326" t="s">
        <v>308</v>
      </c>
      <c r="D2326" t="s">
        <v>2218</v>
      </c>
      <c r="E2326" t="s">
        <v>437</v>
      </c>
      <c r="F2326" t="s">
        <v>438</v>
      </c>
      <c r="G2326" t="s">
        <v>930</v>
      </c>
      <c r="H2326" t="s">
        <v>2008</v>
      </c>
      <c r="I2326" t="s">
        <v>1432</v>
      </c>
      <c r="J2326" t="s">
        <v>20</v>
      </c>
      <c r="K2326" t="str">
        <f t="shared" si="308"/>
        <v>09</v>
      </c>
      <c r="L2326" t="str">
        <f t="shared" si="309"/>
        <v>272</v>
      </c>
      <c r="M2326" t="s">
        <v>442</v>
      </c>
      <c r="N2326" t="s">
        <v>443</v>
      </c>
      <c r="O2326" t="s">
        <v>931</v>
      </c>
      <c r="R2326" s="25">
        <v>1000</v>
      </c>
      <c r="S2326" t="s">
        <v>27</v>
      </c>
    </row>
    <row r="2327" spans="1:19" x14ac:dyDescent="0.25">
      <c r="A2327" t="s">
        <v>2217</v>
      </c>
      <c r="B2327" t="s">
        <v>13</v>
      </c>
      <c r="C2327" t="s">
        <v>308</v>
      </c>
      <c r="D2327" t="s">
        <v>2218</v>
      </c>
      <c r="E2327" t="s">
        <v>437</v>
      </c>
      <c r="F2327" t="s">
        <v>438</v>
      </c>
      <c r="G2327" t="s">
        <v>31</v>
      </c>
      <c r="H2327" t="s">
        <v>2009</v>
      </c>
      <c r="I2327" t="s">
        <v>1432</v>
      </c>
      <c r="J2327" t="s">
        <v>20</v>
      </c>
      <c r="K2327" t="str">
        <f t="shared" si="308"/>
        <v>09</v>
      </c>
      <c r="L2327" t="str">
        <f t="shared" si="309"/>
        <v>272</v>
      </c>
      <c r="M2327" t="s">
        <v>442</v>
      </c>
      <c r="N2327" t="s">
        <v>443</v>
      </c>
      <c r="O2327" t="s">
        <v>32</v>
      </c>
      <c r="R2327" s="25">
        <v>4500000</v>
      </c>
      <c r="S2327" t="s">
        <v>27</v>
      </c>
    </row>
    <row r="2328" spans="1:19" x14ac:dyDescent="0.25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182</v>
      </c>
      <c r="G2328" t="s">
        <v>2196</v>
      </c>
      <c r="H2328" t="s">
        <v>1779</v>
      </c>
      <c r="I2328" t="s">
        <v>19</v>
      </c>
      <c r="J2328" t="s">
        <v>13</v>
      </c>
      <c r="K2328" t="str">
        <f t="shared" si="308"/>
        <v>04</v>
      </c>
      <c r="L2328" t="str">
        <f t="shared" si="309"/>
        <v>122</v>
      </c>
      <c r="M2328" t="str">
        <f t="shared" ref="M2328:M2359" si="311">E2328</f>
        <v>0001</v>
      </c>
      <c r="N2328" t="str">
        <f t="shared" ref="N2328:N2359" si="312">F2328</f>
        <v>2.001</v>
      </c>
      <c r="O2328" t="str">
        <f t="shared" ref="O2328:O2359" si="313">G2328</f>
        <v>3.1.90.11.00</v>
      </c>
      <c r="P2328" t="s">
        <v>4303</v>
      </c>
      <c r="R2328" s="25">
        <v>6320105.0899999999</v>
      </c>
      <c r="S2328" t="s">
        <v>27</v>
      </c>
    </row>
    <row r="2329" spans="1:19" x14ac:dyDescent="0.25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182</v>
      </c>
      <c r="G2329" t="s">
        <v>2197</v>
      </c>
      <c r="H2329" t="s">
        <v>1780</v>
      </c>
      <c r="I2329" t="s">
        <v>19</v>
      </c>
      <c r="J2329" t="s">
        <v>13</v>
      </c>
      <c r="K2329" t="str">
        <f t="shared" si="308"/>
        <v>04</v>
      </c>
      <c r="L2329" t="str">
        <f t="shared" si="309"/>
        <v>122</v>
      </c>
      <c r="M2329" t="str">
        <f t="shared" si="311"/>
        <v>0001</v>
      </c>
      <c r="N2329" t="str">
        <f t="shared" si="312"/>
        <v>2.001</v>
      </c>
      <c r="O2329" t="str">
        <f t="shared" si="313"/>
        <v>3.1.90.13.00</v>
      </c>
      <c r="P2329" t="s">
        <v>4303</v>
      </c>
      <c r="R2329" s="25">
        <v>1052456.73</v>
      </c>
      <c r="S2329" t="s">
        <v>27</v>
      </c>
    </row>
    <row r="2330" spans="1:19" x14ac:dyDescent="0.25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182</v>
      </c>
      <c r="G2330" t="s">
        <v>2203</v>
      </c>
      <c r="H2330" t="s">
        <v>1781</v>
      </c>
      <c r="I2330" t="s">
        <v>19</v>
      </c>
      <c r="J2330" t="s">
        <v>13</v>
      </c>
      <c r="K2330" t="str">
        <f t="shared" si="308"/>
        <v>04</v>
      </c>
      <c r="L2330" t="str">
        <f t="shared" si="309"/>
        <v>122</v>
      </c>
      <c r="M2330" t="str">
        <f t="shared" si="311"/>
        <v>0001</v>
      </c>
      <c r="N2330" t="str">
        <f t="shared" si="312"/>
        <v>2.001</v>
      </c>
      <c r="O2330" t="str">
        <f t="shared" si="313"/>
        <v>3.1.91.13.00</v>
      </c>
      <c r="P2330" t="s">
        <v>4303</v>
      </c>
      <c r="R2330" s="25">
        <v>329304.93</v>
      </c>
      <c r="S2330" t="s">
        <v>27</v>
      </c>
    </row>
    <row r="2331" spans="1:19" x14ac:dyDescent="0.25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182</v>
      </c>
      <c r="G2331" t="s">
        <v>2207</v>
      </c>
      <c r="H2331" t="s">
        <v>1783</v>
      </c>
      <c r="I2331" t="s">
        <v>19</v>
      </c>
      <c r="J2331" t="s">
        <v>13</v>
      </c>
      <c r="K2331" t="str">
        <f t="shared" si="308"/>
        <v>04</v>
      </c>
      <c r="L2331" t="str">
        <f t="shared" si="309"/>
        <v>122</v>
      </c>
      <c r="M2331" t="str">
        <f t="shared" si="311"/>
        <v>0001</v>
      </c>
      <c r="N2331" t="str">
        <f t="shared" si="312"/>
        <v>2.001</v>
      </c>
      <c r="O2331" t="str">
        <f t="shared" si="313"/>
        <v>3.3.90.49.00</v>
      </c>
      <c r="P2331" t="s">
        <v>4303</v>
      </c>
      <c r="R2331" s="25">
        <v>64436.03</v>
      </c>
      <c r="S2331" t="s">
        <v>27</v>
      </c>
    </row>
    <row r="2332" spans="1:19" x14ac:dyDescent="0.25">
      <c r="A2332" t="s">
        <v>14</v>
      </c>
      <c r="B2332" t="s">
        <v>13</v>
      </c>
      <c r="C2332" t="s">
        <v>14</v>
      </c>
      <c r="D2332" t="s">
        <v>15</v>
      </c>
      <c r="E2332" t="s">
        <v>16</v>
      </c>
      <c r="F2332" t="s">
        <v>182</v>
      </c>
      <c r="G2332" t="s">
        <v>2196</v>
      </c>
      <c r="H2332" t="s">
        <v>1785</v>
      </c>
      <c r="I2332" t="s">
        <v>55</v>
      </c>
      <c r="J2332" t="s">
        <v>13</v>
      </c>
      <c r="K2332" t="str">
        <f t="shared" si="308"/>
        <v>04</v>
      </c>
      <c r="L2332" t="str">
        <f t="shared" si="309"/>
        <v>122</v>
      </c>
      <c r="M2332" t="str">
        <f t="shared" si="311"/>
        <v>0001</v>
      </c>
      <c r="N2332" t="str">
        <f t="shared" si="312"/>
        <v>2.001</v>
      </c>
      <c r="O2332" t="str">
        <f t="shared" si="313"/>
        <v>3.1.90.11.00</v>
      </c>
      <c r="P2332" t="s">
        <v>4303</v>
      </c>
      <c r="R2332" s="25">
        <v>30076229.370000001</v>
      </c>
      <c r="S2332" t="s">
        <v>27</v>
      </c>
    </row>
    <row r="2333" spans="1:19" x14ac:dyDescent="0.25">
      <c r="A2333" t="s">
        <v>14</v>
      </c>
      <c r="B2333" t="s">
        <v>13</v>
      </c>
      <c r="C2333" t="s">
        <v>14</v>
      </c>
      <c r="D2333" t="s">
        <v>15</v>
      </c>
      <c r="E2333" t="s">
        <v>16</v>
      </c>
      <c r="F2333" t="s">
        <v>182</v>
      </c>
      <c r="G2333" t="s">
        <v>2197</v>
      </c>
      <c r="H2333" t="s">
        <v>1786</v>
      </c>
      <c r="I2333" t="s">
        <v>55</v>
      </c>
      <c r="J2333" t="s">
        <v>13</v>
      </c>
      <c r="K2333" t="str">
        <f t="shared" si="308"/>
        <v>04</v>
      </c>
      <c r="L2333" t="str">
        <f t="shared" si="309"/>
        <v>122</v>
      </c>
      <c r="M2333" t="str">
        <f t="shared" si="311"/>
        <v>0001</v>
      </c>
      <c r="N2333" t="str">
        <f t="shared" si="312"/>
        <v>2.001</v>
      </c>
      <c r="O2333" t="str">
        <f t="shared" si="313"/>
        <v>3.1.90.13.00</v>
      </c>
      <c r="P2333" t="s">
        <v>4303</v>
      </c>
      <c r="R2333" s="25">
        <v>1019533.07</v>
      </c>
      <c r="S2333" t="s">
        <v>27</v>
      </c>
    </row>
    <row r="2334" spans="1:19" x14ac:dyDescent="0.25">
      <c r="A2334" t="s">
        <v>14</v>
      </c>
      <c r="B2334" t="s">
        <v>13</v>
      </c>
      <c r="C2334" t="s">
        <v>14</v>
      </c>
      <c r="D2334" t="s">
        <v>15</v>
      </c>
      <c r="E2334" t="s">
        <v>16</v>
      </c>
      <c r="F2334" t="s">
        <v>182</v>
      </c>
      <c r="G2334" t="s">
        <v>2203</v>
      </c>
      <c r="H2334" t="s">
        <v>1787</v>
      </c>
      <c r="I2334" t="s">
        <v>55</v>
      </c>
      <c r="J2334" t="s">
        <v>13</v>
      </c>
      <c r="K2334" t="str">
        <f t="shared" si="308"/>
        <v>04</v>
      </c>
      <c r="L2334" t="str">
        <f t="shared" si="309"/>
        <v>122</v>
      </c>
      <c r="M2334" t="str">
        <f t="shared" si="311"/>
        <v>0001</v>
      </c>
      <c r="N2334" t="str">
        <f t="shared" si="312"/>
        <v>2.001</v>
      </c>
      <c r="O2334" t="str">
        <f t="shared" si="313"/>
        <v>3.1.91.13.00</v>
      </c>
      <c r="P2334" t="s">
        <v>4303</v>
      </c>
      <c r="R2334" s="25">
        <v>3632920.64</v>
      </c>
      <c r="S2334" t="s">
        <v>27</v>
      </c>
    </row>
    <row r="2335" spans="1:19" x14ac:dyDescent="0.25">
      <c r="A2335" t="s">
        <v>14</v>
      </c>
      <c r="B2335" t="s">
        <v>13</v>
      </c>
      <c r="C2335" t="s">
        <v>14</v>
      </c>
      <c r="D2335" t="s">
        <v>15</v>
      </c>
      <c r="E2335" t="s">
        <v>16</v>
      </c>
      <c r="F2335" t="s">
        <v>182</v>
      </c>
      <c r="G2335" t="s">
        <v>2207</v>
      </c>
      <c r="H2335" t="s">
        <v>1789</v>
      </c>
      <c r="I2335" t="s">
        <v>55</v>
      </c>
      <c r="J2335" t="s">
        <v>13</v>
      </c>
      <c r="K2335" t="str">
        <f t="shared" si="308"/>
        <v>04</v>
      </c>
      <c r="L2335" t="str">
        <f t="shared" si="309"/>
        <v>122</v>
      </c>
      <c r="M2335" t="str">
        <f t="shared" si="311"/>
        <v>0001</v>
      </c>
      <c r="N2335" t="str">
        <f t="shared" si="312"/>
        <v>2.001</v>
      </c>
      <c r="O2335" t="str">
        <f t="shared" si="313"/>
        <v>3.3.90.49.00</v>
      </c>
      <c r="P2335" t="s">
        <v>4303</v>
      </c>
      <c r="R2335" s="25">
        <v>62023.87</v>
      </c>
      <c r="S2335" t="s">
        <v>27</v>
      </c>
    </row>
    <row r="2336" spans="1:19" x14ac:dyDescent="0.25">
      <c r="A2336" t="s">
        <v>90</v>
      </c>
      <c r="B2336" t="s">
        <v>13</v>
      </c>
      <c r="C2336" t="s">
        <v>14</v>
      </c>
      <c r="D2336" t="s">
        <v>15</v>
      </c>
      <c r="E2336" t="s">
        <v>16</v>
      </c>
      <c r="F2336" t="s">
        <v>182</v>
      </c>
      <c r="G2336" t="s">
        <v>2196</v>
      </c>
      <c r="H2336" t="s">
        <v>1792</v>
      </c>
      <c r="I2336" t="s">
        <v>91</v>
      </c>
      <c r="J2336" t="s">
        <v>13</v>
      </c>
      <c r="K2336" t="str">
        <f t="shared" si="308"/>
        <v>04</v>
      </c>
      <c r="L2336" t="str">
        <f t="shared" si="309"/>
        <v>122</v>
      </c>
      <c r="M2336" t="str">
        <f t="shared" si="311"/>
        <v>0001</v>
      </c>
      <c r="N2336" t="str">
        <f t="shared" si="312"/>
        <v>2.001</v>
      </c>
      <c r="O2336" t="str">
        <f t="shared" si="313"/>
        <v>3.1.90.11.00</v>
      </c>
      <c r="P2336" t="s">
        <v>4303</v>
      </c>
      <c r="R2336" s="25">
        <v>26213660.280000001</v>
      </c>
      <c r="S2336" t="s">
        <v>27</v>
      </c>
    </row>
    <row r="2337" spans="1:19" x14ac:dyDescent="0.25">
      <c r="A2337" t="s">
        <v>90</v>
      </c>
      <c r="B2337" t="s">
        <v>13</v>
      </c>
      <c r="C2337" t="s">
        <v>14</v>
      </c>
      <c r="D2337" t="s">
        <v>15</v>
      </c>
      <c r="E2337" t="s">
        <v>16</v>
      </c>
      <c r="F2337" t="s">
        <v>182</v>
      </c>
      <c r="G2337" t="s">
        <v>2197</v>
      </c>
      <c r="H2337" t="s">
        <v>1793</v>
      </c>
      <c r="I2337" t="s">
        <v>91</v>
      </c>
      <c r="J2337" t="s">
        <v>13</v>
      </c>
      <c r="K2337" t="str">
        <f t="shared" si="308"/>
        <v>04</v>
      </c>
      <c r="L2337" t="str">
        <f t="shared" si="309"/>
        <v>122</v>
      </c>
      <c r="M2337" t="str">
        <f t="shared" si="311"/>
        <v>0001</v>
      </c>
      <c r="N2337" t="str">
        <f t="shared" si="312"/>
        <v>2.001</v>
      </c>
      <c r="O2337" t="str">
        <f t="shared" si="313"/>
        <v>3.1.90.13.00</v>
      </c>
      <c r="P2337" t="s">
        <v>4303</v>
      </c>
      <c r="R2337" s="25">
        <v>147707.6</v>
      </c>
      <c r="S2337" t="s">
        <v>27</v>
      </c>
    </row>
    <row r="2338" spans="1:19" x14ac:dyDescent="0.25">
      <c r="A2338" t="s">
        <v>90</v>
      </c>
      <c r="B2338" t="s">
        <v>13</v>
      </c>
      <c r="C2338" t="s">
        <v>14</v>
      </c>
      <c r="D2338" t="s">
        <v>15</v>
      </c>
      <c r="E2338" t="s">
        <v>16</v>
      </c>
      <c r="F2338" t="s">
        <v>182</v>
      </c>
      <c r="G2338" t="s">
        <v>2203</v>
      </c>
      <c r="H2338" t="s">
        <v>1794</v>
      </c>
      <c r="I2338" t="s">
        <v>91</v>
      </c>
      <c r="J2338" t="s">
        <v>13</v>
      </c>
      <c r="K2338" t="str">
        <f t="shared" si="308"/>
        <v>04</v>
      </c>
      <c r="L2338" t="str">
        <f t="shared" si="309"/>
        <v>122</v>
      </c>
      <c r="M2338" t="str">
        <f t="shared" si="311"/>
        <v>0001</v>
      </c>
      <c r="N2338" t="str">
        <f t="shared" si="312"/>
        <v>2.001</v>
      </c>
      <c r="O2338" t="str">
        <f t="shared" si="313"/>
        <v>3.1.91.13.00</v>
      </c>
      <c r="P2338" t="s">
        <v>4303</v>
      </c>
      <c r="R2338" s="25">
        <v>4772389.67</v>
      </c>
      <c r="S2338" t="s">
        <v>27</v>
      </c>
    </row>
    <row r="2339" spans="1:19" x14ac:dyDescent="0.25">
      <c r="A2339" t="s">
        <v>90</v>
      </c>
      <c r="B2339" t="s">
        <v>13</v>
      </c>
      <c r="C2339" t="s">
        <v>14</v>
      </c>
      <c r="D2339" t="s">
        <v>15</v>
      </c>
      <c r="E2339" t="s">
        <v>16</v>
      </c>
      <c r="F2339" t="s">
        <v>182</v>
      </c>
      <c r="G2339" t="s">
        <v>2207</v>
      </c>
      <c r="H2339" t="s">
        <v>1796</v>
      </c>
      <c r="I2339" t="s">
        <v>91</v>
      </c>
      <c r="J2339" t="s">
        <v>13</v>
      </c>
      <c r="K2339" t="str">
        <f t="shared" si="308"/>
        <v>04</v>
      </c>
      <c r="L2339" t="str">
        <f t="shared" si="309"/>
        <v>122</v>
      </c>
      <c r="M2339" t="str">
        <f t="shared" si="311"/>
        <v>0001</v>
      </c>
      <c r="N2339" t="str">
        <f t="shared" si="312"/>
        <v>2.001</v>
      </c>
      <c r="O2339" t="str">
        <f t="shared" si="313"/>
        <v>3.3.90.49.00</v>
      </c>
      <c r="P2339" t="s">
        <v>4303</v>
      </c>
      <c r="R2339" s="25">
        <v>87401.35</v>
      </c>
      <c r="S2339" t="s">
        <v>27</v>
      </c>
    </row>
    <row r="2340" spans="1:19" x14ac:dyDescent="0.25">
      <c r="A2340" t="s">
        <v>108</v>
      </c>
      <c r="B2340" t="s">
        <v>13</v>
      </c>
      <c r="C2340" t="s">
        <v>14</v>
      </c>
      <c r="D2340" t="s">
        <v>15</v>
      </c>
      <c r="E2340" t="s">
        <v>16</v>
      </c>
      <c r="F2340" t="s">
        <v>182</v>
      </c>
      <c r="G2340" t="s">
        <v>2196</v>
      </c>
      <c r="H2340" t="s">
        <v>1797</v>
      </c>
      <c r="I2340" t="s">
        <v>109</v>
      </c>
      <c r="J2340" t="s">
        <v>13</v>
      </c>
      <c r="K2340" t="str">
        <f t="shared" si="308"/>
        <v>04</v>
      </c>
      <c r="L2340" t="str">
        <f t="shared" si="309"/>
        <v>122</v>
      </c>
      <c r="M2340" t="str">
        <f t="shared" si="311"/>
        <v>0001</v>
      </c>
      <c r="N2340" t="str">
        <f t="shared" si="312"/>
        <v>2.001</v>
      </c>
      <c r="O2340" t="str">
        <f t="shared" si="313"/>
        <v>3.1.90.11.00</v>
      </c>
      <c r="P2340" t="s">
        <v>4303</v>
      </c>
      <c r="R2340" s="25">
        <v>18079159.719999999</v>
      </c>
      <c r="S2340" t="s">
        <v>27</v>
      </c>
    </row>
    <row r="2341" spans="1:19" x14ac:dyDescent="0.25">
      <c r="A2341" t="s">
        <v>108</v>
      </c>
      <c r="B2341" t="s">
        <v>13</v>
      </c>
      <c r="C2341" t="s">
        <v>14</v>
      </c>
      <c r="D2341" t="s">
        <v>15</v>
      </c>
      <c r="E2341" t="s">
        <v>16</v>
      </c>
      <c r="F2341" t="s">
        <v>182</v>
      </c>
      <c r="G2341" t="s">
        <v>2197</v>
      </c>
      <c r="H2341" t="s">
        <v>1798</v>
      </c>
      <c r="I2341" t="s">
        <v>109</v>
      </c>
      <c r="J2341" t="s">
        <v>13</v>
      </c>
      <c r="K2341" t="str">
        <f t="shared" si="308"/>
        <v>04</v>
      </c>
      <c r="L2341" t="str">
        <f t="shared" si="309"/>
        <v>122</v>
      </c>
      <c r="M2341" t="str">
        <f t="shared" si="311"/>
        <v>0001</v>
      </c>
      <c r="N2341" t="str">
        <f t="shared" si="312"/>
        <v>2.001</v>
      </c>
      <c r="O2341" t="str">
        <f t="shared" si="313"/>
        <v>3.1.90.13.00</v>
      </c>
      <c r="P2341" t="s">
        <v>4303</v>
      </c>
      <c r="R2341" s="25">
        <v>708419.34</v>
      </c>
      <c r="S2341" t="s">
        <v>27</v>
      </c>
    </row>
    <row r="2342" spans="1:19" x14ac:dyDescent="0.25">
      <c r="A2342" t="s">
        <v>108</v>
      </c>
      <c r="B2342" t="s">
        <v>13</v>
      </c>
      <c r="C2342" t="s">
        <v>14</v>
      </c>
      <c r="D2342" t="s">
        <v>15</v>
      </c>
      <c r="E2342" t="s">
        <v>16</v>
      </c>
      <c r="F2342" t="s">
        <v>182</v>
      </c>
      <c r="G2342" t="s">
        <v>2203</v>
      </c>
      <c r="H2342" t="s">
        <v>1799</v>
      </c>
      <c r="I2342" t="s">
        <v>109</v>
      </c>
      <c r="J2342" t="s">
        <v>13</v>
      </c>
      <c r="K2342" t="str">
        <f t="shared" si="308"/>
        <v>04</v>
      </c>
      <c r="L2342" t="str">
        <f t="shared" si="309"/>
        <v>122</v>
      </c>
      <c r="M2342" t="str">
        <f t="shared" si="311"/>
        <v>0001</v>
      </c>
      <c r="N2342" t="str">
        <f t="shared" si="312"/>
        <v>2.001</v>
      </c>
      <c r="O2342" t="str">
        <f t="shared" si="313"/>
        <v>3.1.91.13.00</v>
      </c>
      <c r="P2342" t="s">
        <v>4303</v>
      </c>
      <c r="R2342" s="25">
        <v>2936967.68</v>
      </c>
      <c r="S2342" t="s">
        <v>27</v>
      </c>
    </row>
    <row r="2343" spans="1:19" x14ac:dyDescent="0.25">
      <c r="A2343" t="s">
        <v>108</v>
      </c>
      <c r="B2343" t="s">
        <v>13</v>
      </c>
      <c r="C2343" t="s">
        <v>14</v>
      </c>
      <c r="D2343" t="s">
        <v>15</v>
      </c>
      <c r="E2343" t="s">
        <v>16</v>
      </c>
      <c r="F2343" t="s">
        <v>182</v>
      </c>
      <c r="G2343" t="s">
        <v>2207</v>
      </c>
      <c r="H2343" t="s">
        <v>1801</v>
      </c>
      <c r="I2343" t="s">
        <v>109</v>
      </c>
      <c r="J2343" t="s">
        <v>13</v>
      </c>
      <c r="K2343" t="str">
        <f t="shared" si="308"/>
        <v>04</v>
      </c>
      <c r="L2343" t="str">
        <f t="shared" si="309"/>
        <v>122</v>
      </c>
      <c r="M2343" t="str">
        <f t="shared" si="311"/>
        <v>0001</v>
      </c>
      <c r="N2343" t="str">
        <f t="shared" si="312"/>
        <v>2.001</v>
      </c>
      <c r="O2343" t="str">
        <f t="shared" si="313"/>
        <v>3.3.90.49.00</v>
      </c>
      <c r="P2343" t="s">
        <v>4303</v>
      </c>
      <c r="R2343" s="25">
        <v>216277.22</v>
      </c>
      <c r="S2343" t="s">
        <v>27</v>
      </c>
    </row>
    <row r="2344" spans="1:19" x14ac:dyDescent="0.25">
      <c r="A2344" t="s">
        <v>126</v>
      </c>
      <c r="B2344" t="s">
        <v>13</v>
      </c>
      <c r="C2344" t="s">
        <v>14</v>
      </c>
      <c r="D2344" t="s">
        <v>15</v>
      </c>
      <c r="E2344" t="s">
        <v>16</v>
      </c>
      <c r="F2344" t="s">
        <v>182</v>
      </c>
      <c r="G2344" t="s">
        <v>2196</v>
      </c>
      <c r="H2344" t="s">
        <v>1803</v>
      </c>
      <c r="I2344" t="s">
        <v>128</v>
      </c>
      <c r="J2344" t="s">
        <v>13</v>
      </c>
      <c r="K2344" t="str">
        <f t="shared" si="308"/>
        <v>04</v>
      </c>
      <c r="L2344" t="str">
        <f t="shared" si="309"/>
        <v>122</v>
      </c>
      <c r="M2344" t="str">
        <f t="shared" si="311"/>
        <v>0001</v>
      </c>
      <c r="N2344" t="str">
        <f t="shared" si="312"/>
        <v>2.001</v>
      </c>
      <c r="O2344" t="str">
        <f t="shared" si="313"/>
        <v>3.1.90.11.00</v>
      </c>
      <c r="P2344" t="s">
        <v>4303</v>
      </c>
      <c r="R2344" s="25">
        <v>5164599</v>
      </c>
      <c r="S2344" t="s">
        <v>27</v>
      </c>
    </row>
    <row r="2345" spans="1:19" x14ac:dyDescent="0.25">
      <c r="A2345" t="s">
        <v>126</v>
      </c>
      <c r="B2345" t="s">
        <v>13</v>
      </c>
      <c r="C2345" t="s">
        <v>14</v>
      </c>
      <c r="D2345" t="s">
        <v>15</v>
      </c>
      <c r="E2345" t="s">
        <v>16</v>
      </c>
      <c r="F2345" t="s">
        <v>182</v>
      </c>
      <c r="G2345" t="s">
        <v>2197</v>
      </c>
      <c r="H2345" t="s">
        <v>1804</v>
      </c>
      <c r="I2345" t="s">
        <v>128</v>
      </c>
      <c r="J2345" t="s">
        <v>13</v>
      </c>
      <c r="K2345" t="str">
        <f t="shared" ref="K2345:K2376" si="314">C2345</f>
        <v>04</v>
      </c>
      <c r="L2345" t="str">
        <f t="shared" ref="L2345:L2376" si="315">D2345</f>
        <v>122</v>
      </c>
      <c r="M2345" t="str">
        <f t="shared" si="311"/>
        <v>0001</v>
      </c>
      <c r="N2345" t="str">
        <f t="shared" si="312"/>
        <v>2.001</v>
      </c>
      <c r="O2345" t="str">
        <f t="shared" si="313"/>
        <v>3.1.90.13.00</v>
      </c>
      <c r="P2345" t="s">
        <v>4303</v>
      </c>
      <c r="R2345" s="25">
        <v>684998.88</v>
      </c>
      <c r="S2345" t="s">
        <v>27</v>
      </c>
    </row>
    <row r="2346" spans="1:19" x14ac:dyDescent="0.25">
      <c r="A2346" t="s">
        <v>126</v>
      </c>
      <c r="B2346" t="s">
        <v>13</v>
      </c>
      <c r="C2346" t="s">
        <v>14</v>
      </c>
      <c r="D2346" t="s">
        <v>15</v>
      </c>
      <c r="E2346" t="s">
        <v>16</v>
      </c>
      <c r="F2346" t="s">
        <v>182</v>
      </c>
      <c r="G2346" t="s">
        <v>2203</v>
      </c>
      <c r="H2346" t="s">
        <v>1805</v>
      </c>
      <c r="I2346" t="s">
        <v>128</v>
      </c>
      <c r="J2346" t="s">
        <v>13</v>
      </c>
      <c r="K2346" t="str">
        <f t="shared" si="314"/>
        <v>04</v>
      </c>
      <c r="L2346" t="str">
        <f t="shared" si="315"/>
        <v>122</v>
      </c>
      <c r="M2346" t="str">
        <f t="shared" si="311"/>
        <v>0001</v>
      </c>
      <c r="N2346" t="str">
        <f t="shared" si="312"/>
        <v>2.001</v>
      </c>
      <c r="O2346" t="str">
        <f t="shared" si="313"/>
        <v>3.1.91.13.00</v>
      </c>
      <c r="P2346" t="s">
        <v>4303</v>
      </c>
      <c r="R2346" s="25">
        <v>467258.84</v>
      </c>
      <c r="S2346" t="s">
        <v>27</v>
      </c>
    </row>
    <row r="2347" spans="1:19" x14ac:dyDescent="0.25">
      <c r="A2347" t="s">
        <v>126</v>
      </c>
      <c r="B2347" t="s">
        <v>13</v>
      </c>
      <c r="C2347" t="s">
        <v>14</v>
      </c>
      <c r="D2347" t="s">
        <v>15</v>
      </c>
      <c r="E2347" t="s">
        <v>16</v>
      </c>
      <c r="F2347" t="s">
        <v>182</v>
      </c>
      <c r="G2347" t="s">
        <v>2207</v>
      </c>
      <c r="H2347" t="s">
        <v>1807</v>
      </c>
      <c r="I2347" t="s">
        <v>128</v>
      </c>
      <c r="J2347" t="s">
        <v>13</v>
      </c>
      <c r="K2347" t="str">
        <f t="shared" si="314"/>
        <v>04</v>
      </c>
      <c r="L2347" t="str">
        <f t="shared" si="315"/>
        <v>122</v>
      </c>
      <c r="M2347" t="str">
        <f t="shared" si="311"/>
        <v>0001</v>
      </c>
      <c r="N2347" t="str">
        <f t="shared" si="312"/>
        <v>2.001</v>
      </c>
      <c r="O2347" t="str">
        <f t="shared" si="313"/>
        <v>3.3.90.49.00</v>
      </c>
      <c r="P2347" t="s">
        <v>4303</v>
      </c>
      <c r="R2347" s="25">
        <v>44270.080000000002</v>
      </c>
      <c r="S2347" t="s">
        <v>27</v>
      </c>
    </row>
    <row r="2348" spans="1:19" x14ac:dyDescent="0.25">
      <c r="A2348" t="s">
        <v>165</v>
      </c>
      <c r="B2348" t="s">
        <v>13</v>
      </c>
      <c r="C2348" t="s">
        <v>166</v>
      </c>
      <c r="D2348" t="s">
        <v>15</v>
      </c>
      <c r="E2348" t="s">
        <v>16</v>
      </c>
      <c r="F2348" t="s">
        <v>182</v>
      </c>
      <c r="G2348" t="s">
        <v>2196</v>
      </c>
      <c r="H2348" t="s">
        <v>1814</v>
      </c>
      <c r="I2348" t="s">
        <v>167</v>
      </c>
      <c r="J2348" t="s">
        <v>13</v>
      </c>
      <c r="K2348" t="str">
        <f t="shared" si="314"/>
        <v>12</v>
      </c>
      <c r="L2348" t="str">
        <f t="shared" si="315"/>
        <v>122</v>
      </c>
      <c r="M2348" t="str">
        <f t="shared" si="311"/>
        <v>0001</v>
      </c>
      <c r="N2348" t="str">
        <f t="shared" si="312"/>
        <v>2.001</v>
      </c>
      <c r="O2348" t="str">
        <f t="shared" si="313"/>
        <v>3.1.90.11.00</v>
      </c>
      <c r="P2348" t="s">
        <v>4303</v>
      </c>
      <c r="R2348" s="25">
        <v>41987550.43</v>
      </c>
      <c r="S2348" t="s">
        <v>27</v>
      </c>
    </row>
    <row r="2349" spans="1:19" x14ac:dyDescent="0.25">
      <c r="A2349" t="s">
        <v>165</v>
      </c>
      <c r="B2349" t="s">
        <v>13</v>
      </c>
      <c r="C2349" t="s">
        <v>166</v>
      </c>
      <c r="D2349" t="s">
        <v>15</v>
      </c>
      <c r="E2349" t="s">
        <v>16</v>
      </c>
      <c r="F2349" t="s">
        <v>182</v>
      </c>
      <c r="G2349" t="s">
        <v>2197</v>
      </c>
      <c r="H2349" t="s">
        <v>1815</v>
      </c>
      <c r="I2349" t="s">
        <v>167</v>
      </c>
      <c r="J2349" t="s">
        <v>13</v>
      </c>
      <c r="K2349" t="str">
        <f t="shared" si="314"/>
        <v>12</v>
      </c>
      <c r="L2349" t="str">
        <f t="shared" si="315"/>
        <v>122</v>
      </c>
      <c r="M2349" t="str">
        <f t="shared" si="311"/>
        <v>0001</v>
      </c>
      <c r="N2349" t="str">
        <f t="shared" si="312"/>
        <v>2.001</v>
      </c>
      <c r="O2349" t="str">
        <f t="shared" si="313"/>
        <v>3.1.90.13.00</v>
      </c>
      <c r="P2349" t="s">
        <v>4303</v>
      </c>
      <c r="R2349" s="25">
        <v>2995852.55</v>
      </c>
      <c r="S2349" t="s">
        <v>27</v>
      </c>
    </row>
    <row r="2350" spans="1:19" x14ac:dyDescent="0.25">
      <c r="A2350" t="s">
        <v>165</v>
      </c>
      <c r="B2350" t="s">
        <v>13</v>
      </c>
      <c r="C2350" t="s">
        <v>166</v>
      </c>
      <c r="D2350" t="s">
        <v>15</v>
      </c>
      <c r="E2350" t="s">
        <v>16</v>
      </c>
      <c r="F2350" t="s">
        <v>182</v>
      </c>
      <c r="G2350" t="s">
        <v>2201</v>
      </c>
      <c r="H2350" t="s">
        <v>4308</v>
      </c>
      <c r="I2350" t="s">
        <v>167</v>
      </c>
      <c r="J2350" t="s">
        <v>13</v>
      </c>
      <c r="K2350" t="str">
        <f t="shared" si="314"/>
        <v>12</v>
      </c>
      <c r="L2350" t="str">
        <f t="shared" si="315"/>
        <v>122</v>
      </c>
      <c r="M2350" t="str">
        <f t="shared" si="311"/>
        <v>0001</v>
      </c>
      <c r="N2350" t="str">
        <f t="shared" si="312"/>
        <v>2.001</v>
      </c>
      <c r="O2350" t="str">
        <f t="shared" si="313"/>
        <v>3.1.90.94.00</v>
      </c>
      <c r="P2350" t="s">
        <v>4303</v>
      </c>
      <c r="R2350" s="25">
        <v>2426346.75</v>
      </c>
      <c r="S2350" t="s">
        <v>27</v>
      </c>
    </row>
    <row r="2351" spans="1:19" x14ac:dyDescent="0.25">
      <c r="A2351" t="s">
        <v>165</v>
      </c>
      <c r="B2351" t="s">
        <v>13</v>
      </c>
      <c r="C2351" t="s">
        <v>166</v>
      </c>
      <c r="D2351" t="s">
        <v>15</v>
      </c>
      <c r="E2351" t="s">
        <v>16</v>
      </c>
      <c r="F2351" t="s">
        <v>182</v>
      </c>
      <c r="G2351" t="s">
        <v>2203</v>
      </c>
      <c r="H2351" t="s">
        <v>1816</v>
      </c>
      <c r="I2351" t="s">
        <v>167</v>
      </c>
      <c r="J2351" t="s">
        <v>13</v>
      </c>
      <c r="K2351" t="str">
        <f t="shared" si="314"/>
        <v>12</v>
      </c>
      <c r="L2351" t="str">
        <f t="shared" si="315"/>
        <v>122</v>
      </c>
      <c r="M2351" t="str">
        <f t="shared" si="311"/>
        <v>0001</v>
      </c>
      <c r="N2351" t="str">
        <f t="shared" si="312"/>
        <v>2.001</v>
      </c>
      <c r="O2351" t="str">
        <f t="shared" si="313"/>
        <v>3.1.91.13.00</v>
      </c>
      <c r="P2351" t="s">
        <v>4303</v>
      </c>
      <c r="R2351" s="25">
        <v>4701024.47</v>
      </c>
      <c r="S2351" t="s">
        <v>27</v>
      </c>
    </row>
    <row r="2352" spans="1:19" x14ac:dyDescent="0.25">
      <c r="A2352" t="s">
        <v>165</v>
      </c>
      <c r="B2352" t="s">
        <v>13</v>
      </c>
      <c r="C2352" t="s">
        <v>166</v>
      </c>
      <c r="D2352" t="s">
        <v>15</v>
      </c>
      <c r="E2352" t="s">
        <v>16</v>
      </c>
      <c r="F2352" t="s">
        <v>182</v>
      </c>
      <c r="G2352" t="s">
        <v>2207</v>
      </c>
      <c r="H2352" t="s">
        <v>1818</v>
      </c>
      <c r="I2352" t="s">
        <v>167</v>
      </c>
      <c r="J2352" t="s">
        <v>13</v>
      </c>
      <c r="K2352" t="str">
        <f t="shared" si="314"/>
        <v>12</v>
      </c>
      <c r="L2352" t="str">
        <f t="shared" si="315"/>
        <v>122</v>
      </c>
      <c r="M2352" t="str">
        <f t="shared" si="311"/>
        <v>0001</v>
      </c>
      <c r="N2352" t="str">
        <f t="shared" si="312"/>
        <v>2.001</v>
      </c>
      <c r="O2352" t="str">
        <f t="shared" si="313"/>
        <v>3.3.90.49.00</v>
      </c>
      <c r="P2352" t="s">
        <v>4303</v>
      </c>
      <c r="R2352" s="25">
        <v>382307.37</v>
      </c>
      <c r="S2352" t="s">
        <v>27</v>
      </c>
    </row>
    <row r="2353" spans="1:19" x14ac:dyDescent="0.25">
      <c r="A2353" t="s">
        <v>165</v>
      </c>
      <c r="B2353" t="s">
        <v>13</v>
      </c>
      <c r="C2353" t="s">
        <v>166</v>
      </c>
      <c r="D2353" t="s">
        <v>171</v>
      </c>
      <c r="E2353" t="s">
        <v>16</v>
      </c>
      <c r="F2353" t="s">
        <v>182</v>
      </c>
      <c r="G2353" t="s">
        <v>2196</v>
      </c>
      <c r="H2353" t="s">
        <v>1819</v>
      </c>
      <c r="I2353" t="s">
        <v>167</v>
      </c>
      <c r="J2353" t="s">
        <v>13</v>
      </c>
      <c r="K2353" t="str">
        <f t="shared" si="314"/>
        <v>12</v>
      </c>
      <c r="L2353" t="str">
        <f t="shared" si="315"/>
        <v>361</v>
      </c>
      <c r="M2353" t="str">
        <f t="shared" si="311"/>
        <v>0001</v>
      </c>
      <c r="N2353" t="str">
        <f t="shared" si="312"/>
        <v>2.001</v>
      </c>
      <c r="O2353" t="str">
        <f t="shared" si="313"/>
        <v>3.1.90.11.00</v>
      </c>
      <c r="P2353" t="s">
        <v>4303</v>
      </c>
      <c r="R2353" s="25">
        <v>381901851.23000002</v>
      </c>
      <c r="S2353" t="s">
        <v>27</v>
      </c>
    </row>
    <row r="2354" spans="1:19" x14ac:dyDescent="0.25">
      <c r="A2354" t="s">
        <v>165</v>
      </c>
      <c r="B2354" t="s">
        <v>13</v>
      </c>
      <c r="C2354" t="s">
        <v>166</v>
      </c>
      <c r="D2354" t="s">
        <v>171</v>
      </c>
      <c r="E2354" t="s">
        <v>16</v>
      </c>
      <c r="F2354" t="s">
        <v>182</v>
      </c>
      <c r="G2354" t="s">
        <v>2203</v>
      </c>
      <c r="H2354" t="s">
        <v>1821</v>
      </c>
      <c r="I2354" t="s">
        <v>167</v>
      </c>
      <c r="J2354" t="s">
        <v>13</v>
      </c>
      <c r="K2354" t="str">
        <f t="shared" si="314"/>
        <v>12</v>
      </c>
      <c r="L2354" t="str">
        <f t="shared" si="315"/>
        <v>361</v>
      </c>
      <c r="M2354" t="str">
        <f t="shared" si="311"/>
        <v>0001</v>
      </c>
      <c r="N2354" t="str">
        <f t="shared" si="312"/>
        <v>2.001</v>
      </c>
      <c r="O2354" t="str">
        <f t="shared" si="313"/>
        <v>3.1.91.13.00</v>
      </c>
      <c r="P2354" t="s">
        <v>4303</v>
      </c>
      <c r="R2354" s="25">
        <v>69527804.719999999</v>
      </c>
      <c r="S2354" t="s">
        <v>27</v>
      </c>
    </row>
    <row r="2355" spans="1:19" x14ac:dyDescent="0.25">
      <c r="A2355" t="s">
        <v>165</v>
      </c>
      <c r="B2355" t="s">
        <v>13</v>
      </c>
      <c r="C2355" t="s">
        <v>166</v>
      </c>
      <c r="D2355" t="s">
        <v>171</v>
      </c>
      <c r="E2355" t="s">
        <v>16</v>
      </c>
      <c r="F2355" t="s">
        <v>182</v>
      </c>
      <c r="G2355" t="s">
        <v>2207</v>
      </c>
      <c r="H2355" t="s">
        <v>1823</v>
      </c>
      <c r="I2355" t="s">
        <v>167</v>
      </c>
      <c r="J2355" t="s">
        <v>13</v>
      </c>
      <c r="K2355" t="str">
        <f t="shared" si="314"/>
        <v>12</v>
      </c>
      <c r="L2355" t="str">
        <f t="shared" si="315"/>
        <v>361</v>
      </c>
      <c r="M2355" t="str">
        <f t="shared" si="311"/>
        <v>0001</v>
      </c>
      <c r="N2355" t="str">
        <f t="shared" si="312"/>
        <v>2.001</v>
      </c>
      <c r="O2355" t="str">
        <f t="shared" si="313"/>
        <v>3.3.90.49.00</v>
      </c>
      <c r="P2355" t="s">
        <v>4303</v>
      </c>
      <c r="R2355" s="25">
        <v>5238153.47</v>
      </c>
      <c r="S2355" t="s">
        <v>27</v>
      </c>
    </row>
    <row r="2356" spans="1:19" x14ac:dyDescent="0.25">
      <c r="A2356" t="s">
        <v>165</v>
      </c>
      <c r="B2356" t="s">
        <v>13</v>
      </c>
      <c r="C2356" t="s">
        <v>166</v>
      </c>
      <c r="D2356" t="s">
        <v>175</v>
      </c>
      <c r="E2356" t="s">
        <v>16</v>
      </c>
      <c r="F2356" t="s">
        <v>182</v>
      </c>
      <c r="G2356" t="s">
        <v>2196</v>
      </c>
      <c r="H2356" t="s">
        <v>1827</v>
      </c>
      <c r="I2356" t="s">
        <v>167</v>
      </c>
      <c r="J2356" t="s">
        <v>13</v>
      </c>
      <c r="K2356" t="str">
        <f t="shared" si="314"/>
        <v>12</v>
      </c>
      <c r="L2356" t="str">
        <f t="shared" si="315"/>
        <v>365</v>
      </c>
      <c r="M2356" t="str">
        <f t="shared" si="311"/>
        <v>0001</v>
      </c>
      <c r="N2356" t="str">
        <f t="shared" si="312"/>
        <v>2.001</v>
      </c>
      <c r="O2356" t="str">
        <f t="shared" si="313"/>
        <v>3.1.90.11.00</v>
      </c>
      <c r="P2356" t="s">
        <v>4303</v>
      </c>
      <c r="R2356" s="25">
        <v>655132626.23000002</v>
      </c>
      <c r="S2356" t="s">
        <v>27</v>
      </c>
    </row>
    <row r="2357" spans="1:19" x14ac:dyDescent="0.25">
      <c r="A2357" t="s">
        <v>165</v>
      </c>
      <c r="B2357" t="s">
        <v>13</v>
      </c>
      <c r="C2357" t="s">
        <v>166</v>
      </c>
      <c r="D2357" t="s">
        <v>175</v>
      </c>
      <c r="E2357" t="s">
        <v>16</v>
      </c>
      <c r="F2357" t="s">
        <v>182</v>
      </c>
      <c r="G2357" t="s">
        <v>2197</v>
      </c>
      <c r="H2357" t="s">
        <v>1828</v>
      </c>
      <c r="I2357" t="s">
        <v>167</v>
      </c>
      <c r="J2357" t="s">
        <v>13</v>
      </c>
      <c r="K2357" t="str">
        <f t="shared" si="314"/>
        <v>12</v>
      </c>
      <c r="L2357" t="str">
        <f t="shared" si="315"/>
        <v>365</v>
      </c>
      <c r="M2357" t="str">
        <f t="shared" si="311"/>
        <v>0001</v>
      </c>
      <c r="N2357" t="str">
        <f t="shared" si="312"/>
        <v>2.001</v>
      </c>
      <c r="O2357" t="str">
        <f t="shared" si="313"/>
        <v>3.1.90.13.00</v>
      </c>
      <c r="P2357" t="s">
        <v>4303</v>
      </c>
      <c r="R2357" s="25">
        <v>113272.5</v>
      </c>
      <c r="S2357" t="s">
        <v>27</v>
      </c>
    </row>
    <row r="2358" spans="1:19" x14ac:dyDescent="0.25">
      <c r="A2358" t="s">
        <v>165</v>
      </c>
      <c r="B2358" t="s">
        <v>13</v>
      </c>
      <c r="C2358" t="s">
        <v>166</v>
      </c>
      <c r="D2358" t="s">
        <v>175</v>
      </c>
      <c r="E2358" t="s">
        <v>16</v>
      </c>
      <c r="F2358" t="s">
        <v>182</v>
      </c>
      <c r="G2358" t="s">
        <v>2203</v>
      </c>
      <c r="H2358" t="s">
        <v>1829</v>
      </c>
      <c r="I2358" t="s">
        <v>167</v>
      </c>
      <c r="J2358" t="s">
        <v>13</v>
      </c>
      <c r="K2358" t="str">
        <f t="shared" si="314"/>
        <v>12</v>
      </c>
      <c r="L2358" t="str">
        <f t="shared" si="315"/>
        <v>365</v>
      </c>
      <c r="M2358" t="str">
        <f t="shared" si="311"/>
        <v>0001</v>
      </c>
      <c r="N2358" t="str">
        <f t="shared" si="312"/>
        <v>2.001</v>
      </c>
      <c r="O2358" t="str">
        <f t="shared" si="313"/>
        <v>3.1.91.13.00</v>
      </c>
      <c r="P2358" t="s">
        <v>4303</v>
      </c>
      <c r="R2358" s="25">
        <v>118770105.04000001</v>
      </c>
      <c r="S2358" t="s">
        <v>27</v>
      </c>
    </row>
    <row r="2359" spans="1:19" x14ac:dyDescent="0.25">
      <c r="A2359" t="s">
        <v>165</v>
      </c>
      <c r="B2359" t="s">
        <v>13</v>
      </c>
      <c r="C2359" t="s">
        <v>166</v>
      </c>
      <c r="D2359" t="s">
        <v>175</v>
      </c>
      <c r="E2359" t="s">
        <v>16</v>
      </c>
      <c r="F2359" t="s">
        <v>182</v>
      </c>
      <c r="G2359" t="s">
        <v>2207</v>
      </c>
      <c r="H2359" t="s">
        <v>1831</v>
      </c>
      <c r="I2359" t="s">
        <v>167</v>
      </c>
      <c r="J2359" t="s">
        <v>13</v>
      </c>
      <c r="K2359" t="str">
        <f t="shared" si="314"/>
        <v>12</v>
      </c>
      <c r="L2359" t="str">
        <f t="shared" si="315"/>
        <v>365</v>
      </c>
      <c r="M2359" t="str">
        <f t="shared" si="311"/>
        <v>0001</v>
      </c>
      <c r="N2359" t="str">
        <f t="shared" si="312"/>
        <v>2.001</v>
      </c>
      <c r="O2359" t="str">
        <f t="shared" si="313"/>
        <v>3.3.90.49.00</v>
      </c>
      <c r="P2359" t="s">
        <v>4303</v>
      </c>
      <c r="R2359" s="25">
        <v>8881910.1699999999</v>
      </c>
      <c r="S2359" t="s">
        <v>27</v>
      </c>
    </row>
    <row r="2360" spans="1:19" x14ac:dyDescent="0.25">
      <c r="A2360" t="s">
        <v>308</v>
      </c>
      <c r="B2360" t="s">
        <v>13</v>
      </c>
      <c r="C2360" t="s">
        <v>320</v>
      </c>
      <c r="D2360" t="s">
        <v>15</v>
      </c>
      <c r="E2360" t="s">
        <v>16</v>
      </c>
      <c r="F2360" t="s">
        <v>182</v>
      </c>
      <c r="G2360" t="s">
        <v>2196</v>
      </c>
      <c r="H2360" t="s">
        <v>1841</v>
      </c>
      <c r="I2360" t="s">
        <v>309</v>
      </c>
      <c r="J2360" t="s">
        <v>13</v>
      </c>
      <c r="K2360" t="str">
        <f t="shared" si="314"/>
        <v>10</v>
      </c>
      <c r="L2360" t="str">
        <f t="shared" si="315"/>
        <v>122</v>
      </c>
      <c r="M2360" t="str">
        <f t="shared" ref="M2360:M2391" si="316">E2360</f>
        <v>0001</v>
      </c>
      <c r="N2360" t="str">
        <f t="shared" ref="N2360:N2391" si="317">F2360</f>
        <v>2.001</v>
      </c>
      <c r="O2360" t="str">
        <f t="shared" ref="O2360:O2391" si="318">G2360</f>
        <v>3.1.90.11.00</v>
      </c>
      <c r="P2360" t="s">
        <v>4303</v>
      </c>
      <c r="R2360" s="25">
        <v>374060991.14999998</v>
      </c>
      <c r="S2360" t="s">
        <v>27</v>
      </c>
    </row>
    <row r="2361" spans="1:19" x14ac:dyDescent="0.25">
      <c r="A2361" t="s">
        <v>308</v>
      </c>
      <c r="B2361" t="s">
        <v>13</v>
      </c>
      <c r="C2361" t="s">
        <v>320</v>
      </c>
      <c r="D2361" t="s">
        <v>15</v>
      </c>
      <c r="E2361" t="s">
        <v>16</v>
      </c>
      <c r="F2361" t="s">
        <v>182</v>
      </c>
      <c r="G2361" t="s">
        <v>2197</v>
      </c>
      <c r="H2361" t="s">
        <v>1842</v>
      </c>
      <c r="I2361" t="s">
        <v>309</v>
      </c>
      <c r="J2361" t="s">
        <v>13</v>
      </c>
      <c r="K2361" t="str">
        <f t="shared" si="314"/>
        <v>10</v>
      </c>
      <c r="L2361" t="str">
        <f t="shared" si="315"/>
        <v>122</v>
      </c>
      <c r="M2361" t="str">
        <f t="shared" si="316"/>
        <v>0001</v>
      </c>
      <c r="N2361" t="str">
        <f t="shared" si="317"/>
        <v>2.001</v>
      </c>
      <c r="O2361" t="str">
        <f t="shared" si="318"/>
        <v>3.1.90.13.00</v>
      </c>
      <c r="P2361" t="s">
        <v>4303</v>
      </c>
      <c r="R2361" s="25">
        <v>6962801.4299999997</v>
      </c>
      <c r="S2361" t="s">
        <v>27</v>
      </c>
    </row>
    <row r="2362" spans="1:19" x14ac:dyDescent="0.25">
      <c r="A2362" t="s">
        <v>308</v>
      </c>
      <c r="B2362" t="s">
        <v>13</v>
      </c>
      <c r="C2362" t="s">
        <v>320</v>
      </c>
      <c r="D2362" t="s">
        <v>15</v>
      </c>
      <c r="E2362" t="s">
        <v>16</v>
      </c>
      <c r="F2362" t="s">
        <v>182</v>
      </c>
      <c r="G2362" t="s">
        <v>2201</v>
      </c>
      <c r="H2362" t="s">
        <v>4309</v>
      </c>
      <c r="I2362" t="s">
        <v>309</v>
      </c>
      <c r="J2362" t="s">
        <v>13</v>
      </c>
      <c r="K2362" t="str">
        <f t="shared" si="314"/>
        <v>10</v>
      </c>
      <c r="L2362" t="str">
        <f t="shared" si="315"/>
        <v>122</v>
      </c>
      <c r="M2362" t="str">
        <f t="shared" si="316"/>
        <v>0001</v>
      </c>
      <c r="N2362" t="str">
        <f t="shared" si="317"/>
        <v>2.001</v>
      </c>
      <c r="O2362" t="str">
        <f t="shared" si="318"/>
        <v>3.1.90.94.00</v>
      </c>
      <c r="P2362" t="s">
        <v>4303</v>
      </c>
      <c r="R2362" s="25">
        <v>2692325.56</v>
      </c>
      <c r="S2362" t="s">
        <v>27</v>
      </c>
    </row>
    <row r="2363" spans="1:19" x14ac:dyDescent="0.25">
      <c r="A2363" t="s">
        <v>308</v>
      </c>
      <c r="B2363" t="s">
        <v>13</v>
      </c>
      <c r="C2363" t="s">
        <v>320</v>
      </c>
      <c r="D2363" t="s">
        <v>15</v>
      </c>
      <c r="E2363" t="s">
        <v>16</v>
      </c>
      <c r="F2363" t="s">
        <v>182</v>
      </c>
      <c r="G2363" t="s">
        <v>2203</v>
      </c>
      <c r="H2363" t="s">
        <v>1843</v>
      </c>
      <c r="I2363" t="s">
        <v>309</v>
      </c>
      <c r="J2363" t="s">
        <v>13</v>
      </c>
      <c r="K2363" t="str">
        <f t="shared" si="314"/>
        <v>10</v>
      </c>
      <c r="L2363" t="str">
        <f t="shared" si="315"/>
        <v>122</v>
      </c>
      <c r="M2363" t="str">
        <f t="shared" si="316"/>
        <v>0001</v>
      </c>
      <c r="N2363" t="str">
        <f t="shared" si="317"/>
        <v>2.001</v>
      </c>
      <c r="O2363" t="str">
        <f t="shared" si="318"/>
        <v>3.1.91.13.00</v>
      </c>
      <c r="P2363" t="s">
        <v>4303</v>
      </c>
      <c r="R2363" s="25">
        <v>66469062.170000002</v>
      </c>
      <c r="S2363" t="s">
        <v>27</v>
      </c>
    </row>
    <row r="2364" spans="1:19" x14ac:dyDescent="0.25">
      <c r="A2364" t="s">
        <v>308</v>
      </c>
      <c r="B2364" t="s">
        <v>13</v>
      </c>
      <c r="C2364" t="s">
        <v>320</v>
      </c>
      <c r="D2364" t="s">
        <v>15</v>
      </c>
      <c r="E2364" t="s">
        <v>16</v>
      </c>
      <c r="F2364" t="s">
        <v>182</v>
      </c>
      <c r="G2364" t="s">
        <v>2207</v>
      </c>
      <c r="H2364" t="s">
        <v>1845</v>
      </c>
      <c r="I2364" t="s">
        <v>309</v>
      </c>
      <c r="J2364" t="s">
        <v>13</v>
      </c>
      <c r="K2364" t="str">
        <f t="shared" si="314"/>
        <v>10</v>
      </c>
      <c r="L2364" t="str">
        <f t="shared" si="315"/>
        <v>122</v>
      </c>
      <c r="M2364" t="str">
        <f t="shared" si="316"/>
        <v>0001</v>
      </c>
      <c r="N2364" t="str">
        <f t="shared" si="317"/>
        <v>2.001</v>
      </c>
      <c r="O2364" t="str">
        <f t="shared" si="318"/>
        <v>3.3.90.49.00</v>
      </c>
      <c r="P2364" t="s">
        <v>4303</v>
      </c>
      <c r="R2364" s="25">
        <v>3271672.01</v>
      </c>
      <c r="S2364" t="s">
        <v>27</v>
      </c>
    </row>
    <row r="2365" spans="1:19" x14ac:dyDescent="0.25">
      <c r="A2365" t="s">
        <v>308</v>
      </c>
      <c r="B2365" t="s">
        <v>13</v>
      </c>
      <c r="C2365" t="s">
        <v>320</v>
      </c>
      <c r="D2365" t="s">
        <v>4304</v>
      </c>
      <c r="E2365" t="s">
        <v>16</v>
      </c>
      <c r="F2365" t="s">
        <v>182</v>
      </c>
      <c r="G2365" t="s">
        <v>2196</v>
      </c>
      <c r="H2365" t="s">
        <v>1846</v>
      </c>
      <c r="I2365" t="s">
        <v>309</v>
      </c>
      <c r="J2365" t="s">
        <v>13</v>
      </c>
      <c r="K2365" t="str">
        <f t="shared" si="314"/>
        <v>10</v>
      </c>
      <c r="L2365" t="str">
        <f t="shared" si="315"/>
        <v>304</v>
      </c>
      <c r="M2365" t="str">
        <f t="shared" si="316"/>
        <v>0001</v>
      </c>
      <c r="N2365" t="str">
        <f t="shared" si="317"/>
        <v>2.001</v>
      </c>
      <c r="O2365" t="str">
        <f t="shared" si="318"/>
        <v>3.1.90.11.00</v>
      </c>
      <c r="P2365" t="s">
        <v>4303</v>
      </c>
      <c r="R2365" s="25">
        <v>12189838.560000001</v>
      </c>
      <c r="S2365" t="s">
        <v>27</v>
      </c>
    </row>
    <row r="2366" spans="1:19" x14ac:dyDescent="0.25">
      <c r="A2366" t="s">
        <v>308</v>
      </c>
      <c r="B2366" t="s">
        <v>13</v>
      </c>
      <c r="C2366" t="s">
        <v>320</v>
      </c>
      <c r="D2366" t="s">
        <v>4304</v>
      </c>
      <c r="E2366" t="s">
        <v>16</v>
      </c>
      <c r="F2366" t="s">
        <v>182</v>
      </c>
      <c r="G2366" t="s">
        <v>2197</v>
      </c>
      <c r="H2366" t="s">
        <v>1847</v>
      </c>
      <c r="I2366" t="s">
        <v>309</v>
      </c>
      <c r="J2366" t="s">
        <v>13</v>
      </c>
      <c r="K2366" t="str">
        <f t="shared" si="314"/>
        <v>10</v>
      </c>
      <c r="L2366" t="str">
        <f t="shared" si="315"/>
        <v>304</v>
      </c>
      <c r="M2366" t="str">
        <f t="shared" si="316"/>
        <v>0001</v>
      </c>
      <c r="N2366" t="str">
        <f t="shared" si="317"/>
        <v>2.001</v>
      </c>
      <c r="O2366" t="str">
        <f t="shared" si="318"/>
        <v>3.1.90.13.00</v>
      </c>
      <c r="P2366" t="s">
        <v>4303</v>
      </c>
      <c r="R2366" s="25">
        <v>3706359.87</v>
      </c>
      <c r="S2366" t="s">
        <v>27</v>
      </c>
    </row>
    <row r="2367" spans="1:19" x14ac:dyDescent="0.25">
      <c r="A2367" t="s">
        <v>308</v>
      </c>
      <c r="B2367" t="s">
        <v>13</v>
      </c>
      <c r="C2367" t="s">
        <v>320</v>
      </c>
      <c r="D2367" t="s">
        <v>4304</v>
      </c>
      <c r="E2367" t="s">
        <v>16</v>
      </c>
      <c r="F2367" t="s">
        <v>182</v>
      </c>
      <c r="G2367" t="s">
        <v>2207</v>
      </c>
      <c r="H2367" t="s">
        <v>1849</v>
      </c>
      <c r="I2367" t="s">
        <v>309</v>
      </c>
      <c r="J2367" t="s">
        <v>13</v>
      </c>
      <c r="K2367" t="str">
        <f t="shared" si="314"/>
        <v>10</v>
      </c>
      <c r="L2367" t="str">
        <f t="shared" si="315"/>
        <v>304</v>
      </c>
      <c r="M2367" t="str">
        <f t="shared" si="316"/>
        <v>0001</v>
      </c>
      <c r="N2367" t="str">
        <f t="shared" si="317"/>
        <v>2.001</v>
      </c>
      <c r="O2367" t="str">
        <f t="shared" si="318"/>
        <v>3.3.90.49.00</v>
      </c>
      <c r="P2367" t="s">
        <v>4303</v>
      </c>
      <c r="R2367" s="25">
        <v>103855.14</v>
      </c>
      <c r="S2367" t="s">
        <v>27</v>
      </c>
    </row>
    <row r="2368" spans="1:19" x14ac:dyDescent="0.25">
      <c r="A2368" t="s">
        <v>308</v>
      </c>
      <c r="B2368" t="s">
        <v>13</v>
      </c>
      <c r="C2368" t="s">
        <v>320</v>
      </c>
      <c r="D2368" t="s">
        <v>4305</v>
      </c>
      <c r="E2368" t="s">
        <v>16</v>
      </c>
      <c r="F2368" t="s">
        <v>182</v>
      </c>
      <c r="G2368" t="s">
        <v>2196</v>
      </c>
      <c r="H2368" t="s">
        <v>1850</v>
      </c>
      <c r="I2368" t="s">
        <v>309</v>
      </c>
      <c r="J2368" t="s">
        <v>13</v>
      </c>
      <c r="K2368" t="str">
        <f t="shared" si="314"/>
        <v>10</v>
      </c>
      <c r="L2368" t="str">
        <f t="shared" si="315"/>
        <v>305</v>
      </c>
      <c r="M2368" t="str">
        <f t="shared" si="316"/>
        <v>0001</v>
      </c>
      <c r="N2368" t="str">
        <f t="shared" si="317"/>
        <v>2.001</v>
      </c>
      <c r="O2368" t="str">
        <f t="shared" si="318"/>
        <v>3.1.90.11.00</v>
      </c>
      <c r="P2368" t="s">
        <v>4303</v>
      </c>
      <c r="R2368" s="25">
        <v>12189838.560000001</v>
      </c>
      <c r="S2368" t="s">
        <v>27</v>
      </c>
    </row>
    <row r="2369" spans="1:19" x14ac:dyDescent="0.25">
      <c r="A2369" t="s">
        <v>308</v>
      </c>
      <c r="B2369" t="s">
        <v>13</v>
      </c>
      <c r="C2369" t="s">
        <v>320</v>
      </c>
      <c r="D2369" t="s">
        <v>4305</v>
      </c>
      <c r="E2369" t="s">
        <v>16</v>
      </c>
      <c r="F2369" t="s">
        <v>182</v>
      </c>
      <c r="G2369" t="s">
        <v>2197</v>
      </c>
      <c r="H2369" t="s">
        <v>1851</v>
      </c>
      <c r="I2369" t="s">
        <v>309</v>
      </c>
      <c r="J2369" t="s">
        <v>13</v>
      </c>
      <c r="K2369" t="str">
        <f t="shared" si="314"/>
        <v>10</v>
      </c>
      <c r="L2369" t="str">
        <f t="shared" si="315"/>
        <v>305</v>
      </c>
      <c r="M2369" t="str">
        <f t="shared" si="316"/>
        <v>0001</v>
      </c>
      <c r="N2369" t="str">
        <f t="shared" si="317"/>
        <v>2.001</v>
      </c>
      <c r="O2369" t="str">
        <f t="shared" si="318"/>
        <v>3.1.90.13.00</v>
      </c>
      <c r="P2369" t="s">
        <v>4303</v>
      </c>
      <c r="R2369" s="25">
        <v>3706359.87</v>
      </c>
      <c r="S2369" t="s">
        <v>27</v>
      </c>
    </row>
    <row r="2370" spans="1:19" x14ac:dyDescent="0.25">
      <c r="A2370" t="s">
        <v>308</v>
      </c>
      <c r="B2370" t="s">
        <v>13</v>
      </c>
      <c r="C2370" t="s">
        <v>320</v>
      </c>
      <c r="D2370" t="s">
        <v>4305</v>
      </c>
      <c r="E2370" t="s">
        <v>16</v>
      </c>
      <c r="F2370" t="s">
        <v>182</v>
      </c>
      <c r="G2370" t="s">
        <v>2207</v>
      </c>
      <c r="H2370" t="s">
        <v>1854</v>
      </c>
      <c r="I2370" t="s">
        <v>309</v>
      </c>
      <c r="J2370" t="s">
        <v>13</v>
      </c>
      <c r="K2370" t="str">
        <f t="shared" si="314"/>
        <v>10</v>
      </c>
      <c r="L2370" t="str">
        <f t="shared" si="315"/>
        <v>305</v>
      </c>
      <c r="M2370" t="str">
        <f t="shared" si="316"/>
        <v>0001</v>
      </c>
      <c r="N2370" t="str">
        <f t="shared" si="317"/>
        <v>2.001</v>
      </c>
      <c r="O2370" t="str">
        <f t="shared" si="318"/>
        <v>3.3.90.49.00</v>
      </c>
      <c r="P2370" t="s">
        <v>4303</v>
      </c>
      <c r="R2370" s="25">
        <v>103855.14</v>
      </c>
      <c r="S2370" t="s">
        <v>27</v>
      </c>
    </row>
    <row r="2371" spans="1:19" x14ac:dyDescent="0.25">
      <c r="A2371" t="s">
        <v>136</v>
      </c>
      <c r="B2371" t="s">
        <v>13</v>
      </c>
      <c r="C2371" t="s">
        <v>14</v>
      </c>
      <c r="D2371" t="s">
        <v>15</v>
      </c>
      <c r="E2371" t="s">
        <v>16</v>
      </c>
      <c r="F2371" t="s">
        <v>182</v>
      </c>
      <c r="G2371" t="s">
        <v>2196</v>
      </c>
      <c r="H2371" t="s">
        <v>1880</v>
      </c>
      <c r="I2371" t="s">
        <v>439</v>
      </c>
      <c r="J2371" t="s">
        <v>13</v>
      </c>
      <c r="K2371" t="str">
        <f t="shared" si="314"/>
        <v>04</v>
      </c>
      <c r="L2371" t="str">
        <f t="shared" si="315"/>
        <v>122</v>
      </c>
      <c r="M2371" t="str">
        <f t="shared" si="316"/>
        <v>0001</v>
      </c>
      <c r="N2371" t="str">
        <f t="shared" si="317"/>
        <v>2.001</v>
      </c>
      <c r="O2371" t="str">
        <f t="shared" si="318"/>
        <v>3.1.90.11.00</v>
      </c>
      <c r="P2371" t="s">
        <v>4303</v>
      </c>
      <c r="R2371" s="25">
        <v>24333616.129999999</v>
      </c>
      <c r="S2371" t="s">
        <v>27</v>
      </c>
    </row>
    <row r="2372" spans="1:19" x14ac:dyDescent="0.25">
      <c r="A2372" t="s">
        <v>136</v>
      </c>
      <c r="B2372" t="s">
        <v>13</v>
      </c>
      <c r="C2372" t="s">
        <v>14</v>
      </c>
      <c r="D2372" t="s">
        <v>15</v>
      </c>
      <c r="E2372" t="s">
        <v>16</v>
      </c>
      <c r="F2372" t="s">
        <v>182</v>
      </c>
      <c r="G2372" t="s">
        <v>2197</v>
      </c>
      <c r="H2372" t="s">
        <v>1881</v>
      </c>
      <c r="I2372" t="s">
        <v>439</v>
      </c>
      <c r="J2372" t="s">
        <v>13</v>
      </c>
      <c r="K2372" t="str">
        <f t="shared" si="314"/>
        <v>04</v>
      </c>
      <c r="L2372" t="str">
        <f t="shared" si="315"/>
        <v>122</v>
      </c>
      <c r="M2372" t="str">
        <f t="shared" si="316"/>
        <v>0001</v>
      </c>
      <c r="N2372" t="str">
        <f t="shared" si="317"/>
        <v>2.001</v>
      </c>
      <c r="O2372" t="str">
        <f t="shared" si="318"/>
        <v>3.1.90.13.00</v>
      </c>
      <c r="P2372" t="s">
        <v>4303</v>
      </c>
      <c r="R2372" s="25">
        <v>1570141.45</v>
      </c>
      <c r="S2372" t="s">
        <v>27</v>
      </c>
    </row>
    <row r="2373" spans="1:19" x14ac:dyDescent="0.25">
      <c r="A2373" t="s">
        <v>136</v>
      </c>
      <c r="B2373" t="s">
        <v>13</v>
      </c>
      <c r="C2373" t="s">
        <v>14</v>
      </c>
      <c r="D2373" t="s">
        <v>15</v>
      </c>
      <c r="E2373" t="s">
        <v>16</v>
      </c>
      <c r="F2373" t="s">
        <v>182</v>
      </c>
      <c r="G2373" t="s">
        <v>2203</v>
      </c>
      <c r="H2373" t="s">
        <v>1882</v>
      </c>
      <c r="I2373" t="s">
        <v>439</v>
      </c>
      <c r="J2373" t="s">
        <v>13</v>
      </c>
      <c r="K2373" t="str">
        <f t="shared" si="314"/>
        <v>04</v>
      </c>
      <c r="L2373" t="str">
        <f t="shared" si="315"/>
        <v>122</v>
      </c>
      <c r="M2373" t="str">
        <f t="shared" si="316"/>
        <v>0001</v>
      </c>
      <c r="N2373" t="str">
        <f t="shared" si="317"/>
        <v>2.001</v>
      </c>
      <c r="O2373" t="str">
        <f t="shared" si="318"/>
        <v>3.1.91.13.00</v>
      </c>
      <c r="P2373" t="s">
        <v>4303</v>
      </c>
      <c r="R2373" s="25">
        <v>2698309.94</v>
      </c>
      <c r="S2373" t="s">
        <v>27</v>
      </c>
    </row>
    <row r="2374" spans="1:19" x14ac:dyDescent="0.25">
      <c r="A2374" t="s">
        <v>136</v>
      </c>
      <c r="B2374" t="s">
        <v>13</v>
      </c>
      <c r="C2374" t="s">
        <v>14</v>
      </c>
      <c r="D2374" t="s">
        <v>15</v>
      </c>
      <c r="E2374" t="s">
        <v>16</v>
      </c>
      <c r="F2374" t="s">
        <v>182</v>
      </c>
      <c r="G2374" t="s">
        <v>2207</v>
      </c>
      <c r="H2374" t="s">
        <v>1884</v>
      </c>
      <c r="I2374" t="s">
        <v>439</v>
      </c>
      <c r="J2374" t="s">
        <v>13</v>
      </c>
      <c r="K2374" t="str">
        <f t="shared" si="314"/>
        <v>04</v>
      </c>
      <c r="L2374" t="str">
        <f t="shared" si="315"/>
        <v>122</v>
      </c>
      <c r="M2374" t="str">
        <f t="shared" si="316"/>
        <v>0001</v>
      </c>
      <c r="N2374" t="str">
        <f t="shared" si="317"/>
        <v>2.001</v>
      </c>
      <c r="O2374" t="str">
        <f t="shared" si="318"/>
        <v>3.3.90.49.00</v>
      </c>
      <c r="P2374" t="s">
        <v>4303</v>
      </c>
      <c r="R2374" s="25">
        <v>485848.39</v>
      </c>
      <c r="S2374" t="s">
        <v>27</v>
      </c>
    </row>
    <row r="2375" spans="1:19" x14ac:dyDescent="0.25">
      <c r="A2375" t="s">
        <v>166</v>
      </c>
      <c r="B2375" t="s">
        <v>13</v>
      </c>
      <c r="C2375" t="s">
        <v>14</v>
      </c>
      <c r="D2375" t="s">
        <v>15</v>
      </c>
      <c r="E2375" t="s">
        <v>16</v>
      </c>
      <c r="F2375" t="s">
        <v>182</v>
      </c>
      <c r="G2375" t="s">
        <v>2196</v>
      </c>
      <c r="H2375" t="s">
        <v>1895</v>
      </c>
      <c r="I2375" t="s">
        <v>533</v>
      </c>
      <c r="J2375" t="s">
        <v>13</v>
      </c>
      <c r="K2375" t="str">
        <f t="shared" si="314"/>
        <v>04</v>
      </c>
      <c r="L2375" t="str">
        <f t="shared" si="315"/>
        <v>122</v>
      </c>
      <c r="M2375" t="str">
        <f t="shared" si="316"/>
        <v>0001</v>
      </c>
      <c r="N2375" t="str">
        <f t="shared" si="317"/>
        <v>2.001</v>
      </c>
      <c r="O2375" t="str">
        <f t="shared" si="318"/>
        <v>3.1.90.11.00</v>
      </c>
      <c r="P2375" t="s">
        <v>4303</v>
      </c>
      <c r="R2375" s="25">
        <v>13040363.59</v>
      </c>
      <c r="S2375" t="s">
        <v>27</v>
      </c>
    </row>
    <row r="2376" spans="1:19" x14ac:dyDescent="0.25">
      <c r="A2376" t="s">
        <v>166</v>
      </c>
      <c r="B2376" t="s">
        <v>13</v>
      </c>
      <c r="C2376" t="s">
        <v>14</v>
      </c>
      <c r="D2376" t="s">
        <v>15</v>
      </c>
      <c r="E2376" t="s">
        <v>16</v>
      </c>
      <c r="F2376" t="s">
        <v>182</v>
      </c>
      <c r="G2376" t="s">
        <v>2197</v>
      </c>
      <c r="H2376" t="s">
        <v>1896</v>
      </c>
      <c r="I2376" t="s">
        <v>533</v>
      </c>
      <c r="J2376" t="s">
        <v>13</v>
      </c>
      <c r="K2376" t="str">
        <f t="shared" si="314"/>
        <v>04</v>
      </c>
      <c r="L2376" t="str">
        <f t="shared" si="315"/>
        <v>122</v>
      </c>
      <c r="M2376" t="str">
        <f t="shared" si="316"/>
        <v>0001</v>
      </c>
      <c r="N2376" t="str">
        <f t="shared" si="317"/>
        <v>2.001</v>
      </c>
      <c r="O2376" t="str">
        <f t="shared" si="318"/>
        <v>3.1.90.13.00</v>
      </c>
      <c r="P2376" t="s">
        <v>4303</v>
      </c>
      <c r="R2376" s="25">
        <v>870571.09</v>
      </c>
      <c r="S2376" t="s">
        <v>27</v>
      </c>
    </row>
    <row r="2377" spans="1:19" x14ac:dyDescent="0.25">
      <c r="A2377" t="s">
        <v>166</v>
      </c>
      <c r="B2377" t="s">
        <v>13</v>
      </c>
      <c r="C2377" t="s">
        <v>14</v>
      </c>
      <c r="D2377" t="s">
        <v>15</v>
      </c>
      <c r="E2377" t="s">
        <v>16</v>
      </c>
      <c r="F2377" t="s">
        <v>182</v>
      </c>
      <c r="G2377" t="s">
        <v>2203</v>
      </c>
      <c r="H2377" t="s">
        <v>1897</v>
      </c>
      <c r="I2377" t="s">
        <v>533</v>
      </c>
      <c r="J2377" t="s">
        <v>13</v>
      </c>
      <c r="K2377" t="str">
        <f t="shared" ref="K2377:K2408" si="319">C2377</f>
        <v>04</v>
      </c>
      <c r="L2377" t="str">
        <f t="shared" ref="L2377:L2408" si="320">D2377</f>
        <v>122</v>
      </c>
      <c r="M2377" t="str">
        <f t="shared" si="316"/>
        <v>0001</v>
      </c>
      <c r="N2377" t="str">
        <f t="shared" si="317"/>
        <v>2.001</v>
      </c>
      <c r="O2377" t="str">
        <f t="shared" si="318"/>
        <v>3.1.91.13.00</v>
      </c>
      <c r="P2377" t="s">
        <v>4303</v>
      </c>
      <c r="R2377" s="25">
        <v>1878901.6</v>
      </c>
      <c r="S2377" t="s">
        <v>27</v>
      </c>
    </row>
    <row r="2378" spans="1:19" x14ac:dyDescent="0.25">
      <c r="A2378" t="s">
        <v>166</v>
      </c>
      <c r="B2378" t="s">
        <v>13</v>
      </c>
      <c r="C2378" t="s">
        <v>14</v>
      </c>
      <c r="D2378" t="s">
        <v>15</v>
      </c>
      <c r="E2378" t="s">
        <v>16</v>
      </c>
      <c r="F2378" t="s">
        <v>182</v>
      </c>
      <c r="G2378" t="s">
        <v>2207</v>
      </c>
      <c r="H2378" t="s">
        <v>1899</v>
      </c>
      <c r="I2378" t="s">
        <v>533</v>
      </c>
      <c r="J2378" t="s">
        <v>13</v>
      </c>
      <c r="K2378" t="str">
        <f t="shared" si="319"/>
        <v>04</v>
      </c>
      <c r="L2378" t="str">
        <f t="shared" si="320"/>
        <v>122</v>
      </c>
      <c r="M2378" t="str">
        <f t="shared" si="316"/>
        <v>0001</v>
      </c>
      <c r="N2378" t="str">
        <f t="shared" si="317"/>
        <v>2.001</v>
      </c>
      <c r="O2378" t="str">
        <f t="shared" si="318"/>
        <v>3.3.90.49.00</v>
      </c>
      <c r="P2378" t="s">
        <v>4303</v>
      </c>
      <c r="R2378" s="25">
        <v>129857.25</v>
      </c>
      <c r="S2378" t="s">
        <v>27</v>
      </c>
    </row>
    <row r="2379" spans="1:19" x14ac:dyDescent="0.25">
      <c r="A2379" t="s">
        <v>559</v>
      </c>
      <c r="B2379" t="s">
        <v>13</v>
      </c>
      <c r="C2379" t="s">
        <v>14</v>
      </c>
      <c r="D2379" t="s">
        <v>15</v>
      </c>
      <c r="E2379" t="s">
        <v>16</v>
      </c>
      <c r="F2379" t="s">
        <v>182</v>
      </c>
      <c r="G2379" t="s">
        <v>2196</v>
      </c>
      <c r="H2379" t="s">
        <v>1906</v>
      </c>
      <c r="I2379" t="s">
        <v>560</v>
      </c>
      <c r="J2379" t="s">
        <v>13</v>
      </c>
      <c r="K2379" t="str">
        <f t="shared" si="319"/>
        <v>04</v>
      </c>
      <c r="L2379" t="str">
        <f t="shared" si="320"/>
        <v>122</v>
      </c>
      <c r="M2379" t="str">
        <f t="shared" si="316"/>
        <v>0001</v>
      </c>
      <c r="N2379" t="str">
        <f t="shared" si="317"/>
        <v>2.001</v>
      </c>
      <c r="O2379" t="str">
        <f t="shared" si="318"/>
        <v>3.1.90.11.00</v>
      </c>
      <c r="P2379" t="s">
        <v>4303</v>
      </c>
      <c r="R2379" s="25">
        <v>13266161.33</v>
      </c>
      <c r="S2379" t="s">
        <v>27</v>
      </c>
    </row>
    <row r="2380" spans="1:19" x14ac:dyDescent="0.25">
      <c r="A2380" t="s">
        <v>559</v>
      </c>
      <c r="B2380" t="s">
        <v>13</v>
      </c>
      <c r="C2380" t="s">
        <v>14</v>
      </c>
      <c r="D2380" t="s">
        <v>15</v>
      </c>
      <c r="E2380" t="s">
        <v>16</v>
      </c>
      <c r="F2380" t="s">
        <v>182</v>
      </c>
      <c r="G2380" t="s">
        <v>2197</v>
      </c>
      <c r="H2380" t="s">
        <v>1907</v>
      </c>
      <c r="I2380" t="s">
        <v>560</v>
      </c>
      <c r="J2380" t="s">
        <v>13</v>
      </c>
      <c r="K2380" t="str">
        <f t="shared" si="319"/>
        <v>04</v>
      </c>
      <c r="L2380" t="str">
        <f t="shared" si="320"/>
        <v>122</v>
      </c>
      <c r="M2380" t="str">
        <f t="shared" si="316"/>
        <v>0001</v>
      </c>
      <c r="N2380" t="str">
        <f t="shared" si="317"/>
        <v>2.001</v>
      </c>
      <c r="O2380" t="str">
        <f t="shared" si="318"/>
        <v>3.1.90.13.00</v>
      </c>
      <c r="P2380" t="s">
        <v>4303</v>
      </c>
      <c r="R2380" s="25">
        <v>1459400.97</v>
      </c>
      <c r="S2380" t="s">
        <v>27</v>
      </c>
    </row>
    <row r="2381" spans="1:19" x14ac:dyDescent="0.25">
      <c r="A2381" t="s">
        <v>559</v>
      </c>
      <c r="B2381" t="s">
        <v>13</v>
      </c>
      <c r="C2381" t="s">
        <v>14</v>
      </c>
      <c r="D2381" t="s">
        <v>15</v>
      </c>
      <c r="E2381" t="s">
        <v>16</v>
      </c>
      <c r="F2381" t="s">
        <v>182</v>
      </c>
      <c r="G2381" t="s">
        <v>2203</v>
      </c>
      <c r="H2381" t="s">
        <v>1908</v>
      </c>
      <c r="I2381" t="s">
        <v>560</v>
      </c>
      <c r="J2381" t="s">
        <v>13</v>
      </c>
      <c r="K2381" t="str">
        <f t="shared" si="319"/>
        <v>04</v>
      </c>
      <c r="L2381" t="str">
        <f t="shared" si="320"/>
        <v>122</v>
      </c>
      <c r="M2381" t="str">
        <f t="shared" si="316"/>
        <v>0001</v>
      </c>
      <c r="N2381" t="str">
        <f t="shared" si="317"/>
        <v>2.001</v>
      </c>
      <c r="O2381" t="str">
        <f t="shared" si="318"/>
        <v>3.1.91.13.00</v>
      </c>
      <c r="P2381" t="s">
        <v>4303</v>
      </c>
      <c r="R2381" s="25">
        <v>1221486.27</v>
      </c>
      <c r="S2381" t="s">
        <v>27</v>
      </c>
    </row>
    <row r="2382" spans="1:19" x14ac:dyDescent="0.25">
      <c r="A2382" t="s">
        <v>559</v>
      </c>
      <c r="B2382" t="s">
        <v>13</v>
      </c>
      <c r="C2382" t="s">
        <v>14</v>
      </c>
      <c r="D2382" t="s">
        <v>15</v>
      </c>
      <c r="E2382" t="s">
        <v>16</v>
      </c>
      <c r="F2382" t="s">
        <v>182</v>
      </c>
      <c r="G2382" t="s">
        <v>2207</v>
      </c>
      <c r="H2382" t="s">
        <v>1910</v>
      </c>
      <c r="I2382" t="s">
        <v>560</v>
      </c>
      <c r="J2382" t="s">
        <v>13</v>
      </c>
      <c r="K2382" t="str">
        <f t="shared" si="319"/>
        <v>04</v>
      </c>
      <c r="L2382" t="str">
        <f t="shared" si="320"/>
        <v>122</v>
      </c>
      <c r="M2382" t="str">
        <f t="shared" si="316"/>
        <v>0001</v>
      </c>
      <c r="N2382" t="str">
        <f t="shared" si="317"/>
        <v>2.001</v>
      </c>
      <c r="O2382" t="str">
        <f t="shared" si="318"/>
        <v>3.3.90.49.00</v>
      </c>
      <c r="P2382" t="s">
        <v>4303</v>
      </c>
      <c r="R2382" s="25">
        <v>39286.68</v>
      </c>
      <c r="S2382" t="s">
        <v>27</v>
      </c>
    </row>
    <row r="2383" spans="1:19" x14ac:dyDescent="0.25">
      <c r="A2383" t="s">
        <v>610</v>
      </c>
      <c r="B2383" t="s">
        <v>13</v>
      </c>
      <c r="C2383" t="s">
        <v>14</v>
      </c>
      <c r="D2383" t="s">
        <v>15</v>
      </c>
      <c r="E2383" t="s">
        <v>16</v>
      </c>
      <c r="F2383" t="s">
        <v>182</v>
      </c>
      <c r="G2383" t="s">
        <v>2196</v>
      </c>
      <c r="H2383" t="s">
        <v>1922</v>
      </c>
      <c r="I2383" t="s">
        <v>612</v>
      </c>
      <c r="J2383" t="s">
        <v>13</v>
      </c>
      <c r="K2383" t="str">
        <f t="shared" si="319"/>
        <v>04</v>
      </c>
      <c r="L2383" t="str">
        <f t="shared" si="320"/>
        <v>122</v>
      </c>
      <c r="M2383" t="str">
        <f t="shared" si="316"/>
        <v>0001</v>
      </c>
      <c r="N2383" t="str">
        <f t="shared" si="317"/>
        <v>2.001</v>
      </c>
      <c r="O2383" t="str">
        <f t="shared" si="318"/>
        <v>3.1.90.11.00</v>
      </c>
      <c r="P2383" t="s">
        <v>4303</v>
      </c>
      <c r="R2383" s="25">
        <v>38605281.979999997</v>
      </c>
      <c r="S2383" t="s">
        <v>27</v>
      </c>
    </row>
    <row r="2384" spans="1:19" x14ac:dyDescent="0.25">
      <c r="A2384" t="s">
        <v>610</v>
      </c>
      <c r="B2384" t="s">
        <v>13</v>
      </c>
      <c r="C2384" t="s">
        <v>14</v>
      </c>
      <c r="D2384" t="s">
        <v>15</v>
      </c>
      <c r="E2384" t="s">
        <v>16</v>
      </c>
      <c r="F2384" t="s">
        <v>182</v>
      </c>
      <c r="G2384" t="s">
        <v>2197</v>
      </c>
      <c r="H2384" t="s">
        <v>1923</v>
      </c>
      <c r="I2384" t="s">
        <v>612</v>
      </c>
      <c r="J2384" t="s">
        <v>13</v>
      </c>
      <c r="K2384" t="str">
        <f t="shared" si="319"/>
        <v>04</v>
      </c>
      <c r="L2384" t="str">
        <f t="shared" si="320"/>
        <v>122</v>
      </c>
      <c r="M2384" t="str">
        <f t="shared" si="316"/>
        <v>0001</v>
      </c>
      <c r="N2384" t="str">
        <f t="shared" si="317"/>
        <v>2.001</v>
      </c>
      <c r="O2384" t="str">
        <f t="shared" si="318"/>
        <v>3.1.90.13.00</v>
      </c>
      <c r="P2384" t="s">
        <v>4303</v>
      </c>
      <c r="R2384" s="25">
        <v>1109500.6499999999</v>
      </c>
      <c r="S2384" t="s">
        <v>27</v>
      </c>
    </row>
    <row r="2385" spans="1:19" x14ac:dyDescent="0.25">
      <c r="A2385" t="s">
        <v>610</v>
      </c>
      <c r="B2385" t="s">
        <v>13</v>
      </c>
      <c r="C2385" t="s">
        <v>14</v>
      </c>
      <c r="D2385" t="s">
        <v>15</v>
      </c>
      <c r="E2385" t="s">
        <v>16</v>
      </c>
      <c r="F2385" t="s">
        <v>182</v>
      </c>
      <c r="G2385" t="s">
        <v>2203</v>
      </c>
      <c r="H2385" t="s">
        <v>1924</v>
      </c>
      <c r="I2385" t="s">
        <v>612</v>
      </c>
      <c r="J2385" t="s">
        <v>13</v>
      </c>
      <c r="K2385" t="str">
        <f t="shared" si="319"/>
        <v>04</v>
      </c>
      <c r="L2385" t="str">
        <f t="shared" si="320"/>
        <v>122</v>
      </c>
      <c r="M2385" t="str">
        <f t="shared" si="316"/>
        <v>0001</v>
      </c>
      <c r="N2385" t="str">
        <f t="shared" si="317"/>
        <v>2.001</v>
      </c>
      <c r="O2385" t="str">
        <f t="shared" si="318"/>
        <v>3.1.91.13.00</v>
      </c>
      <c r="P2385" t="s">
        <v>4303</v>
      </c>
      <c r="R2385" s="25">
        <v>7051250.3099999996</v>
      </c>
      <c r="S2385" t="s">
        <v>27</v>
      </c>
    </row>
    <row r="2386" spans="1:19" x14ac:dyDescent="0.25">
      <c r="A2386" t="s">
        <v>610</v>
      </c>
      <c r="B2386" t="s">
        <v>13</v>
      </c>
      <c r="C2386" t="s">
        <v>14</v>
      </c>
      <c r="D2386" t="s">
        <v>15</v>
      </c>
      <c r="E2386" t="s">
        <v>16</v>
      </c>
      <c r="F2386" t="s">
        <v>182</v>
      </c>
      <c r="G2386" t="s">
        <v>2207</v>
      </c>
      <c r="H2386" t="s">
        <v>1926</v>
      </c>
      <c r="I2386" t="s">
        <v>612</v>
      </c>
      <c r="J2386" t="s">
        <v>13</v>
      </c>
      <c r="K2386" t="str">
        <f t="shared" si="319"/>
        <v>04</v>
      </c>
      <c r="L2386" t="str">
        <f t="shared" si="320"/>
        <v>122</v>
      </c>
      <c r="M2386" t="str">
        <f t="shared" si="316"/>
        <v>0001</v>
      </c>
      <c r="N2386" t="str">
        <f t="shared" si="317"/>
        <v>2.001</v>
      </c>
      <c r="O2386" t="str">
        <f t="shared" si="318"/>
        <v>3.3.90.49.00</v>
      </c>
      <c r="P2386" t="s">
        <v>4303</v>
      </c>
      <c r="R2386" s="25">
        <v>736791.49</v>
      </c>
      <c r="S2386" t="s">
        <v>27</v>
      </c>
    </row>
    <row r="2387" spans="1:19" x14ac:dyDescent="0.25">
      <c r="A2387" t="s">
        <v>486</v>
      </c>
      <c r="B2387" t="s">
        <v>13</v>
      </c>
      <c r="C2387" t="s">
        <v>14</v>
      </c>
      <c r="D2387" t="s">
        <v>15</v>
      </c>
      <c r="E2387" t="s">
        <v>16</v>
      </c>
      <c r="F2387" t="s">
        <v>182</v>
      </c>
      <c r="G2387" t="s">
        <v>2196</v>
      </c>
      <c r="H2387" t="s">
        <v>1931</v>
      </c>
      <c r="I2387" t="s">
        <v>696</v>
      </c>
      <c r="J2387" t="s">
        <v>13</v>
      </c>
      <c r="K2387" t="str">
        <f t="shared" si="319"/>
        <v>04</v>
      </c>
      <c r="L2387" t="str">
        <f t="shared" si="320"/>
        <v>122</v>
      </c>
      <c r="M2387" t="str">
        <f t="shared" si="316"/>
        <v>0001</v>
      </c>
      <c r="N2387" t="str">
        <f t="shared" si="317"/>
        <v>2.001</v>
      </c>
      <c r="O2387" t="str">
        <f t="shared" si="318"/>
        <v>3.1.90.11.00</v>
      </c>
      <c r="P2387" t="s">
        <v>4303</v>
      </c>
      <c r="R2387" s="25">
        <v>8034063.4500000002</v>
      </c>
      <c r="S2387" t="s">
        <v>27</v>
      </c>
    </row>
    <row r="2388" spans="1:19" x14ac:dyDescent="0.25">
      <c r="A2388" t="s">
        <v>486</v>
      </c>
      <c r="B2388" t="s">
        <v>13</v>
      </c>
      <c r="C2388" t="s">
        <v>14</v>
      </c>
      <c r="D2388" t="s">
        <v>15</v>
      </c>
      <c r="E2388" t="s">
        <v>16</v>
      </c>
      <c r="F2388" t="s">
        <v>182</v>
      </c>
      <c r="G2388" t="s">
        <v>2197</v>
      </c>
      <c r="H2388" t="s">
        <v>1932</v>
      </c>
      <c r="I2388" t="s">
        <v>696</v>
      </c>
      <c r="J2388" t="s">
        <v>13</v>
      </c>
      <c r="K2388" t="str">
        <f t="shared" si="319"/>
        <v>04</v>
      </c>
      <c r="L2388" t="str">
        <f t="shared" si="320"/>
        <v>122</v>
      </c>
      <c r="M2388" t="str">
        <f t="shared" si="316"/>
        <v>0001</v>
      </c>
      <c r="N2388" t="str">
        <f t="shared" si="317"/>
        <v>2.001</v>
      </c>
      <c r="O2388" t="str">
        <f t="shared" si="318"/>
        <v>3.1.90.13.00</v>
      </c>
      <c r="P2388" t="s">
        <v>4303</v>
      </c>
      <c r="R2388" s="25">
        <v>652820.63</v>
      </c>
      <c r="S2388" t="s">
        <v>27</v>
      </c>
    </row>
    <row r="2389" spans="1:19" x14ac:dyDescent="0.25">
      <c r="A2389" t="s">
        <v>486</v>
      </c>
      <c r="B2389" t="s">
        <v>13</v>
      </c>
      <c r="C2389" t="s">
        <v>14</v>
      </c>
      <c r="D2389" t="s">
        <v>15</v>
      </c>
      <c r="E2389" t="s">
        <v>16</v>
      </c>
      <c r="F2389" t="s">
        <v>182</v>
      </c>
      <c r="G2389" t="s">
        <v>2203</v>
      </c>
      <c r="H2389" t="s">
        <v>1933</v>
      </c>
      <c r="I2389" t="s">
        <v>696</v>
      </c>
      <c r="J2389" t="s">
        <v>13</v>
      </c>
      <c r="K2389" t="str">
        <f t="shared" si="319"/>
        <v>04</v>
      </c>
      <c r="L2389" t="str">
        <f t="shared" si="320"/>
        <v>122</v>
      </c>
      <c r="M2389" t="str">
        <f t="shared" si="316"/>
        <v>0001</v>
      </c>
      <c r="N2389" t="str">
        <f t="shared" si="317"/>
        <v>2.001</v>
      </c>
      <c r="O2389" t="str">
        <f t="shared" si="318"/>
        <v>3.1.91.13.00</v>
      </c>
      <c r="P2389" t="s">
        <v>4303</v>
      </c>
      <c r="R2389" s="25">
        <v>1065760.03</v>
      </c>
      <c r="S2389" t="s">
        <v>27</v>
      </c>
    </row>
    <row r="2390" spans="1:19" x14ac:dyDescent="0.25">
      <c r="A2390" t="s">
        <v>486</v>
      </c>
      <c r="B2390" t="s">
        <v>13</v>
      </c>
      <c r="C2390" t="s">
        <v>14</v>
      </c>
      <c r="D2390" t="s">
        <v>15</v>
      </c>
      <c r="E2390" t="s">
        <v>16</v>
      </c>
      <c r="F2390" t="s">
        <v>182</v>
      </c>
      <c r="G2390" t="s">
        <v>2207</v>
      </c>
      <c r="H2390" t="s">
        <v>1935</v>
      </c>
      <c r="I2390" t="s">
        <v>696</v>
      </c>
      <c r="J2390" t="s">
        <v>13</v>
      </c>
      <c r="K2390" t="str">
        <f t="shared" si="319"/>
        <v>04</v>
      </c>
      <c r="L2390" t="str">
        <f t="shared" si="320"/>
        <v>122</v>
      </c>
      <c r="M2390" t="str">
        <f t="shared" si="316"/>
        <v>0001</v>
      </c>
      <c r="N2390" t="str">
        <f t="shared" si="317"/>
        <v>2.001</v>
      </c>
      <c r="O2390" t="str">
        <f t="shared" si="318"/>
        <v>3.3.90.49.00</v>
      </c>
      <c r="P2390" t="s">
        <v>4303</v>
      </c>
      <c r="R2390" s="25">
        <v>79511.11</v>
      </c>
      <c r="S2390" t="s">
        <v>27</v>
      </c>
    </row>
    <row r="2391" spans="1:19" x14ac:dyDescent="0.25">
      <c r="A2391" t="s">
        <v>593</v>
      </c>
      <c r="B2391" t="s">
        <v>13</v>
      </c>
      <c r="C2391" t="s">
        <v>14</v>
      </c>
      <c r="D2391" t="s">
        <v>15</v>
      </c>
      <c r="E2391" t="s">
        <v>16</v>
      </c>
      <c r="F2391" t="s">
        <v>182</v>
      </c>
      <c r="G2391" t="s">
        <v>2196</v>
      </c>
      <c r="H2391" t="s">
        <v>1941</v>
      </c>
      <c r="I2391" t="s">
        <v>712</v>
      </c>
      <c r="J2391" t="s">
        <v>13</v>
      </c>
      <c r="K2391" t="str">
        <f t="shared" si="319"/>
        <v>04</v>
      </c>
      <c r="L2391" t="str">
        <f t="shared" si="320"/>
        <v>122</v>
      </c>
      <c r="M2391" t="str">
        <f t="shared" si="316"/>
        <v>0001</v>
      </c>
      <c r="N2391" t="str">
        <f t="shared" si="317"/>
        <v>2.001</v>
      </c>
      <c r="O2391" t="str">
        <f t="shared" si="318"/>
        <v>3.1.90.11.00</v>
      </c>
      <c r="P2391" t="s">
        <v>4303</v>
      </c>
      <c r="R2391" s="25">
        <v>17966386.09</v>
      </c>
      <c r="S2391" t="s">
        <v>27</v>
      </c>
    </row>
    <row r="2392" spans="1:19" x14ac:dyDescent="0.25">
      <c r="A2392" t="s">
        <v>593</v>
      </c>
      <c r="B2392" t="s">
        <v>13</v>
      </c>
      <c r="C2392" t="s">
        <v>14</v>
      </c>
      <c r="D2392" t="s">
        <v>15</v>
      </c>
      <c r="E2392" t="s">
        <v>16</v>
      </c>
      <c r="F2392" t="s">
        <v>182</v>
      </c>
      <c r="G2392" t="s">
        <v>2197</v>
      </c>
      <c r="H2392" t="s">
        <v>1942</v>
      </c>
      <c r="I2392" t="s">
        <v>712</v>
      </c>
      <c r="J2392" t="s">
        <v>13</v>
      </c>
      <c r="K2392" t="str">
        <f t="shared" si="319"/>
        <v>04</v>
      </c>
      <c r="L2392" t="str">
        <f t="shared" si="320"/>
        <v>122</v>
      </c>
      <c r="M2392" t="str">
        <f t="shared" ref="M2392:M2423" si="321">E2392</f>
        <v>0001</v>
      </c>
      <c r="N2392" t="str">
        <f t="shared" ref="N2392:N2423" si="322">F2392</f>
        <v>2.001</v>
      </c>
      <c r="O2392" t="str">
        <f t="shared" ref="O2392:O2423" si="323">G2392</f>
        <v>3.1.90.13.00</v>
      </c>
      <c r="P2392" t="s">
        <v>4303</v>
      </c>
      <c r="R2392" s="25">
        <v>2528888.83</v>
      </c>
      <c r="S2392" t="s">
        <v>27</v>
      </c>
    </row>
    <row r="2393" spans="1:19" x14ac:dyDescent="0.25">
      <c r="A2393" t="s">
        <v>593</v>
      </c>
      <c r="B2393" t="s">
        <v>13</v>
      </c>
      <c r="C2393" t="s">
        <v>14</v>
      </c>
      <c r="D2393" t="s">
        <v>15</v>
      </c>
      <c r="E2393" t="s">
        <v>16</v>
      </c>
      <c r="F2393" t="s">
        <v>182</v>
      </c>
      <c r="G2393" t="s">
        <v>2203</v>
      </c>
      <c r="H2393" t="s">
        <v>1943</v>
      </c>
      <c r="I2393" t="s">
        <v>712</v>
      </c>
      <c r="J2393" t="s">
        <v>13</v>
      </c>
      <c r="K2393" t="str">
        <f t="shared" si="319"/>
        <v>04</v>
      </c>
      <c r="L2393" t="str">
        <f t="shared" si="320"/>
        <v>122</v>
      </c>
      <c r="M2393" t="str">
        <f t="shared" si="321"/>
        <v>0001</v>
      </c>
      <c r="N2393" t="str">
        <f t="shared" si="322"/>
        <v>2.001</v>
      </c>
      <c r="O2393" t="str">
        <f t="shared" si="323"/>
        <v>3.1.91.13.00</v>
      </c>
      <c r="P2393" t="s">
        <v>4303</v>
      </c>
      <c r="R2393" s="25">
        <v>917813.36</v>
      </c>
      <c r="S2393" t="s">
        <v>27</v>
      </c>
    </row>
    <row r="2394" spans="1:19" x14ac:dyDescent="0.25">
      <c r="A2394" t="s">
        <v>593</v>
      </c>
      <c r="B2394" t="s">
        <v>13</v>
      </c>
      <c r="C2394" t="s">
        <v>14</v>
      </c>
      <c r="D2394" t="s">
        <v>15</v>
      </c>
      <c r="E2394" t="s">
        <v>16</v>
      </c>
      <c r="F2394" t="s">
        <v>182</v>
      </c>
      <c r="G2394" t="s">
        <v>2207</v>
      </c>
      <c r="H2394" t="s">
        <v>1945</v>
      </c>
      <c r="I2394" t="s">
        <v>712</v>
      </c>
      <c r="J2394" t="s">
        <v>13</v>
      </c>
      <c r="K2394" t="str">
        <f t="shared" si="319"/>
        <v>04</v>
      </c>
      <c r="L2394" t="str">
        <f t="shared" si="320"/>
        <v>122</v>
      </c>
      <c r="M2394" t="str">
        <f t="shared" si="321"/>
        <v>0001</v>
      </c>
      <c r="N2394" t="str">
        <f t="shared" si="322"/>
        <v>2.001</v>
      </c>
      <c r="O2394" t="str">
        <f t="shared" si="323"/>
        <v>3.3.90.49.00</v>
      </c>
      <c r="P2394" t="s">
        <v>4303</v>
      </c>
      <c r="R2394" s="25">
        <v>58157.919999999998</v>
      </c>
      <c r="S2394" t="s">
        <v>27</v>
      </c>
    </row>
    <row r="2395" spans="1:19" x14ac:dyDescent="0.25">
      <c r="A2395" t="s">
        <v>508</v>
      </c>
      <c r="B2395" t="s">
        <v>13</v>
      </c>
      <c r="C2395" t="s">
        <v>14</v>
      </c>
      <c r="D2395" t="s">
        <v>15</v>
      </c>
      <c r="E2395" t="s">
        <v>16</v>
      </c>
      <c r="F2395" t="s">
        <v>182</v>
      </c>
      <c r="G2395" t="s">
        <v>2196</v>
      </c>
      <c r="H2395" t="s">
        <v>1948</v>
      </c>
      <c r="I2395" t="s">
        <v>737</v>
      </c>
      <c r="J2395" t="s">
        <v>13</v>
      </c>
      <c r="K2395" t="str">
        <f t="shared" si="319"/>
        <v>04</v>
      </c>
      <c r="L2395" t="str">
        <f t="shared" si="320"/>
        <v>122</v>
      </c>
      <c r="M2395" t="str">
        <f t="shared" si="321"/>
        <v>0001</v>
      </c>
      <c r="N2395" t="str">
        <f t="shared" si="322"/>
        <v>2.001</v>
      </c>
      <c r="O2395" t="str">
        <f t="shared" si="323"/>
        <v>3.1.90.11.00</v>
      </c>
      <c r="P2395" t="s">
        <v>4303</v>
      </c>
      <c r="R2395" s="25">
        <v>8583438.0099999998</v>
      </c>
      <c r="S2395" t="s">
        <v>27</v>
      </c>
    </row>
    <row r="2396" spans="1:19" x14ac:dyDescent="0.25">
      <c r="A2396" t="s">
        <v>508</v>
      </c>
      <c r="B2396" t="s">
        <v>13</v>
      </c>
      <c r="C2396" t="s">
        <v>14</v>
      </c>
      <c r="D2396" t="s">
        <v>15</v>
      </c>
      <c r="E2396" t="s">
        <v>16</v>
      </c>
      <c r="F2396" t="s">
        <v>182</v>
      </c>
      <c r="G2396" t="s">
        <v>2197</v>
      </c>
      <c r="H2396" t="s">
        <v>1949</v>
      </c>
      <c r="I2396" t="s">
        <v>737</v>
      </c>
      <c r="J2396" t="s">
        <v>13</v>
      </c>
      <c r="K2396" t="str">
        <f t="shared" si="319"/>
        <v>04</v>
      </c>
      <c r="L2396" t="str">
        <f t="shared" si="320"/>
        <v>122</v>
      </c>
      <c r="M2396" t="str">
        <f t="shared" si="321"/>
        <v>0001</v>
      </c>
      <c r="N2396" t="str">
        <f t="shared" si="322"/>
        <v>2.001</v>
      </c>
      <c r="O2396" t="str">
        <f t="shared" si="323"/>
        <v>3.1.90.13.00</v>
      </c>
      <c r="P2396" t="s">
        <v>4303</v>
      </c>
      <c r="R2396" s="25">
        <v>939318.26</v>
      </c>
      <c r="S2396" t="s">
        <v>27</v>
      </c>
    </row>
    <row r="2397" spans="1:19" x14ac:dyDescent="0.25">
      <c r="A2397" t="s">
        <v>508</v>
      </c>
      <c r="B2397" t="s">
        <v>13</v>
      </c>
      <c r="C2397" t="s">
        <v>14</v>
      </c>
      <c r="D2397" t="s">
        <v>15</v>
      </c>
      <c r="E2397" t="s">
        <v>16</v>
      </c>
      <c r="F2397" t="s">
        <v>182</v>
      </c>
      <c r="G2397" t="s">
        <v>2203</v>
      </c>
      <c r="H2397" t="s">
        <v>1950</v>
      </c>
      <c r="I2397" t="s">
        <v>737</v>
      </c>
      <c r="J2397" t="s">
        <v>13</v>
      </c>
      <c r="K2397" t="str">
        <f t="shared" si="319"/>
        <v>04</v>
      </c>
      <c r="L2397" t="str">
        <f t="shared" si="320"/>
        <v>122</v>
      </c>
      <c r="M2397" t="str">
        <f t="shared" si="321"/>
        <v>0001</v>
      </c>
      <c r="N2397" t="str">
        <f t="shared" si="322"/>
        <v>2.001</v>
      </c>
      <c r="O2397" t="str">
        <f t="shared" si="323"/>
        <v>3.1.91.13.00</v>
      </c>
      <c r="P2397" t="s">
        <v>4303</v>
      </c>
      <c r="R2397" s="25">
        <v>735941.08</v>
      </c>
      <c r="S2397" t="s">
        <v>27</v>
      </c>
    </row>
    <row r="2398" spans="1:19" x14ac:dyDescent="0.25">
      <c r="A2398" t="s">
        <v>508</v>
      </c>
      <c r="B2398" t="s">
        <v>13</v>
      </c>
      <c r="C2398" t="s">
        <v>14</v>
      </c>
      <c r="D2398" t="s">
        <v>15</v>
      </c>
      <c r="E2398" t="s">
        <v>16</v>
      </c>
      <c r="F2398" t="s">
        <v>182</v>
      </c>
      <c r="G2398" t="s">
        <v>2207</v>
      </c>
      <c r="H2398" t="s">
        <v>1952</v>
      </c>
      <c r="I2398" t="s">
        <v>737</v>
      </c>
      <c r="J2398" t="s">
        <v>13</v>
      </c>
      <c r="K2398" t="str">
        <f t="shared" si="319"/>
        <v>04</v>
      </c>
      <c r="L2398" t="str">
        <f t="shared" si="320"/>
        <v>122</v>
      </c>
      <c r="M2398" t="str">
        <f t="shared" si="321"/>
        <v>0001</v>
      </c>
      <c r="N2398" t="str">
        <f t="shared" si="322"/>
        <v>2.001</v>
      </c>
      <c r="O2398" t="str">
        <f t="shared" si="323"/>
        <v>3.3.90.49.00</v>
      </c>
      <c r="P2398" t="s">
        <v>4303</v>
      </c>
      <c r="R2398" s="25">
        <v>115228.87</v>
      </c>
      <c r="S2398" t="s">
        <v>27</v>
      </c>
    </row>
    <row r="2399" spans="1:19" x14ac:dyDescent="0.25">
      <c r="A2399" t="s">
        <v>515</v>
      </c>
      <c r="B2399" t="s">
        <v>13</v>
      </c>
      <c r="C2399" t="s">
        <v>14</v>
      </c>
      <c r="D2399" t="s">
        <v>15</v>
      </c>
      <c r="E2399" t="s">
        <v>16</v>
      </c>
      <c r="F2399" t="s">
        <v>182</v>
      </c>
      <c r="G2399" t="s">
        <v>2201</v>
      </c>
      <c r="H2399" t="s">
        <v>4310</v>
      </c>
      <c r="I2399" t="s">
        <v>789</v>
      </c>
      <c r="J2399" t="s">
        <v>13</v>
      </c>
      <c r="K2399" t="str">
        <f t="shared" si="319"/>
        <v>04</v>
      </c>
      <c r="L2399" t="str">
        <f t="shared" si="320"/>
        <v>122</v>
      </c>
      <c r="M2399" t="str">
        <f t="shared" si="321"/>
        <v>0001</v>
      </c>
      <c r="N2399" t="str">
        <f t="shared" si="322"/>
        <v>2.001</v>
      </c>
      <c r="O2399" t="str">
        <f t="shared" si="323"/>
        <v>3.1.90.94.00</v>
      </c>
      <c r="P2399" t="s">
        <v>4303</v>
      </c>
      <c r="R2399" s="25">
        <v>4698411.18</v>
      </c>
      <c r="S2399" t="s">
        <v>27</v>
      </c>
    </row>
    <row r="2400" spans="1:19" x14ac:dyDescent="0.25">
      <c r="A2400" t="s">
        <v>843</v>
      </c>
      <c r="B2400" t="s">
        <v>13</v>
      </c>
      <c r="C2400" t="s">
        <v>14</v>
      </c>
      <c r="D2400" t="s">
        <v>15</v>
      </c>
      <c r="E2400" t="s">
        <v>16</v>
      </c>
      <c r="F2400" t="s">
        <v>182</v>
      </c>
      <c r="G2400" t="s">
        <v>2196</v>
      </c>
      <c r="H2400" t="s">
        <v>1980</v>
      </c>
      <c r="I2400" t="s">
        <v>844</v>
      </c>
      <c r="J2400" t="s">
        <v>13</v>
      </c>
      <c r="K2400" t="str">
        <f t="shared" si="319"/>
        <v>04</v>
      </c>
      <c r="L2400" t="str">
        <f t="shared" si="320"/>
        <v>122</v>
      </c>
      <c r="M2400" t="str">
        <f t="shared" si="321"/>
        <v>0001</v>
      </c>
      <c r="N2400" t="str">
        <f t="shared" si="322"/>
        <v>2.001</v>
      </c>
      <c r="O2400" t="str">
        <f t="shared" si="323"/>
        <v>3.1.90.11.00</v>
      </c>
      <c r="P2400" t="s">
        <v>4303</v>
      </c>
      <c r="R2400" s="25">
        <v>14119009.970000001</v>
      </c>
      <c r="S2400" t="s">
        <v>27</v>
      </c>
    </row>
    <row r="2401" spans="1:19" x14ac:dyDescent="0.25">
      <c r="A2401" t="s">
        <v>843</v>
      </c>
      <c r="B2401" t="s">
        <v>13</v>
      </c>
      <c r="C2401" t="s">
        <v>14</v>
      </c>
      <c r="D2401" t="s">
        <v>15</v>
      </c>
      <c r="E2401" t="s">
        <v>16</v>
      </c>
      <c r="F2401" t="s">
        <v>182</v>
      </c>
      <c r="G2401" t="s">
        <v>2197</v>
      </c>
      <c r="H2401" t="s">
        <v>1981</v>
      </c>
      <c r="I2401" t="s">
        <v>844</v>
      </c>
      <c r="J2401" t="s">
        <v>13</v>
      </c>
      <c r="K2401" t="str">
        <f t="shared" si="319"/>
        <v>04</v>
      </c>
      <c r="L2401" t="str">
        <f t="shared" si="320"/>
        <v>122</v>
      </c>
      <c r="M2401" t="str">
        <f t="shared" si="321"/>
        <v>0001</v>
      </c>
      <c r="N2401" t="str">
        <f t="shared" si="322"/>
        <v>2.001</v>
      </c>
      <c r="O2401" t="str">
        <f t="shared" si="323"/>
        <v>3.1.90.13.00</v>
      </c>
      <c r="P2401" t="s">
        <v>4303</v>
      </c>
      <c r="R2401" s="25">
        <v>693689.14</v>
      </c>
      <c r="S2401" t="s">
        <v>27</v>
      </c>
    </row>
    <row r="2402" spans="1:19" x14ac:dyDescent="0.25">
      <c r="A2402" t="s">
        <v>843</v>
      </c>
      <c r="B2402" t="s">
        <v>13</v>
      </c>
      <c r="C2402" t="s">
        <v>14</v>
      </c>
      <c r="D2402" t="s">
        <v>15</v>
      </c>
      <c r="E2402" t="s">
        <v>16</v>
      </c>
      <c r="F2402" t="s">
        <v>182</v>
      </c>
      <c r="G2402" t="s">
        <v>2203</v>
      </c>
      <c r="H2402" t="s">
        <v>1982</v>
      </c>
      <c r="I2402" t="s">
        <v>844</v>
      </c>
      <c r="J2402" t="s">
        <v>13</v>
      </c>
      <c r="K2402" t="str">
        <f t="shared" si="319"/>
        <v>04</v>
      </c>
      <c r="L2402" t="str">
        <f t="shared" si="320"/>
        <v>122</v>
      </c>
      <c r="M2402" t="str">
        <f t="shared" si="321"/>
        <v>0001</v>
      </c>
      <c r="N2402" t="str">
        <f t="shared" si="322"/>
        <v>2.001</v>
      </c>
      <c r="O2402" t="str">
        <f t="shared" si="323"/>
        <v>3.1.91.13.00</v>
      </c>
      <c r="P2402" t="s">
        <v>4303</v>
      </c>
      <c r="R2402" s="25">
        <v>1976598.55</v>
      </c>
      <c r="S2402" t="s">
        <v>27</v>
      </c>
    </row>
    <row r="2403" spans="1:19" x14ac:dyDescent="0.25">
      <c r="A2403" t="s">
        <v>843</v>
      </c>
      <c r="B2403" t="s">
        <v>13</v>
      </c>
      <c r="C2403" t="s">
        <v>14</v>
      </c>
      <c r="D2403" t="s">
        <v>15</v>
      </c>
      <c r="E2403" t="s">
        <v>16</v>
      </c>
      <c r="F2403" t="s">
        <v>182</v>
      </c>
      <c r="G2403" t="s">
        <v>2207</v>
      </c>
      <c r="H2403" t="s">
        <v>1984</v>
      </c>
      <c r="I2403" t="s">
        <v>844</v>
      </c>
      <c r="J2403" t="s">
        <v>13</v>
      </c>
      <c r="K2403" t="str">
        <f t="shared" si="319"/>
        <v>04</v>
      </c>
      <c r="L2403" t="str">
        <f t="shared" si="320"/>
        <v>122</v>
      </c>
      <c r="M2403" t="str">
        <f t="shared" si="321"/>
        <v>0001</v>
      </c>
      <c r="N2403" t="str">
        <f t="shared" si="322"/>
        <v>2.001</v>
      </c>
      <c r="O2403" t="str">
        <f t="shared" si="323"/>
        <v>3.3.90.49.00</v>
      </c>
      <c r="P2403" t="s">
        <v>4303</v>
      </c>
      <c r="R2403" s="25">
        <v>293893.27</v>
      </c>
      <c r="S2403" t="s">
        <v>27</v>
      </c>
    </row>
    <row r="2404" spans="1:19" x14ac:dyDescent="0.25">
      <c r="A2404" t="s">
        <v>862</v>
      </c>
      <c r="B2404" t="s">
        <v>13</v>
      </c>
      <c r="C2404" t="s">
        <v>14</v>
      </c>
      <c r="D2404" t="s">
        <v>15</v>
      </c>
      <c r="E2404" t="s">
        <v>16</v>
      </c>
      <c r="F2404" t="s">
        <v>182</v>
      </c>
      <c r="G2404" t="s">
        <v>2196</v>
      </c>
      <c r="H2404" t="s">
        <v>1987</v>
      </c>
      <c r="I2404" t="s">
        <v>864</v>
      </c>
      <c r="J2404" t="s">
        <v>13</v>
      </c>
      <c r="K2404" t="str">
        <f t="shared" si="319"/>
        <v>04</v>
      </c>
      <c r="L2404" t="str">
        <f t="shared" si="320"/>
        <v>122</v>
      </c>
      <c r="M2404" t="str">
        <f t="shared" si="321"/>
        <v>0001</v>
      </c>
      <c r="N2404" t="str">
        <f t="shared" si="322"/>
        <v>2.001</v>
      </c>
      <c r="O2404" t="str">
        <f t="shared" si="323"/>
        <v>3.1.90.11.00</v>
      </c>
      <c r="P2404" t="s">
        <v>4303</v>
      </c>
      <c r="R2404" s="25">
        <v>96160283.299999997</v>
      </c>
      <c r="S2404" t="s">
        <v>27</v>
      </c>
    </row>
    <row r="2405" spans="1:19" x14ac:dyDescent="0.25">
      <c r="A2405" t="s">
        <v>862</v>
      </c>
      <c r="B2405" t="s">
        <v>13</v>
      </c>
      <c r="C2405" t="s">
        <v>14</v>
      </c>
      <c r="D2405" t="s">
        <v>15</v>
      </c>
      <c r="E2405" t="s">
        <v>16</v>
      </c>
      <c r="F2405" t="s">
        <v>182</v>
      </c>
      <c r="G2405" t="s">
        <v>2197</v>
      </c>
      <c r="H2405" t="s">
        <v>1988</v>
      </c>
      <c r="I2405" t="s">
        <v>864</v>
      </c>
      <c r="J2405" t="s">
        <v>13</v>
      </c>
      <c r="K2405" t="str">
        <f t="shared" si="319"/>
        <v>04</v>
      </c>
      <c r="L2405" t="str">
        <f t="shared" si="320"/>
        <v>122</v>
      </c>
      <c r="M2405" t="str">
        <f t="shared" si="321"/>
        <v>0001</v>
      </c>
      <c r="N2405" t="str">
        <f t="shared" si="322"/>
        <v>2.001</v>
      </c>
      <c r="O2405" t="str">
        <f t="shared" si="323"/>
        <v>3.1.90.13.00</v>
      </c>
      <c r="P2405" t="s">
        <v>4303</v>
      </c>
      <c r="R2405" s="25">
        <v>551056.44999999995</v>
      </c>
      <c r="S2405" t="s">
        <v>27</v>
      </c>
    </row>
    <row r="2406" spans="1:19" x14ac:dyDescent="0.25">
      <c r="A2406" t="s">
        <v>862</v>
      </c>
      <c r="B2406" t="s">
        <v>13</v>
      </c>
      <c r="C2406" t="s">
        <v>14</v>
      </c>
      <c r="D2406" t="s">
        <v>15</v>
      </c>
      <c r="E2406" t="s">
        <v>16</v>
      </c>
      <c r="F2406" t="s">
        <v>182</v>
      </c>
      <c r="G2406" t="s">
        <v>2203</v>
      </c>
      <c r="H2406" t="s">
        <v>1989</v>
      </c>
      <c r="I2406" t="s">
        <v>864</v>
      </c>
      <c r="J2406" t="s">
        <v>13</v>
      </c>
      <c r="K2406" t="str">
        <f t="shared" si="319"/>
        <v>04</v>
      </c>
      <c r="L2406" t="str">
        <f t="shared" si="320"/>
        <v>122</v>
      </c>
      <c r="M2406" t="str">
        <f t="shared" si="321"/>
        <v>0001</v>
      </c>
      <c r="N2406" t="str">
        <f t="shared" si="322"/>
        <v>2.001</v>
      </c>
      <c r="O2406" t="str">
        <f t="shared" si="323"/>
        <v>3.1.91.13.00</v>
      </c>
      <c r="P2406" t="s">
        <v>4303</v>
      </c>
      <c r="R2406" s="25">
        <v>19688412.039999999</v>
      </c>
      <c r="S2406" t="s">
        <v>27</v>
      </c>
    </row>
    <row r="2407" spans="1:19" x14ac:dyDescent="0.25">
      <c r="A2407" t="s">
        <v>862</v>
      </c>
      <c r="B2407" t="s">
        <v>13</v>
      </c>
      <c r="C2407" t="s">
        <v>14</v>
      </c>
      <c r="D2407" t="s">
        <v>15</v>
      </c>
      <c r="E2407" t="s">
        <v>16</v>
      </c>
      <c r="F2407" t="s">
        <v>182</v>
      </c>
      <c r="G2407" t="s">
        <v>2207</v>
      </c>
      <c r="H2407" t="s">
        <v>1991</v>
      </c>
      <c r="I2407" t="s">
        <v>864</v>
      </c>
      <c r="J2407" t="s">
        <v>13</v>
      </c>
      <c r="K2407" t="str">
        <f t="shared" si="319"/>
        <v>04</v>
      </c>
      <c r="L2407" t="str">
        <f t="shared" si="320"/>
        <v>122</v>
      </c>
      <c r="M2407" t="str">
        <f t="shared" si="321"/>
        <v>0001</v>
      </c>
      <c r="N2407" t="str">
        <f t="shared" si="322"/>
        <v>2.001</v>
      </c>
      <c r="O2407" t="str">
        <f t="shared" si="323"/>
        <v>3.3.90.49.00</v>
      </c>
      <c r="P2407" t="s">
        <v>4303</v>
      </c>
      <c r="R2407" s="25">
        <v>1893654.97</v>
      </c>
      <c r="S2407" t="s">
        <v>27</v>
      </c>
    </row>
    <row r="2408" spans="1:19" x14ac:dyDescent="0.25">
      <c r="A2408" t="s">
        <v>710</v>
      </c>
      <c r="B2408" t="s">
        <v>13</v>
      </c>
      <c r="C2408" t="s">
        <v>14</v>
      </c>
      <c r="D2408" t="s">
        <v>15</v>
      </c>
      <c r="E2408" t="s">
        <v>16</v>
      </c>
      <c r="F2408" t="s">
        <v>182</v>
      </c>
      <c r="G2408" t="s">
        <v>2196</v>
      </c>
      <c r="H2408" t="s">
        <v>2066</v>
      </c>
      <c r="I2408" t="s">
        <v>874</v>
      </c>
      <c r="J2408" t="s">
        <v>13</v>
      </c>
      <c r="K2408" t="str">
        <f t="shared" si="319"/>
        <v>04</v>
      </c>
      <c r="L2408" t="str">
        <f t="shared" si="320"/>
        <v>122</v>
      </c>
      <c r="M2408" t="str">
        <f t="shared" si="321"/>
        <v>0001</v>
      </c>
      <c r="N2408" t="str">
        <f t="shared" si="322"/>
        <v>2.001</v>
      </c>
      <c r="O2408" t="str">
        <f t="shared" si="323"/>
        <v>3.1.90.11.00</v>
      </c>
      <c r="P2408" t="s">
        <v>4303</v>
      </c>
      <c r="R2408" s="25">
        <v>3327146.12</v>
      </c>
      <c r="S2408" t="s">
        <v>27</v>
      </c>
    </row>
    <row r="2409" spans="1:19" x14ac:dyDescent="0.25">
      <c r="A2409" t="s">
        <v>710</v>
      </c>
      <c r="B2409" t="s">
        <v>13</v>
      </c>
      <c r="C2409" t="s">
        <v>14</v>
      </c>
      <c r="D2409" t="s">
        <v>15</v>
      </c>
      <c r="E2409" t="s">
        <v>16</v>
      </c>
      <c r="F2409" t="s">
        <v>182</v>
      </c>
      <c r="G2409" t="s">
        <v>2197</v>
      </c>
      <c r="H2409" t="s">
        <v>2067</v>
      </c>
      <c r="I2409" t="s">
        <v>874</v>
      </c>
      <c r="J2409" t="s">
        <v>13</v>
      </c>
      <c r="K2409" t="str">
        <f t="shared" ref="K2409:K2440" si="324">C2409</f>
        <v>04</v>
      </c>
      <c r="L2409" t="str">
        <f t="shared" ref="L2409:L2440" si="325">D2409</f>
        <v>122</v>
      </c>
      <c r="M2409" t="str">
        <f t="shared" si="321"/>
        <v>0001</v>
      </c>
      <c r="N2409" t="str">
        <f t="shared" si="322"/>
        <v>2.001</v>
      </c>
      <c r="O2409" t="str">
        <f t="shared" si="323"/>
        <v>3.1.90.13.00</v>
      </c>
      <c r="P2409" t="s">
        <v>4303</v>
      </c>
      <c r="R2409" s="25">
        <v>588792.64</v>
      </c>
      <c r="S2409" t="s">
        <v>27</v>
      </c>
    </row>
    <row r="2410" spans="1:19" x14ac:dyDescent="0.25">
      <c r="A2410" t="s">
        <v>710</v>
      </c>
      <c r="B2410" t="s">
        <v>13</v>
      </c>
      <c r="C2410" t="s">
        <v>14</v>
      </c>
      <c r="D2410" t="s">
        <v>15</v>
      </c>
      <c r="E2410" t="s">
        <v>16</v>
      </c>
      <c r="F2410" t="s">
        <v>182</v>
      </c>
      <c r="G2410" t="s">
        <v>2203</v>
      </c>
      <c r="H2410" t="s">
        <v>2068</v>
      </c>
      <c r="I2410" t="s">
        <v>874</v>
      </c>
      <c r="J2410" t="s">
        <v>13</v>
      </c>
      <c r="K2410" t="str">
        <f t="shared" si="324"/>
        <v>04</v>
      </c>
      <c r="L2410" t="str">
        <f t="shared" si="325"/>
        <v>122</v>
      </c>
      <c r="M2410" t="str">
        <f t="shared" si="321"/>
        <v>0001</v>
      </c>
      <c r="N2410" t="str">
        <f t="shared" si="322"/>
        <v>2.001</v>
      </c>
      <c r="O2410" t="str">
        <f t="shared" si="323"/>
        <v>3.1.91.13.00</v>
      </c>
      <c r="P2410" t="s">
        <v>4303</v>
      </c>
      <c r="R2410" s="25">
        <v>114335.49</v>
      </c>
      <c r="S2410" t="s">
        <v>27</v>
      </c>
    </row>
    <row r="2411" spans="1:19" x14ac:dyDescent="0.25">
      <c r="A2411" t="s">
        <v>710</v>
      </c>
      <c r="B2411" t="s">
        <v>13</v>
      </c>
      <c r="C2411" t="s">
        <v>14</v>
      </c>
      <c r="D2411" t="s">
        <v>15</v>
      </c>
      <c r="E2411" t="s">
        <v>16</v>
      </c>
      <c r="F2411" t="s">
        <v>182</v>
      </c>
      <c r="G2411" t="s">
        <v>2207</v>
      </c>
      <c r="H2411" t="s">
        <v>2070</v>
      </c>
      <c r="I2411" t="s">
        <v>874</v>
      </c>
      <c r="J2411" t="s">
        <v>13</v>
      </c>
      <c r="K2411" t="str">
        <f t="shared" si="324"/>
        <v>04</v>
      </c>
      <c r="L2411" t="str">
        <f t="shared" si="325"/>
        <v>122</v>
      </c>
      <c r="M2411" t="str">
        <f t="shared" si="321"/>
        <v>0001</v>
      </c>
      <c r="N2411" t="str">
        <f t="shared" si="322"/>
        <v>2.001</v>
      </c>
      <c r="O2411" t="str">
        <f t="shared" si="323"/>
        <v>3.3.90.49.00</v>
      </c>
      <c r="P2411" t="s">
        <v>4303</v>
      </c>
      <c r="R2411" s="25">
        <v>44462.31</v>
      </c>
      <c r="S2411" t="s">
        <v>27</v>
      </c>
    </row>
    <row r="2412" spans="1:19" x14ac:dyDescent="0.25">
      <c r="A2412" t="s">
        <v>878</v>
      </c>
      <c r="B2412" t="s">
        <v>13</v>
      </c>
      <c r="C2412" t="s">
        <v>14</v>
      </c>
      <c r="D2412" t="s">
        <v>15</v>
      </c>
      <c r="E2412" t="s">
        <v>16</v>
      </c>
      <c r="F2412" t="s">
        <v>182</v>
      </c>
      <c r="G2412" t="s">
        <v>2196</v>
      </c>
      <c r="H2412" t="s">
        <v>2076</v>
      </c>
      <c r="I2412" t="s">
        <v>879</v>
      </c>
      <c r="J2412" t="s">
        <v>13</v>
      </c>
      <c r="K2412" t="str">
        <f t="shared" si="324"/>
        <v>04</v>
      </c>
      <c r="L2412" t="str">
        <f t="shared" si="325"/>
        <v>122</v>
      </c>
      <c r="M2412" t="str">
        <f t="shared" si="321"/>
        <v>0001</v>
      </c>
      <c r="N2412" t="str">
        <f t="shared" si="322"/>
        <v>2.001</v>
      </c>
      <c r="O2412" t="str">
        <f t="shared" si="323"/>
        <v>3.1.90.11.00</v>
      </c>
      <c r="P2412" t="s">
        <v>4303</v>
      </c>
      <c r="R2412" s="25">
        <v>11583543.82</v>
      </c>
      <c r="S2412" t="s">
        <v>27</v>
      </c>
    </row>
    <row r="2413" spans="1:19" x14ac:dyDescent="0.25">
      <c r="A2413" t="s">
        <v>878</v>
      </c>
      <c r="B2413" t="s">
        <v>13</v>
      </c>
      <c r="C2413" t="s">
        <v>14</v>
      </c>
      <c r="D2413" t="s">
        <v>15</v>
      </c>
      <c r="E2413" t="s">
        <v>16</v>
      </c>
      <c r="F2413" t="s">
        <v>182</v>
      </c>
      <c r="G2413" t="s">
        <v>2197</v>
      </c>
      <c r="H2413" t="s">
        <v>2077</v>
      </c>
      <c r="I2413" t="s">
        <v>879</v>
      </c>
      <c r="J2413" t="s">
        <v>13</v>
      </c>
      <c r="K2413" t="str">
        <f t="shared" si="324"/>
        <v>04</v>
      </c>
      <c r="L2413" t="str">
        <f t="shared" si="325"/>
        <v>122</v>
      </c>
      <c r="M2413" t="str">
        <f t="shared" si="321"/>
        <v>0001</v>
      </c>
      <c r="N2413" t="str">
        <f t="shared" si="322"/>
        <v>2.001</v>
      </c>
      <c r="O2413" t="str">
        <f t="shared" si="323"/>
        <v>3.1.90.13.00</v>
      </c>
      <c r="P2413" t="s">
        <v>4303</v>
      </c>
      <c r="R2413" s="25">
        <v>1622638.03</v>
      </c>
      <c r="S2413" t="s">
        <v>27</v>
      </c>
    </row>
    <row r="2414" spans="1:19" x14ac:dyDescent="0.25">
      <c r="A2414" t="s">
        <v>878</v>
      </c>
      <c r="B2414" t="s">
        <v>13</v>
      </c>
      <c r="C2414" t="s">
        <v>14</v>
      </c>
      <c r="D2414" t="s">
        <v>15</v>
      </c>
      <c r="E2414" t="s">
        <v>16</v>
      </c>
      <c r="F2414" t="s">
        <v>182</v>
      </c>
      <c r="G2414" t="s">
        <v>2203</v>
      </c>
      <c r="H2414" t="s">
        <v>2078</v>
      </c>
      <c r="I2414" t="s">
        <v>879</v>
      </c>
      <c r="J2414" t="s">
        <v>13</v>
      </c>
      <c r="K2414" t="str">
        <f t="shared" si="324"/>
        <v>04</v>
      </c>
      <c r="L2414" t="str">
        <f t="shared" si="325"/>
        <v>122</v>
      </c>
      <c r="M2414" t="str">
        <f t="shared" si="321"/>
        <v>0001</v>
      </c>
      <c r="N2414" t="str">
        <f t="shared" si="322"/>
        <v>2.001</v>
      </c>
      <c r="O2414" t="str">
        <f t="shared" si="323"/>
        <v>3.1.91.13.00</v>
      </c>
      <c r="P2414" t="s">
        <v>4303</v>
      </c>
      <c r="R2414" s="25">
        <v>802884.96</v>
      </c>
      <c r="S2414" t="s">
        <v>27</v>
      </c>
    </row>
    <row r="2415" spans="1:19" x14ac:dyDescent="0.25">
      <c r="A2415" t="s">
        <v>878</v>
      </c>
      <c r="B2415" t="s">
        <v>13</v>
      </c>
      <c r="C2415" t="s">
        <v>14</v>
      </c>
      <c r="D2415" t="s">
        <v>15</v>
      </c>
      <c r="E2415" t="s">
        <v>16</v>
      </c>
      <c r="F2415" t="s">
        <v>182</v>
      </c>
      <c r="G2415" t="s">
        <v>2207</v>
      </c>
      <c r="H2415" t="s">
        <v>2080</v>
      </c>
      <c r="I2415" t="s">
        <v>879</v>
      </c>
      <c r="J2415" t="s">
        <v>13</v>
      </c>
      <c r="K2415" t="str">
        <f t="shared" si="324"/>
        <v>04</v>
      </c>
      <c r="L2415" t="str">
        <f t="shared" si="325"/>
        <v>122</v>
      </c>
      <c r="M2415" t="str">
        <f t="shared" si="321"/>
        <v>0001</v>
      </c>
      <c r="N2415" t="str">
        <f t="shared" si="322"/>
        <v>2.001</v>
      </c>
      <c r="O2415" t="str">
        <f t="shared" si="323"/>
        <v>3.3.90.49.00</v>
      </c>
      <c r="P2415" t="s">
        <v>4303</v>
      </c>
      <c r="R2415" s="25">
        <v>52300.63</v>
      </c>
      <c r="S2415" t="s">
        <v>27</v>
      </c>
    </row>
    <row r="2416" spans="1:19" x14ac:dyDescent="0.25">
      <c r="A2416" t="s">
        <v>551</v>
      </c>
      <c r="B2416" t="s">
        <v>13</v>
      </c>
      <c r="C2416" t="s">
        <v>14</v>
      </c>
      <c r="D2416" t="s">
        <v>15</v>
      </c>
      <c r="E2416" t="s">
        <v>16</v>
      </c>
      <c r="F2416" t="s">
        <v>182</v>
      </c>
      <c r="G2416" t="s">
        <v>2196</v>
      </c>
      <c r="H2416" t="s">
        <v>2084</v>
      </c>
      <c r="I2416" t="s">
        <v>898</v>
      </c>
      <c r="J2416" t="s">
        <v>13</v>
      </c>
      <c r="K2416" t="str">
        <f t="shared" si="324"/>
        <v>04</v>
      </c>
      <c r="L2416" t="str">
        <f t="shared" si="325"/>
        <v>122</v>
      </c>
      <c r="M2416" t="str">
        <f t="shared" si="321"/>
        <v>0001</v>
      </c>
      <c r="N2416" t="str">
        <f t="shared" si="322"/>
        <v>2.001</v>
      </c>
      <c r="O2416" t="str">
        <f t="shared" si="323"/>
        <v>3.1.90.11.00</v>
      </c>
      <c r="P2416" t="s">
        <v>4303</v>
      </c>
      <c r="R2416" s="25">
        <v>4796618.21</v>
      </c>
      <c r="S2416" t="s">
        <v>27</v>
      </c>
    </row>
    <row r="2417" spans="1:19" x14ac:dyDescent="0.25">
      <c r="A2417" t="s">
        <v>551</v>
      </c>
      <c r="B2417" t="s">
        <v>13</v>
      </c>
      <c r="C2417" t="s">
        <v>14</v>
      </c>
      <c r="D2417" t="s">
        <v>15</v>
      </c>
      <c r="E2417" t="s">
        <v>16</v>
      </c>
      <c r="F2417" t="s">
        <v>182</v>
      </c>
      <c r="G2417" t="s">
        <v>2197</v>
      </c>
      <c r="H2417" t="s">
        <v>2085</v>
      </c>
      <c r="I2417" t="s">
        <v>898</v>
      </c>
      <c r="J2417" t="s">
        <v>13</v>
      </c>
      <c r="K2417" t="str">
        <f t="shared" si="324"/>
        <v>04</v>
      </c>
      <c r="L2417" t="str">
        <f t="shared" si="325"/>
        <v>122</v>
      </c>
      <c r="M2417" t="str">
        <f t="shared" si="321"/>
        <v>0001</v>
      </c>
      <c r="N2417" t="str">
        <f t="shared" si="322"/>
        <v>2.001</v>
      </c>
      <c r="O2417" t="str">
        <f t="shared" si="323"/>
        <v>3.1.90.13.00</v>
      </c>
      <c r="P2417" t="s">
        <v>4303</v>
      </c>
      <c r="R2417" s="25">
        <v>108590.56</v>
      </c>
      <c r="S2417" t="s">
        <v>27</v>
      </c>
    </row>
    <row r="2418" spans="1:19" x14ac:dyDescent="0.25">
      <c r="A2418" t="s">
        <v>551</v>
      </c>
      <c r="B2418" t="s">
        <v>13</v>
      </c>
      <c r="C2418" t="s">
        <v>14</v>
      </c>
      <c r="D2418" t="s">
        <v>15</v>
      </c>
      <c r="E2418" t="s">
        <v>16</v>
      </c>
      <c r="F2418" t="s">
        <v>182</v>
      </c>
      <c r="G2418" t="s">
        <v>2203</v>
      </c>
      <c r="H2418" t="s">
        <v>2086</v>
      </c>
      <c r="I2418" t="s">
        <v>898</v>
      </c>
      <c r="J2418" t="s">
        <v>13</v>
      </c>
      <c r="K2418" t="str">
        <f t="shared" si="324"/>
        <v>04</v>
      </c>
      <c r="L2418" t="str">
        <f t="shared" si="325"/>
        <v>122</v>
      </c>
      <c r="M2418" t="str">
        <f t="shared" si="321"/>
        <v>0001</v>
      </c>
      <c r="N2418" t="str">
        <f t="shared" si="322"/>
        <v>2.001</v>
      </c>
      <c r="O2418" t="str">
        <f t="shared" si="323"/>
        <v>3.1.91.13.00</v>
      </c>
      <c r="P2418" t="s">
        <v>4303</v>
      </c>
      <c r="R2418" s="25">
        <v>521437.63</v>
      </c>
      <c r="S2418" t="s">
        <v>27</v>
      </c>
    </row>
    <row r="2419" spans="1:19" x14ac:dyDescent="0.25">
      <c r="A2419" t="s">
        <v>551</v>
      </c>
      <c r="B2419" t="s">
        <v>13</v>
      </c>
      <c r="C2419" t="s">
        <v>14</v>
      </c>
      <c r="D2419" t="s">
        <v>15</v>
      </c>
      <c r="E2419" t="s">
        <v>16</v>
      </c>
      <c r="F2419" t="s">
        <v>182</v>
      </c>
      <c r="G2419" t="s">
        <v>2207</v>
      </c>
      <c r="H2419" t="s">
        <v>2088</v>
      </c>
      <c r="I2419" t="s">
        <v>898</v>
      </c>
      <c r="J2419" t="s">
        <v>13</v>
      </c>
      <c r="K2419" t="str">
        <f t="shared" si="324"/>
        <v>04</v>
      </c>
      <c r="L2419" t="str">
        <f t="shared" si="325"/>
        <v>122</v>
      </c>
      <c r="M2419" t="str">
        <f t="shared" si="321"/>
        <v>0001</v>
      </c>
      <c r="N2419" t="str">
        <f t="shared" si="322"/>
        <v>2.001</v>
      </c>
      <c r="O2419" t="str">
        <f t="shared" si="323"/>
        <v>3.3.90.49.00</v>
      </c>
      <c r="P2419" t="s">
        <v>4303</v>
      </c>
      <c r="R2419" s="25">
        <v>58101.97</v>
      </c>
      <c r="S2419" t="s">
        <v>27</v>
      </c>
    </row>
    <row r="2420" spans="1:19" x14ac:dyDescent="0.25">
      <c r="A2420" t="s">
        <v>906</v>
      </c>
      <c r="B2420" t="s">
        <v>13</v>
      </c>
      <c r="C2420" t="s">
        <v>14</v>
      </c>
      <c r="D2420" t="s">
        <v>15</v>
      </c>
      <c r="E2420" t="s">
        <v>16</v>
      </c>
      <c r="F2420" t="s">
        <v>182</v>
      </c>
      <c r="G2420" t="s">
        <v>2196</v>
      </c>
      <c r="H2420" t="s">
        <v>2091</v>
      </c>
      <c r="I2420" t="s">
        <v>907</v>
      </c>
      <c r="J2420" t="s">
        <v>13</v>
      </c>
      <c r="K2420" t="str">
        <f t="shared" si="324"/>
        <v>04</v>
      </c>
      <c r="L2420" t="str">
        <f t="shared" si="325"/>
        <v>122</v>
      </c>
      <c r="M2420" t="str">
        <f t="shared" si="321"/>
        <v>0001</v>
      </c>
      <c r="N2420" t="str">
        <f t="shared" si="322"/>
        <v>2.001</v>
      </c>
      <c r="O2420" t="str">
        <f t="shared" si="323"/>
        <v>3.1.90.11.00</v>
      </c>
      <c r="P2420" t="s">
        <v>4303</v>
      </c>
      <c r="R2420" s="25">
        <v>17838047.460000001</v>
      </c>
      <c r="S2420" t="s">
        <v>27</v>
      </c>
    </row>
    <row r="2421" spans="1:19" x14ac:dyDescent="0.25">
      <c r="A2421" t="s">
        <v>906</v>
      </c>
      <c r="B2421" t="s">
        <v>13</v>
      </c>
      <c r="C2421" t="s">
        <v>14</v>
      </c>
      <c r="D2421" t="s">
        <v>15</v>
      </c>
      <c r="E2421" t="s">
        <v>16</v>
      </c>
      <c r="F2421" t="s">
        <v>182</v>
      </c>
      <c r="G2421" t="s">
        <v>2197</v>
      </c>
      <c r="H2421" t="s">
        <v>2092</v>
      </c>
      <c r="I2421" t="s">
        <v>907</v>
      </c>
      <c r="J2421" t="s">
        <v>13</v>
      </c>
      <c r="K2421" t="str">
        <f t="shared" si="324"/>
        <v>04</v>
      </c>
      <c r="L2421" t="str">
        <f t="shared" si="325"/>
        <v>122</v>
      </c>
      <c r="M2421" t="str">
        <f t="shared" si="321"/>
        <v>0001</v>
      </c>
      <c r="N2421" t="str">
        <f t="shared" si="322"/>
        <v>2.001</v>
      </c>
      <c r="O2421" t="str">
        <f t="shared" si="323"/>
        <v>3.1.90.13.00</v>
      </c>
      <c r="P2421" t="s">
        <v>4303</v>
      </c>
      <c r="R2421" s="25">
        <v>1428027.76</v>
      </c>
      <c r="S2421" t="s">
        <v>27</v>
      </c>
    </row>
    <row r="2422" spans="1:19" x14ac:dyDescent="0.25">
      <c r="A2422" t="s">
        <v>906</v>
      </c>
      <c r="B2422" t="s">
        <v>13</v>
      </c>
      <c r="C2422" t="s">
        <v>14</v>
      </c>
      <c r="D2422" t="s">
        <v>15</v>
      </c>
      <c r="E2422" t="s">
        <v>16</v>
      </c>
      <c r="F2422" t="s">
        <v>182</v>
      </c>
      <c r="G2422" t="s">
        <v>2203</v>
      </c>
      <c r="H2422" t="s">
        <v>2093</v>
      </c>
      <c r="I2422" t="s">
        <v>907</v>
      </c>
      <c r="J2422" t="s">
        <v>13</v>
      </c>
      <c r="K2422" t="str">
        <f t="shared" si="324"/>
        <v>04</v>
      </c>
      <c r="L2422" t="str">
        <f t="shared" si="325"/>
        <v>122</v>
      </c>
      <c r="M2422" t="str">
        <f t="shared" si="321"/>
        <v>0001</v>
      </c>
      <c r="N2422" t="str">
        <f t="shared" si="322"/>
        <v>2.001</v>
      </c>
      <c r="O2422" t="str">
        <f t="shared" si="323"/>
        <v>3.1.91.13.00</v>
      </c>
      <c r="P2422" t="s">
        <v>4303</v>
      </c>
      <c r="R2422" s="25">
        <v>2130022.04</v>
      </c>
      <c r="S2422" t="s">
        <v>27</v>
      </c>
    </row>
    <row r="2423" spans="1:19" x14ac:dyDescent="0.25">
      <c r="A2423" t="s">
        <v>906</v>
      </c>
      <c r="B2423" t="s">
        <v>13</v>
      </c>
      <c r="C2423" t="s">
        <v>14</v>
      </c>
      <c r="D2423" t="s">
        <v>15</v>
      </c>
      <c r="E2423" t="s">
        <v>16</v>
      </c>
      <c r="F2423" t="s">
        <v>182</v>
      </c>
      <c r="G2423" t="s">
        <v>2207</v>
      </c>
      <c r="H2423" t="s">
        <v>2094</v>
      </c>
      <c r="I2423" t="s">
        <v>907</v>
      </c>
      <c r="J2423" t="s">
        <v>13</v>
      </c>
      <c r="K2423" t="str">
        <f t="shared" si="324"/>
        <v>04</v>
      </c>
      <c r="L2423" t="str">
        <f t="shared" si="325"/>
        <v>122</v>
      </c>
      <c r="M2423" t="str">
        <f t="shared" si="321"/>
        <v>0001</v>
      </c>
      <c r="N2423" t="str">
        <f t="shared" si="322"/>
        <v>2.001</v>
      </c>
      <c r="O2423" t="str">
        <f t="shared" si="323"/>
        <v>3.3.90.49.00</v>
      </c>
      <c r="P2423" t="s">
        <v>4303</v>
      </c>
      <c r="R2423" s="25">
        <v>66548.539999999994</v>
      </c>
      <c r="S2423" t="s">
        <v>27</v>
      </c>
    </row>
    <row r="2424" spans="1:19" x14ac:dyDescent="0.25">
      <c r="A2424" t="s">
        <v>2215</v>
      </c>
      <c r="B2424" t="s">
        <v>13</v>
      </c>
      <c r="C2424" t="s">
        <v>14</v>
      </c>
      <c r="D2424" t="s">
        <v>15</v>
      </c>
      <c r="E2424" t="s">
        <v>16</v>
      </c>
      <c r="F2424" t="s">
        <v>182</v>
      </c>
      <c r="G2424" t="s">
        <v>2196</v>
      </c>
      <c r="H2424" t="s">
        <v>2095</v>
      </c>
      <c r="I2424" t="s">
        <v>1528</v>
      </c>
      <c r="J2424" t="s">
        <v>13</v>
      </c>
      <c r="K2424" t="str">
        <f t="shared" si="324"/>
        <v>04</v>
      </c>
      <c r="L2424" t="str">
        <f t="shared" si="325"/>
        <v>122</v>
      </c>
      <c r="M2424" t="str">
        <f t="shared" ref="M2424:M2455" si="326">E2424</f>
        <v>0001</v>
      </c>
      <c r="N2424" t="str">
        <f t="shared" ref="N2424:N2455" si="327">F2424</f>
        <v>2.001</v>
      </c>
      <c r="O2424" t="str">
        <f t="shared" ref="O2424:O2455" si="328">G2424</f>
        <v>3.1.90.11.00</v>
      </c>
      <c r="P2424" t="s">
        <v>4303</v>
      </c>
      <c r="R2424" s="25">
        <v>6309071.8399999999</v>
      </c>
      <c r="S2424" t="s">
        <v>27</v>
      </c>
    </row>
    <row r="2425" spans="1:19" x14ac:dyDescent="0.25">
      <c r="A2425" t="s">
        <v>2215</v>
      </c>
      <c r="B2425" t="s">
        <v>13</v>
      </c>
      <c r="C2425" t="s">
        <v>14</v>
      </c>
      <c r="D2425" t="s">
        <v>15</v>
      </c>
      <c r="E2425" t="s">
        <v>16</v>
      </c>
      <c r="F2425" t="s">
        <v>182</v>
      </c>
      <c r="G2425" t="s">
        <v>2197</v>
      </c>
      <c r="H2425" t="s">
        <v>2096</v>
      </c>
      <c r="I2425" t="s">
        <v>1528</v>
      </c>
      <c r="J2425" t="s">
        <v>13</v>
      </c>
      <c r="K2425" t="str">
        <f t="shared" si="324"/>
        <v>04</v>
      </c>
      <c r="L2425" t="str">
        <f t="shared" si="325"/>
        <v>122</v>
      </c>
      <c r="M2425" t="str">
        <f t="shared" si="326"/>
        <v>0001</v>
      </c>
      <c r="N2425" t="str">
        <f t="shared" si="327"/>
        <v>2.001</v>
      </c>
      <c r="O2425" t="str">
        <f t="shared" si="328"/>
        <v>3.1.90.13.00</v>
      </c>
      <c r="P2425" t="s">
        <v>4303</v>
      </c>
      <c r="R2425" s="25">
        <v>1040081.34</v>
      </c>
      <c r="S2425" t="s">
        <v>27</v>
      </c>
    </row>
    <row r="2426" spans="1:19" x14ac:dyDescent="0.25">
      <c r="A2426" t="s">
        <v>2215</v>
      </c>
      <c r="B2426" t="s">
        <v>13</v>
      </c>
      <c r="C2426" t="s">
        <v>14</v>
      </c>
      <c r="D2426" t="s">
        <v>15</v>
      </c>
      <c r="E2426" t="s">
        <v>16</v>
      </c>
      <c r="F2426" t="s">
        <v>182</v>
      </c>
      <c r="G2426" t="s">
        <v>2203</v>
      </c>
      <c r="H2426" t="s">
        <v>2097</v>
      </c>
      <c r="I2426" t="s">
        <v>1528</v>
      </c>
      <c r="J2426" t="s">
        <v>13</v>
      </c>
      <c r="K2426" t="str">
        <f t="shared" si="324"/>
        <v>04</v>
      </c>
      <c r="L2426" t="str">
        <f t="shared" si="325"/>
        <v>122</v>
      </c>
      <c r="M2426" t="str">
        <f t="shared" si="326"/>
        <v>0001</v>
      </c>
      <c r="N2426" t="str">
        <f t="shared" si="327"/>
        <v>2.001</v>
      </c>
      <c r="O2426" t="str">
        <f t="shared" si="328"/>
        <v>3.1.91.13.00</v>
      </c>
      <c r="P2426" t="s">
        <v>4303</v>
      </c>
      <c r="R2426" s="25">
        <v>275174.32</v>
      </c>
      <c r="S2426" t="s">
        <v>27</v>
      </c>
    </row>
    <row r="2427" spans="1:19" x14ac:dyDescent="0.25">
      <c r="A2427" t="s">
        <v>2215</v>
      </c>
      <c r="B2427" t="s">
        <v>13</v>
      </c>
      <c r="C2427" t="s">
        <v>14</v>
      </c>
      <c r="D2427" t="s">
        <v>15</v>
      </c>
      <c r="E2427" t="s">
        <v>16</v>
      </c>
      <c r="F2427" t="s">
        <v>182</v>
      </c>
      <c r="G2427" t="s">
        <v>2207</v>
      </c>
      <c r="H2427" t="s">
        <v>2099</v>
      </c>
      <c r="I2427" t="s">
        <v>1528</v>
      </c>
      <c r="J2427" t="s">
        <v>13</v>
      </c>
      <c r="K2427" t="str">
        <f t="shared" si="324"/>
        <v>04</v>
      </c>
      <c r="L2427" t="str">
        <f t="shared" si="325"/>
        <v>122</v>
      </c>
      <c r="M2427" t="str">
        <f t="shared" si="326"/>
        <v>0001</v>
      </c>
      <c r="N2427" t="str">
        <f t="shared" si="327"/>
        <v>2.001</v>
      </c>
      <c r="O2427" t="str">
        <f t="shared" si="328"/>
        <v>3.3.90.49.00</v>
      </c>
      <c r="P2427" t="s">
        <v>4303</v>
      </c>
      <c r="R2427" s="25">
        <v>42662.94</v>
      </c>
      <c r="S2427" t="s">
        <v>27</v>
      </c>
    </row>
    <row r="2428" spans="1:19" x14ac:dyDescent="0.25">
      <c r="A2428" t="s">
        <v>910</v>
      </c>
      <c r="B2428" t="s">
        <v>13</v>
      </c>
      <c r="C2428" t="s">
        <v>14</v>
      </c>
      <c r="D2428" t="s">
        <v>15</v>
      </c>
      <c r="E2428" t="s">
        <v>16</v>
      </c>
      <c r="F2428" t="s">
        <v>182</v>
      </c>
      <c r="G2428" t="s">
        <v>2196</v>
      </c>
      <c r="H2428" t="s">
        <v>2103</v>
      </c>
      <c r="I2428" t="s">
        <v>911</v>
      </c>
      <c r="J2428" t="s">
        <v>13</v>
      </c>
      <c r="K2428" t="str">
        <f t="shared" si="324"/>
        <v>04</v>
      </c>
      <c r="L2428" t="str">
        <f t="shared" si="325"/>
        <v>122</v>
      </c>
      <c r="M2428" t="str">
        <f t="shared" si="326"/>
        <v>0001</v>
      </c>
      <c r="N2428" t="str">
        <f t="shared" si="327"/>
        <v>2.001</v>
      </c>
      <c r="O2428" t="str">
        <f t="shared" si="328"/>
        <v>3.1.90.11.00</v>
      </c>
      <c r="P2428" t="s">
        <v>4303</v>
      </c>
      <c r="R2428" s="25">
        <v>2490251.9300000002</v>
      </c>
      <c r="S2428" t="s">
        <v>27</v>
      </c>
    </row>
    <row r="2429" spans="1:19" x14ac:dyDescent="0.25">
      <c r="A2429" t="s">
        <v>910</v>
      </c>
      <c r="B2429" t="s">
        <v>13</v>
      </c>
      <c r="C2429" t="s">
        <v>14</v>
      </c>
      <c r="D2429" t="s">
        <v>15</v>
      </c>
      <c r="E2429" t="s">
        <v>16</v>
      </c>
      <c r="F2429" t="s">
        <v>182</v>
      </c>
      <c r="G2429" t="s">
        <v>2197</v>
      </c>
      <c r="H2429" t="s">
        <v>2104</v>
      </c>
      <c r="I2429" t="s">
        <v>911</v>
      </c>
      <c r="J2429" t="s">
        <v>13</v>
      </c>
      <c r="K2429" t="str">
        <f t="shared" si="324"/>
        <v>04</v>
      </c>
      <c r="L2429" t="str">
        <f t="shared" si="325"/>
        <v>122</v>
      </c>
      <c r="M2429" t="str">
        <f t="shared" si="326"/>
        <v>0001</v>
      </c>
      <c r="N2429" t="str">
        <f t="shared" si="327"/>
        <v>2.001</v>
      </c>
      <c r="O2429" t="str">
        <f t="shared" si="328"/>
        <v>3.1.90.13.00</v>
      </c>
      <c r="P2429" t="s">
        <v>4303</v>
      </c>
      <c r="R2429" s="25">
        <v>312718.77</v>
      </c>
      <c r="S2429" t="s">
        <v>27</v>
      </c>
    </row>
    <row r="2430" spans="1:19" x14ac:dyDescent="0.25">
      <c r="A2430" t="s">
        <v>910</v>
      </c>
      <c r="B2430" t="s">
        <v>13</v>
      </c>
      <c r="C2430" t="s">
        <v>14</v>
      </c>
      <c r="D2430" t="s">
        <v>15</v>
      </c>
      <c r="E2430" t="s">
        <v>16</v>
      </c>
      <c r="F2430" t="s">
        <v>182</v>
      </c>
      <c r="G2430" t="s">
        <v>2203</v>
      </c>
      <c r="H2430" t="s">
        <v>2105</v>
      </c>
      <c r="I2430" t="s">
        <v>911</v>
      </c>
      <c r="J2430" t="s">
        <v>13</v>
      </c>
      <c r="K2430" t="str">
        <f t="shared" si="324"/>
        <v>04</v>
      </c>
      <c r="L2430" t="str">
        <f t="shared" si="325"/>
        <v>122</v>
      </c>
      <c r="M2430" t="str">
        <f t="shared" si="326"/>
        <v>0001</v>
      </c>
      <c r="N2430" t="str">
        <f t="shared" si="327"/>
        <v>2.001</v>
      </c>
      <c r="O2430" t="str">
        <f t="shared" si="328"/>
        <v>3.1.91.13.00</v>
      </c>
      <c r="P2430" t="s">
        <v>4303</v>
      </c>
      <c r="R2430" s="25">
        <v>231095.64</v>
      </c>
      <c r="S2430" t="s">
        <v>27</v>
      </c>
    </row>
    <row r="2431" spans="1:19" x14ac:dyDescent="0.25">
      <c r="A2431" t="s">
        <v>910</v>
      </c>
      <c r="B2431" t="s">
        <v>13</v>
      </c>
      <c r="C2431" t="s">
        <v>14</v>
      </c>
      <c r="D2431" t="s">
        <v>15</v>
      </c>
      <c r="E2431" t="s">
        <v>16</v>
      </c>
      <c r="F2431" t="s">
        <v>182</v>
      </c>
      <c r="G2431" t="s">
        <v>2207</v>
      </c>
      <c r="H2431" t="s">
        <v>2107</v>
      </c>
      <c r="I2431" t="s">
        <v>911</v>
      </c>
      <c r="J2431" t="s">
        <v>13</v>
      </c>
      <c r="K2431" t="str">
        <f t="shared" si="324"/>
        <v>04</v>
      </c>
      <c r="L2431" t="str">
        <f t="shared" si="325"/>
        <v>122</v>
      </c>
      <c r="M2431" t="str">
        <f t="shared" si="326"/>
        <v>0001</v>
      </c>
      <c r="N2431" t="str">
        <f t="shared" si="327"/>
        <v>2.001</v>
      </c>
      <c r="O2431" t="str">
        <f t="shared" si="328"/>
        <v>3.3.90.49.00</v>
      </c>
      <c r="P2431" t="s">
        <v>4303</v>
      </c>
      <c r="R2431" s="25">
        <v>37004.239999999998</v>
      </c>
      <c r="S2431" t="s">
        <v>27</v>
      </c>
    </row>
    <row r="2432" spans="1:19" x14ac:dyDescent="0.25">
      <c r="A2432" t="s">
        <v>919</v>
      </c>
      <c r="B2432" t="s">
        <v>13</v>
      </c>
      <c r="C2432" t="s">
        <v>14</v>
      </c>
      <c r="D2432" t="s">
        <v>15</v>
      </c>
      <c r="E2432" t="s">
        <v>16</v>
      </c>
      <c r="F2432" t="s">
        <v>182</v>
      </c>
      <c r="G2432" t="s">
        <v>2196</v>
      </c>
      <c r="H2432" t="s">
        <v>2114</v>
      </c>
      <c r="I2432" t="s">
        <v>920</v>
      </c>
      <c r="J2432" t="s">
        <v>13</v>
      </c>
      <c r="K2432" t="str">
        <f t="shared" si="324"/>
        <v>04</v>
      </c>
      <c r="L2432" t="str">
        <f t="shared" si="325"/>
        <v>122</v>
      </c>
      <c r="M2432" t="str">
        <f t="shared" si="326"/>
        <v>0001</v>
      </c>
      <c r="N2432" t="str">
        <f t="shared" si="327"/>
        <v>2.001</v>
      </c>
      <c r="O2432" t="str">
        <f t="shared" si="328"/>
        <v>3.1.90.11.00</v>
      </c>
      <c r="P2432" t="s">
        <v>4303</v>
      </c>
      <c r="R2432" s="25">
        <v>2521880.98</v>
      </c>
      <c r="S2432" t="s">
        <v>27</v>
      </c>
    </row>
    <row r="2433" spans="1:19" x14ac:dyDescent="0.25">
      <c r="A2433" t="s">
        <v>919</v>
      </c>
      <c r="B2433" t="s">
        <v>13</v>
      </c>
      <c r="C2433" t="s">
        <v>14</v>
      </c>
      <c r="D2433" t="s">
        <v>15</v>
      </c>
      <c r="E2433" t="s">
        <v>16</v>
      </c>
      <c r="F2433" t="s">
        <v>182</v>
      </c>
      <c r="G2433" t="s">
        <v>2197</v>
      </c>
      <c r="H2433" t="s">
        <v>2115</v>
      </c>
      <c r="I2433" t="s">
        <v>920</v>
      </c>
      <c r="J2433" t="s">
        <v>13</v>
      </c>
      <c r="K2433" t="str">
        <f t="shared" si="324"/>
        <v>04</v>
      </c>
      <c r="L2433" t="str">
        <f t="shared" si="325"/>
        <v>122</v>
      </c>
      <c r="M2433" t="str">
        <f t="shared" si="326"/>
        <v>0001</v>
      </c>
      <c r="N2433" t="str">
        <f t="shared" si="327"/>
        <v>2.001</v>
      </c>
      <c r="O2433" t="str">
        <f t="shared" si="328"/>
        <v>3.1.90.13.00</v>
      </c>
      <c r="P2433" t="s">
        <v>4303</v>
      </c>
      <c r="R2433" s="25">
        <v>423874.75</v>
      </c>
      <c r="S2433" t="s">
        <v>27</v>
      </c>
    </row>
    <row r="2434" spans="1:19" x14ac:dyDescent="0.25">
      <c r="A2434" t="s">
        <v>919</v>
      </c>
      <c r="B2434" t="s">
        <v>13</v>
      </c>
      <c r="C2434" t="s">
        <v>14</v>
      </c>
      <c r="D2434" t="s">
        <v>15</v>
      </c>
      <c r="E2434" t="s">
        <v>16</v>
      </c>
      <c r="F2434" t="s">
        <v>182</v>
      </c>
      <c r="G2434" t="s">
        <v>2203</v>
      </c>
      <c r="H2434" t="s">
        <v>2116</v>
      </c>
      <c r="I2434" t="s">
        <v>920</v>
      </c>
      <c r="J2434" t="s">
        <v>13</v>
      </c>
      <c r="K2434" t="str">
        <f t="shared" si="324"/>
        <v>04</v>
      </c>
      <c r="L2434" t="str">
        <f t="shared" si="325"/>
        <v>122</v>
      </c>
      <c r="M2434" t="str">
        <f t="shared" si="326"/>
        <v>0001</v>
      </c>
      <c r="N2434" t="str">
        <f t="shared" si="327"/>
        <v>2.001</v>
      </c>
      <c r="O2434" t="str">
        <f t="shared" si="328"/>
        <v>3.1.91.13.00</v>
      </c>
      <c r="P2434" t="s">
        <v>4303</v>
      </c>
      <c r="R2434" s="25">
        <v>139273.29</v>
      </c>
      <c r="S2434" t="s">
        <v>27</v>
      </c>
    </row>
    <row r="2435" spans="1:19" x14ac:dyDescent="0.25">
      <c r="A2435" t="s">
        <v>919</v>
      </c>
      <c r="B2435" t="s">
        <v>13</v>
      </c>
      <c r="C2435" t="s">
        <v>14</v>
      </c>
      <c r="D2435" t="s">
        <v>15</v>
      </c>
      <c r="E2435" t="s">
        <v>16</v>
      </c>
      <c r="F2435" t="s">
        <v>182</v>
      </c>
      <c r="G2435" t="s">
        <v>2207</v>
      </c>
      <c r="H2435" t="s">
        <v>2118</v>
      </c>
      <c r="I2435" t="s">
        <v>920</v>
      </c>
      <c r="J2435" t="s">
        <v>13</v>
      </c>
      <c r="K2435" t="str">
        <f t="shared" si="324"/>
        <v>04</v>
      </c>
      <c r="L2435" t="str">
        <f t="shared" si="325"/>
        <v>122</v>
      </c>
      <c r="M2435" t="str">
        <f t="shared" si="326"/>
        <v>0001</v>
      </c>
      <c r="N2435" t="str">
        <f t="shared" si="327"/>
        <v>2.001</v>
      </c>
      <c r="O2435" t="str">
        <f t="shared" si="328"/>
        <v>3.3.90.49.00</v>
      </c>
      <c r="P2435" t="s">
        <v>4303</v>
      </c>
      <c r="R2435" s="25">
        <v>9661.6200000000008</v>
      </c>
      <c r="S2435" t="s">
        <v>27</v>
      </c>
    </row>
    <row r="2436" spans="1:19" x14ac:dyDescent="0.25">
      <c r="A2436" t="s">
        <v>948</v>
      </c>
      <c r="B2436" t="s">
        <v>13</v>
      </c>
      <c r="C2436" t="s">
        <v>14</v>
      </c>
      <c r="D2436" t="s">
        <v>15</v>
      </c>
      <c r="E2436" t="s">
        <v>16</v>
      </c>
      <c r="F2436" t="s">
        <v>182</v>
      </c>
      <c r="G2436" t="s">
        <v>2196</v>
      </c>
      <c r="H2436" t="s">
        <v>2121</v>
      </c>
      <c r="I2436" t="s">
        <v>949</v>
      </c>
      <c r="J2436" t="s">
        <v>13</v>
      </c>
      <c r="K2436" t="str">
        <f t="shared" si="324"/>
        <v>04</v>
      </c>
      <c r="L2436" t="str">
        <f t="shared" si="325"/>
        <v>122</v>
      </c>
      <c r="M2436" t="str">
        <f t="shared" si="326"/>
        <v>0001</v>
      </c>
      <c r="N2436" t="str">
        <f t="shared" si="327"/>
        <v>2.001</v>
      </c>
      <c r="O2436" t="str">
        <f t="shared" si="328"/>
        <v>3.1.90.11.00</v>
      </c>
      <c r="P2436" t="s">
        <v>4303</v>
      </c>
      <c r="R2436" s="25">
        <v>3217455.69</v>
      </c>
      <c r="S2436" t="s">
        <v>27</v>
      </c>
    </row>
    <row r="2437" spans="1:19" x14ac:dyDescent="0.25">
      <c r="A2437" t="s">
        <v>948</v>
      </c>
      <c r="B2437" t="s">
        <v>13</v>
      </c>
      <c r="C2437" t="s">
        <v>14</v>
      </c>
      <c r="D2437" t="s">
        <v>15</v>
      </c>
      <c r="E2437" t="s">
        <v>16</v>
      </c>
      <c r="F2437" t="s">
        <v>182</v>
      </c>
      <c r="G2437" t="s">
        <v>2197</v>
      </c>
      <c r="H2437" t="s">
        <v>2122</v>
      </c>
      <c r="I2437" t="s">
        <v>949</v>
      </c>
      <c r="J2437" t="s">
        <v>13</v>
      </c>
      <c r="K2437" t="str">
        <f t="shared" si="324"/>
        <v>04</v>
      </c>
      <c r="L2437" t="str">
        <f t="shared" si="325"/>
        <v>122</v>
      </c>
      <c r="M2437" t="str">
        <f t="shared" si="326"/>
        <v>0001</v>
      </c>
      <c r="N2437" t="str">
        <f t="shared" si="327"/>
        <v>2.001</v>
      </c>
      <c r="O2437" t="str">
        <f t="shared" si="328"/>
        <v>3.1.90.13.00</v>
      </c>
      <c r="P2437" t="s">
        <v>4303</v>
      </c>
      <c r="R2437" s="25">
        <v>417065.95</v>
      </c>
      <c r="S2437" t="s">
        <v>27</v>
      </c>
    </row>
    <row r="2438" spans="1:19" x14ac:dyDescent="0.25">
      <c r="A2438" t="s">
        <v>948</v>
      </c>
      <c r="B2438" t="s">
        <v>13</v>
      </c>
      <c r="C2438" t="s">
        <v>14</v>
      </c>
      <c r="D2438" t="s">
        <v>15</v>
      </c>
      <c r="E2438" t="s">
        <v>16</v>
      </c>
      <c r="F2438" t="s">
        <v>182</v>
      </c>
      <c r="G2438" t="s">
        <v>2203</v>
      </c>
      <c r="H2438" t="s">
        <v>2123</v>
      </c>
      <c r="I2438" t="s">
        <v>949</v>
      </c>
      <c r="J2438" t="s">
        <v>13</v>
      </c>
      <c r="K2438" t="str">
        <f t="shared" si="324"/>
        <v>04</v>
      </c>
      <c r="L2438" t="str">
        <f t="shared" si="325"/>
        <v>122</v>
      </c>
      <c r="M2438" t="str">
        <f t="shared" si="326"/>
        <v>0001</v>
      </c>
      <c r="N2438" t="str">
        <f t="shared" si="327"/>
        <v>2.001</v>
      </c>
      <c r="O2438" t="str">
        <f t="shared" si="328"/>
        <v>3.1.91.13.00</v>
      </c>
      <c r="P2438" t="s">
        <v>4303</v>
      </c>
      <c r="R2438" s="25">
        <v>308213.7</v>
      </c>
      <c r="S2438" t="s">
        <v>27</v>
      </c>
    </row>
    <row r="2439" spans="1:19" x14ac:dyDescent="0.25">
      <c r="A2439" t="s">
        <v>948</v>
      </c>
      <c r="B2439" t="s">
        <v>13</v>
      </c>
      <c r="C2439" t="s">
        <v>14</v>
      </c>
      <c r="D2439" t="s">
        <v>15</v>
      </c>
      <c r="E2439" t="s">
        <v>16</v>
      </c>
      <c r="F2439" t="s">
        <v>182</v>
      </c>
      <c r="G2439" t="s">
        <v>2207</v>
      </c>
      <c r="H2439" t="s">
        <v>2125</v>
      </c>
      <c r="I2439" t="s">
        <v>949</v>
      </c>
      <c r="J2439" t="s">
        <v>13</v>
      </c>
      <c r="K2439" t="str">
        <f t="shared" si="324"/>
        <v>04</v>
      </c>
      <c r="L2439" t="str">
        <f t="shared" si="325"/>
        <v>122</v>
      </c>
      <c r="M2439" t="str">
        <f t="shared" si="326"/>
        <v>0001</v>
      </c>
      <c r="N2439" t="str">
        <f t="shared" si="327"/>
        <v>2.001</v>
      </c>
      <c r="O2439" t="str">
        <f t="shared" si="328"/>
        <v>3.3.90.49.00</v>
      </c>
      <c r="P2439" t="s">
        <v>4303</v>
      </c>
      <c r="R2439" s="25">
        <v>17699.990000000002</v>
      </c>
      <c r="S2439" t="s">
        <v>27</v>
      </c>
    </row>
    <row r="2440" spans="1:19" x14ac:dyDescent="0.25">
      <c r="A2440" t="s">
        <v>957</v>
      </c>
      <c r="B2440" t="s">
        <v>13</v>
      </c>
      <c r="C2440" t="s">
        <v>14</v>
      </c>
      <c r="D2440" t="s">
        <v>15</v>
      </c>
      <c r="E2440" t="s">
        <v>16</v>
      </c>
      <c r="F2440" t="s">
        <v>182</v>
      </c>
      <c r="G2440" t="s">
        <v>2196</v>
      </c>
      <c r="H2440" t="s">
        <v>2129</v>
      </c>
      <c r="I2440" t="s">
        <v>958</v>
      </c>
      <c r="J2440" t="s">
        <v>13</v>
      </c>
      <c r="K2440" t="str">
        <f t="shared" si="324"/>
        <v>04</v>
      </c>
      <c r="L2440" t="str">
        <f t="shared" si="325"/>
        <v>122</v>
      </c>
      <c r="M2440" t="str">
        <f t="shared" si="326"/>
        <v>0001</v>
      </c>
      <c r="N2440" t="str">
        <f t="shared" si="327"/>
        <v>2.001</v>
      </c>
      <c r="O2440" t="str">
        <f t="shared" si="328"/>
        <v>3.1.90.11.00</v>
      </c>
      <c r="P2440" t="s">
        <v>4303</v>
      </c>
      <c r="R2440" s="25">
        <v>8158344.6600000001</v>
      </c>
      <c r="S2440" t="s">
        <v>27</v>
      </c>
    </row>
    <row r="2441" spans="1:19" x14ac:dyDescent="0.25">
      <c r="A2441" t="s">
        <v>957</v>
      </c>
      <c r="B2441" t="s">
        <v>13</v>
      </c>
      <c r="C2441" t="s">
        <v>14</v>
      </c>
      <c r="D2441" t="s">
        <v>15</v>
      </c>
      <c r="E2441" t="s">
        <v>16</v>
      </c>
      <c r="F2441" t="s">
        <v>182</v>
      </c>
      <c r="G2441" t="s">
        <v>2197</v>
      </c>
      <c r="H2441" t="s">
        <v>2130</v>
      </c>
      <c r="I2441" t="s">
        <v>958</v>
      </c>
      <c r="J2441" t="s">
        <v>13</v>
      </c>
      <c r="K2441" t="str">
        <f t="shared" ref="K2441:K2455" si="329">C2441</f>
        <v>04</v>
      </c>
      <c r="L2441" t="str">
        <f t="shared" ref="L2441:L2455" si="330">D2441</f>
        <v>122</v>
      </c>
      <c r="M2441" t="str">
        <f t="shared" si="326"/>
        <v>0001</v>
      </c>
      <c r="N2441" t="str">
        <f t="shared" si="327"/>
        <v>2.001</v>
      </c>
      <c r="O2441" t="str">
        <f t="shared" si="328"/>
        <v>3.1.90.13.00</v>
      </c>
      <c r="P2441" t="s">
        <v>4303</v>
      </c>
      <c r="R2441" s="25">
        <v>653267.84</v>
      </c>
      <c r="S2441" t="s">
        <v>27</v>
      </c>
    </row>
    <row r="2442" spans="1:19" x14ac:dyDescent="0.25">
      <c r="A2442" t="s">
        <v>957</v>
      </c>
      <c r="B2442" t="s">
        <v>13</v>
      </c>
      <c r="C2442" t="s">
        <v>14</v>
      </c>
      <c r="D2442" t="s">
        <v>15</v>
      </c>
      <c r="E2442" t="s">
        <v>16</v>
      </c>
      <c r="F2442" t="s">
        <v>182</v>
      </c>
      <c r="G2442" t="s">
        <v>2203</v>
      </c>
      <c r="H2442" t="s">
        <v>2131</v>
      </c>
      <c r="I2442" t="s">
        <v>958</v>
      </c>
      <c r="J2442" t="s">
        <v>13</v>
      </c>
      <c r="K2442" t="str">
        <f t="shared" si="329"/>
        <v>04</v>
      </c>
      <c r="L2442" t="str">
        <f t="shared" si="330"/>
        <v>122</v>
      </c>
      <c r="M2442" t="str">
        <f t="shared" si="326"/>
        <v>0001</v>
      </c>
      <c r="N2442" t="str">
        <f t="shared" si="327"/>
        <v>2.001</v>
      </c>
      <c r="O2442" t="str">
        <f t="shared" si="328"/>
        <v>3.1.91.13.00</v>
      </c>
      <c r="P2442" t="s">
        <v>4303</v>
      </c>
      <c r="R2442" s="25">
        <v>387867.22</v>
      </c>
      <c r="S2442" t="s">
        <v>27</v>
      </c>
    </row>
    <row r="2443" spans="1:19" x14ac:dyDescent="0.25">
      <c r="A2443" t="s">
        <v>957</v>
      </c>
      <c r="B2443" t="s">
        <v>13</v>
      </c>
      <c r="C2443" t="s">
        <v>14</v>
      </c>
      <c r="D2443" t="s">
        <v>15</v>
      </c>
      <c r="E2443" t="s">
        <v>16</v>
      </c>
      <c r="F2443" t="s">
        <v>182</v>
      </c>
      <c r="G2443" t="s">
        <v>2207</v>
      </c>
      <c r="H2443" t="s">
        <v>2133</v>
      </c>
      <c r="I2443" t="s">
        <v>958</v>
      </c>
      <c r="J2443" t="s">
        <v>13</v>
      </c>
      <c r="K2443" t="str">
        <f t="shared" si="329"/>
        <v>04</v>
      </c>
      <c r="L2443" t="str">
        <f t="shared" si="330"/>
        <v>122</v>
      </c>
      <c r="M2443" t="str">
        <f t="shared" si="326"/>
        <v>0001</v>
      </c>
      <c r="N2443" t="str">
        <f t="shared" si="327"/>
        <v>2.001</v>
      </c>
      <c r="O2443" t="str">
        <f t="shared" si="328"/>
        <v>3.3.90.49.00</v>
      </c>
      <c r="P2443" t="s">
        <v>4303</v>
      </c>
      <c r="R2443" s="25">
        <v>27147.23</v>
      </c>
      <c r="S2443" t="s">
        <v>27</v>
      </c>
    </row>
    <row r="2444" spans="1:19" x14ac:dyDescent="0.25">
      <c r="A2444" t="s">
        <v>976</v>
      </c>
      <c r="B2444" t="s">
        <v>13</v>
      </c>
      <c r="C2444" t="s">
        <v>14</v>
      </c>
      <c r="D2444" t="s">
        <v>15</v>
      </c>
      <c r="E2444" t="s">
        <v>16</v>
      </c>
      <c r="F2444" t="s">
        <v>182</v>
      </c>
      <c r="G2444" t="s">
        <v>2196</v>
      </c>
      <c r="H2444" t="s">
        <v>2135</v>
      </c>
      <c r="I2444" t="s">
        <v>977</v>
      </c>
      <c r="J2444" t="s">
        <v>13</v>
      </c>
      <c r="K2444" t="str">
        <f t="shared" si="329"/>
        <v>04</v>
      </c>
      <c r="L2444" t="str">
        <f t="shared" si="330"/>
        <v>122</v>
      </c>
      <c r="M2444" t="str">
        <f t="shared" si="326"/>
        <v>0001</v>
      </c>
      <c r="N2444" t="str">
        <f t="shared" si="327"/>
        <v>2.001</v>
      </c>
      <c r="O2444" t="str">
        <f t="shared" si="328"/>
        <v>3.1.90.11.00</v>
      </c>
      <c r="P2444" t="s">
        <v>4303</v>
      </c>
      <c r="R2444" s="25">
        <v>6028272.0599999996</v>
      </c>
      <c r="S2444" t="s">
        <v>27</v>
      </c>
    </row>
    <row r="2445" spans="1:19" x14ac:dyDescent="0.25">
      <c r="A2445" t="s">
        <v>976</v>
      </c>
      <c r="B2445" t="s">
        <v>13</v>
      </c>
      <c r="C2445" t="s">
        <v>14</v>
      </c>
      <c r="D2445" t="s">
        <v>15</v>
      </c>
      <c r="E2445" t="s">
        <v>16</v>
      </c>
      <c r="F2445" t="s">
        <v>182</v>
      </c>
      <c r="G2445" t="s">
        <v>2197</v>
      </c>
      <c r="H2445" t="s">
        <v>2136</v>
      </c>
      <c r="I2445" t="s">
        <v>977</v>
      </c>
      <c r="J2445" t="s">
        <v>13</v>
      </c>
      <c r="K2445" t="str">
        <f t="shared" si="329"/>
        <v>04</v>
      </c>
      <c r="L2445" t="str">
        <f t="shared" si="330"/>
        <v>122</v>
      </c>
      <c r="M2445" t="str">
        <f t="shared" si="326"/>
        <v>0001</v>
      </c>
      <c r="N2445" t="str">
        <f t="shared" si="327"/>
        <v>2.001</v>
      </c>
      <c r="O2445" t="str">
        <f t="shared" si="328"/>
        <v>3.1.90.13.00</v>
      </c>
      <c r="P2445" t="s">
        <v>4303</v>
      </c>
      <c r="R2445" s="25">
        <v>166817.04999999999</v>
      </c>
      <c r="S2445" t="s">
        <v>27</v>
      </c>
    </row>
    <row r="2446" spans="1:19" x14ac:dyDescent="0.25">
      <c r="A2446" t="s">
        <v>976</v>
      </c>
      <c r="B2446" t="s">
        <v>13</v>
      </c>
      <c r="C2446" t="s">
        <v>14</v>
      </c>
      <c r="D2446" t="s">
        <v>15</v>
      </c>
      <c r="E2446" t="s">
        <v>16</v>
      </c>
      <c r="F2446" t="s">
        <v>182</v>
      </c>
      <c r="G2446" t="s">
        <v>2203</v>
      </c>
      <c r="H2446" t="s">
        <v>2137</v>
      </c>
      <c r="I2446" t="s">
        <v>977</v>
      </c>
      <c r="J2446" t="s">
        <v>13</v>
      </c>
      <c r="K2446" t="str">
        <f t="shared" si="329"/>
        <v>04</v>
      </c>
      <c r="L2446" t="str">
        <f t="shared" si="330"/>
        <v>122</v>
      </c>
      <c r="M2446" t="str">
        <f t="shared" si="326"/>
        <v>0001</v>
      </c>
      <c r="N2446" t="str">
        <f t="shared" si="327"/>
        <v>2.001</v>
      </c>
      <c r="O2446" t="str">
        <f t="shared" si="328"/>
        <v>3.1.91.13.00</v>
      </c>
      <c r="P2446" t="s">
        <v>4303</v>
      </c>
      <c r="R2446" s="25">
        <v>855110.04</v>
      </c>
      <c r="S2446" t="s">
        <v>27</v>
      </c>
    </row>
    <row r="2447" spans="1:19" x14ac:dyDescent="0.25">
      <c r="A2447" t="s">
        <v>976</v>
      </c>
      <c r="B2447" t="s">
        <v>13</v>
      </c>
      <c r="C2447" t="s">
        <v>14</v>
      </c>
      <c r="D2447" t="s">
        <v>15</v>
      </c>
      <c r="E2447" t="s">
        <v>16</v>
      </c>
      <c r="F2447" t="s">
        <v>182</v>
      </c>
      <c r="G2447" t="s">
        <v>2207</v>
      </c>
      <c r="H2447" t="s">
        <v>2138</v>
      </c>
      <c r="I2447" t="s">
        <v>977</v>
      </c>
      <c r="J2447" t="s">
        <v>13</v>
      </c>
      <c r="K2447" t="str">
        <f t="shared" si="329"/>
        <v>04</v>
      </c>
      <c r="L2447" t="str">
        <f t="shared" si="330"/>
        <v>122</v>
      </c>
      <c r="M2447" t="str">
        <f t="shared" si="326"/>
        <v>0001</v>
      </c>
      <c r="N2447" t="str">
        <f t="shared" si="327"/>
        <v>2.001</v>
      </c>
      <c r="O2447" t="str">
        <f t="shared" si="328"/>
        <v>3.3.90.49.00</v>
      </c>
      <c r="P2447" t="s">
        <v>4303</v>
      </c>
      <c r="R2447" s="25">
        <v>124247.89</v>
      </c>
      <c r="S2447" t="s">
        <v>27</v>
      </c>
    </row>
    <row r="2448" spans="1:19" x14ac:dyDescent="0.25">
      <c r="A2448" t="s">
        <v>4306</v>
      </c>
      <c r="B2448" t="s">
        <v>13</v>
      </c>
      <c r="C2448" t="s">
        <v>14</v>
      </c>
      <c r="D2448" t="s">
        <v>15</v>
      </c>
      <c r="E2448" t="s">
        <v>16</v>
      </c>
      <c r="F2448" t="s">
        <v>182</v>
      </c>
      <c r="G2448" t="s">
        <v>2196</v>
      </c>
      <c r="H2448" t="s">
        <v>2143</v>
      </c>
      <c r="I2448" t="s">
        <v>4307</v>
      </c>
      <c r="J2448" t="s">
        <v>13</v>
      </c>
      <c r="K2448" t="str">
        <f t="shared" si="329"/>
        <v>04</v>
      </c>
      <c r="L2448" t="str">
        <f t="shared" si="330"/>
        <v>122</v>
      </c>
      <c r="M2448" t="str">
        <f t="shared" si="326"/>
        <v>0001</v>
      </c>
      <c r="N2448" t="str">
        <f t="shared" si="327"/>
        <v>2.001</v>
      </c>
      <c r="O2448" t="str">
        <f t="shared" si="328"/>
        <v>3.1.90.11.00</v>
      </c>
      <c r="P2448" t="s">
        <v>4303</v>
      </c>
      <c r="R2448" s="25">
        <v>2890413.73</v>
      </c>
      <c r="S2448" t="s">
        <v>27</v>
      </c>
    </row>
    <row r="2449" spans="1:19" x14ac:dyDescent="0.25">
      <c r="A2449" t="s">
        <v>4306</v>
      </c>
      <c r="B2449" t="s">
        <v>13</v>
      </c>
      <c r="C2449" t="s">
        <v>14</v>
      </c>
      <c r="D2449" t="s">
        <v>15</v>
      </c>
      <c r="E2449" t="s">
        <v>16</v>
      </c>
      <c r="F2449" t="s">
        <v>182</v>
      </c>
      <c r="G2449" t="s">
        <v>2197</v>
      </c>
      <c r="H2449" t="s">
        <v>2144</v>
      </c>
      <c r="I2449" t="s">
        <v>4307</v>
      </c>
      <c r="J2449" t="s">
        <v>13</v>
      </c>
      <c r="K2449" t="str">
        <f t="shared" si="329"/>
        <v>04</v>
      </c>
      <c r="L2449" t="str">
        <f t="shared" si="330"/>
        <v>122</v>
      </c>
      <c r="M2449" t="str">
        <f t="shared" si="326"/>
        <v>0001</v>
      </c>
      <c r="N2449" t="str">
        <f t="shared" si="327"/>
        <v>2.001</v>
      </c>
      <c r="O2449" t="str">
        <f t="shared" si="328"/>
        <v>3.1.90.13.00</v>
      </c>
      <c r="P2449" t="s">
        <v>4303</v>
      </c>
      <c r="R2449" s="25">
        <v>584008.23</v>
      </c>
      <c r="S2449" t="s">
        <v>27</v>
      </c>
    </row>
    <row r="2450" spans="1:19" x14ac:dyDescent="0.25">
      <c r="A2450" t="s">
        <v>4306</v>
      </c>
      <c r="B2450" t="s">
        <v>13</v>
      </c>
      <c r="C2450" t="s">
        <v>14</v>
      </c>
      <c r="D2450" t="s">
        <v>15</v>
      </c>
      <c r="E2450" t="s">
        <v>16</v>
      </c>
      <c r="F2450" t="s">
        <v>182</v>
      </c>
      <c r="G2450" t="s">
        <v>2203</v>
      </c>
      <c r="H2450" t="s">
        <v>2145</v>
      </c>
      <c r="I2450" t="s">
        <v>4307</v>
      </c>
      <c r="J2450" t="s">
        <v>13</v>
      </c>
      <c r="K2450" t="str">
        <f t="shared" si="329"/>
        <v>04</v>
      </c>
      <c r="L2450" t="str">
        <f t="shared" si="330"/>
        <v>122</v>
      </c>
      <c r="M2450" t="str">
        <f t="shared" si="326"/>
        <v>0001</v>
      </c>
      <c r="N2450" t="str">
        <f t="shared" si="327"/>
        <v>2.001</v>
      </c>
      <c r="O2450" t="str">
        <f t="shared" si="328"/>
        <v>3.1.91.13.00</v>
      </c>
      <c r="P2450" t="s">
        <v>4303</v>
      </c>
      <c r="R2450" s="25">
        <v>38608.230000000003</v>
      </c>
      <c r="S2450" t="s">
        <v>27</v>
      </c>
    </row>
    <row r="2451" spans="1:19" x14ac:dyDescent="0.25">
      <c r="A2451" t="s">
        <v>4306</v>
      </c>
      <c r="B2451" t="s">
        <v>13</v>
      </c>
      <c r="C2451" t="s">
        <v>14</v>
      </c>
      <c r="D2451" t="s">
        <v>15</v>
      </c>
      <c r="E2451" t="s">
        <v>16</v>
      </c>
      <c r="F2451" t="s">
        <v>182</v>
      </c>
      <c r="G2451" t="s">
        <v>2207</v>
      </c>
      <c r="H2451" t="s">
        <v>2147</v>
      </c>
      <c r="I2451" t="s">
        <v>4307</v>
      </c>
      <c r="J2451" t="s">
        <v>13</v>
      </c>
      <c r="K2451" t="str">
        <f t="shared" si="329"/>
        <v>04</v>
      </c>
      <c r="L2451" t="str">
        <f t="shared" si="330"/>
        <v>122</v>
      </c>
      <c r="M2451" t="str">
        <f t="shared" si="326"/>
        <v>0001</v>
      </c>
      <c r="N2451" t="str">
        <f t="shared" si="327"/>
        <v>2.001</v>
      </c>
      <c r="O2451" t="str">
        <f t="shared" si="328"/>
        <v>3.3.90.49.00</v>
      </c>
      <c r="P2451" t="s">
        <v>4303</v>
      </c>
      <c r="R2451" s="25">
        <v>30506.799999999999</v>
      </c>
      <c r="S2451" t="s">
        <v>27</v>
      </c>
    </row>
    <row r="2452" spans="1:19" x14ac:dyDescent="0.25">
      <c r="A2452" t="s">
        <v>1002</v>
      </c>
      <c r="B2452" t="s">
        <v>13</v>
      </c>
      <c r="C2452" t="s">
        <v>14</v>
      </c>
      <c r="D2452" t="s">
        <v>15</v>
      </c>
      <c r="E2452" t="s">
        <v>16</v>
      </c>
      <c r="F2452" t="s">
        <v>182</v>
      </c>
      <c r="G2452" t="s">
        <v>2196</v>
      </c>
      <c r="H2452" t="s">
        <v>2149</v>
      </c>
      <c r="I2452" t="s">
        <v>1003</v>
      </c>
      <c r="J2452" t="s">
        <v>13</v>
      </c>
      <c r="K2452" t="str">
        <f t="shared" si="329"/>
        <v>04</v>
      </c>
      <c r="L2452" t="str">
        <f t="shared" si="330"/>
        <v>122</v>
      </c>
      <c r="M2452" t="str">
        <f t="shared" si="326"/>
        <v>0001</v>
      </c>
      <c r="N2452" t="str">
        <f t="shared" si="327"/>
        <v>2.001</v>
      </c>
      <c r="O2452" t="str">
        <f t="shared" si="328"/>
        <v>3.1.90.11.00</v>
      </c>
      <c r="P2452" t="s">
        <v>4303</v>
      </c>
      <c r="R2452" s="25">
        <v>4982560.1500000004</v>
      </c>
      <c r="S2452" t="s">
        <v>27</v>
      </c>
    </row>
    <row r="2453" spans="1:19" x14ac:dyDescent="0.25">
      <c r="A2453" t="s">
        <v>1002</v>
      </c>
      <c r="B2453" t="s">
        <v>13</v>
      </c>
      <c r="C2453" t="s">
        <v>14</v>
      </c>
      <c r="D2453" t="s">
        <v>15</v>
      </c>
      <c r="E2453" t="s">
        <v>16</v>
      </c>
      <c r="F2453" t="s">
        <v>182</v>
      </c>
      <c r="G2453" t="s">
        <v>2197</v>
      </c>
      <c r="H2453" t="s">
        <v>2150</v>
      </c>
      <c r="I2453" t="s">
        <v>1003</v>
      </c>
      <c r="J2453" t="s">
        <v>13</v>
      </c>
      <c r="K2453" t="str">
        <f t="shared" si="329"/>
        <v>04</v>
      </c>
      <c r="L2453" t="str">
        <f t="shared" si="330"/>
        <v>122</v>
      </c>
      <c r="M2453" t="str">
        <f t="shared" si="326"/>
        <v>0001</v>
      </c>
      <c r="N2453" t="str">
        <f t="shared" si="327"/>
        <v>2.001</v>
      </c>
      <c r="O2453" t="str">
        <f t="shared" si="328"/>
        <v>3.1.90.13.00</v>
      </c>
      <c r="P2453" t="s">
        <v>4303</v>
      </c>
      <c r="R2453" s="25">
        <v>752385.04</v>
      </c>
      <c r="S2453" t="s">
        <v>27</v>
      </c>
    </row>
    <row r="2454" spans="1:19" x14ac:dyDescent="0.25">
      <c r="A2454" t="s">
        <v>1002</v>
      </c>
      <c r="B2454" t="s">
        <v>13</v>
      </c>
      <c r="C2454" t="s">
        <v>14</v>
      </c>
      <c r="D2454" t="s">
        <v>15</v>
      </c>
      <c r="E2454" t="s">
        <v>16</v>
      </c>
      <c r="F2454" t="s">
        <v>182</v>
      </c>
      <c r="G2454" t="s">
        <v>2203</v>
      </c>
      <c r="H2454" t="s">
        <v>2151</v>
      </c>
      <c r="I2454" t="s">
        <v>1003</v>
      </c>
      <c r="J2454" t="s">
        <v>13</v>
      </c>
      <c r="K2454" t="str">
        <f t="shared" si="329"/>
        <v>04</v>
      </c>
      <c r="L2454" t="str">
        <f t="shared" si="330"/>
        <v>122</v>
      </c>
      <c r="M2454" t="str">
        <f t="shared" si="326"/>
        <v>0001</v>
      </c>
      <c r="N2454" t="str">
        <f t="shared" si="327"/>
        <v>2.001</v>
      </c>
      <c r="O2454" t="str">
        <f t="shared" si="328"/>
        <v>3.1.91.13.00</v>
      </c>
      <c r="P2454" t="s">
        <v>4303</v>
      </c>
      <c r="R2454" s="25">
        <v>214606.98</v>
      </c>
      <c r="S2454" t="s">
        <v>27</v>
      </c>
    </row>
    <row r="2455" spans="1:19" x14ac:dyDescent="0.25">
      <c r="A2455" t="s">
        <v>1002</v>
      </c>
      <c r="B2455" t="s">
        <v>13</v>
      </c>
      <c r="C2455" t="s">
        <v>14</v>
      </c>
      <c r="D2455" t="s">
        <v>15</v>
      </c>
      <c r="E2455" t="s">
        <v>16</v>
      </c>
      <c r="F2455" t="s">
        <v>182</v>
      </c>
      <c r="G2455" t="s">
        <v>2207</v>
      </c>
      <c r="H2455" t="s">
        <v>2153</v>
      </c>
      <c r="I2455" t="s">
        <v>1003</v>
      </c>
      <c r="J2455" t="s">
        <v>13</v>
      </c>
      <c r="K2455" t="str">
        <f t="shared" si="329"/>
        <v>04</v>
      </c>
      <c r="L2455" t="str">
        <f t="shared" si="330"/>
        <v>122</v>
      </c>
      <c r="M2455" t="str">
        <f t="shared" si="326"/>
        <v>0001</v>
      </c>
      <c r="N2455" t="str">
        <f t="shared" si="327"/>
        <v>2.001</v>
      </c>
      <c r="O2455" t="str">
        <f t="shared" si="328"/>
        <v>3.3.90.49.00</v>
      </c>
      <c r="P2455" t="s">
        <v>4303</v>
      </c>
      <c r="R2455" s="25">
        <v>12217.57</v>
      </c>
      <c r="S2455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EFBC-F754-4526-9DE7-6C4608CD51C4}">
  <sheetPr filterMode="1"/>
  <dimension ref="A1:G2532"/>
  <sheetViews>
    <sheetView workbookViewId="0">
      <selection activeCell="C1744" sqref="C1744"/>
    </sheetView>
  </sheetViews>
  <sheetFormatPr defaultRowHeight="15" x14ac:dyDescent="0.25"/>
  <cols>
    <col min="1" max="1" width="42.7109375" style="3" customWidth="1"/>
    <col min="2" max="2" width="24.140625" style="7" bestFit="1" customWidth="1"/>
    <col min="3" max="3" width="24.140625" style="7" customWidth="1"/>
    <col min="4" max="4" width="33.7109375" bestFit="1" customWidth="1"/>
    <col min="5" max="5" width="29.28515625" customWidth="1"/>
    <col min="7" max="7" width="11.140625" bestFit="1" customWidth="1"/>
  </cols>
  <sheetData>
    <row r="1" spans="1:7" ht="30.75" thickBot="1" x14ac:dyDescent="0.3">
      <c r="A1" s="4" t="s">
        <v>2225</v>
      </c>
      <c r="B1" s="8" t="s">
        <v>2226</v>
      </c>
      <c r="C1" s="10" t="s">
        <v>2227</v>
      </c>
      <c r="D1" t="s">
        <v>2228</v>
      </c>
      <c r="E1" t="s">
        <v>2229</v>
      </c>
      <c r="F1" t="s">
        <v>2230</v>
      </c>
    </row>
    <row r="2" spans="1:7" hidden="1" x14ac:dyDescent="0.25">
      <c r="A2" s="5" t="s">
        <v>2231</v>
      </c>
      <c r="B2" s="27">
        <v>2000000</v>
      </c>
      <c r="C2" s="11" t="s">
        <v>2232</v>
      </c>
      <c r="D2" t="str">
        <f>_xlfn.CONCAT(LEFT(A2,34),".00")</f>
        <v>01.001.01.031.0003.1.003.3.3.90.39.00</v>
      </c>
      <c r="E2" t="str">
        <f>VLOOKUP(LEFT(A2,2),ConsolidadoLoa27_ATIVIDADES!A:I,9,0)</f>
        <v>01- CMO</v>
      </c>
      <c r="F2" t="str">
        <f>MID(A2,20,5)</f>
        <v>1.003</v>
      </c>
      <c r="G2" t="str">
        <f>RIGHT(A2,11)</f>
        <v>01.110.0000</v>
      </c>
    </row>
    <row r="3" spans="1:7" hidden="1" x14ac:dyDescent="0.25">
      <c r="A3" s="6" t="s">
        <v>2233</v>
      </c>
      <c r="B3" s="28">
        <v>1</v>
      </c>
      <c r="C3" s="12" t="s">
        <v>2232</v>
      </c>
      <c r="D3" t="str">
        <f t="shared" ref="D3:D66" si="0">_xlfn.CONCAT(LEFT(A3,34),".00")</f>
        <v>01.001.01.031.0003.1.003.3.3.90.92.00</v>
      </c>
      <c r="E3" t="str">
        <f>VLOOKUP(LEFT(A3,2),ConsolidadoLoa27_ATIVIDADES!A:I,9,0)</f>
        <v>01- CMO</v>
      </c>
      <c r="F3" t="str">
        <f t="shared" ref="F3:F66" si="1">MID(A3,20,5)</f>
        <v>1.003</v>
      </c>
      <c r="G3" t="str">
        <f t="shared" ref="G3:G66" si="2">RIGHT(A3,11)</f>
        <v>01.110.0000</v>
      </c>
    </row>
    <row r="4" spans="1:7" hidden="1" x14ac:dyDescent="0.25">
      <c r="A4" s="6" t="s">
        <v>2234</v>
      </c>
      <c r="B4" s="28">
        <v>1</v>
      </c>
      <c r="C4" s="13" t="s">
        <v>2232</v>
      </c>
      <c r="D4" t="str">
        <f t="shared" si="0"/>
        <v>01.001.01.031.0003.1.003.3.3.90.93.00</v>
      </c>
      <c r="E4" t="str">
        <f>VLOOKUP(LEFT(A4,2),ConsolidadoLoa27_ATIVIDADES!A:I,9,0)</f>
        <v>01- CMO</v>
      </c>
      <c r="F4" t="str">
        <f t="shared" si="1"/>
        <v>1.003</v>
      </c>
      <c r="G4" t="str">
        <f t="shared" si="2"/>
        <v>01.110.0000</v>
      </c>
    </row>
    <row r="5" spans="1:7" hidden="1" x14ac:dyDescent="0.25">
      <c r="A5" s="6" t="s">
        <v>2235</v>
      </c>
      <c r="B5" s="28">
        <v>1000000</v>
      </c>
      <c r="C5" s="13" t="s">
        <v>2232</v>
      </c>
      <c r="D5" t="str">
        <f t="shared" si="0"/>
        <v>01.001.01.031.0003.1.003.4.4.90.51.00</v>
      </c>
      <c r="E5" t="str">
        <f>VLOOKUP(LEFT(A5,2),ConsolidadoLoa27_ATIVIDADES!A:I,9,0)</f>
        <v>01- CMO</v>
      </c>
      <c r="F5" t="str">
        <f t="shared" si="1"/>
        <v>1.003</v>
      </c>
      <c r="G5" t="str">
        <f t="shared" si="2"/>
        <v>01.110.0000</v>
      </c>
    </row>
    <row r="6" spans="1:7" hidden="1" x14ac:dyDescent="0.25">
      <c r="A6" s="6" t="s">
        <v>2236</v>
      </c>
      <c r="B6" s="28">
        <v>3500000</v>
      </c>
      <c r="C6" s="13" t="s">
        <v>2232</v>
      </c>
      <c r="D6" t="str">
        <f t="shared" si="0"/>
        <v>01.001.01.031.0003.1.003.4.4.90.52.00</v>
      </c>
      <c r="E6" t="str">
        <f>VLOOKUP(LEFT(A6,2),ConsolidadoLoa27_ATIVIDADES!A:I,9,0)</f>
        <v>01- CMO</v>
      </c>
      <c r="F6" t="str">
        <f t="shared" si="1"/>
        <v>1.003</v>
      </c>
      <c r="G6" t="str">
        <f t="shared" si="2"/>
        <v>01.110.0000</v>
      </c>
    </row>
    <row r="7" spans="1:7" hidden="1" x14ac:dyDescent="0.25">
      <c r="A7" s="6" t="s">
        <v>2237</v>
      </c>
      <c r="B7" s="28">
        <v>1</v>
      </c>
      <c r="C7" s="13" t="s">
        <v>2232</v>
      </c>
      <c r="D7" t="str">
        <f t="shared" si="0"/>
        <v>01.001.01.031.0003.1.003.4.4.90.92.00</v>
      </c>
      <c r="E7" t="str">
        <f>VLOOKUP(LEFT(A7,2),ConsolidadoLoa27_ATIVIDADES!A:I,9,0)</f>
        <v>01- CMO</v>
      </c>
      <c r="F7" t="str">
        <f t="shared" si="1"/>
        <v>1.003</v>
      </c>
      <c r="G7" t="str">
        <f t="shared" si="2"/>
        <v>01.110.0000</v>
      </c>
    </row>
    <row r="8" spans="1:7" hidden="1" x14ac:dyDescent="0.25">
      <c r="A8" s="6" t="s">
        <v>2238</v>
      </c>
      <c r="B8" s="28">
        <v>1</v>
      </c>
      <c r="C8" s="12" t="s">
        <v>2239</v>
      </c>
      <c r="D8" t="str">
        <f t="shared" si="0"/>
        <v>01.001.01.031.0003.2.042.3.3.90.14.00</v>
      </c>
      <c r="E8" t="str">
        <f>VLOOKUP(LEFT(A8,2),ConsolidadoLoa27_ATIVIDADES!A:I,9,0)</f>
        <v>01- CMO</v>
      </c>
      <c r="F8" t="str">
        <f t="shared" si="1"/>
        <v>2.042</v>
      </c>
      <c r="G8" t="str">
        <f t="shared" si="2"/>
        <v>01.110.0000</v>
      </c>
    </row>
    <row r="9" spans="1:7" hidden="1" x14ac:dyDescent="0.25">
      <c r="A9" s="6" t="s">
        <v>2240</v>
      </c>
      <c r="B9" s="28">
        <v>1575000</v>
      </c>
      <c r="C9" s="12" t="s">
        <v>2239</v>
      </c>
      <c r="D9" t="str">
        <f t="shared" si="0"/>
        <v>01.001.01.031.0003.2.042.3.3.90.30.00</v>
      </c>
      <c r="E9" t="str">
        <f>VLOOKUP(LEFT(A9,2),ConsolidadoLoa27_ATIVIDADES!A:I,9,0)</f>
        <v>01- CMO</v>
      </c>
      <c r="F9" t="str">
        <f t="shared" si="1"/>
        <v>2.042</v>
      </c>
      <c r="G9" t="str">
        <f t="shared" si="2"/>
        <v>01.110.0000</v>
      </c>
    </row>
    <row r="10" spans="1:7" hidden="1" x14ac:dyDescent="0.25">
      <c r="A10" s="6" t="s">
        <v>2241</v>
      </c>
      <c r="B10" s="28">
        <v>1</v>
      </c>
      <c r="C10" s="12" t="s">
        <v>2239</v>
      </c>
      <c r="D10" t="str">
        <f t="shared" si="0"/>
        <v>01.001.01.031.0003.2.042.3.3.90.32.00</v>
      </c>
      <c r="E10" t="str">
        <f>VLOOKUP(LEFT(A10,2),ConsolidadoLoa27_ATIVIDADES!A:I,9,0)</f>
        <v>01- CMO</v>
      </c>
      <c r="F10" t="str">
        <f t="shared" si="1"/>
        <v>2.042</v>
      </c>
      <c r="G10" t="str">
        <f t="shared" si="2"/>
        <v>01.110.0000</v>
      </c>
    </row>
    <row r="11" spans="1:7" hidden="1" x14ac:dyDescent="0.25">
      <c r="A11" s="6" t="s">
        <v>2242</v>
      </c>
      <c r="B11" s="28">
        <v>1</v>
      </c>
      <c r="C11" s="12" t="s">
        <v>2239</v>
      </c>
      <c r="D11" t="str">
        <f t="shared" si="0"/>
        <v>01.001.01.031.0003.2.042.3.3.90.33.00</v>
      </c>
      <c r="E11" t="str">
        <f>VLOOKUP(LEFT(A11,2),ConsolidadoLoa27_ATIVIDADES!A:I,9,0)</f>
        <v>01- CMO</v>
      </c>
      <c r="F11" t="str">
        <f t="shared" si="1"/>
        <v>2.042</v>
      </c>
      <c r="G11" t="str">
        <f t="shared" si="2"/>
        <v>01.110.0000</v>
      </c>
    </row>
    <row r="12" spans="1:7" hidden="1" x14ac:dyDescent="0.25">
      <c r="A12" s="6" t="s">
        <v>2243</v>
      </c>
      <c r="B12" s="28">
        <v>1</v>
      </c>
      <c r="C12" s="12" t="s">
        <v>2239</v>
      </c>
      <c r="D12" t="str">
        <f t="shared" si="0"/>
        <v>01.001.01.031.0003.2.042.3.3.90.35.00</v>
      </c>
      <c r="E12" t="str">
        <f>VLOOKUP(LEFT(A12,2),ConsolidadoLoa27_ATIVIDADES!A:I,9,0)</f>
        <v>01- CMO</v>
      </c>
      <c r="F12" t="str">
        <f t="shared" si="1"/>
        <v>2.042</v>
      </c>
      <c r="G12" t="str">
        <f t="shared" si="2"/>
        <v>01.110.0000</v>
      </c>
    </row>
    <row r="13" spans="1:7" hidden="1" x14ac:dyDescent="0.25">
      <c r="A13" s="6" t="s">
        <v>2244</v>
      </c>
      <c r="B13" s="28">
        <v>1</v>
      </c>
      <c r="C13" s="12" t="s">
        <v>2239</v>
      </c>
      <c r="D13" t="str">
        <f t="shared" si="0"/>
        <v>01.001.01.031.0003.2.042.3.3.90.37.00</v>
      </c>
      <c r="E13" t="str">
        <f>VLOOKUP(LEFT(A13,2),ConsolidadoLoa27_ATIVIDADES!A:I,9,0)</f>
        <v>01- CMO</v>
      </c>
      <c r="F13" t="str">
        <f t="shared" si="1"/>
        <v>2.042</v>
      </c>
      <c r="G13" t="str">
        <f t="shared" si="2"/>
        <v>01.110.0000</v>
      </c>
    </row>
    <row r="14" spans="1:7" hidden="1" x14ac:dyDescent="0.25">
      <c r="A14" s="6" t="s">
        <v>2245</v>
      </c>
      <c r="B14" s="28">
        <v>35000000</v>
      </c>
      <c r="C14" s="12" t="s">
        <v>2239</v>
      </c>
      <c r="D14" t="str">
        <f t="shared" si="0"/>
        <v>01.001.01.031.0003.2.042.3.3.90.39.00</v>
      </c>
      <c r="E14" t="str">
        <f>VLOOKUP(LEFT(A14,2),ConsolidadoLoa27_ATIVIDADES!A:I,9,0)</f>
        <v>01- CMO</v>
      </c>
      <c r="F14" t="str">
        <f t="shared" si="1"/>
        <v>2.042</v>
      </c>
      <c r="G14" t="str">
        <f t="shared" si="2"/>
        <v>01.110.0000</v>
      </c>
    </row>
    <row r="15" spans="1:7" hidden="1" x14ac:dyDescent="0.25">
      <c r="A15" s="6" t="s">
        <v>2246</v>
      </c>
      <c r="B15" s="28">
        <v>5000000</v>
      </c>
      <c r="C15" s="12" t="s">
        <v>2239</v>
      </c>
      <c r="D15" t="str">
        <f t="shared" si="0"/>
        <v>01.001.01.031.0003.2.042.3.3.90.40.00</v>
      </c>
      <c r="E15" t="str">
        <f>VLOOKUP(LEFT(A15,2),ConsolidadoLoa27_ATIVIDADES!A:I,9,0)</f>
        <v>01- CMO</v>
      </c>
      <c r="F15" t="str">
        <f t="shared" si="1"/>
        <v>2.042</v>
      </c>
      <c r="G15" t="str">
        <f t="shared" si="2"/>
        <v>01.110.0000</v>
      </c>
    </row>
    <row r="16" spans="1:7" hidden="1" x14ac:dyDescent="0.25">
      <c r="A16" s="6" t="s">
        <v>2247</v>
      </c>
      <c r="B16" s="28">
        <v>1</v>
      </c>
      <c r="C16" s="12" t="s">
        <v>2239</v>
      </c>
      <c r="D16" t="str">
        <f t="shared" si="0"/>
        <v>01.001.01.031.0003.2.042.3.3.90.47.00</v>
      </c>
      <c r="E16" t="str">
        <f>VLOOKUP(LEFT(A16,2),ConsolidadoLoa27_ATIVIDADES!A:I,9,0)</f>
        <v>01- CMO</v>
      </c>
      <c r="F16" t="str">
        <f t="shared" si="1"/>
        <v>2.042</v>
      </c>
      <c r="G16" t="str">
        <f t="shared" si="2"/>
        <v>01.110.0000</v>
      </c>
    </row>
    <row r="17" spans="1:7" hidden="1" x14ac:dyDescent="0.25">
      <c r="A17" s="6" t="s">
        <v>2248</v>
      </c>
      <c r="B17" s="28">
        <v>189300</v>
      </c>
      <c r="C17" s="12" t="s">
        <v>2239</v>
      </c>
      <c r="D17" t="str">
        <f t="shared" si="0"/>
        <v>01.001.01.031.0003.2.042.3.3.90.48.00</v>
      </c>
      <c r="E17" t="str">
        <f>VLOOKUP(LEFT(A17,2),ConsolidadoLoa27_ATIVIDADES!A:I,9,0)</f>
        <v>01- CMO</v>
      </c>
      <c r="F17" t="str">
        <f t="shared" si="1"/>
        <v>2.042</v>
      </c>
      <c r="G17" t="str">
        <f t="shared" si="2"/>
        <v>01.110.0000</v>
      </c>
    </row>
    <row r="18" spans="1:7" hidden="1" x14ac:dyDescent="0.25">
      <c r="A18" s="6" t="s">
        <v>2249</v>
      </c>
      <c r="B18" s="28">
        <v>1</v>
      </c>
      <c r="C18" s="12" t="s">
        <v>2239</v>
      </c>
      <c r="D18" t="str">
        <f t="shared" si="0"/>
        <v>01.001.01.031.0003.2.042.3.3.90.92.00</v>
      </c>
      <c r="E18" t="str">
        <f>VLOOKUP(LEFT(A18,2),ConsolidadoLoa27_ATIVIDADES!A:I,9,0)</f>
        <v>01- CMO</v>
      </c>
      <c r="F18" t="str">
        <f t="shared" si="1"/>
        <v>2.042</v>
      </c>
      <c r="G18" t="str">
        <f t="shared" si="2"/>
        <v>01.110.0000</v>
      </c>
    </row>
    <row r="19" spans="1:7" hidden="1" x14ac:dyDescent="0.25">
      <c r="A19" s="6" t="s">
        <v>2250</v>
      </c>
      <c r="B19" s="28">
        <v>1</v>
      </c>
      <c r="C19" s="12" t="s">
        <v>2239</v>
      </c>
      <c r="D19" t="str">
        <f t="shared" si="0"/>
        <v>01.001.01.031.0003.2.042.3.3.90.93.00</v>
      </c>
      <c r="E19" t="str">
        <f>VLOOKUP(LEFT(A19,2),ConsolidadoLoa27_ATIVIDADES!A:I,9,0)</f>
        <v>01- CMO</v>
      </c>
      <c r="F19" t="str">
        <f t="shared" si="1"/>
        <v>2.042</v>
      </c>
      <c r="G19" t="str">
        <f t="shared" si="2"/>
        <v>01.110.0000</v>
      </c>
    </row>
    <row r="20" spans="1:7" hidden="1" x14ac:dyDescent="0.25">
      <c r="A20" s="6" t="s">
        <v>2251</v>
      </c>
      <c r="B20" s="28">
        <v>2100000</v>
      </c>
      <c r="C20" s="12" t="s">
        <v>2239</v>
      </c>
      <c r="D20" t="str">
        <f t="shared" si="0"/>
        <v>01.001.01.031.0003.2.042.4.4.50.52.00</v>
      </c>
      <c r="E20" t="str">
        <f>VLOOKUP(LEFT(A20,2),ConsolidadoLoa27_ATIVIDADES!A:I,9,0)</f>
        <v>01- CMO</v>
      </c>
      <c r="F20" t="str">
        <f t="shared" si="1"/>
        <v>2.042</v>
      </c>
      <c r="G20" t="str">
        <f t="shared" si="2"/>
        <v>01.110.0000</v>
      </c>
    </row>
    <row r="21" spans="1:7" hidden="1" x14ac:dyDescent="0.25">
      <c r="A21" s="6" t="s">
        <v>2252</v>
      </c>
      <c r="B21" s="28">
        <v>1</v>
      </c>
      <c r="C21" s="12" t="s">
        <v>2253</v>
      </c>
      <c r="D21" t="str">
        <f t="shared" si="0"/>
        <v>01.001.01.031.0003.2.042.4.4.90.92.00</v>
      </c>
      <c r="E21" t="str">
        <f>VLOOKUP(LEFT(A21,2),ConsolidadoLoa27_ATIVIDADES!A:I,9,0)</f>
        <v>01- CMO</v>
      </c>
      <c r="F21" t="str">
        <f t="shared" si="1"/>
        <v>2.042</v>
      </c>
      <c r="G21" t="str">
        <f t="shared" si="2"/>
        <v>01.110.0000</v>
      </c>
    </row>
    <row r="22" spans="1:7" hidden="1" x14ac:dyDescent="0.25">
      <c r="A22" s="6" t="s">
        <v>2254</v>
      </c>
      <c r="B22" s="28">
        <v>72722107</v>
      </c>
      <c r="C22" s="12" t="s">
        <v>2255</v>
      </c>
      <c r="D22" t="str">
        <f t="shared" si="0"/>
        <v>01.001.01.122.0003.2.001.3.1.90.11.00</v>
      </c>
      <c r="E22" t="str">
        <f>VLOOKUP(LEFT(A22,2),ConsolidadoLoa27_ATIVIDADES!A:I,9,0)</f>
        <v>01- CMO</v>
      </c>
      <c r="F22" t="str">
        <f t="shared" si="1"/>
        <v>2.001</v>
      </c>
      <c r="G22" t="str">
        <f t="shared" si="2"/>
        <v>01.110.0000</v>
      </c>
    </row>
    <row r="23" spans="1:7" hidden="1" x14ac:dyDescent="0.25">
      <c r="A23" s="6" t="s">
        <v>2256</v>
      </c>
      <c r="B23" s="28">
        <v>8654868</v>
      </c>
      <c r="C23" s="12" t="s">
        <v>2255</v>
      </c>
      <c r="D23" t="str">
        <f t="shared" si="0"/>
        <v>01.001.01.122.0003.2.001.3.1.90.13.00</v>
      </c>
      <c r="E23" t="str">
        <f>VLOOKUP(LEFT(A23,2),ConsolidadoLoa27_ATIVIDADES!A:I,9,0)</f>
        <v>01- CMO</v>
      </c>
      <c r="F23" t="str">
        <f t="shared" si="1"/>
        <v>2.001</v>
      </c>
      <c r="G23" t="str">
        <f t="shared" si="2"/>
        <v>01.110.0000</v>
      </c>
    </row>
    <row r="24" spans="1:7" hidden="1" x14ac:dyDescent="0.25">
      <c r="A24" s="6" t="s">
        <v>2257</v>
      </c>
      <c r="B24" s="28">
        <v>1</v>
      </c>
      <c r="C24" s="12" t="s">
        <v>2255</v>
      </c>
      <c r="D24" t="str">
        <f t="shared" si="0"/>
        <v>01.001.01.122.0003.2.001.3.1.90.16.00</v>
      </c>
      <c r="E24" t="str">
        <f>VLOOKUP(LEFT(A24,2),ConsolidadoLoa27_ATIVIDADES!A:I,9,0)</f>
        <v>01- CMO</v>
      </c>
      <c r="F24" t="str">
        <f t="shared" si="1"/>
        <v>2.001</v>
      </c>
      <c r="G24" t="str">
        <f t="shared" si="2"/>
        <v>01.110.0000</v>
      </c>
    </row>
    <row r="25" spans="1:7" hidden="1" x14ac:dyDescent="0.25">
      <c r="A25" s="6" t="s">
        <v>2258</v>
      </c>
      <c r="B25" s="28">
        <v>1</v>
      </c>
      <c r="C25" s="12" t="s">
        <v>2255</v>
      </c>
      <c r="D25" t="str">
        <f t="shared" si="0"/>
        <v>01.001.01.122.0003.2.001.3.1.90.91.00</v>
      </c>
      <c r="E25" t="str">
        <f>VLOOKUP(LEFT(A25,2),ConsolidadoLoa27_ATIVIDADES!A:I,9,0)</f>
        <v>01- CMO</v>
      </c>
      <c r="F25" t="str">
        <f t="shared" si="1"/>
        <v>2.001</v>
      </c>
      <c r="G25" t="str">
        <f t="shared" si="2"/>
        <v>01.110.0000</v>
      </c>
    </row>
    <row r="26" spans="1:7" hidden="1" x14ac:dyDescent="0.25">
      <c r="A26" s="6" t="s">
        <v>2259</v>
      </c>
      <c r="B26" s="28">
        <v>1</v>
      </c>
      <c r="C26" s="12" t="s">
        <v>2255</v>
      </c>
      <c r="D26" t="str">
        <f t="shared" si="0"/>
        <v>01.001.01.122.0003.2.001.3.1.90.92.00</v>
      </c>
      <c r="E26" t="str">
        <f>VLOOKUP(LEFT(A26,2),ConsolidadoLoa27_ATIVIDADES!A:I,9,0)</f>
        <v>01- CMO</v>
      </c>
      <c r="F26" t="str">
        <f t="shared" si="1"/>
        <v>2.001</v>
      </c>
      <c r="G26" t="str">
        <f t="shared" si="2"/>
        <v>01.110.0000</v>
      </c>
    </row>
    <row r="27" spans="1:7" hidden="1" x14ac:dyDescent="0.25">
      <c r="A27" s="6" t="s">
        <v>2260</v>
      </c>
      <c r="B27" s="28">
        <v>1</v>
      </c>
      <c r="C27" s="12" t="s">
        <v>2255</v>
      </c>
      <c r="D27" t="str">
        <f t="shared" si="0"/>
        <v>01.001.01.122.0003.2.001.3.1.90.94.00</v>
      </c>
      <c r="E27" t="str">
        <f>VLOOKUP(LEFT(A27,2),ConsolidadoLoa27_ATIVIDADES!A:I,9,0)</f>
        <v>01- CMO</v>
      </c>
      <c r="F27" t="str">
        <f t="shared" si="1"/>
        <v>2.001</v>
      </c>
      <c r="G27" t="str">
        <f t="shared" si="2"/>
        <v>01.110.0000</v>
      </c>
    </row>
    <row r="28" spans="1:7" hidden="1" x14ac:dyDescent="0.25">
      <c r="A28" s="6" t="s">
        <v>2261</v>
      </c>
      <c r="B28" s="28">
        <v>1</v>
      </c>
      <c r="C28" s="12" t="s">
        <v>2255</v>
      </c>
      <c r="D28" t="str">
        <f t="shared" si="0"/>
        <v>01.001.01.122.0003.2.001.3.1.90.96.00</v>
      </c>
      <c r="E28" t="str">
        <f>VLOOKUP(LEFT(A28,2),ConsolidadoLoa27_ATIVIDADES!A:I,9,0)</f>
        <v>01- CMO</v>
      </c>
      <c r="F28" t="str">
        <f t="shared" si="1"/>
        <v>2.001</v>
      </c>
      <c r="G28" t="str">
        <f t="shared" si="2"/>
        <v>01.110.0000</v>
      </c>
    </row>
    <row r="29" spans="1:7" hidden="1" x14ac:dyDescent="0.25">
      <c r="A29" s="6" t="s">
        <v>2262</v>
      </c>
      <c r="B29" s="28">
        <v>4840368</v>
      </c>
      <c r="C29" s="12" t="s">
        <v>2255</v>
      </c>
      <c r="D29" t="str">
        <f t="shared" si="0"/>
        <v>01.001.01.122.0003.2.001.3.1.91.13.00</v>
      </c>
      <c r="E29" t="str">
        <f>VLOOKUP(LEFT(A29,2),ConsolidadoLoa27_ATIVIDADES!A:I,9,0)</f>
        <v>01- CMO</v>
      </c>
      <c r="F29" t="str">
        <f t="shared" si="1"/>
        <v>2.001</v>
      </c>
      <c r="G29" t="str">
        <f t="shared" si="2"/>
        <v>01.110.0000</v>
      </c>
    </row>
    <row r="30" spans="1:7" hidden="1" x14ac:dyDescent="0.25">
      <c r="A30" s="6" t="s">
        <v>2263</v>
      </c>
      <c r="B30" s="28">
        <v>1050</v>
      </c>
      <c r="C30" s="12" t="s">
        <v>2255</v>
      </c>
      <c r="D30" t="str">
        <f t="shared" si="0"/>
        <v>01.001.01.122.0003.2.001.3.1.91.92.00</v>
      </c>
      <c r="E30" t="str">
        <f>VLOOKUP(LEFT(A30,2),ConsolidadoLoa27_ATIVIDADES!A:I,9,0)</f>
        <v>01- CMO</v>
      </c>
      <c r="F30" t="str">
        <f t="shared" si="1"/>
        <v>2.001</v>
      </c>
      <c r="G30" t="str">
        <f t="shared" si="2"/>
        <v>01.110.0000</v>
      </c>
    </row>
    <row r="31" spans="1:7" hidden="1" x14ac:dyDescent="0.25">
      <c r="A31" s="6" t="s">
        <v>2264</v>
      </c>
      <c r="B31" s="28">
        <v>7002773</v>
      </c>
      <c r="C31" s="12" t="s">
        <v>2255</v>
      </c>
      <c r="D31" t="str">
        <f t="shared" si="0"/>
        <v>01.001.01.122.0003.2.001.3.3.90.08.00</v>
      </c>
      <c r="E31" t="str">
        <f>VLOOKUP(LEFT(A31,2),ConsolidadoLoa27_ATIVIDADES!A:I,9,0)</f>
        <v>01- CMO</v>
      </c>
      <c r="F31" t="str">
        <f t="shared" si="1"/>
        <v>2.001</v>
      </c>
      <c r="G31" t="str">
        <f t="shared" si="2"/>
        <v>01.110.0000</v>
      </c>
    </row>
    <row r="32" spans="1:7" hidden="1" x14ac:dyDescent="0.25">
      <c r="A32" s="6" t="s">
        <v>2265</v>
      </c>
      <c r="B32" s="28">
        <v>1</v>
      </c>
      <c r="C32" s="12" t="s">
        <v>2255</v>
      </c>
      <c r="D32" t="str">
        <f t="shared" si="0"/>
        <v>01.001.01.122.0003.2.001.3.3.90.39.00</v>
      </c>
      <c r="E32" t="str">
        <f>VLOOKUP(LEFT(A32,2),ConsolidadoLoa27_ATIVIDADES!A:I,9,0)</f>
        <v>01- CMO</v>
      </c>
      <c r="F32" t="str">
        <f t="shared" si="1"/>
        <v>2.001</v>
      </c>
      <c r="G32" t="str">
        <f t="shared" si="2"/>
        <v>01.110.0000</v>
      </c>
    </row>
    <row r="33" spans="1:7" hidden="1" x14ac:dyDescent="0.25">
      <c r="A33" s="6" t="s">
        <v>2266</v>
      </c>
      <c r="B33" s="28">
        <v>4480278</v>
      </c>
      <c r="C33" s="12" t="s">
        <v>2255</v>
      </c>
      <c r="D33" t="str">
        <f t="shared" si="0"/>
        <v>01.001.01.122.0003.2.001.3.3.90.46.00</v>
      </c>
      <c r="E33" t="str">
        <f>VLOOKUP(LEFT(A33,2),ConsolidadoLoa27_ATIVIDADES!A:I,9,0)</f>
        <v>01- CMO</v>
      </c>
      <c r="F33" t="str">
        <f t="shared" si="1"/>
        <v>2.001</v>
      </c>
      <c r="G33" t="str">
        <f t="shared" si="2"/>
        <v>01.110.0000</v>
      </c>
    </row>
    <row r="34" spans="1:7" hidden="1" x14ac:dyDescent="0.25">
      <c r="A34" s="6" t="s">
        <v>2267</v>
      </c>
      <c r="B34" s="28">
        <v>1</v>
      </c>
      <c r="C34" s="12" t="s">
        <v>2255</v>
      </c>
      <c r="D34" t="str">
        <f t="shared" si="0"/>
        <v>01.001.01.122.0003.2.001.3.3.90.47.00</v>
      </c>
      <c r="E34" t="str">
        <f>VLOOKUP(LEFT(A34,2),ConsolidadoLoa27_ATIVIDADES!A:I,9,0)</f>
        <v>01- CMO</v>
      </c>
      <c r="F34" t="str">
        <f t="shared" si="1"/>
        <v>2.001</v>
      </c>
      <c r="G34" t="str">
        <f t="shared" si="2"/>
        <v>01.110.0000</v>
      </c>
    </row>
    <row r="35" spans="1:7" hidden="1" x14ac:dyDescent="0.25">
      <c r="A35" s="6" t="s">
        <v>2268</v>
      </c>
      <c r="B35" s="28">
        <v>1</v>
      </c>
      <c r="C35" s="12" t="s">
        <v>2255</v>
      </c>
      <c r="D35" t="str">
        <f t="shared" si="0"/>
        <v>01.001.01.122.0003.2.001.3.3.90.49.00</v>
      </c>
      <c r="E35" t="str">
        <f>VLOOKUP(LEFT(A35,2),ConsolidadoLoa27_ATIVIDADES!A:I,9,0)</f>
        <v>01- CMO</v>
      </c>
      <c r="F35" t="str">
        <f t="shared" si="1"/>
        <v>2.001</v>
      </c>
      <c r="G35" t="str">
        <f t="shared" si="2"/>
        <v>01.110.0000</v>
      </c>
    </row>
    <row r="36" spans="1:7" hidden="1" x14ac:dyDescent="0.25">
      <c r="A36" s="6" t="s">
        <v>2269</v>
      </c>
      <c r="B36" s="28">
        <v>1</v>
      </c>
      <c r="C36" s="12" t="s">
        <v>2255</v>
      </c>
      <c r="D36" t="str">
        <f t="shared" si="0"/>
        <v>01.001.01.122.0003.2.001.3.3.90.92.00</v>
      </c>
      <c r="E36" t="str">
        <f>VLOOKUP(LEFT(A36,2),ConsolidadoLoa27_ATIVIDADES!A:I,9,0)</f>
        <v>01- CMO</v>
      </c>
      <c r="F36" t="str">
        <f t="shared" si="1"/>
        <v>2.001</v>
      </c>
      <c r="G36" t="str">
        <f t="shared" si="2"/>
        <v>01.110.0000</v>
      </c>
    </row>
    <row r="37" spans="1:7" hidden="1" x14ac:dyDescent="0.25">
      <c r="A37" s="6" t="s">
        <v>2270</v>
      </c>
      <c r="B37" s="28">
        <v>1</v>
      </c>
      <c r="C37" s="14" t="s">
        <v>2271</v>
      </c>
      <c r="D37" t="str">
        <f t="shared" si="0"/>
        <v>02.001.04.121.0004.1.001.3.3.80.35.00</v>
      </c>
      <c r="E37" t="str">
        <f>VLOOKUP(LEFT(A37,2),ConsolidadoLoa27_ATIVIDADES!A:I,9,0)</f>
        <v>02 - GABINETE DO PREFEITO</v>
      </c>
      <c r="F37" t="str">
        <f t="shared" si="1"/>
        <v>1.001</v>
      </c>
      <c r="G37" t="str">
        <f t="shared" si="2"/>
        <v>01.110.0000</v>
      </c>
    </row>
    <row r="38" spans="1:7" hidden="1" x14ac:dyDescent="0.25">
      <c r="A38" s="6" t="s">
        <v>2272</v>
      </c>
      <c r="B38" s="28">
        <v>1</v>
      </c>
      <c r="C38" s="14" t="s">
        <v>2273</v>
      </c>
      <c r="D38" t="str">
        <f t="shared" si="0"/>
        <v>02.001.04.122.0001.1.002.3.3.90.39.00</v>
      </c>
      <c r="E38" t="str">
        <f>VLOOKUP(LEFT(A38,2),ConsolidadoLoa27_ATIVIDADES!A:I,9,0)</f>
        <v>02 - GABINETE DO PREFEITO</v>
      </c>
      <c r="F38" t="str">
        <f t="shared" si="1"/>
        <v>1.002</v>
      </c>
      <c r="G38" t="str">
        <f t="shared" si="2"/>
        <v>01.110.0000</v>
      </c>
    </row>
    <row r="39" spans="1:7" hidden="1" x14ac:dyDescent="0.25">
      <c r="A39" s="6" t="s">
        <v>2274</v>
      </c>
      <c r="B39" s="28">
        <v>7093550.9900000002</v>
      </c>
      <c r="C39" s="6" t="s">
        <v>847</v>
      </c>
      <c r="D39" t="str">
        <f t="shared" si="0"/>
        <v>02.001.04.122.0001.2.001.3.1.90.11.00</v>
      </c>
      <c r="E39" t="str">
        <f>VLOOKUP(LEFT(A39,2),ConsolidadoLoa27_ATIVIDADES!A:I,9,0)</f>
        <v>02 - GABINETE DO PREFEITO</v>
      </c>
      <c r="F39" t="str">
        <f t="shared" si="1"/>
        <v>2.001</v>
      </c>
      <c r="G39" t="str">
        <f t="shared" si="2"/>
        <v>01.110.0000</v>
      </c>
    </row>
    <row r="40" spans="1:7" hidden="1" x14ac:dyDescent="0.25">
      <c r="A40" s="6" t="s">
        <v>2275</v>
      </c>
      <c r="B40" s="28">
        <v>1181039.1200000001</v>
      </c>
      <c r="C40" s="6" t="s">
        <v>847</v>
      </c>
      <c r="D40" t="str">
        <f t="shared" si="0"/>
        <v>02.001.04.122.0001.2.001.3.1.90.13.00</v>
      </c>
      <c r="E40" t="str">
        <f>VLOOKUP(LEFT(A40,2),ConsolidadoLoa27_ATIVIDADES!A:I,9,0)</f>
        <v>02 - GABINETE DO PREFEITO</v>
      </c>
      <c r="F40" t="str">
        <f t="shared" si="1"/>
        <v>2.001</v>
      </c>
      <c r="G40" t="str">
        <f t="shared" si="2"/>
        <v>01.110.0000</v>
      </c>
    </row>
    <row r="41" spans="1:7" hidden="1" x14ac:dyDescent="0.25">
      <c r="A41" s="6" t="s">
        <v>2276</v>
      </c>
      <c r="B41" s="28">
        <v>341793.05</v>
      </c>
      <c r="C41" s="12" t="s">
        <v>847</v>
      </c>
      <c r="D41" t="str">
        <f t="shared" si="0"/>
        <v>02.001.04.122.0001.2.001.3.1.91.13.00</v>
      </c>
      <c r="E41" t="str">
        <f>VLOOKUP(LEFT(A41,2),ConsolidadoLoa27_ATIVIDADES!A:I,9,0)</f>
        <v>02 - GABINETE DO PREFEITO</v>
      </c>
      <c r="F41" t="str">
        <f t="shared" si="1"/>
        <v>2.001</v>
      </c>
      <c r="G41" t="str">
        <f t="shared" si="2"/>
        <v>01.110.0000</v>
      </c>
    </row>
    <row r="42" spans="1:7" hidden="1" x14ac:dyDescent="0.25">
      <c r="A42" s="6" t="s">
        <v>2277</v>
      </c>
      <c r="B42" s="28">
        <v>2.15</v>
      </c>
      <c r="C42" s="6" t="s">
        <v>2278</v>
      </c>
      <c r="D42" t="str">
        <f t="shared" si="0"/>
        <v>02.001.04.122.0001.2.001.3.3.90.46.00</v>
      </c>
      <c r="E42" t="str">
        <f>VLOOKUP(LEFT(A42,2),ConsolidadoLoa27_ATIVIDADES!A:I,9,0)</f>
        <v>02 - GABINETE DO PREFEITO</v>
      </c>
      <c r="F42" t="str">
        <f t="shared" si="1"/>
        <v>2.001</v>
      </c>
      <c r="G42" t="str">
        <f t="shared" si="2"/>
        <v>01.110.0000</v>
      </c>
    </row>
    <row r="43" spans="1:7" hidden="1" x14ac:dyDescent="0.25">
      <c r="A43" s="6" t="s">
        <v>2279</v>
      </c>
      <c r="B43" s="28">
        <v>61243.360000000001</v>
      </c>
      <c r="C43" s="6" t="s">
        <v>2280</v>
      </c>
      <c r="D43" t="str">
        <f t="shared" si="0"/>
        <v>02.001.04.122.0001.2.001.3.3.90.49.00</v>
      </c>
      <c r="E43" t="str">
        <f>VLOOKUP(LEFT(A43,2),ConsolidadoLoa27_ATIVIDADES!A:I,9,0)</f>
        <v>02 - GABINETE DO PREFEITO</v>
      </c>
      <c r="F43" t="str">
        <f t="shared" si="1"/>
        <v>2.001</v>
      </c>
      <c r="G43" t="str">
        <f t="shared" si="2"/>
        <v>01.110.0000</v>
      </c>
    </row>
    <row r="44" spans="1:7" hidden="1" x14ac:dyDescent="0.25">
      <c r="A44" s="6" t="s">
        <v>2281</v>
      </c>
      <c r="B44" s="28">
        <v>1</v>
      </c>
      <c r="C44" s="14" t="s">
        <v>2282</v>
      </c>
      <c r="D44" t="str">
        <f t="shared" si="0"/>
        <v>02.001.04.122.0001.2.006.3.3.90.33.00</v>
      </c>
      <c r="E44" t="str">
        <f>VLOOKUP(LEFT(A44,2),ConsolidadoLoa27_ATIVIDADES!A:I,9,0)</f>
        <v>02 - GABINETE DO PREFEITO</v>
      </c>
      <c r="F44" t="str">
        <f t="shared" si="1"/>
        <v>2.006</v>
      </c>
      <c r="G44" t="str">
        <f t="shared" si="2"/>
        <v>01.110.0000</v>
      </c>
    </row>
    <row r="45" spans="1:7" hidden="1" x14ac:dyDescent="0.25">
      <c r="A45" s="6" t="s">
        <v>2283</v>
      </c>
      <c r="B45" s="28">
        <v>1</v>
      </c>
      <c r="C45" s="14" t="s">
        <v>421</v>
      </c>
      <c r="D45" t="str">
        <f t="shared" si="0"/>
        <v>02.001.04.122.0001.2.006.3.3.90.39.00</v>
      </c>
      <c r="E45" t="str">
        <f>VLOOKUP(LEFT(A45,2),ConsolidadoLoa27_ATIVIDADES!A:I,9,0)</f>
        <v>02 - GABINETE DO PREFEITO</v>
      </c>
      <c r="F45" t="str">
        <f t="shared" si="1"/>
        <v>2.006</v>
      </c>
      <c r="G45" t="str">
        <f t="shared" si="2"/>
        <v>01.110.0000</v>
      </c>
    </row>
    <row r="46" spans="1:7" hidden="1" x14ac:dyDescent="0.25">
      <c r="A46" s="6" t="s">
        <v>2284</v>
      </c>
      <c r="B46" s="28">
        <v>580914.21675599995</v>
      </c>
      <c r="C46" s="13" t="s">
        <v>2285</v>
      </c>
      <c r="D46" t="str">
        <f t="shared" si="0"/>
        <v>02.001.04.122.0001.2.011.3.1.71.70.00</v>
      </c>
      <c r="E46" t="str">
        <f>VLOOKUP(LEFT(A46,2),ConsolidadoLoa27_ATIVIDADES!A:I,9,0)</f>
        <v>02 - GABINETE DO PREFEITO</v>
      </c>
      <c r="F46" t="str">
        <f t="shared" si="1"/>
        <v>2.011</v>
      </c>
      <c r="G46" t="str">
        <f t="shared" si="2"/>
        <v>01.110.0000</v>
      </c>
    </row>
    <row r="47" spans="1:7" hidden="1" x14ac:dyDescent="0.25">
      <c r="A47" s="6" t="s">
        <v>2286</v>
      </c>
      <c r="B47" s="28">
        <v>2323656.6176400003</v>
      </c>
      <c r="C47" s="13" t="s">
        <v>2285</v>
      </c>
      <c r="D47" t="str">
        <f t="shared" si="0"/>
        <v>02.001.04.122.0001.2.011.3.3.71.70.00</v>
      </c>
      <c r="E47" t="str">
        <f>VLOOKUP(LEFT(A47,2),ConsolidadoLoa27_ATIVIDADES!A:I,9,0)</f>
        <v>02 - GABINETE DO PREFEITO</v>
      </c>
      <c r="F47" t="str">
        <f t="shared" si="1"/>
        <v>2.011</v>
      </c>
      <c r="G47" t="str">
        <f t="shared" si="2"/>
        <v>01.110.0000</v>
      </c>
    </row>
    <row r="48" spans="1:7" hidden="1" x14ac:dyDescent="0.25">
      <c r="A48" s="6" t="s">
        <v>2287</v>
      </c>
      <c r="B48" s="28">
        <v>23379.75</v>
      </c>
      <c r="C48" s="14" t="s">
        <v>2288</v>
      </c>
      <c r="D48" t="str">
        <f t="shared" si="0"/>
        <v>02.001.04.122.0001.2.011.3.3.90.30.00</v>
      </c>
      <c r="E48" t="str">
        <f>VLOOKUP(LEFT(A48,2),ConsolidadoLoa27_ATIVIDADES!A:I,9,0)</f>
        <v>02 - GABINETE DO PREFEITO</v>
      </c>
      <c r="F48" t="str">
        <f t="shared" si="1"/>
        <v>2.011</v>
      </c>
      <c r="G48" t="str">
        <f t="shared" si="2"/>
        <v>01.110.0000</v>
      </c>
    </row>
    <row r="49" spans="1:7" hidden="1" x14ac:dyDescent="0.25">
      <c r="A49" s="6" t="s">
        <v>2287</v>
      </c>
      <c r="B49" s="28">
        <v>23379.75</v>
      </c>
      <c r="C49" s="14" t="s">
        <v>419</v>
      </c>
      <c r="D49" t="str">
        <f t="shared" si="0"/>
        <v>02.001.04.122.0001.2.011.3.3.90.30.00</v>
      </c>
      <c r="E49" t="str">
        <f>VLOOKUP(LEFT(A49,2),ConsolidadoLoa27_ATIVIDADES!A:I,9,0)</f>
        <v>02 - GABINETE DO PREFEITO</v>
      </c>
      <c r="F49" t="str">
        <f t="shared" si="1"/>
        <v>2.011</v>
      </c>
      <c r="G49" t="str">
        <f t="shared" si="2"/>
        <v>01.110.0000</v>
      </c>
    </row>
    <row r="50" spans="1:7" hidden="1" x14ac:dyDescent="0.25">
      <c r="A50" s="6" t="s">
        <v>2287</v>
      </c>
      <c r="B50" s="28">
        <v>10391</v>
      </c>
      <c r="C50" s="14" t="s">
        <v>107</v>
      </c>
      <c r="D50" t="str">
        <f t="shared" si="0"/>
        <v>02.001.04.122.0001.2.011.3.3.90.30.00</v>
      </c>
      <c r="E50" t="str">
        <f>VLOOKUP(LEFT(A50,2),ConsolidadoLoa27_ATIVIDADES!A:I,9,0)</f>
        <v>02 - GABINETE DO PREFEITO</v>
      </c>
      <c r="F50" t="str">
        <f t="shared" si="1"/>
        <v>2.011</v>
      </c>
      <c r="G50" t="str">
        <f t="shared" si="2"/>
        <v>01.110.0000</v>
      </c>
    </row>
    <row r="51" spans="1:7" hidden="1" x14ac:dyDescent="0.25">
      <c r="A51" s="6" t="s">
        <v>2287</v>
      </c>
      <c r="B51" s="28">
        <v>15586.5</v>
      </c>
      <c r="C51" s="14" t="s">
        <v>387</v>
      </c>
      <c r="D51" t="str">
        <f t="shared" si="0"/>
        <v>02.001.04.122.0001.2.011.3.3.90.30.00</v>
      </c>
      <c r="E51" t="str">
        <f>VLOOKUP(LEFT(A51,2),ConsolidadoLoa27_ATIVIDADES!A:I,9,0)</f>
        <v>02 - GABINETE DO PREFEITO</v>
      </c>
      <c r="F51" t="str">
        <f t="shared" si="1"/>
        <v>2.011</v>
      </c>
      <c r="G51" t="str">
        <f t="shared" si="2"/>
        <v>01.110.0000</v>
      </c>
    </row>
    <row r="52" spans="1:7" hidden="1" x14ac:dyDescent="0.25">
      <c r="A52" s="6" t="s">
        <v>2287</v>
      </c>
      <c r="B52" s="28">
        <v>6754.15</v>
      </c>
      <c r="C52" s="14" t="s">
        <v>2289</v>
      </c>
      <c r="D52" t="str">
        <f t="shared" si="0"/>
        <v>02.001.04.122.0001.2.011.3.3.90.30.00</v>
      </c>
      <c r="E52" t="str">
        <f>VLOOKUP(LEFT(A52,2),ConsolidadoLoa27_ATIVIDADES!A:I,9,0)</f>
        <v>02 - GABINETE DO PREFEITO</v>
      </c>
      <c r="F52" t="str">
        <f t="shared" si="1"/>
        <v>2.011</v>
      </c>
      <c r="G52" t="str">
        <f t="shared" si="2"/>
        <v>01.110.0000</v>
      </c>
    </row>
    <row r="53" spans="1:7" hidden="1" x14ac:dyDescent="0.25">
      <c r="A53" s="6" t="s">
        <v>2287</v>
      </c>
      <c r="B53" s="28">
        <v>5195.5</v>
      </c>
      <c r="C53" s="14" t="s">
        <v>104</v>
      </c>
      <c r="D53" t="str">
        <f t="shared" si="0"/>
        <v>02.001.04.122.0001.2.011.3.3.90.30.00</v>
      </c>
      <c r="E53" t="str">
        <f>VLOOKUP(LEFT(A53,2),ConsolidadoLoa27_ATIVIDADES!A:I,9,0)</f>
        <v>02 - GABINETE DO PREFEITO</v>
      </c>
      <c r="F53" t="str">
        <f t="shared" si="1"/>
        <v>2.011</v>
      </c>
      <c r="G53" t="str">
        <f t="shared" si="2"/>
        <v>01.110.0000</v>
      </c>
    </row>
    <row r="54" spans="1:7" hidden="1" x14ac:dyDescent="0.25">
      <c r="A54" s="6" t="s">
        <v>2290</v>
      </c>
      <c r="B54" s="28">
        <v>45000</v>
      </c>
      <c r="C54" s="14" t="s">
        <v>95</v>
      </c>
      <c r="D54" t="str">
        <f t="shared" si="0"/>
        <v>02.001.04.122.0001.2.011.3.3.90.39.00</v>
      </c>
      <c r="E54" t="str">
        <f>VLOOKUP(LEFT(A54,2),ConsolidadoLoa27_ATIVIDADES!A:I,9,0)</f>
        <v>02 - GABINETE DO PREFEITO</v>
      </c>
      <c r="F54" t="str">
        <f t="shared" si="1"/>
        <v>2.011</v>
      </c>
      <c r="G54" t="str">
        <f t="shared" si="2"/>
        <v>01.110.0000</v>
      </c>
    </row>
    <row r="55" spans="1:7" hidden="1" x14ac:dyDescent="0.25">
      <c r="A55" s="6" t="s">
        <v>2290</v>
      </c>
      <c r="B55" s="28">
        <v>10391</v>
      </c>
      <c r="C55" s="14" t="s">
        <v>107</v>
      </c>
      <c r="D55" t="str">
        <f t="shared" si="0"/>
        <v>02.001.04.122.0001.2.011.3.3.90.39.00</v>
      </c>
      <c r="E55" t="str">
        <f>VLOOKUP(LEFT(A55,2),ConsolidadoLoa27_ATIVIDADES!A:I,9,0)</f>
        <v>02 - GABINETE DO PREFEITO</v>
      </c>
      <c r="F55" t="str">
        <f t="shared" si="1"/>
        <v>2.011</v>
      </c>
      <c r="G55" t="str">
        <f t="shared" si="2"/>
        <v>01.110.0000</v>
      </c>
    </row>
    <row r="56" spans="1:7" hidden="1" x14ac:dyDescent="0.25">
      <c r="A56" s="6" t="s">
        <v>2290</v>
      </c>
      <c r="B56" s="28">
        <v>15586.5</v>
      </c>
      <c r="C56" s="14" t="s">
        <v>388</v>
      </c>
      <c r="D56" t="str">
        <f t="shared" si="0"/>
        <v>02.001.04.122.0001.2.011.3.3.90.39.00</v>
      </c>
      <c r="E56" t="str">
        <f>VLOOKUP(LEFT(A56,2),ConsolidadoLoa27_ATIVIDADES!A:I,9,0)</f>
        <v>02 - GABINETE DO PREFEITO</v>
      </c>
      <c r="F56" t="str">
        <f t="shared" si="1"/>
        <v>2.011</v>
      </c>
      <c r="G56" t="str">
        <f t="shared" si="2"/>
        <v>01.110.0000</v>
      </c>
    </row>
    <row r="57" spans="1:7" hidden="1" x14ac:dyDescent="0.25">
      <c r="A57" s="6" t="s">
        <v>2290</v>
      </c>
      <c r="B57" s="28">
        <v>1</v>
      </c>
      <c r="C57" s="14" t="s">
        <v>106</v>
      </c>
      <c r="D57" t="str">
        <f t="shared" si="0"/>
        <v>02.001.04.122.0001.2.011.3.3.90.39.00</v>
      </c>
      <c r="E57" t="str">
        <f>VLOOKUP(LEFT(A57,2),ConsolidadoLoa27_ATIVIDADES!A:I,9,0)</f>
        <v>02 - GABINETE DO PREFEITO</v>
      </c>
      <c r="F57" t="str">
        <f t="shared" si="1"/>
        <v>2.011</v>
      </c>
      <c r="G57" t="str">
        <f t="shared" si="2"/>
        <v>01.110.0000</v>
      </c>
    </row>
    <row r="58" spans="1:7" hidden="1" x14ac:dyDescent="0.25">
      <c r="A58" s="6" t="s">
        <v>2290</v>
      </c>
      <c r="B58" s="28">
        <v>252058.6434</v>
      </c>
      <c r="C58" s="6" t="s">
        <v>100</v>
      </c>
      <c r="D58" t="str">
        <f t="shared" si="0"/>
        <v>02.001.04.122.0001.2.011.3.3.90.39.00</v>
      </c>
      <c r="E58" t="str">
        <f>VLOOKUP(LEFT(A58,2),ConsolidadoLoa27_ATIVIDADES!A:I,9,0)</f>
        <v>02 - GABINETE DO PREFEITO</v>
      </c>
      <c r="F58" t="str">
        <f t="shared" si="1"/>
        <v>2.011</v>
      </c>
      <c r="G58" t="str">
        <f t="shared" si="2"/>
        <v>01.110.0000</v>
      </c>
    </row>
    <row r="59" spans="1:7" hidden="1" x14ac:dyDescent="0.25">
      <c r="A59" s="6" t="s">
        <v>2291</v>
      </c>
      <c r="B59" s="28">
        <v>5195.5</v>
      </c>
      <c r="C59" s="14" t="s">
        <v>245</v>
      </c>
      <c r="D59" t="str">
        <f t="shared" si="0"/>
        <v>02.001.04.131.0002.2.005.3.3.90.30.00</v>
      </c>
      <c r="E59" t="str">
        <f>VLOOKUP(LEFT(A59,2),ConsolidadoLoa27_ATIVIDADES!A:I,9,0)</f>
        <v>02 - GABINETE DO PREFEITO</v>
      </c>
      <c r="F59" t="str">
        <f t="shared" si="1"/>
        <v>2.005</v>
      </c>
      <c r="G59" t="str">
        <f t="shared" si="2"/>
        <v>01.110.0000</v>
      </c>
    </row>
    <row r="60" spans="1:7" hidden="1" x14ac:dyDescent="0.25">
      <c r="A60" s="6" t="s">
        <v>2292</v>
      </c>
      <c r="B60" s="28">
        <v>54032.160900000003</v>
      </c>
      <c r="C60" s="6" t="s">
        <v>198</v>
      </c>
      <c r="D60" t="str">
        <f t="shared" si="0"/>
        <v>02.001.04.131.0002.2.005.3.3.90.39.00</v>
      </c>
      <c r="E60" t="str">
        <f>VLOOKUP(LEFT(A60,2),ConsolidadoLoa27_ATIVIDADES!A:I,9,0)</f>
        <v>02 - GABINETE DO PREFEITO</v>
      </c>
      <c r="F60" t="str">
        <f t="shared" si="1"/>
        <v>2.005</v>
      </c>
      <c r="G60" t="str">
        <f t="shared" si="2"/>
        <v>01.110.0000</v>
      </c>
    </row>
    <row r="61" spans="1:7" hidden="1" x14ac:dyDescent="0.25">
      <c r="A61" s="6" t="s">
        <v>2292</v>
      </c>
      <c r="B61" s="28">
        <v>1</v>
      </c>
      <c r="C61" s="14" t="s">
        <v>2293</v>
      </c>
      <c r="D61" t="str">
        <f t="shared" si="0"/>
        <v>02.001.04.131.0002.2.005.3.3.90.39.00</v>
      </c>
      <c r="E61" t="str">
        <f>VLOOKUP(LEFT(A61,2),ConsolidadoLoa27_ATIVIDADES!A:I,9,0)</f>
        <v>02 - GABINETE DO PREFEITO</v>
      </c>
      <c r="F61" t="str">
        <f t="shared" si="1"/>
        <v>2.005</v>
      </c>
      <c r="G61" t="str">
        <f t="shared" si="2"/>
        <v>01.110.0000</v>
      </c>
    </row>
    <row r="62" spans="1:7" hidden="1" x14ac:dyDescent="0.25">
      <c r="A62" s="6" t="s">
        <v>2292</v>
      </c>
      <c r="B62" s="28">
        <v>1039.0999999999999</v>
      </c>
      <c r="C62" s="6" t="s">
        <v>196</v>
      </c>
      <c r="D62" t="str">
        <f t="shared" si="0"/>
        <v>02.001.04.131.0002.2.005.3.3.90.39.00</v>
      </c>
      <c r="E62" t="str">
        <f>VLOOKUP(LEFT(A62,2),ConsolidadoLoa27_ATIVIDADES!A:I,9,0)</f>
        <v>02 - GABINETE DO PREFEITO</v>
      </c>
      <c r="F62" t="str">
        <f t="shared" si="1"/>
        <v>2.005</v>
      </c>
      <c r="G62" t="str">
        <f t="shared" si="2"/>
        <v>01.110.0000</v>
      </c>
    </row>
    <row r="63" spans="1:7" hidden="1" x14ac:dyDescent="0.25">
      <c r="A63" s="6" t="s">
        <v>2294</v>
      </c>
      <c r="B63" s="28">
        <v>8312.7999999999993</v>
      </c>
      <c r="C63" s="14" t="s">
        <v>2288</v>
      </c>
      <c r="D63" t="str">
        <f t="shared" si="0"/>
        <v>02.006.04.122.0018.2.011.3.3.90.30.00</v>
      </c>
      <c r="E63" t="str">
        <f>VLOOKUP(LEFT(A63,2),ConsolidadoLoa27_ATIVIDADES!A:I,9,0)</f>
        <v>02 - GABINETE DO PREFEITO</v>
      </c>
      <c r="F63" t="str">
        <f t="shared" si="1"/>
        <v>2.011</v>
      </c>
      <c r="G63" t="str">
        <f t="shared" si="2"/>
        <v>01.110.0000</v>
      </c>
    </row>
    <row r="64" spans="1:7" hidden="1" x14ac:dyDescent="0.25">
      <c r="A64" s="6" t="s">
        <v>2294</v>
      </c>
      <c r="B64" s="28">
        <v>8312.7999999999993</v>
      </c>
      <c r="C64" s="14" t="s">
        <v>2295</v>
      </c>
      <c r="D64" t="str">
        <f t="shared" si="0"/>
        <v>02.006.04.122.0018.2.011.3.3.90.30.00</v>
      </c>
      <c r="E64" t="str">
        <f>VLOOKUP(LEFT(A64,2),ConsolidadoLoa27_ATIVIDADES!A:I,9,0)</f>
        <v>02 - GABINETE DO PREFEITO</v>
      </c>
      <c r="F64" t="str">
        <f t="shared" si="1"/>
        <v>2.011</v>
      </c>
      <c r="G64" t="str">
        <f t="shared" si="2"/>
        <v>01.110.0000</v>
      </c>
    </row>
    <row r="65" spans="1:7" hidden="1" x14ac:dyDescent="0.25">
      <c r="A65" s="6" t="s">
        <v>2294</v>
      </c>
      <c r="B65" s="28">
        <v>5195.5</v>
      </c>
      <c r="C65" s="14" t="s">
        <v>107</v>
      </c>
      <c r="D65" t="str">
        <f t="shared" si="0"/>
        <v>02.006.04.122.0018.2.011.3.3.90.30.00</v>
      </c>
      <c r="E65" t="str">
        <f>VLOOKUP(LEFT(A65,2),ConsolidadoLoa27_ATIVIDADES!A:I,9,0)</f>
        <v>02 - GABINETE DO PREFEITO</v>
      </c>
      <c r="F65" t="str">
        <f t="shared" si="1"/>
        <v>2.011</v>
      </c>
      <c r="G65" t="str">
        <f t="shared" si="2"/>
        <v>01.110.0000</v>
      </c>
    </row>
    <row r="66" spans="1:7" hidden="1" x14ac:dyDescent="0.25">
      <c r="A66" s="6" t="s">
        <v>2294</v>
      </c>
      <c r="B66" s="28">
        <v>4156.3999999999996</v>
      </c>
      <c r="C66" s="14" t="s">
        <v>2289</v>
      </c>
      <c r="D66" t="str">
        <f t="shared" si="0"/>
        <v>02.006.04.122.0018.2.011.3.3.90.30.00</v>
      </c>
      <c r="E66" t="str">
        <f>VLOOKUP(LEFT(A66,2),ConsolidadoLoa27_ATIVIDADES!A:I,9,0)</f>
        <v>02 - GABINETE DO PREFEITO</v>
      </c>
      <c r="F66" t="str">
        <f t="shared" si="1"/>
        <v>2.011</v>
      </c>
      <c r="G66" t="str">
        <f t="shared" si="2"/>
        <v>01.110.0000</v>
      </c>
    </row>
    <row r="67" spans="1:7" hidden="1" x14ac:dyDescent="0.25">
      <c r="A67" s="6" t="s">
        <v>2296</v>
      </c>
      <c r="B67" s="28">
        <v>2500</v>
      </c>
      <c r="C67" s="14" t="s">
        <v>95</v>
      </c>
      <c r="D67" t="str">
        <f t="shared" ref="D67:D130" si="3">_xlfn.CONCAT(LEFT(A67,34),".00")</f>
        <v>02.006.04.122.0018.2.011.3.3.90.39.00</v>
      </c>
      <c r="E67" t="str">
        <f>VLOOKUP(LEFT(A67,2),ConsolidadoLoa27_ATIVIDADES!A:I,9,0)</f>
        <v>02 - GABINETE DO PREFEITO</v>
      </c>
      <c r="F67" t="str">
        <f t="shared" ref="F67:F130" si="4">MID(A67,20,5)</f>
        <v>2.011</v>
      </c>
      <c r="G67" t="str">
        <f t="shared" ref="G67:G130" si="5">RIGHT(A67,11)</f>
        <v>01.110.0000</v>
      </c>
    </row>
    <row r="68" spans="1:7" hidden="1" x14ac:dyDescent="0.25">
      <c r="A68" s="6" t="s">
        <v>2296</v>
      </c>
      <c r="B68" s="28">
        <v>2597.75</v>
      </c>
      <c r="C68" s="14" t="s">
        <v>107</v>
      </c>
      <c r="D68" t="str">
        <f t="shared" si="3"/>
        <v>02.006.04.122.0018.2.011.3.3.90.39.00</v>
      </c>
      <c r="E68" t="str">
        <f>VLOOKUP(LEFT(A68,2),ConsolidadoLoa27_ATIVIDADES!A:I,9,0)</f>
        <v>02 - GABINETE DO PREFEITO</v>
      </c>
      <c r="F68" t="str">
        <f t="shared" si="4"/>
        <v>2.011</v>
      </c>
      <c r="G68" t="str">
        <f t="shared" si="5"/>
        <v>01.110.0000</v>
      </c>
    </row>
    <row r="69" spans="1:7" hidden="1" x14ac:dyDescent="0.25">
      <c r="A69" s="6" t="s">
        <v>2297</v>
      </c>
      <c r="B69" s="28">
        <v>10391</v>
      </c>
      <c r="C69" s="14" t="s">
        <v>245</v>
      </c>
      <c r="D69" t="str">
        <f t="shared" si="3"/>
        <v>02.006.04.131.0002.2.005.3.3.90.30.00</v>
      </c>
      <c r="E69" t="str">
        <f>VLOOKUP(LEFT(A69,2),ConsolidadoLoa27_ATIVIDADES!A:I,9,0)</f>
        <v>02 - GABINETE DO PREFEITO</v>
      </c>
      <c r="F69" t="str">
        <f t="shared" si="4"/>
        <v>2.005</v>
      </c>
      <c r="G69" t="str">
        <f t="shared" si="5"/>
        <v>01.110.0000</v>
      </c>
    </row>
    <row r="70" spans="1:7" hidden="1" x14ac:dyDescent="0.25">
      <c r="A70" s="6" t="s">
        <v>2298</v>
      </c>
      <c r="B70" s="28">
        <v>10391</v>
      </c>
      <c r="C70" s="6" t="s">
        <v>198</v>
      </c>
      <c r="D70" t="str">
        <f t="shared" si="3"/>
        <v>02.006.04.131.0002.2.005.3.3.90.39.00</v>
      </c>
      <c r="E70" t="str">
        <f>VLOOKUP(LEFT(A70,2),ConsolidadoLoa27_ATIVIDADES!A:I,9,0)</f>
        <v>02 - GABINETE DO PREFEITO</v>
      </c>
      <c r="F70" t="str">
        <f t="shared" si="4"/>
        <v>2.005</v>
      </c>
      <c r="G70" t="str">
        <f t="shared" si="5"/>
        <v>01.110.0000</v>
      </c>
    </row>
    <row r="71" spans="1:7" hidden="1" x14ac:dyDescent="0.25">
      <c r="A71" s="6" t="s">
        <v>2298</v>
      </c>
      <c r="B71" s="28">
        <v>1039.0999999999999</v>
      </c>
      <c r="C71" s="14" t="s">
        <v>2299</v>
      </c>
      <c r="D71" t="str">
        <f t="shared" si="3"/>
        <v>02.006.04.131.0002.2.005.3.3.90.39.00</v>
      </c>
      <c r="E71" t="str">
        <f>VLOOKUP(LEFT(A71,2),ConsolidadoLoa27_ATIVIDADES!A:I,9,0)</f>
        <v>02 - GABINETE DO PREFEITO</v>
      </c>
      <c r="F71" t="str">
        <f t="shared" si="4"/>
        <v>2.005</v>
      </c>
      <c r="G71" t="str">
        <f t="shared" si="5"/>
        <v>01.110.0000</v>
      </c>
    </row>
    <row r="72" spans="1:7" hidden="1" x14ac:dyDescent="0.25">
      <c r="A72" s="6" t="s">
        <v>2298</v>
      </c>
      <c r="B72" s="28">
        <v>32217.0491</v>
      </c>
      <c r="C72" s="14" t="s">
        <v>2300</v>
      </c>
      <c r="D72" t="str">
        <f t="shared" si="3"/>
        <v>02.006.04.131.0002.2.005.3.3.90.39.00</v>
      </c>
      <c r="E72" t="str">
        <f>VLOOKUP(LEFT(A72,2),ConsolidadoLoa27_ATIVIDADES!A:I,9,0)</f>
        <v>02 - GABINETE DO PREFEITO</v>
      </c>
      <c r="F72" t="str">
        <f t="shared" si="4"/>
        <v>2.005</v>
      </c>
      <c r="G72" t="str">
        <f t="shared" si="5"/>
        <v>01.110.0000</v>
      </c>
    </row>
    <row r="73" spans="1:7" hidden="1" x14ac:dyDescent="0.25">
      <c r="A73" s="6" t="s">
        <v>2298</v>
      </c>
      <c r="B73" s="28">
        <v>23899.3</v>
      </c>
      <c r="C73" s="14" t="s">
        <v>2293</v>
      </c>
      <c r="D73" t="str">
        <f t="shared" si="3"/>
        <v>02.006.04.131.0002.2.005.3.3.90.39.00</v>
      </c>
      <c r="E73" t="str">
        <f>VLOOKUP(LEFT(A73,2),ConsolidadoLoa27_ATIVIDADES!A:I,9,0)</f>
        <v>02 - GABINETE DO PREFEITO</v>
      </c>
      <c r="F73" t="str">
        <f t="shared" si="4"/>
        <v>2.005</v>
      </c>
      <c r="G73" t="str">
        <f t="shared" si="5"/>
        <v>01.110.0000</v>
      </c>
    </row>
    <row r="74" spans="1:7" hidden="1" x14ac:dyDescent="0.25">
      <c r="A74" s="6" t="s">
        <v>2298</v>
      </c>
      <c r="B74" s="28">
        <v>5195.5</v>
      </c>
      <c r="C74" s="6" t="s">
        <v>196</v>
      </c>
      <c r="D74" t="str">
        <f t="shared" si="3"/>
        <v>02.006.04.131.0002.2.005.3.3.90.39.00</v>
      </c>
      <c r="E74" t="str">
        <f>VLOOKUP(LEFT(A74,2),ConsolidadoLoa27_ATIVIDADES!A:I,9,0)</f>
        <v>02 - GABINETE DO PREFEITO</v>
      </c>
      <c r="F74" t="str">
        <f t="shared" si="4"/>
        <v>2.005</v>
      </c>
      <c r="G74" t="str">
        <f t="shared" si="5"/>
        <v>01.110.0000</v>
      </c>
    </row>
    <row r="75" spans="1:7" hidden="1" x14ac:dyDescent="0.25">
      <c r="A75" s="6" t="s">
        <v>2301</v>
      </c>
      <c r="B75" s="28">
        <v>8.9999999909196049E-4</v>
      </c>
      <c r="C75" s="14" t="s">
        <v>2300</v>
      </c>
      <c r="D75" t="str">
        <f t="shared" si="3"/>
        <v>02.006.04.131.0002.2.005.3.3.90.39.00</v>
      </c>
      <c r="E75" t="str">
        <f>VLOOKUP(LEFT(A75,2),ConsolidadoLoa27_ATIVIDADES!A:I,9,0)</f>
        <v>02 - GABINETE DO PREFEITO</v>
      </c>
      <c r="F75" t="str">
        <f t="shared" si="4"/>
        <v>2.005</v>
      </c>
      <c r="G75" t="str">
        <f t="shared" si="5"/>
        <v>03.100.0202</v>
      </c>
    </row>
    <row r="76" spans="1:7" hidden="1" x14ac:dyDescent="0.25">
      <c r="A76" s="6" t="s">
        <v>2302</v>
      </c>
      <c r="B76" s="28">
        <v>10390.959999999999</v>
      </c>
      <c r="C76" s="13" t="s">
        <v>2303</v>
      </c>
      <c r="D76" t="str">
        <f t="shared" si="3"/>
        <v>02.006.04.244.0019.2.024.3.3.90.32.00</v>
      </c>
      <c r="E76" t="str">
        <f>VLOOKUP(LEFT(A76,2),ConsolidadoLoa27_ATIVIDADES!A:I,9,0)</f>
        <v>02 - GABINETE DO PREFEITO</v>
      </c>
      <c r="F76" t="str">
        <f t="shared" si="4"/>
        <v>2.024</v>
      </c>
      <c r="G76" t="str">
        <f t="shared" si="5"/>
        <v>01.110.0000</v>
      </c>
    </row>
    <row r="77" spans="1:7" hidden="1" x14ac:dyDescent="0.25">
      <c r="A77" s="6" t="s">
        <v>2304</v>
      </c>
      <c r="B77" s="28">
        <v>9.0000000091094989E-4</v>
      </c>
      <c r="C77" s="13" t="s">
        <v>2303</v>
      </c>
      <c r="D77" t="str">
        <f t="shared" si="3"/>
        <v>02.006.04.244.0019.2.024.3.3.90.32.00</v>
      </c>
      <c r="E77" t="str">
        <f>VLOOKUP(LEFT(A77,2),ConsolidadoLoa27_ATIVIDADES!A:I,9,0)</f>
        <v>02 - GABINETE DO PREFEITO</v>
      </c>
      <c r="F77" t="str">
        <f t="shared" si="4"/>
        <v>2.024</v>
      </c>
      <c r="G77" t="str">
        <f t="shared" si="5"/>
        <v>03.100.0202</v>
      </c>
    </row>
    <row r="78" spans="1:7" hidden="1" x14ac:dyDescent="0.25">
      <c r="A78" s="6" t="s">
        <v>2305</v>
      </c>
      <c r="B78" s="28">
        <v>36368.46</v>
      </c>
      <c r="C78" s="14" t="s">
        <v>2306</v>
      </c>
      <c r="D78" t="str">
        <f t="shared" si="3"/>
        <v>02.006.08.244.0019.2.024.3.3.90.32.00</v>
      </c>
      <c r="E78" t="str">
        <f>VLOOKUP(LEFT(A78,2),ConsolidadoLoa27_ATIVIDADES!A:I,9,0)</f>
        <v>02 - GABINETE DO PREFEITO</v>
      </c>
      <c r="F78" t="str">
        <f t="shared" si="4"/>
        <v>2.024</v>
      </c>
      <c r="G78" t="str">
        <f t="shared" si="5"/>
        <v>01.110.0000</v>
      </c>
    </row>
    <row r="79" spans="1:7" hidden="1" x14ac:dyDescent="0.25">
      <c r="A79" s="6" t="s">
        <v>2305</v>
      </c>
      <c r="B79" s="28">
        <v>207820</v>
      </c>
      <c r="C79" s="14" t="s">
        <v>2307</v>
      </c>
      <c r="D79" t="str">
        <f t="shared" si="3"/>
        <v>02.006.08.244.0019.2.024.3.3.90.32.00</v>
      </c>
      <c r="E79" t="str">
        <f>VLOOKUP(LEFT(A79,2),ConsolidadoLoa27_ATIVIDADES!A:I,9,0)</f>
        <v>02 - GABINETE DO PREFEITO</v>
      </c>
      <c r="F79" t="str">
        <f t="shared" si="4"/>
        <v>2.024</v>
      </c>
      <c r="G79" t="str">
        <f t="shared" si="5"/>
        <v>01.110.0000</v>
      </c>
    </row>
    <row r="80" spans="1:7" hidden="1" x14ac:dyDescent="0.25">
      <c r="A80" s="6" t="s">
        <v>2305</v>
      </c>
      <c r="B80" s="28">
        <v>72736.960000000006</v>
      </c>
      <c r="C80" s="14" t="s">
        <v>2308</v>
      </c>
      <c r="D80" t="str">
        <f t="shared" si="3"/>
        <v>02.006.08.244.0019.2.024.3.3.90.32.00</v>
      </c>
      <c r="E80" t="str">
        <f>VLOOKUP(LEFT(A80,2),ConsolidadoLoa27_ATIVIDADES!A:I,9,0)</f>
        <v>02 - GABINETE DO PREFEITO</v>
      </c>
      <c r="F80" t="str">
        <f t="shared" si="4"/>
        <v>2.024</v>
      </c>
      <c r="G80" t="str">
        <f t="shared" si="5"/>
        <v>01.110.0000</v>
      </c>
    </row>
    <row r="81" spans="1:7" hidden="1" x14ac:dyDescent="0.25">
      <c r="A81" s="6" t="s">
        <v>2305</v>
      </c>
      <c r="B81" s="28">
        <v>51955</v>
      </c>
      <c r="C81" s="14" t="s">
        <v>2309</v>
      </c>
      <c r="D81" t="str">
        <f t="shared" si="3"/>
        <v>02.006.08.244.0019.2.024.3.3.90.32.00</v>
      </c>
      <c r="E81" t="str">
        <f>VLOOKUP(LEFT(A81,2),ConsolidadoLoa27_ATIVIDADES!A:I,9,0)</f>
        <v>02 - GABINETE DO PREFEITO</v>
      </c>
      <c r="F81" t="str">
        <f t="shared" si="4"/>
        <v>2.024</v>
      </c>
      <c r="G81" t="str">
        <f t="shared" si="5"/>
        <v>01.110.0000</v>
      </c>
    </row>
    <row r="82" spans="1:7" hidden="1" x14ac:dyDescent="0.25">
      <c r="A82" s="6" t="s">
        <v>2305</v>
      </c>
      <c r="B82" s="28">
        <v>4156400</v>
      </c>
      <c r="C82" s="14" t="s">
        <v>2310</v>
      </c>
      <c r="D82" t="str">
        <f t="shared" si="3"/>
        <v>02.006.08.244.0019.2.024.3.3.90.32.00</v>
      </c>
      <c r="E82" t="str">
        <f>VLOOKUP(LEFT(A82,2),ConsolidadoLoa27_ATIVIDADES!A:I,9,0)</f>
        <v>02 - GABINETE DO PREFEITO</v>
      </c>
      <c r="F82" t="str">
        <f t="shared" si="4"/>
        <v>2.024</v>
      </c>
      <c r="G82" t="str">
        <f t="shared" si="5"/>
        <v>01.110.0000</v>
      </c>
    </row>
    <row r="83" spans="1:7" hidden="1" x14ac:dyDescent="0.25">
      <c r="A83" s="6" t="s">
        <v>2305</v>
      </c>
      <c r="B83" s="28">
        <v>1319433.1299999999</v>
      </c>
      <c r="C83" s="14" t="s">
        <v>2311</v>
      </c>
      <c r="D83" t="str">
        <f t="shared" si="3"/>
        <v>02.006.08.244.0019.2.024.3.3.90.32.00</v>
      </c>
      <c r="E83" t="str">
        <f>VLOOKUP(LEFT(A83,2),ConsolidadoLoa27_ATIVIDADES!A:I,9,0)</f>
        <v>02 - GABINETE DO PREFEITO</v>
      </c>
      <c r="F83" t="str">
        <f t="shared" si="4"/>
        <v>2.024</v>
      </c>
      <c r="G83" t="str">
        <f t="shared" si="5"/>
        <v>01.110.0000</v>
      </c>
    </row>
    <row r="84" spans="1:7" hidden="1" x14ac:dyDescent="0.25">
      <c r="A84" s="6" t="s">
        <v>2305</v>
      </c>
      <c r="B84" s="28">
        <v>1</v>
      </c>
      <c r="C84" s="14" t="s">
        <v>2312</v>
      </c>
      <c r="D84" t="str">
        <f t="shared" si="3"/>
        <v>02.006.08.244.0019.2.024.3.3.90.32.00</v>
      </c>
      <c r="E84" t="str">
        <f>VLOOKUP(LEFT(A84,2),ConsolidadoLoa27_ATIVIDADES!A:I,9,0)</f>
        <v>02 - GABINETE DO PREFEITO</v>
      </c>
      <c r="F84" t="str">
        <f t="shared" si="4"/>
        <v>2.024</v>
      </c>
      <c r="G84" t="str">
        <f t="shared" si="5"/>
        <v>01.110.0000</v>
      </c>
    </row>
    <row r="85" spans="1:7" hidden="1" x14ac:dyDescent="0.25">
      <c r="A85" s="6" t="s">
        <v>2305</v>
      </c>
      <c r="B85" s="28">
        <v>103908.9654</v>
      </c>
      <c r="C85" s="14" t="s">
        <v>2313</v>
      </c>
      <c r="D85" t="str">
        <f t="shared" si="3"/>
        <v>02.006.08.244.0019.2.024.3.3.90.32.00</v>
      </c>
      <c r="E85" t="str">
        <f>VLOOKUP(LEFT(A85,2),ConsolidadoLoa27_ATIVIDADES!A:I,9,0)</f>
        <v>02 - GABINETE DO PREFEITO</v>
      </c>
      <c r="F85" t="str">
        <f t="shared" si="4"/>
        <v>2.024</v>
      </c>
      <c r="G85" t="str">
        <f t="shared" si="5"/>
        <v>01.110.0000</v>
      </c>
    </row>
    <row r="86" spans="1:7" hidden="1" x14ac:dyDescent="0.25">
      <c r="A86" s="6" t="s">
        <v>2314</v>
      </c>
      <c r="B86" s="28">
        <v>8.9999999909196049E-4</v>
      </c>
      <c r="C86" s="14" t="s">
        <v>2306</v>
      </c>
      <c r="D86" t="str">
        <f t="shared" si="3"/>
        <v>02.006.08.244.0019.2.024.3.3.90.32.00</v>
      </c>
      <c r="E86" t="str">
        <f>VLOOKUP(LEFT(A86,2),ConsolidadoLoa27_ATIVIDADES!A:I,9,0)</f>
        <v>02 - GABINETE DO PREFEITO</v>
      </c>
      <c r="F86" t="str">
        <f t="shared" si="4"/>
        <v>2.024</v>
      </c>
      <c r="G86" t="str">
        <f t="shared" si="5"/>
        <v>03.100.0202</v>
      </c>
    </row>
    <row r="87" spans="1:7" hidden="1" x14ac:dyDescent="0.25">
      <c r="A87" s="6" t="s">
        <v>2314</v>
      </c>
      <c r="B87" s="28">
        <v>8.9999999909196049E-4</v>
      </c>
      <c r="C87" s="14" t="s">
        <v>2308</v>
      </c>
      <c r="D87" t="str">
        <f t="shared" si="3"/>
        <v>02.006.08.244.0019.2.024.3.3.90.32.00</v>
      </c>
      <c r="E87" t="str">
        <f>VLOOKUP(LEFT(A87,2),ConsolidadoLoa27_ATIVIDADES!A:I,9,0)</f>
        <v>02 - GABINETE DO PREFEITO</v>
      </c>
      <c r="F87" t="str">
        <f t="shared" si="4"/>
        <v>2.024</v>
      </c>
      <c r="G87" t="str">
        <f t="shared" si="5"/>
        <v>03.100.0202</v>
      </c>
    </row>
    <row r="88" spans="1:7" hidden="1" x14ac:dyDescent="0.25">
      <c r="A88" s="6" t="s">
        <v>2314</v>
      </c>
      <c r="B88" s="28">
        <v>31396.830900000175</v>
      </c>
      <c r="C88" s="14" t="s">
        <v>2311</v>
      </c>
      <c r="D88" t="str">
        <f t="shared" si="3"/>
        <v>02.006.08.244.0019.2.024.3.3.90.32.00</v>
      </c>
      <c r="E88" t="str">
        <f>VLOOKUP(LEFT(A88,2),ConsolidadoLoa27_ATIVIDADES!A:I,9,0)</f>
        <v>02 - GABINETE DO PREFEITO</v>
      </c>
      <c r="F88" t="str">
        <f t="shared" si="4"/>
        <v>2.024</v>
      </c>
      <c r="G88" t="str">
        <f t="shared" si="5"/>
        <v>03.100.0202</v>
      </c>
    </row>
    <row r="89" spans="1:7" hidden="1" x14ac:dyDescent="0.25">
      <c r="A89" s="6" t="s">
        <v>2314</v>
      </c>
      <c r="B89" s="28">
        <v>-4.500000000007276E-3</v>
      </c>
      <c r="C89" s="14" t="s">
        <v>2313</v>
      </c>
      <c r="D89" t="str">
        <f t="shared" si="3"/>
        <v>02.006.08.244.0019.2.024.3.3.90.32.00</v>
      </c>
      <c r="E89" t="str">
        <f>VLOOKUP(LEFT(A89,2),ConsolidadoLoa27_ATIVIDADES!A:I,9,0)</f>
        <v>02 - GABINETE DO PREFEITO</v>
      </c>
      <c r="F89" t="str">
        <f t="shared" si="4"/>
        <v>2.024</v>
      </c>
      <c r="G89" t="str">
        <f t="shared" si="5"/>
        <v>03.100.0202</v>
      </c>
    </row>
    <row r="90" spans="1:7" hidden="1" x14ac:dyDescent="0.25">
      <c r="A90" s="6" t="s">
        <v>2315</v>
      </c>
      <c r="B90" s="28">
        <v>0</v>
      </c>
      <c r="C90" s="14" t="s">
        <v>2316</v>
      </c>
      <c r="D90" t="str">
        <f t="shared" si="3"/>
        <v>02.006.08.244.0019.2.024.3.3.90.32.00</v>
      </c>
      <c r="E90" t="str">
        <f>VLOOKUP(LEFT(A90,2),ConsolidadoLoa27_ATIVIDADES!A:I,9,0)</f>
        <v>02 - GABINETE DO PREFEITO</v>
      </c>
      <c r="F90" t="str">
        <f t="shared" si="4"/>
        <v>2.024</v>
      </c>
      <c r="G90" t="str">
        <f t="shared" si="5"/>
        <v>08.110.0000</v>
      </c>
    </row>
    <row r="91" spans="1:7" hidden="1" x14ac:dyDescent="0.25">
      <c r="A91" s="6" t="s">
        <v>2317</v>
      </c>
      <c r="B91" s="28">
        <v>124692</v>
      </c>
      <c r="C91" s="14" t="s">
        <v>2318</v>
      </c>
      <c r="D91" t="str">
        <f t="shared" si="3"/>
        <v>02.006.08.334.0017.2.004.3.3.90.30.00</v>
      </c>
      <c r="E91" t="str">
        <f>VLOOKUP(LEFT(A91,2),ConsolidadoLoa27_ATIVIDADES!A:I,9,0)</f>
        <v>02 - GABINETE DO PREFEITO</v>
      </c>
      <c r="F91" t="str">
        <f t="shared" si="4"/>
        <v>2.004</v>
      </c>
      <c r="G91" t="str">
        <f t="shared" si="5"/>
        <v>01.110.0000</v>
      </c>
    </row>
    <row r="92" spans="1:7" hidden="1" x14ac:dyDescent="0.25">
      <c r="A92" s="6" t="s">
        <v>2319</v>
      </c>
      <c r="B92" s="28">
        <v>0</v>
      </c>
      <c r="C92" s="14" t="s">
        <v>2320</v>
      </c>
      <c r="D92" t="str">
        <f t="shared" si="3"/>
        <v>02.006.08.334.0017.2.004.3.3.90.30.00</v>
      </c>
      <c r="E92" t="str">
        <f>VLOOKUP(LEFT(A92,2),ConsolidadoLoa27_ATIVIDADES!A:I,9,0)</f>
        <v>02 - GABINETE DO PREFEITO</v>
      </c>
      <c r="F92" t="str">
        <f t="shared" si="4"/>
        <v>2.004</v>
      </c>
      <c r="G92" t="str">
        <f t="shared" si="5"/>
        <v>08.110.0000</v>
      </c>
    </row>
    <row r="93" spans="1:7" hidden="1" x14ac:dyDescent="0.25">
      <c r="A93" s="6" t="s">
        <v>2321</v>
      </c>
      <c r="B93" s="28">
        <v>0</v>
      </c>
      <c r="C93" s="14" t="s">
        <v>2320</v>
      </c>
      <c r="D93" t="str">
        <f t="shared" si="3"/>
        <v>02.006.08.334.0017.2.004.4.4.50.52.00</v>
      </c>
      <c r="E93" t="str">
        <f>VLOOKUP(LEFT(A93,2),ConsolidadoLoa27_ATIVIDADES!A:I,9,0)</f>
        <v>02 - GABINETE DO PREFEITO</v>
      </c>
      <c r="F93" t="str">
        <f t="shared" si="4"/>
        <v>2.004</v>
      </c>
      <c r="G93" t="str">
        <f t="shared" si="5"/>
        <v>08.110.0000</v>
      </c>
    </row>
    <row r="94" spans="1:7" hidden="1" x14ac:dyDescent="0.25">
      <c r="A94" s="6" t="s">
        <v>2322</v>
      </c>
      <c r="B94" s="28">
        <v>1039.0999999999999</v>
      </c>
      <c r="C94" s="6" t="s">
        <v>2318</v>
      </c>
      <c r="D94" t="str">
        <f t="shared" si="3"/>
        <v>02.012.04.122.0001.2.011.3.3.90.30.00</v>
      </c>
      <c r="E94" t="str">
        <f>VLOOKUP(LEFT(A94,2),ConsolidadoLoa27_ATIVIDADES!A:I,9,0)</f>
        <v>02 - GABINETE DO PREFEITO</v>
      </c>
      <c r="F94" t="str">
        <f t="shared" si="4"/>
        <v>2.011</v>
      </c>
      <c r="G94" t="str">
        <f t="shared" si="5"/>
        <v>01.110.0000</v>
      </c>
    </row>
    <row r="95" spans="1:7" hidden="1" x14ac:dyDescent="0.25">
      <c r="A95" s="6" t="s">
        <v>2322</v>
      </c>
      <c r="B95" s="28">
        <v>16244.2503</v>
      </c>
      <c r="C95" s="6" t="s">
        <v>2288</v>
      </c>
      <c r="D95" t="str">
        <f t="shared" si="3"/>
        <v>02.012.04.122.0001.2.011.3.3.90.30.00</v>
      </c>
      <c r="E95" t="str">
        <f>VLOOKUP(LEFT(A95,2),ConsolidadoLoa27_ATIVIDADES!A:I,9,0)</f>
        <v>02 - GABINETE DO PREFEITO</v>
      </c>
      <c r="F95" t="str">
        <f t="shared" si="4"/>
        <v>2.011</v>
      </c>
      <c r="G95" t="str">
        <f t="shared" si="5"/>
        <v>01.110.0000</v>
      </c>
    </row>
    <row r="96" spans="1:7" hidden="1" x14ac:dyDescent="0.25">
      <c r="A96" s="6" t="s">
        <v>2322</v>
      </c>
      <c r="B96" s="28">
        <v>1039.0999999999999</v>
      </c>
      <c r="C96" s="6" t="s">
        <v>2323</v>
      </c>
      <c r="D96" t="str">
        <f t="shared" si="3"/>
        <v>02.012.04.122.0001.2.011.3.3.90.30.00</v>
      </c>
      <c r="E96" t="str">
        <f>VLOOKUP(LEFT(A96,2),ConsolidadoLoa27_ATIVIDADES!A:I,9,0)</f>
        <v>02 - GABINETE DO PREFEITO</v>
      </c>
      <c r="F96" t="str">
        <f t="shared" si="4"/>
        <v>2.011</v>
      </c>
      <c r="G96" t="str">
        <f t="shared" si="5"/>
        <v>01.110.0000</v>
      </c>
    </row>
    <row r="97" spans="1:7" hidden="1" x14ac:dyDescent="0.25">
      <c r="A97" s="6" t="s">
        <v>2322</v>
      </c>
      <c r="B97" s="28">
        <v>527764</v>
      </c>
      <c r="C97" s="6" t="s">
        <v>2324</v>
      </c>
      <c r="D97" t="str">
        <f t="shared" si="3"/>
        <v>02.012.04.122.0001.2.011.3.3.90.30.00</v>
      </c>
      <c r="E97" t="str">
        <f>VLOOKUP(LEFT(A97,2),ConsolidadoLoa27_ATIVIDADES!A:I,9,0)</f>
        <v>02 - GABINETE DO PREFEITO</v>
      </c>
      <c r="F97" t="str">
        <f t="shared" si="4"/>
        <v>2.011</v>
      </c>
      <c r="G97" t="str">
        <f t="shared" si="5"/>
        <v>01.110.0000</v>
      </c>
    </row>
    <row r="98" spans="1:7" hidden="1" x14ac:dyDescent="0.25">
      <c r="A98" s="6" t="s">
        <v>2322</v>
      </c>
      <c r="B98" s="28">
        <v>22358.588599999999</v>
      </c>
      <c r="C98" s="6" t="s">
        <v>2295</v>
      </c>
      <c r="D98" t="str">
        <f t="shared" si="3"/>
        <v>02.012.04.122.0001.2.011.3.3.90.30.00</v>
      </c>
      <c r="E98" t="str">
        <f>VLOOKUP(LEFT(A98,2),ConsolidadoLoa27_ATIVIDADES!A:I,9,0)</f>
        <v>02 - GABINETE DO PREFEITO</v>
      </c>
      <c r="F98" t="str">
        <f t="shared" si="4"/>
        <v>2.011</v>
      </c>
      <c r="G98" t="str">
        <f t="shared" si="5"/>
        <v>01.110.0000</v>
      </c>
    </row>
    <row r="99" spans="1:7" hidden="1" x14ac:dyDescent="0.25">
      <c r="A99" s="6" t="s">
        <v>2322</v>
      </c>
      <c r="B99" s="28">
        <v>8453.0784999999996</v>
      </c>
      <c r="C99" s="14" t="s">
        <v>107</v>
      </c>
      <c r="D99" t="str">
        <f t="shared" si="3"/>
        <v>02.012.04.122.0001.2.011.3.3.90.30.00</v>
      </c>
      <c r="E99" t="str">
        <f>VLOOKUP(LEFT(A99,2),ConsolidadoLoa27_ATIVIDADES!A:I,9,0)</f>
        <v>02 - GABINETE DO PREFEITO</v>
      </c>
      <c r="F99" t="str">
        <f t="shared" si="4"/>
        <v>2.011</v>
      </c>
      <c r="G99" t="str">
        <f t="shared" si="5"/>
        <v>01.110.0000</v>
      </c>
    </row>
    <row r="100" spans="1:7" hidden="1" x14ac:dyDescent="0.25">
      <c r="A100" s="6" t="s">
        <v>2322</v>
      </c>
      <c r="B100" s="28">
        <v>1039.0999999999999</v>
      </c>
      <c r="C100" s="14" t="s">
        <v>387</v>
      </c>
      <c r="D100" t="str">
        <f t="shared" si="3"/>
        <v>02.012.04.122.0001.2.011.3.3.90.30.00</v>
      </c>
      <c r="E100" t="str">
        <f>VLOOKUP(LEFT(A100,2),ConsolidadoLoa27_ATIVIDADES!A:I,9,0)</f>
        <v>02 - GABINETE DO PREFEITO</v>
      </c>
      <c r="F100" t="str">
        <f t="shared" si="4"/>
        <v>2.011</v>
      </c>
      <c r="G100" t="str">
        <f t="shared" si="5"/>
        <v>01.110.0000</v>
      </c>
    </row>
    <row r="101" spans="1:7" hidden="1" x14ac:dyDescent="0.25">
      <c r="A101" s="6" t="s">
        <v>2322</v>
      </c>
      <c r="B101" s="28">
        <v>1558.65</v>
      </c>
      <c r="C101" s="6" t="s">
        <v>2289</v>
      </c>
      <c r="D101" t="str">
        <f t="shared" si="3"/>
        <v>02.012.04.122.0001.2.011.3.3.90.30.00</v>
      </c>
      <c r="E101" t="str">
        <f>VLOOKUP(LEFT(A101,2),ConsolidadoLoa27_ATIVIDADES!A:I,9,0)</f>
        <v>02 - GABINETE DO PREFEITO</v>
      </c>
      <c r="F101" t="str">
        <f t="shared" si="4"/>
        <v>2.011</v>
      </c>
      <c r="G101" t="str">
        <f t="shared" si="5"/>
        <v>01.110.0000</v>
      </c>
    </row>
    <row r="102" spans="1:7" hidden="1" x14ac:dyDescent="0.25">
      <c r="A102" s="6" t="s">
        <v>2325</v>
      </c>
      <c r="B102" s="28">
        <v>15616.36</v>
      </c>
      <c r="C102" s="6" t="s">
        <v>2295</v>
      </c>
      <c r="D102" t="str">
        <f t="shared" si="3"/>
        <v>02.012.04.122.0001.2.011.3.3.90.30.00</v>
      </c>
      <c r="E102" t="str">
        <f>VLOOKUP(LEFT(A102,2),ConsolidadoLoa27_ATIVIDADES!A:I,9,0)</f>
        <v>02 - GABINETE DO PREFEITO</v>
      </c>
      <c r="F102" t="str">
        <f t="shared" si="4"/>
        <v>2.011</v>
      </c>
      <c r="G102" t="str">
        <f t="shared" si="5"/>
        <v>03.100.0201</v>
      </c>
    </row>
    <row r="103" spans="1:7" hidden="1" x14ac:dyDescent="0.25">
      <c r="A103" s="6" t="s">
        <v>2326</v>
      </c>
      <c r="B103" s="28">
        <v>0</v>
      </c>
      <c r="C103" s="6" t="s">
        <v>2327</v>
      </c>
      <c r="D103" t="str">
        <f t="shared" si="3"/>
        <v>02.012.04.122.0001.2.011.3.3.90.30.00</v>
      </c>
      <c r="E103" t="str">
        <f>VLOOKUP(LEFT(A103,2),ConsolidadoLoa27_ATIVIDADES!A:I,9,0)</f>
        <v>02 - GABINETE DO PREFEITO</v>
      </c>
      <c r="F103" t="str">
        <f t="shared" si="4"/>
        <v>2.011</v>
      </c>
      <c r="G103" t="str">
        <f t="shared" si="5"/>
        <v>08.110.0000</v>
      </c>
    </row>
    <row r="104" spans="1:7" hidden="1" x14ac:dyDescent="0.25">
      <c r="A104" s="6" t="s">
        <v>2326</v>
      </c>
      <c r="B104" s="28">
        <v>0</v>
      </c>
      <c r="C104" s="6" t="s">
        <v>2328</v>
      </c>
      <c r="D104" t="str">
        <f t="shared" si="3"/>
        <v>02.012.04.122.0001.2.011.3.3.90.30.00</v>
      </c>
      <c r="E104" t="str">
        <f>VLOOKUP(LEFT(A104,2),ConsolidadoLoa27_ATIVIDADES!A:I,9,0)</f>
        <v>02 - GABINETE DO PREFEITO</v>
      </c>
      <c r="F104" t="str">
        <f t="shared" si="4"/>
        <v>2.011</v>
      </c>
      <c r="G104" t="str">
        <f t="shared" si="5"/>
        <v>08.110.0000</v>
      </c>
    </row>
    <row r="105" spans="1:7" hidden="1" x14ac:dyDescent="0.25">
      <c r="A105" s="6" t="s">
        <v>2329</v>
      </c>
      <c r="B105" s="28">
        <v>0</v>
      </c>
      <c r="C105" s="6" t="s">
        <v>2330</v>
      </c>
      <c r="D105" t="str">
        <f t="shared" si="3"/>
        <v>02.012.04.122.0001.2.011.4.4.90.52.00</v>
      </c>
      <c r="E105" t="str">
        <f>VLOOKUP(LEFT(A105,2),ConsolidadoLoa27_ATIVIDADES!A:I,9,0)</f>
        <v>02 - GABINETE DO PREFEITO</v>
      </c>
      <c r="F105" t="str">
        <f t="shared" si="4"/>
        <v>2.011</v>
      </c>
      <c r="G105" t="str">
        <f t="shared" si="5"/>
        <v>08.110.0000</v>
      </c>
    </row>
    <row r="106" spans="1:7" hidden="1" x14ac:dyDescent="0.25">
      <c r="A106" s="6" t="s">
        <v>2329</v>
      </c>
      <c r="B106" s="28">
        <v>0</v>
      </c>
      <c r="C106" s="6" t="s">
        <v>2331</v>
      </c>
      <c r="D106" t="str">
        <f t="shared" si="3"/>
        <v>02.012.04.122.0001.2.011.4.4.90.52.00</v>
      </c>
      <c r="E106" t="str">
        <f>VLOOKUP(LEFT(A106,2),ConsolidadoLoa27_ATIVIDADES!A:I,9,0)</f>
        <v>02 - GABINETE DO PREFEITO</v>
      </c>
      <c r="F106" t="str">
        <f t="shared" si="4"/>
        <v>2.011</v>
      </c>
      <c r="G106" t="str">
        <f t="shared" si="5"/>
        <v>08.110.0000</v>
      </c>
    </row>
    <row r="107" spans="1:7" hidden="1" x14ac:dyDescent="0.25">
      <c r="A107" s="6" t="s">
        <v>2332</v>
      </c>
      <c r="B107" s="28">
        <v>0</v>
      </c>
      <c r="C107" s="6" t="s">
        <v>2333</v>
      </c>
      <c r="D107" t="str">
        <f t="shared" si="3"/>
        <v>04.001.04.122.0001.1.002.3.3.90.39.00</v>
      </c>
      <c r="E107" t="str">
        <f>VLOOKUP(LEFT(A107,2),ConsolidadoLoa27_ATIVIDADES!A:I,9,0)</f>
        <v>04 - SECRETARIA DE FINANÇAS</v>
      </c>
      <c r="F107" t="str">
        <f t="shared" si="4"/>
        <v>1.002</v>
      </c>
      <c r="G107" t="str">
        <f t="shared" si="5"/>
        <v>01.110.0000</v>
      </c>
    </row>
    <row r="108" spans="1:7" hidden="1" x14ac:dyDescent="0.25">
      <c r="A108" s="6" t="s">
        <v>2334</v>
      </c>
      <c r="B108" s="28">
        <v>24224156.579999998</v>
      </c>
      <c r="C108" s="6" t="s">
        <v>847</v>
      </c>
      <c r="D108" t="str">
        <f t="shared" si="3"/>
        <v>04.001.04.122.0001.2.001.3.1.90.11.00</v>
      </c>
      <c r="E108" t="str">
        <f>VLOOKUP(LEFT(A108,2),ConsolidadoLoa27_ATIVIDADES!A:I,9,0)</f>
        <v>04 - SECRETARIA DE FINANÇAS</v>
      </c>
      <c r="F108" t="str">
        <f t="shared" si="4"/>
        <v>2.001</v>
      </c>
      <c r="G108" t="str">
        <f t="shared" si="5"/>
        <v>01.110.0000</v>
      </c>
    </row>
    <row r="109" spans="1:7" hidden="1" x14ac:dyDescent="0.25">
      <c r="A109" s="6" t="s">
        <v>2335</v>
      </c>
      <c r="B109" s="28">
        <v>990685.01</v>
      </c>
      <c r="C109" s="6" t="s">
        <v>847</v>
      </c>
      <c r="D109" t="str">
        <f t="shared" si="3"/>
        <v>04.001.04.122.0001.2.001.3.1.90.13.00</v>
      </c>
      <c r="E109" t="str">
        <f>VLOOKUP(LEFT(A109,2),ConsolidadoLoa27_ATIVIDADES!A:I,9,0)</f>
        <v>04 - SECRETARIA DE FINANÇAS</v>
      </c>
      <c r="F109" t="str">
        <f t="shared" si="4"/>
        <v>2.001</v>
      </c>
      <c r="G109" t="str">
        <f t="shared" si="5"/>
        <v>01.110.0000</v>
      </c>
    </row>
    <row r="110" spans="1:7" hidden="1" x14ac:dyDescent="0.25">
      <c r="A110" s="6" t="s">
        <v>2336</v>
      </c>
      <c r="B110" s="28">
        <v>3143956.64</v>
      </c>
      <c r="C110" s="12" t="s">
        <v>847</v>
      </c>
      <c r="D110" t="str">
        <f t="shared" si="3"/>
        <v>04.001.04.122.0001.2.001.3.1.91.13.00</v>
      </c>
      <c r="E110" t="str">
        <f>VLOOKUP(LEFT(A110,2),ConsolidadoLoa27_ATIVIDADES!A:I,9,0)</f>
        <v>04 - SECRETARIA DE FINANÇAS</v>
      </c>
      <c r="F110" t="str">
        <f t="shared" si="4"/>
        <v>2.001</v>
      </c>
      <c r="G110" t="str">
        <f t="shared" si="5"/>
        <v>01.110.0000</v>
      </c>
    </row>
    <row r="111" spans="1:7" hidden="1" x14ac:dyDescent="0.25">
      <c r="A111" s="6" t="s">
        <v>2337</v>
      </c>
      <c r="B111" s="28">
        <v>1.88</v>
      </c>
      <c r="C111" s="6" t="s">
        <v>2278</v>
      </c>
      <c r="D111" t="str">
        <f t="shared" si="3"/>
        <v>04.001.04.122.0001.2.001.3.3.90.46.00</v>
      </c>
      <c r="E111" t="str">
        <f>VLOOKUP(LEFT(A111,2),ConsolidadoLoa27_ATIVIDADES!A:I,9,0)</f>
        <v>04 - SECRETARIA DE FINANÇAS</v>
      </c>
      <c r="F111" t="str">
        <f t="shared" si="4"/>
        <v>2.001</v>
      </c>
      <c r="G111" t="str">
        <f t="shared" si="5"/>
        <v>01.110.0000</v>
      </c>
    </row>
    <row r="112" spans="1:7" hidden="1" x14ac:dyDescent="0.25">
      <c r="A112" s="6" t="s">
        <v>2338</v>
      </c>
      <c r="B112" s="28">
        <v>55270.9</v>
      </c>
      <c r="C112" s="6" t="s">
        <v>2280</v>
      </c>
      <c r="D112" t="str">
        <f t="shared" si="3"/>
        <v>04.001.04.122.0001.2.001.3.3.90.49.00</v>
      </c>
      <c r="E112" t="str">
        <f>VLOOKUP(LEFT(A112,2),ConsolidadoLoa27_ATIVIDADES!A:I,9,0)</f>
        <v>04 - SECRETARIA DE FINANÇAS</v>
      </c>
      <c r="F112" t="str">
        <f t="shared" si="4"/>
        <v>2.001</v>
      </c>
      <c r="G112" t="str">
        <f t="shared" si="5"/>
        <v>01.110.0000</v>
      </c>
    </row>
    <row r="113" spans="1:7" hidden="1" x14ac:dyDescent="0.25">
      <c r="A113" s="6" t="s">
        <v>2339</v>
      </c>
      <c r="B113" s="28">
        <v>1</v>
      </c>
      <c r="C113" s="6" t="s">
        <v>2282</v>
      </c>
      <c r="D113" t="str">
        <f t="shared" si="3"/>
        <v>04.001.04.122.0001.2.006.3.3.90.33.00</v>
      </c>
      <c r="E113" t="str">
        <f>VLOOKUP(LEFT(A113,2),ConsolidadoLoa27_ATIVIDADES!A:I,9,0)</f>
        <v>04 - SECRETARIA DE FINANÇAS</v>
      </c>
      <c r="F113" t="str">
        <f t="shared" si="4"/>
        <v>2.006</v>
      </c>
      <c r="G113" t="str">
        <f t="shared" si="5"/>
        <v>01.110.0000</v>
      </c>
    </row>
    <row r="114" spans="1:7" hidden="1" x14ac:dyDescent="0.25">
      <c r="A114" s="6" t="s">
        <v>2340</v>
      </c>
      <c r="B114" s="28">
        <v>1</v>
      </c>
      <c r="C114" s="6" t="s">
        <v>421</v>
      </c>
      <c r="D114" t="str">
        <f t="shared" si="3"/>
        <v>04.001.04.122.0001.2.006.3.3.90.39.00</v>
      </c>
      <c r="E114" t="str">
        <f>VLOOKUP(LEFT(A114,2),ConsolidadoLoa27_ATIVIDADES!A:I,9,0)</f>
        <v>04 - SECRETARIA DE FINANÇAS</v>
      </c>
      <c r="F114" t="str">
        <f t="shared" si="4"/>
        <v>2.006</v>
      </c>
      <c r="G114" t="str">
        <f t="shared" si="5"/>
        <v>01.110.0000</v>
      </c>
    </row>
    <row r="115" spans="1:7" hidden="1" x14ac:dyDescent="0.25">
      <c r="A115" s="6" t="s">
        <v>2341</v>
      </c>
      <c r="B115" s="28">
        <v>1</v>
      </c>
      <c r="C115" s="6" t="s">
        <v>2342</v>
      </c>
      <c r="D115" t="str">
        <f t="shared" si="3"/>
        <v>04.001.04.122.0001.2.006.3.3.90.93.00</v>
      </c>
      <c r="E115" t="str">
        <f>VLOOKUP(LEFT(A115,2),ConsolidadoLoa27_ATIVIDADES!A:I,9,0)</f>
        <v>04 - SECRETARIA DE FINANÇAS</v>
      </c>
      <c r="F115" t="str">
        <f t="shared" si="4"/>
        <v>2.006</v>
      </c>
      <c r="G115" t="str">
        <f t="shared" si="5"/>
        <v>01.110.0000</v>
      </c>
    </row>
    <row r="116" spans="1:7" hidden="1" x14ac:dyDescent="0.25">
      <c r="A116" s="6" t="s">
        <v>2343</v>
      </c>
      <c r="B116" s="28">
        <v>2078.1999999999998</v>
      </c>
      <c r="C116" s="6" t="s">
        <v>2318</v>
      </c>
      <c r="D116" t="str">
        <f t="shared" si="3"/>
        <v>04.001.04.122.0001.2.011.3.3.90.30.00</v>
      </c>
      <c r="E116" t="str">
        <f>VLOOKUP(LEFT(A116,2),ConsolidadoLoa27_ATIVIDADES!A:I,9,0)</f>
        <v>04 - SECRETARIA DE FINANÇAS</v>
      </c>
      <c r="F116" t="str">
        <f t="shared" si="4"/>
        <v>2.011</v>
      </c>
      <c r="G116" t="str">
        <f t="shared" si="5"/>
        <v>01.110.0000</v>
      </c>
    </row>
    <row r="117" spans="1:7" hidden="1" x14ac:dyDescent="0.25">
      <c r="A117" s="6" t="s">
        <v>2343</v>
      </c>
      <c r="B117" s="28">
        <v>17664.7</v>
      </c>
      <c r="C117" s="6" t="s">
        <v>2288</v>
      </c>
      <c r="D117" t="str">
        <f t="shared" si="3"/>
        <v>04.001.04.122.0001.2.011.3.3.90.30.00</v>
      </c>
      <c r="E117" t="str">
        <f>VLOOKUP(LEFT(A117,2),ConsolidadoLoa27_ATIVIDADES!A:I,9,0)</f>
        <v>04 - SECRETARIA DE FINANÇAS</v>
      </c>
      <c r="F117" t="str">
        <f t="shared" si="4"/>
        <v>2.011</v>
      </c>
      <c r="G117" t="str">
        <f t="shared" si="5"/>
        <v>01.110.0000</v>
      </c>
    </row>
    <row r="118" spans="1:7" hidden="1" x14ac:dyDescent="0.25">
      <c r="A118" s="6" t="s">
        <v>2343</v>
      </c>
      <c r="B118" s="28">
        <v>18703.8</v>
      </c>
      <c r="C118" s="6" t="s">
        <v>2295</v>
      </c>
      <c r="D118" t="str">
        <f t="shared" si="3"/>
        <v>04.001.04.122.0001.2.011.3.3.90.30.00</v>
      </c>
      <c r="E118" t="str">
        <f>VLOOKUP(LEFT(A118,2),ConsolidadoLoa27_ATIVIDADES!A:I,9,0)</f>
        <v>04 - SECRETARIA DE FINANÇAS</v>
      </c>
      <c r="F118" t="str">
        <f t="shared" si="4"/>
        <v>2.011</v>
      </c>
      <c r="G118" t="str">
        <f t="shared" si="5"/>
        <v>01.110.0000</v>
      </c>
    </row>
    <row r="119" spans="1:7" hidden="1" x14ac:dyDescent="0.25">
      <c r="A119" s="6" t="s">
        <v>2343</v>
      </c>
      <c r="B119" s="28">
        <v>14027.85</v>
      </c>
      <c r="C119" s="14" t="s">
        <v>107</v>
      </c>
      <c r="D119" t="str">
        <f t="shared" si="3"/>
        <v>04.001.04.122.0001.2.011.3.3.90.30.00</v>
      </c>
      <c r="E119" t="str">
        <f>VLOOKUP(LEFT(A119,2),ConsolidadoLoa27_ATIVIDADES!A:I,9,0)</f>
        <v>04 - SECRETARIA DE FINANÇAS</v>
      </c>
      <c r="F119" t="str">
        <f t="shared" si="4"/>
        <v>2.011</v>
      </c>
      <c r="G119" t="str">
        <f t="shared" si="5"/>
        <v>01.110.0000</v>
      </c>
    </row>
    <row r="120" spans="1:7" hidden="1" x14ac:dyDescent="0.25">
      <c r="A120" s="6" t="s">
        <v>2343</v>
      </c>
      <c r="B120" s="28">
        <v>24938.400000000001</v>
      </c>
      <c r="C120" s="6" t="s">
        <v>2289</v>
      </c>
      <c r="D120" t="str">
        <f t="shared" si="3"/>
        <v>04.001.04.122.0001.2.011.3.3.90.30.00</v>
      </c>
      <c r="E120" t="str">
        <f>VLOOKUP(LEFT(A120,2),ConsolidadoLoa27_ATIVIDADES!A:I,9,0)</f>
        <v>04 - SECRETARIA DE FINANÇAS</v>
      </c>
      <c r="F120" t="str">
        <f t="shared" si="4"/>
        <v>2.011</v>
      </c>
      <c r="G120" t="str">
        <f t="shared" si="5"/>
        <v>01.110.0000</v>
      </c>
    </row>
    <row r="121" spans="1:7" hidden="1" x14ac:dyDescent="0.25">
      <c r="A121" s="6" t="s">
        <v>2343</v>
      </c>
      <c r="B121" s="28">
        <v>15586.5</v>
      </c>
      <c r="C121" s="6" t="s">
        <v>104</v>
      </c>
      <c r="D121" t="str">
        <f t="shared" si="3"/>
        <v>04.001.04.122.0001.2.011.3.3.90.30.00</v>
      </c>
      <c r="E121" t="str">
        <f>VLOOKUP(LEFT(A121,2),ConsolidadoLoa27_ATIVIDADES!A:I,9,0)</f>
        <v>04 - SECRETARIA DE FINANÇAS</v>
      </c>
      <c r="F121" t="str">
        <f t="shared" si="4"/>
        <v>2.011</v>
      </c>
      <c r="G121" t="str">
        <f t="shared" si="5"/>
        <v>01.110.0000</v>
      </c>
    </row>
    <row r="122" spans="1:7" hidden="1" x14ac:dyDescent="0.25">
      <c r="A122" s="6" t="s">
        <v>2344</v>
      </c>
      <c r="B122" s="28">
        <v>5195.5</v>
      </c>
      <c r="C122" s="6" t="s">
        <v>2345</v>
      </c>
      <c r="D122" t="str">
        <f t="shared" si="3"/>
        <v>04.001.04.122.0001.2.011.3.3.90.39.00</v>
      </c>
      <c r="E122" t="str">
        <f>VLOOKUP(LEFT(A122,2),ConsolidadoLoa27_ATIVIDADES!A:I,9,0)</f>
        <v>04 - SECRETARIA DE FINANÇAS</v>
      </c>
      <c r="F122" t="str">
        <f t="shared" si="4"/>
        <v>2.011</v>
      </c>
      <c r="G122" t="str">
        <f t="shared" si="5"/>
        <v>01.110.0000</v>
      </c>
    </row>
    <row r="123" spans="1:7" hidden="1" x14ac:dyDescent="0.25">
      <c r="A123" s="6" t="s">
        <v>2344</v>
      </c>
      <c r="B123" s="28">
        <v>6754.15</v>
      </c>
      <c r="C123" s="6" t="s">
        <v>2346</v>
      </c>
      <c r="D123" t="str">
        <f t="shared" si="3"/>
        <v>04.001.04.122.0001.2.011.3.3.90.39.00</v>
      </c>
      <c r="E123" t="str">
        <f>VLOOKUP(LEFT(A123,2),ConsolidadoLoa27_ATIVIDADES!A:I,9,0)</f>
        <v>04 - SECRETARIA DE FINANÇAS</v>
      </c>
      <c r="F123" t="str">
        <f t="shared" si="4"/>
        <v>2.011</v>
      </c>
      <c r="G123" t="str">
        <f t="shared" si="5"/>
        <v>01.110.0000</v>
      </c>
    </row>
    <row r="124" spans="1:7" hidden="1" x14ac:dyDescent="0.25">
      <c r="A124" s="6" t="s">
        <v>2344</v>
      </c>
      <c r="B124" s="28">
        <v>6754.15</v>
      </c>
      <c r="C124" s="14" t="s">
        <v>107</v>
      </c>
      <c r="D124" t="str">
        <f t="shared" si="3"/>
        <v>04.001.04.122.0001.2.011.3.3.90.39.00</v>
      </c>
      <c r="E124" t="str">
        <f>VLOOKUP(LEFT(A124,2),ConsolidadoLoa27_ATIVIDADES!A:I,9,0)</f>
        <v>04 - SECRETARIA DE FINANÇAS</v>
      </c>
      <c r="F124" t="str">
        <f t="shared" si="4"/>
        <v>2.011</v>
      </c>
      <c r="G124" t="str">
        <f t="shared" si="5"/>
        <v>01.110.0000</v>
      </c>
    </row>
    <row r="125" spans="1:7" hidden="1" x14ac:dyDescent="0.25">
      <c r="A125" s="6" t="s">
        <v>2344</v>
      </c>
      <c r="B125" s="28">
        <v>15586.5</v>
      </c>
      <c r="C125" s="6" t="s">
        <v>106</v>
      </c>
      <c r="D125" t="str">
        <f t="shared" si="3"/>
        <v>04.001.04.122.0001.2.011.3.3.90.39.00</v>
      </c>
      <c r="E125" t="str">
        <f>VLOOKUP(LEFT(A125,2),ConsolidadoLoa27_ATIVIDADES!A:I,9,0)</f>
        <v>04 - SECRETARIA DE FINANÇAS</v>
      </c>
      <c r="F125" t="str">
        <f t="shared" si="4"/>
        <v>2.011</v>
      </c>
      <c r="G125" t="str">
        <f t="shared" si="5"/>
        <v>01.110.0000</v>
      </c>
    </row>
    <row r="126" spans="1:7" hidden="1" x14ac:dyDescent="0.25">
      <c r="A126" s="6" t="s">
        <v>2344</v>
      </c>
      <c r="B126" s="28">
        <v>3117.3</v>
      </c>
      <c r="C126" s="6" t="s">
        <v>100</v>
      </c>
      <c r="D126" t="str">
        <f t="shared" si="3"/>
        <v>04.001.04.122.0001.2.011.3.3.90.39.00</v>
      </c>
      <c r="E126" t="str">
        <f>VLOOKUP(LEFT(A126,2),ConsolidadoLoa27_ATIVIDADES!A:I,9,0)</f>
        <v>04 - SECRETARIA DE FINANÇAS</v>
      </c>
      <c r="F126" t="str">
        <f t="shared" si="4"/>
        <v>2.011</v>
      </c>
      <c r="G126" t="str">
        <f t="shared" si="5"/>
        <v>01.110.0000</v>
      </c>
    </row>
    <row r="127" spans="1:7" hidden="1" x14ac:dyDescent="0.25">
      <c r="A127" s="6" t="s">
        <v>2347</v>
      </c>
      <c r="B127" s="28">
        <v>60000</v>
      </c>
      <c r="C127" s="6" t="s">
        <v>2348</v>
      </c>
      <c r="D127" t="str">
        <f t="shared" si="3"/>
        <v>04.001.04.126.0002.2.007.3.3.90.39.00</v>
      </c>
      <c r="E127" t="str">
        <f>VLOOKUP(LEFT(A127,2),ConsolidadoLoa27_ATIVIDADES!A:I,9,0)</f>
        <v>04 - SECRETARIA DE FINANÇAS</v>
      </c>
      <c r="F127" t="str">
        <f t="shared" si="4"/>
        <v>2.007</v>
      </c>
      <c r="G127" t="str">
        <f t="shared" si="5"/>
        <v>01.110.0000</v>
      </c>
    </row>
    <row r="128" spans="1:7" hidden="1" x14ac:dyDescent="0.25">
      <c r="A128" s="6" t="s">
        <v>2349</v>
      </c>
      <c r="B128" s="28">
        <v>7147690</v>
      </c>
      <c r="C128" s="6" t="s">
        <v>2350</v>
      </c>
      <c r="D128" t="str">
        <f t="shared" si="3"/>
        <v>04.001.04.126.0002.2.007.3.3.90.40.00</v>
      </c>
      <c r="E128" t="str">
        <f>VLOOKUP(LEFT(A128,2),ConsolidadoLoa27_ATIVIDADES!A:I,9,0)</f>
        <v>04 - SECRETARIA DE FINANÇAS</v>
      </c>
      <c r="F128" t="str">
        <f t="shared" si="4"/>
        <v>2.007</v>
      </c>
      <c r="G128" t="str">
        <f t="shared" si="5"/>
        <v>01.110.0000</v>
      </c>
    </row>
    <row r="129" spans="1:7" hidden="1" x14ac:dyDescent="0.25">
      <c r="A129" s="6" t="s">
        <v>2349</v>
      </c>
      <c r="B129" s="28">
        <v>26880000</v>
      </c>
      <c r="C129" s="6" t="s">
        <v>2351</v>
      </c>
      <c r="D129" t="str">
        <f t="shared" si="3"/>
        <v>04.001.04.126.0002.2.007.3.3.90.40.00</v>
      </c>
      <c r="E129" t="str">
        <f>VLOOKUP(LEFT(A129,2),ConsolidadoLoa27_ATIVIDADES!A:I,9,0)</f>
        <v>04 - SECRETARIA DE FINANÇAS</v>
      </c>
      <c r="F129" t="str">
        <f t="shared" si="4"/>
        <v>2.007</v>
      </c>
      <c r="G129" t="str">
        <f t="shared" si="5"/>
        <v>01.110.0000</v>
      </c>
    </row>
    <row r="130" spans="1:7" hidden="1" x14ac:dyDescent="0.25">
      <c r="A130" s="6" t="s">
        <v>2352</v>
      </c>
      <c r="B130" s="28">
        <v>1</v>
      </c>
      <c r="C130" s="6" t="s">
        <v>318</v>
      </c>
      <c r="D130" t="str">
        <f t="shared" si="3"/>
        <v>04.001.04.128.0002.2.003.3.3.90.39.00</v>
      </c>
      <c r="E130" t="str">
        <f>VLOOKUP(LEFT(A130,2),ConsolidadoLoa27_ATIVIDADES!A:I,9,0)</f>
        <v>04 - SECRETARIA DE FINANÇAS</v>
      </c>
      <c r="F130" t="str">
        <f t="shared" si="4"/>
        <v>2.003</v>
      </c>
      <c r="G130" t="str">
        <f t="shared" si="5"/>
        <v>01.110.0000</v>
      </c>
    </row>
    <row r="131" spans="1:7" hidden="1" x14ac:dyDescent="0.25">
      <c r="A131" s="6" t="s">
        <v>2353</v>
      </c>
      <c r="B131" s="28">
        <v>10391</v>
      </c>
      <c r="C131" s="6" t="s">
        <v>198</v>
      </c>
      <c r="D131" t="str">
        <f t="shared" ref="D131:D194" si="6">_xlfn.CONCAT(LEFT(A131,34),".00")</f>
        <v>04.001.04.131.0002.2.005.3.3.90.39.00</v>
      </c>
      <c r="E131" t="str">
        <f>VLOOKUP(LEFT(A131,2),ConsolidadoLoa27_ATIVIDADES!A:I,9,0)</f>
        <v>04 - SECRETARIA DE FINANÇAS</v>
      </c>
      <c r="F131" t="str">
        <f t="shared" ref="F131:F194" si="7">MID(A131,20,5)</f>
        <v>2.005</v>
      </c>
      <c r="G131" t="str">
        <f t="shared" ref="G131:G194" si="8">RIGHT(A131,11)</f>
        <v>01.110.0000</v>
      </c>
    </row>
    <row r="132" spans="1:7" hidden="1" x14ac:dyDescent="0.25">
      <c r="A132" s="6" t="s">
        <v>2354</v>
      </c>
      <c r="B132" s="28">
        <v>1</v>
      </c>
      <c r="C132" s="6" t="s">
        <v>2271</v>
      </c>
      <c r="D132" t="str">
        <f t="shared" si="6"/>
        <v>05.001.04.121.0004.1.001.3.3.90.35.00</v>
      </c>
      <c r="E132" t="str">
        <f>VLOOKUP(LEFT(A132,2),ConsolidadoLoa27_ATIVIDADES!A:I,9,0)</f>
        <v>05 - PROCURADORIA GERAL DO MUNICÍPIO</v>
      </c>
      <c r="F132" t="str">
        <f t="shared" si="7"/>
        <v>1.001</v>
      </c>
      <c r="G132" t="str">
        <f t="shared" si="8"/>
        <v>01.110.0000</v>
      </c>
    </row>
    <row r="133" spans="1:7" hidden="1" x14ac:dyDescent="0.25">
      <c r="A133" s="6" t="s">
        <v>2355</v>
      </c>
      <c r="B133" s="28">
        <v>1</v>
      </c>
      <c r="C133" s="6" t="s">
        <v>2356</v>
      </c>
      <c r="D133" t="str">
        <f t="shared" si="6"/>
        <v>05.001.04.122.0001.1.002.3.3.90.39.00</v>
      </c>
      <c r="E133" t="str">
        <f>VLOOKUP(LEFT(A133,2),ConsolidadoLoa27_ATIVIDADES!A:I,9,0)</f>
        <v>05 - PROCURADORIA GERAL DO MUNICÍPIO</v>
      </c>
      <c r="F133" t="str">
        <f t="shared" si="7"/>
        <v>1.002</v>
      </c>
      <c r="G133" t="str">
        <f t="shared" si="8"/>
        <v>01.110.0000</v>
      </c>
    </row>
    <row r="134" spans="1:7" hidden="1" x14ac:dyDescent="0.25">
      <c r="A134" s="6" t="s">
        <v>2357</v>
      </c>
      <c r="B134" s="28">
        <v>23139360.670000002</v>
      </c>
      <c r="C134" s="6" t="s">
        <v>847</v>
      </c>
      <c r="D134" t="str">
        <f t="shared" si="6"/>
        <v>05.001.04.122.0001.2.001.3.1.90.11.00</v>
      </c>
      <c r="E134" t="str">
        <f>VLOOKUP(LEFT(A134,2),ConsolidadoLoa27_ATIVIDADES!A:I,9,0)</f>
        <v>05 - PROCURADORIA GERAL DO MUNICÍPIO</v>
      </c>
      <c r="F134" t="str">
        <f t="shared" si="7"/>
        <v>2.001</v>
      </c>
      <c r="G134" t="str">
        <f t="shared" si="8"/>
        <v>01.110.0000</v>
      </c>
    </row>
    <row r="135" spans="1:7" hidden="1" x14ac:dyDescent="0.25">
      <c r="A135" s="6" t="s">
        <v>2358</v>
      </c>
      <c r="B135" s="28">
        <v>2098906.02</v>
      </c>
      <c r="C135" s="6" t="s">
        <v>847</v>
      </c>
      <c r="D135" t="str">
        <f t="shared" si="6"/>
        <v>05.001.04.122.0001.2.001.3.1.90.13.00</v>
      </c>
      <c r="E135" t="str">
        <f>VLOOKUP(LEFT(A135,2),ConsolidadoLoa27_ATIVIDADES!A:I,9,0)</f>
        <v>05 - PROCURADORIA GERAL DO MUNICÍPIO</v>
      </c>
      <c r="F135" t="str">
        <f t="shared" si="7"/>
        <v>2.001</v>
      </c>
      <c r="G135" t="str">
        <f t="shared" si="8"/>
        <v>01.110.0000</v>
      </c>
    </row>
    <row r="136" spans="1:7" hidden="1" x14ac:dyDescent="0.25">
      <c r="A136" s="6" t="s">
        <v>2359</v>
      </c>
      <c r="B136" s="28">
        <v>4344514.33</v>
      </c>
      <c r="C136" s="12" t="s">
        <v>847</v>
      </c>
      <c r="D136" t="str">
        <f t="shared" si="6"/>
        <v>05.001.04.122.0001.2.001.3.1.91.13.00</v>
      </c>
      <c r="E136" t="str">
        <f>VLOOKUP(LEFT(A136,2),ConsolidadoLoa27_ATIVIDADES!A:I,9,0)</f>
        <v>05 - PROCURADORIA GERAL DO MUNICÍPIO</v>
      </c>
      <c r="F136" t="str">
        <f t="shared" si="7"/>
        <v>2.001</v>
      </c>
      <c r="G136" t="str">
        <f t="shared" si="8"/>
        <v>01.110.0000</v>
      </c>
    </row>
    <row r="137" spans="1:7" hidden="1" x14ac:dyDescent="0.25">
      <c r="A137" s="6" t="s">
        <v>2360</v>
      </c>
      <c r="B137" s="28">
        <v>2.04</v>
      </c>
      <c r="C137" s="6" t="s">
        <v>2278</v>
      </c>
      <c r="D137" t="str">
        <f t="shared" si="6"/>
        <v>05.001.04.122.0001.2.001.3.3.90.46.00</v>
      </c>
      <c r="E137" t="str">
        <f>VLOOKUP(LEFT(A137,2),ConsolidadoLoa27_ATIVIDADES!A:I,9,0)</f>
        <v>05 - PROCURADORIA GERAL DO MUNICÍPIO</v>
      </c>
      <c r="F137" t="str">
        <f t="shared" si="7"/>
        <v>2.001</v>
      </c>
      <c r="G137" t="str">
        <f t="shared" si="8"/>
        <v>01.110.0000</v>
      </c>
    </row>
    <row r="138" spans="1:7" hidden="1" x14ac:dyDescent="0.25">
      <c r="A138" s="6" t="s">
        <v>2361</v>
      </c>
      <c r="B138" s="28">
        <v>78337.27</v>
      </c>
      <c r="C138" s="6" t="s">
        <v>2280</v>
      </c>
      <c r="D138" t="str">
        <f t="shared" si="6"/>
        <v>05.001.04.122.0001.2.001.3.3.90.49.00</v>
      </c>
      <c r="E138" t="str">
        <f>VLOOKUP(LEFT(A138,2),ConsolidadoLoa27_ATIVIDADES!A:I,9,0)</f>
        <v>05 - PROCURADORIA GERAL DO MUNICÍPIO</v>
      </c>
      <c r="F138" t="str">
        <f t="shared" si="7"/>
        <v>2.001</v>
      </c>
      <c r="G138" t="str">
        <f t="shared" si="8"/>
        <v>01.110.0000</v>
      </c>
    </row>
    <row r="139" spans="1:7" hidden="1" x14ac:dyDescent="0.25">
      <c r="A139" s="6" t="s">
        <v>2362</v>
      </c>
      <c r="B139" s="28">
        <v>1</v>
      </c>
      <c r="C139" s="6" t="s">
        <v>245</v>
      </c>
      <c r="D139" t="str">
        <f t="shared" si="6"/>
        <v>05.001.04.122.0001.2.005.3.3.90.30.00</v>
      </c>
      <c r="E139" t="str">
        <f>VLOOKUP(LEFT(A139,2),ConsolidadoLoa27_ATIVIDADES!A:I,9,0)</f>
        <v>05 - PROCURADORIA GERAL DO MUNICÍPIO</v>
      </c>
      <c r="F139" t="str">
        <f t="shared" si="7"/>
        <v>2.005</v>
      </c>
      <c r="G139" t="str">
        <f t="shared" si="8"/>
        <v>01.110.0000</v>
      </c>
    </row>
    <row r="140" spans="1:7" hidden="1" x14ac:dyDescent="0.25">
      <c r="A140" s="6" t="s">
        <v>2363</v>
      </c>
      <c r="B140" s="28">
        <v>1</v>
      </c>
      <c r="C140" s="6" t="s">
        <v>198</v>
      </c>
      <c r="D140" t="str">
        <f t="shared" si="6"/>
        <v>05.001.04.122.0001.2.005.3.3.90.39.00</v>
      </c>
      <c r="E140" t="str">
        <f>VLOOKUP(LEFT(A140,2),ConsolidadoLoa27_ATIVIDADES!A:I,9,0)</f>
        <v>05 - PROCURADORIA GERAL DO MUNICÍPIO</v>
      </c>
      <c r="F140" t="str">
        <f t="shared" si="7"/>
        <v>2.005</v>
      </c>
      <c r="G140" t="str">
        <f t="shared" si="8"/>
        <v>01.110.0000</v>
      </c>
    </row>
    <row r="141" spans="1:7" hidden="1" x14ac:dyDescent="0.25">
      <c r="A141" s="6" t="s">
        <v>2364</v>
      </c>
      <c r="B141" s="28">
        <v>1</v>
      </c>
      <c r="C141" s="6" t="s">
        <v>2282</v>
      </c>
      <c r="D141" t="str">
        <f t="shared" si="6"/>
        <v>05.001.04.122.0001.2.006.3.3.90.33.00</v>
      </c>
      <c r="E141" t="str">
        <f>VLOOKUP(LEFT(A141,2),ConsolidadoLoa27_ATIVIDADES!A:I,9,0)</f>
        <v>05 - PROCURADORIA GERAL DO MUNICÍPIO</v>
      </c>
      <c r="F141" t="str">
        <f t="shared" si="7"/>
        <v>2.006</v>
      </c>
      <c r="G141" t="str">
        <f t="shared" si="8"/>
        <v>01.110.0000</v>
      </c>
    </row>
    <row r="142" spans="1:7" hidden="1" x14ac:dyDescent="0.25">
      <c r="A142" s="6" t="s">
        <v>2365</v>
      </c>
      <c r="B142" s="28">
        <v>1</v>
      </c>
      <c r="C142" s="6" t="s">
        <v>421</v>
      </c>
      <c r="D142" t="str">
        <f t="shared" si="6"/>
        <v>05.001.04.122.0001.2.006.3.3.90.39.00</v>
      </c>
      <c r="E142" t="str">
        <f>VLOOKUP(LEFT(A142,2),ConsolidadoLoa27_ATIVIDADES!A:I,9,0)</f>
        <v>05 - PROCURADORIA GERAL DO MUNICÍPIO</v>
      </c>
      <c r="F142" t="str">
        <f t="shared" si="7"/>
        <v>2.006</v>
      </c>
      <c r="G142" t="str">
        <f t="shared" si="8"/>
        <v>01.110.0000</v>
      </c>
    </row>
    <row r="143" spans="1:7" hidden="1" x14ac:dyDescent="0.25">
      <c r="A143" s="6" t="s">
        <v>2366</v>
      </c>
      <c r="B143" s="28">
        <v>25977.5</v>
      </c>
      <c r="C143" s="6" t="s">
        <v>2288</v>
      </c>
      <c r="D143" t="str">
        <f t="shared" si="6"/>
        <v>05.001.04.122.0001.2.011.3.3.90.30.00</v>
      </c>
      <c r="E143" t="str">
        <f>VLOOKUP(LEFT(A143,2),ConsolidadoLoa27_ATIVIDADES!A:I,9,0)</f>
        <v>05 - PROCURADORIA GERAL DO MUNICÍPIO</v>
      </c>
      <c r="F143" t="str">
        <f t="shared" si="7"/>
        <v>2.011</v>
      </c>
      <c r="G143" t="str">
        <f t="shared" si="8"/>
        <v>01.110.0000</v>
      </c>
    </row>
    <row r="144" spans="1:7" hidden="1" x14ac:dyDescent="0.25">
      <c r="A144" s="6" t="s">
        <v>2366</v>
      </c>
      <c r="B144" s="28">
        <v>36368.5</v>
      </c>
      <c r="C144" s="6" t="s">
        <v>2295</v>
      </c>
      <c r="D144" t="str">
        <f t="shared" si="6"/>
        <v>05.001.04.122.0001.2.011.3.3.90.30.00</v>
      </c>
      <c r="E144" t="str">
        <f>VLOOKUP(LEFT(A144,2),ConsolidadoLoa27_ATIVIDADES!A:I,9,0)</f>
        <v>05 - PROCURADORIA GERAL DO MUNICÍPIO</v>
      </c>
      <c r="F144" t="str">
        <f t="shared" si="7"/>
        <v>2.011</v>
      </c>
      <c r="G144" t="str">
        <f t="shared" si="8"/>
        <v>01.110.0000</v>
      </c>
    </row>
    <row r="145" spans="1:7" hidden="1" x14ac:dyDescent="0.25">
      <c r="A145" s="6" t="s">
        <v>2366</v>
      </c>
      <c r="B145" s="28">
        <v>10391</v>
      </c>
      <c r="C145" s="14" t="s">
        <v>107</v>
      </c>
      <c r="D145" t="str">
        <f t="shared" si="6"/>
        <v>05.001.04.122.0001.2.011.3.3.90.30.00</v>
      </c>
      <c r="E145" t="str">
        <f>VLOOKUP(LEFT(A145,2),ConsolidadoLoa27_ATIVIDADES!A:I,9,0)</f>
        <v>05 - PROCURADORIA GERAL DO MUNICÍPIO</v>
      </c>
      <c r="F145" t="str">
        <f t="shared" si="7"/>
        <v>2.011</v>
      </c>
      <c r="G145" t="str">
        <f t="shared" si="8"/>
        <v>01.110.0000</v>
      </c>
    </row>
    <row r="146" spans="1:7" hidden="1" x14ac:dyDescent="0.25">
      <c r="A146" s="6" t="s">
        <v>2366</v>
      </c>
      <c r="B146" s="28">
        <v>25977.5</v>
      </c>
      <c r="C146" s="6" t="s">
        <v>2289</v>
      </c>
      <c r="D146" t="str">
        <f t="shared" si="6"/>
        <v>05.001.04.122.0001.2.011.3.3.90.30.00</v>
      </c>
      <c r="E146" t="str">
        <f>VLOOKUP(LEFT(A146,2),ConsolidadoLoa27_ATIVIDADES!A:I,9,0)</f>
        <v>05 - PROCURADORIA GERAL DO MUNICÍPIO</v>
      </c>
      <c r="F146" t="str">
        <f t="shared" si="7"/>
        <v>2.011</v>
      </c>
      <c r="G146" t="str">
        <f t="shared" si="8"/>
        <v>01.110.0000</v>
      </c>
    </row>
    <row r="147" spans="1:7" hidden="1" x14ac:dyDescent="0.25">
      <c r="A147" s="6" t="s">
        <v>2366</v>
      </c>
      <c r="B147" s="28">
        <v>6234.6</v>
      </c>
      <c r="C147" s="6" t="s">
        <v>104</v>
      </c>
      <c r="D147" t="str">
        <f t="shared" si="6"/>
        <v>05.001.04.122.0001.2.011.3.3.90.30.00</v>
      </c>
      <c r="E147" t="str">
        <f>VLOOKUP(LEFT(A147,2),ConsolidadoLoa27_ATIVIDADES!A:I,9,0)</f>
        <v>05 - PROCURADORIA GERAL DO MUNICÍPIO</v>
      </c>
      <c r="F147" t="str">
        <f t="shared" si="7"/>
        <v>2.011</v>
      </c>
      <c r="G147" t="str">
        <f t="shared" si="8"/>
        <v>01.110.0000</v>
      </c>
    </row>
    <row r="148" spans="1:7" hidden="1" x14ac:dyDescent="0.25">
      <c r="A148" s="6" t="s">
        <v>2367</v>
      </c>
      <c r="B148" s="28">
        <v>103910</v>
      </c>
      <c r="C148" s="6" t="s">
        <v>94</v>
      </c>
      <c r="D148" t="str">
        <f t="shared" si="6"/>
        <v>05.001.04.122.0001.2.011.3.3.90.36.00</v>
      </c>
      <c r="E148" t="str">
        <f>VLOOKUP(LEFT(A148,2),ConsolidadoLoa27_ATIVIDADES!A:I,9,0)</f>
        <v>05 - PROCURADORIA GERAL DO MUNICÍPIO</v>
      </c>
      <c r="F148" t="str">
        <f t="shared" si="7"/>
        <v>2.011</v>
      </c>
      <c r="G148" t="str">
        <f t="shared" si="8"/>
        <v>01.110.0000</v>
      </c>
    </row>
    <row r="149" spans="1:7" hidden="1" x14ac:dyDescent="0.25">
      <c r="A149" s="6" t="s">
        <v>2368</v>
      </c>
      <c r="B149" s="28">
        <v>0</v>
      </c>
      <c r="C149" s="6" t="s">
        <v>897</v>
      </c>
      <c r="D149" t="str">
        <f t="shared" si="6"/>
        <v>05.001.04.122.0001.2.011.3.3.90.39.00</v>
      </c>
      <c r="E149" t="str">
        <f>VLOOKUP(LEFT(A149,2),ConsolidadoLoa27_ATIVIDADES!A:I,9,0)</f>
        <v>05 - PROCURADORIA GERAL DO MUNICÍPIO</v>
      </c>
      <c r="F149" t="str">
        <f t="shared" si="7"/>
        <v>2.011</v>
      </c>
      <c r="G149" t="str">
        <f t="shared" si="8"/>
        <v>01.110.0000</v>
      </c>
    </row>
    <row r="150" spans="1:7" hidden="1" x14ac:dyDescent="0.25">
      <c r="A150" s="6" t="s">
        <v>2368</v>
      </c>
      <c r="B150" s="28">
        <v>49472</v>
      </c>
      <c r="C150" s="6" t="s">
        <v>2369</v>
      </c>
      <c r="D150" t="str">
        <f t="shared" si="6"/>
        <v>05.001.04.122.0001.2.011.3.3.90.39.00</v>
      </c>
      <c r="E150" t="str">
        <f>VLOOKUP(LEFT(A150,2),ConsolidadoLoa27_ATIVIDADES!A:I,9,0)</f>
        <v>05 - PROCURADORIA GERAL DO MUNICÍPIO</v>
      </c>
      <c r="F150" t="str">
        <f t="shared" si="7"/>
        <v>2.011</v>
      </c>
      <c r="G150" t="str">
        <f t="shared" si="8"/>
        <v>01.110.0000</v>
      </c>
    </row>
    <row r="151" spans="1:7" hidden="1" x14ac:dyDescent="0.25">
      <c r="A151" s="6" t="s">
        <v>2368</v>
      </c>
      <c r="B151" s="28">
        <v>66502.399999999994</v>
      </c>
      <c r="C151" s="6" t="s">
        <v>2370</v>
      </c>
      <c r="D151" t="str">
        <f t="shared" si="6"/>
        <v>05.001.04.122.0001.2.011.3.3.90.39.00</v>
      </c>
      <c r="E151" t="str">
        <f>VLOOKUP(LEFT(A151,2),ConsolidadoLoa27_ATIVIDADES!A:I,9,0)</f>
        <v>05 - PROCURADORIA GERAL DO MUNICÍPIO</v>
      </c>
      <c r="F151" t="str">
        <f t="shared" si="7"/>
        <v>2.011</v>
      </c>
      <c r="G151" t="str">
        <f t="shared" si="8"/>
        <v>01.110.0000</v>
      </c>
    </row>
    <row r="152" spans="1:7" hidden="1" x14ac:dyDescent="0.25">
      <c r="A152" s="6" t="s">
        <v>2368</v>
      </c>
      <c r="B152" s="28">
        <v>1371646.2903</v>
      </c>
      <c r="C152" s="6" t="s">
        <v>102</v>
      </c>
      <c r="D152" t="str">
        <f t="shared" si="6"/>
        <v>05.001.04.122.0001.2.011.3.3.90.39.00</v>
      </c>
      <c r="E152" t="str">
        <f>VLOOKUP(LEFT(A152,2),ConsolidadoLoa27_ATIVIDADES!A:I,9,0)</f>
        <v>05 - PROCURADORIA GERAL DO MUNICÍPIO</v>
      </c>
      <c r="F152" t="str">
        <f t="shared" si="7"/>
        <v>2.011</v>
      </c>
      <c r="G152" t="str">
        <f t="shared" si="8"/>
        <v>01.110.0000</v>
      </c>
    </row>
    <row r="153" spans="1:7" hidden="1" x14ac:dyDescent="0.25">
      <c r="A153" s="6" t="s">
        <v>2368</v>
      </c>
      <c r="B153" s="28">
        <v>311730</v>
      </c>
      <c r="C153" s="6" t="s">
        <v>101</v>
      </c>
      <c r="D153" t="str">
        <f t="shared" si="6"/>
        <v>05.001.04.122.0001.2.011.3.3.90.39.00</v>
      </c>
      <c r="E153" t="str">
        <f>VLOOKUP(LEFT(A153,2),ConsolidadoLoa27_ATIVIDADES!A:I,9,0)</f>
        <v>05 - PROCURADORIA GERAL DO MUNICÍPIO</v>
      </c>
      <c r="F153" t="str">
        <f t="shared" si="7"/>
        <v>2.011</v>
      </c>
      <c r="G153" t="str">
        <f t="shared" si="8"/>
        <v>01.110.0000</v>
      </c>
    </row>
    <row r="154" spans="1:7" hidden="1" x14ac:dyDescent="0.25">
      <c r="A154" s="6" t="s">
        <v>2368</v>
      </c>
      <c r="B154" s="28">
        <v>10160.4</v>
      </c>
      <c r="C154" s="6" t="s">
        <v>2371</v>
      </c>
      <c r="D154" t="str">
        <f t="shared" si="6"/>
        <v>05.001.04.122.0001.2.011.3.3.90.39.00</v>
      </c>
      <c r="E154" t="str">
        <f>VLOOKUP(LEFT(A154,2),ConsolidadoLoa27_ATIVIDADES!A:I,9,0)</f>
        <v>05 - PROCURADORIA GERAL DO MUNICÍPIO</v>
      </c>
      <c r="F154" t="str">
        <f t="shared" si="7"/>
        <v>2.011</v>
      </c>
      <c r="G154" t="str">
        <f t="shared" si="8"/>
        <v>01.110.0000</v>
      </c>
    </row>
    <row r="155" spans="1:7" hidden="1" x14ac:dyDescent="0.25">
      <c r="A155" s="6" t="s">
        <v>2368</v>
      </c>
      <c r="B155" s="28">
        <v>44279</v>
      </c>
      <c r="C155" s="14" t="s">
        <v>95</v>
      </c>
      <c r="D155" t="str">
        <f t="shared" si="6"/>
        <v>05.001.04.122.0001.2.011.3.3.90.39.00</v>
      </c>
      <c r="E155" t="str">
        <f>VLOOKUP(LEFT(A155,2),ConsolidadoLoa27_ATIVIDADES!A:I,9,0)</f>
        <v>05 - PROCURADORIA GERAL DO MUNICÍPIO</v>
      </c>
      <c r="F155" t="str">
        <f t="shared" si="7"/>
        <v>2.011</v>
      </c>
      <c r="G155" t="str">
        <f t="shared" si="8"/>
        <v>01.110.0000</v>
      </c>
    </row>
    <row r="156" spans="1:7" hidden="1" x14ac:dyDescent="0.25">
      <c r="A156" s="6" t="s">
        <v>2368</v>
      </c>
      <c r="B156" s="28">
        <v>1</v>
      </c>
      <c r="C156" s="14" t="s">
        <v>107</v>
      </c>
      <c r="D156" t="str">
        <f t="shared" si="6"/>
        <v>05.001.04.122.0001.2.011.3.3.90.39.00</v>
      </c>
      <c r="E156" t="str">
        <f>VLOOKUP(LEFT(A156,2),ConsolidadoLoa27_ATIVIDADES!A:I,9,0)</f>
        <v>05 - PROCURADORIA GERAL DO MUNICÍPIO</v>
      </c>
      <c r="F156" t="str">
        <f t="shared" si="7"/>
        <v>2.011</v>
      </c>
      <c r="G156" t="str">
        <f t="shared" si="8"/>
        <v>01.110.0000</v>
      </c>
    </row>
    <row r="157" spans="1:7" hidden="1" x14ac:dyDescent="0.25">
      <c r="A157" s="6" t="s">
        <v>2368</v>
      </c>
      <c r="B157" s="28">
        <v>27784.02</v>
      </c>
      <c r="C157" s="6" t="s">
        <v>2372</v>
      </c>
      <c r="D157" t="str">
        <f t="shared" si="6"/>
        <v>05.001.04.122.0001.2.011.3.3.90.39.00</v>
      </c>
      <c r="E157" t="str">
        <f>VLOOKUP(LEFT(A157,2),ConsolidadoLoa27_ATIVIDADES!A:I,9,0)</f>
        <v>05 - PROCURADORIA GERAL DO MUNICÍPIO</v>
      </c>
      <c r="F157" t="str">
        <f t="shared" si="7"/>
        <v>2.011</v>
      </c>
      <c r="G157" t="str">
        <f t="shared" si="8"/>
        <v>01.110.0000</v>
      </c>
    </row>
    <row r="158" spans="1:7" hidden="1" x14ac:dyDescent="0.25">
      <c r="A158" s="6" t="s">
        <v>2368</v>
      </c>
      <c r="B158" s="28">
        <v>8312.7999999999993</v>
      </c>
      <c r="C158" s="6" t="s">
        <v>106</v>
      </c>
      <c r="D158" t="str">
        <f t="shared" si="6"/>
        <v>05.001.04.122.0001.2.011.3.3.90.39.00</v>
      </c>
      <c r="E158" t="str">
        <f>VLOOKUP(LEFT(A158,2),ConsolidadoLoa27_ATIVIDADES!A:I,9,0)</f>
        <v>05 - PROCURADORIA GERAL DO MUNICÍPIO</v>
      </c>
      <c r="F158" t="str">
        <f t="shared" si="7"/>
        <v>2.011</v>
      </c>
      <c r="G158" t="str">
        <f t="shared" si="8"/>
        <v>01.110.0000</v>
      </c>
    </row>
    <row r="159" spans="1:7" hidden="1" x14ac:dyDescent="0.25">
      <c r="A159" s="6" t="s">
        <v>2368</v>
      </c>
      <c r="B159" s="28">
        <v>640665.10606999998</v>
      </c>
      <c r="C159" s="6" t="s">
        <v>100</v>
      </c>
      <c r="D159" t="str">
        <f t="shared" si="6"/>
        <v>05.001.04.122.0001.2.011.3.3.90.39.00</v>
      </c>
      <c r="E159" t="str">
        <f>VLOOKUP(LEFT(A159,2),ConsolidadoLoa27_ATIVIDADES!A:I,9,0)</f>
        <v>05 - PROCURADORIA GERAL DO MUNICÍPIO</v>
      </c>
      <c r="F159" t="str">
        <f t="shared" si="7"/>
        <v>2.011</v>
      </c>
      <c r="G159" t="str">
        <f t="shared" si="8"/>
        <v>01.110.0000</v>
      </c>
    </row>
    <row r="160" spans="1:7" hidden="1" x14ac:dyDescent="0.25">
      <c r="A160" s="6" t="s">
        <v>2373</v>
      </c>
      <c r="B160" s="28">
        <v>1356977.6</v>
      </c>
      <c r="C160" s="6" t="s">
        <v>2374</v>
      </c>
      <c r="D160" t="str">
        <f t="shared" si="6"/>
        <v>05.001.04.126.0002.2.007.3.3.90.40.00</v>
      </c>
      <c r="E160" t="str">
        <f>VLOOKUP(LEFT(A160,2),ConsolidadoLoa27_ATIVIDADES!A:I,9,0)</f>
        <v>05 - PROCURADORIA GERAL DO MUNICÍPIO</v>
      </c>
      <c r="F160" t="str">
        <f t="shared" si="7"/>
        <v>2.007</v>
      </c>
      <c r="G160" t="str">
        <f t="shared" si="8"/>
        <v>01.110.0000</v>
      </c>
    </row>
    <row r="161" spans="1:7" hidden="1" x14ac:dyDescent="0.25">
      <c r="A161" s="6" t="s">
        <v>2375</v>
      </c>
      <c r="B161" s="28">
        <v>1</v>
      </c>
      <c r="C161" s="6" t="s">
        <v>318</v>
      </c>
      <c r="D161" t="str">
        <f t="shared" si="6"/>
        <v>05.001.04.128.0002.2.003.3.3.90.39.00</v>
      </c>
      <c r="E161" t="str">
        <f>VLOOKUP(LEFT(A161,2),ConsolidadoLoa27_ATIVIDADES!A:I,9,0)</f>
        <v>05 - PROCURADORIA GERAL DO MUNICÍPIO</v>
      </c>
      <c r="F161" t="str">
        <f t="shared" si="7"/>
        <v>2.003</v>
      </c>
      <c r="G161" t="str">
        <f t="shared" si="8"/>
        <v>01.110.0000</v>
      </c>
    </row>
    <row r="162" spans="1:7" hidden="1" x14ac:dyDescent="0.25">
      <c r="A162" s="6" t="s">
        <v>2376</v>
      </c>
      <c r="B162" s="28">
        <v>1</v>
      </c>
      <c r="C162" s="6" t="s">
        <v>2293</v>
      </c>
      <c r="D162" t="str">
        <f t="shared" si="6"/>
        <v>05.001.04.131.0002.2.005.3.3.90.39.00</v>
      </c>
      <c r="E162" t="str">
        <f>VLOOKUP(LEFT(A162,2),ConsolidadoLoa27_ATIVIDADES!A:I,9,0)</f>
        <v>05 - PROCURADORIA GERAL DO MUNICÍPIO</v>
      </c>
      <c r="F162" t="str">
        <f t="shared" si="7"/>
        <v>2.005</v>
      </c>
      <c r="G162" t="str">
        <f t="shared" si="8"/>
        <v>01.110.0000</v>
      </c>
    </row>
    <row r="163" spans="1:7" hidden="1" x14ac:dyDescent="0.25">
      <c r="A163" s="6" t="s">
        <v>2376</v>
      </c>
      <c r="B163" s="28">
        <v>1</v>
      </c>
      <c r="C163" s="6" t="s">
        <v>196</v>
      </c>
      <c r="D163" t="str">
        <f t="shared" si="6"/>
        <v>05.001.04.131.0002.2.005.3.3.90.39.00</v>
      </c>
      <c r="E163" t="str">
        <f>VLOOKUP(LEFT(A163,2),ConsolidadoLoa27_ATIVIDADES!A:I,9,0)</f>
        <v>05 - PROCURADORIA GERAL DO MUNICÍPIO</v>
      </c>
      <c r="F163" t="str">
        <f t="shared" si="7"/>
        <v>2.005</v>
      </c>
      <c r="G163" t="str">
        <f t="shared" si="8"/>
        <v>01.110.0000</v>
      </c>
    </row>
    <row r="164" spans="1:7" hidden="1" x14ac:dyDescent="0.25">
      <c r="A164" s="6" t="s">
        <v>2377</v>
      </c>
      <c r="B164" s="28">
        <v>18503574.289999999</v>
      </c>
      <c r="C164" s="6" t="s">
        <v>847</v>
      </c>
      <c r="D164" t="str">
        <f t="shared" si="6"/>
        <v>06.001.04.122.0001.2.001.3.1.90.11.00</v>
      </c>
      <c r="E164" t="str">
        <f>VLOOKUP(LEFT(A164,2),ConsolidadoLoa27_ATIVIDADES!A:I,9,0)</f>
        <v>06 - SECRETARIA DE ADMINISTRAÇÃO</v>
      </c>
      <c r="F164" t="str">
        <f t="shared" si="7"/>
        <v>2.001</v>
      </c>
      <c r="G164" t="str">
        <f t="shared" si="8"/>
        <v>01.110.0000</v>
      </c>
    </row>
    <row r="165" spans="1:7" hidden="1" x14ac:dyDescent="0.25">
      <c r="A165" s="6" t="s">
        <v>2378</v>
      </c>
      <c r="B165" s="28">
        <v>864972.54</v>
      </c>
      <c r="C165" s="6" t="s">
        <v>847</v>
      </c>
      <c r="D165" t="str">
        <f t="shared" si="6"/>
        <v>06.001.04.122.0001.2.001.3.1.90.13.00</v>
      </c>
      <c r="E165" t="str">
        <f>VLOOKUP(LEFT(A165,2),ConsolidadoLoa27_ATIVIDADES!A:I,9,0)</f>
        <v>06 - SECRETARIA DE ADMINISTRAÇÃO</v>
      </c>
      <c r="F165" t="str">
        <f t="shared" si="7"/>
        <v>2.001</v>
      </c>
      <c r="G165" t="str">
        <f t="shared" si="8"/>
        <v>01.110.0000</v>
      </c>
    </row>
    <row r="166" spans="1:7" hidden="1" x14ac:dyDescent="0.25">
      <c r="A166" s="6" t="s">
        <v>2379</v>
      </c>
      <c r="B166" s="28">
        <v>3288902.92</v>
      </c>
      <c r="C166" s="12" t="s">
        <v>847</v>
      </c>
      <c r="D166" t="str">
        <f t="shared" si="6"/>
        <v>06.001.04.122.0001.2.001.3.1.91.13.00</v>
      </c>
      <c r="E166" t="str">
        <f>VLOOKUP(LEFT(A166,2),ConsolidadoLoa27_ATIVIDADES!A:I,9,0)</f>
        <v>06 - SECRETARIA DE ADMINISTRAÇÃO</v>
      </c>
      <c r="F166" t="str">
        <f t="shared" si="7"/>
        <v>2.001</v>
      </c>
      <c r="G166" t="str">
        <f t="shared" si="8"/>
        <v>01.110.0000</v>
      </c>
    </row>
    <row r="167" spans="1:7" hidden="1" x14ac:dyDescent="0.25">
      <c r="A167" s="6" t="s">
        <v>2380</v>
      </c>
      <c r="B167" s="28">
        <v>0</v>
      </c>
      <c r="C167" s="6" t="s">
        <v>2278</v>
      </c>
      <c r="D167" t="str">
        <f t="shared" si="6"/>
        <v>06.001.04.122.0001.2.001.3.3.90.46.00</v>
      </c>
      <c r="E167" t="str">
        <f>VLOOKUP(LEFT(A167,2),ConsolidadoLoa27_ATIVIDADES!A:I,9,0)</f>
        <v>06 - SECRETARIA DE ADMINISTRAÇÃO</v>
      </c>
      <c r="F167" t="str">
        <f t="shared" si="7"/>
        <v>2.001</v>
      </c>
      <c r="G167" t="str">
        <f t="shared" si="8"/>
        <v>01.110.0000</v>
      </c>
    </row>
    <row r="168" spans="1:7" hidden="1" x14ac:dyDescent="0.25">
      <c r="A168" s="6" t="s">
        <v>2381</v>
      </c>
      <c r="B168" s="28">
        <v>300820.8</v>
      </c>
      <c r="C168" s="6" t="s">
        <v>2280</v>
      </c>
      <c r="D168" t="str">
        <f t="shared" si="6"/>
        <v>06.001.04.122.0001.2.001.3.3.90.49.00</v>
      </c>
      <c r="E168" t="str">
        <f>VLOOKUP(LEFT(A168,2),ConsolidadoLoa27_ATIVIDADES!A:I,9,0)</f>
        <v>06 - SECRETARIA DE ADMINISTRAÇÃO</v>
      </c>
      <c r="F168" t="str">
        <f t="shared" si="7"/>
        <v>2.001</v>
      </c>
      <c r="G168" t="str">
        <f t="shared" si="8"/>
        <v>01.110.0000</v>
      </c>
    </row>
    <row r="169" spans="1:7" hidden="1" x14ac:dyDescent="0.25">
      <c r="A169" s="6" t="s">
        <v>2382</v>
      </c>
      <c r="B169" s="28">
        <v>1</v>
      </c>
      <c r="C169" s="6" t="s">
        <v>2282</v>
      </c>
      <c r="D169" t="str">
        <f t="shared" si="6"/>
        <v>06.001.04.122.0001.2.006.3.3.90.33.00</v>
      </c>
      <c r="E169" t="str">
        <f>VLOOKUP(LEFT(A169,2),ConsolidadoLoa27_ATIVIDADES!A:I,9,0)</f>
        <v>06 - SECRETARIA DE ADMINISTRAÇÃO</v>
      </c>
      <c r="F169" t="str">
        <f t="shared" si="7"/>
        <v>2.006</v>
      </c>
      <c r="G169" t="str">
        <f t="shared" si="8"/>
        <v>01.110.0000</v>
      </c>
    </row>
    <row r="170" spans="1:7" hidden="1" x14ac:dyDescent="0.25">
      <c r="A170" s="6" t="s">
        <v>2383</v>
      </c>
      <c r="B170" s="28">
        <v>0</v>
      </c>
      <c r="C170" s="14" t="s">
        <v>421</v>
      </c>
      <c r="D170" t="str">
        <f t="shared" si="6"/>
        <v>06.001.04.122.0001.2.006.3.3.90.39.00</v>
      </c>
      <c r="E170" t="str">
        <f>VLOOKUP(LEFT(A170,2),ConsolidadoLoa27_ATIVIDADES!A:I,9,0)</f>
        <v>06 - SECRETARIA DE ADMINISTRAÇÃO</v>
      </c>
      <c r="F170" t="str">
        <f t="shared" si="7"/>
        <v>2.006</v>
      </c>
      <c r="G170" t="str">
        <f t="shared" si="8"/>
        <v>01.110.0000</v>
      </c>
    </row>
    <row r="171" spans="1:7" hidden="1" x14ac:dyDescent="0.25">
      <c r="A171" s="6" t="s">
        <v>2384</v>
      </c>
      <c r="B171" s="28">
        <v>0</v>
      </c>
      <c r="C171" s="6" t="s">
        <v>2385</v>
      </c>
      <c r="D171" t="str">
        <f t="shared" si="6"/>
        <v>06.001.04.122.0001.2.011.3.3.50.39.00</v>
      </c>
      <c r="E171" t="str">
        <f>VLOOKUP(LEFT(A171,2),ConsolidadoLoa27_ATIVIDADES!A:I,9,0)</f>
        <v>06 - SECRETARIA DE ADMINISTRAÇÃO</v>
      </c>
      <c r="F171" t="str">
        <f t="shared" si="7"/>
        <v>2.011</v>
      </c>
      <c r="G171" t="str">
        <f t="shared" si="8"/>
        <v>08.110.0000</v>
      </c>
    </row>
    <row r="172" spans="1:7" hidden="1" x14ac:dyDescent="0.25">
      <c r="A172" s="6" t="s">
        <v>2386</v>
      </c>
      <c r="B172" s="28">
        <v>28203.938006</v>
      </c>
      <c r="C172" s="6" t="s">
        <v>2288</v>
      </c>
      <c r="D172" t="str">
        <f t="shared" si="6"/>
        <v>06.001.04.122.0001.2.011.3.3.90.30.00</v>
      </c>
      <c r="E172" t="str">
        <f>VLOOKUP(LEFT(A172,2),ConsolidadoLoa27_ATIVIDADES!A:I,9,0)</f>
        <v>06 - SECRETARIA DE ADMINISTRAÇÃO</v>
      </c>
      <c r="F172" t="str">
        <f t="shared" si="7"/>
        <v>2.011</v>
      </c>
      <c r="G172" t="str">
        <f t="shared" si="8"/>
        <v>01.110.0000</v>
      </c>
    </row>
    <row r="173" spans="1:7" hidden="1" x14ac:dyDescent="0.25">
      <c r="A173" s="6" t="s">
        <v>2386</v>
      </c>
      <c r="B173" s="28">
        <v>116230.961994</v>
      </c>
      <c r="C173" s="6" t="s">
        <v>2295</v>
      </c>
      <c r="D173" t="str">
        <f t="shared" si="6"/>
        <v>06.001.04.122.0001.2.011.3.3.90.30.00</v>
      </c>
      <c r="E173" t="str">
        <f>VLOOKUP(LEFT(A173,2),ConsolidadoLoa27_ATIVIDADES!A:I,9,0)</f>
        <v>06 - SECRETARIA DE ADMINISTRAÇÃO</v>
      </c>
      <c r="F173" t="str">
        <f t="shared" si="7"/>
        <v>2.011</v>
      </c>
      <c r="G173" t="str">
        <f t="shared" si="8"/>
        <v>01.110.0000</v>
      </c>
    </row>
    <row r="174" spans="1:7" hidden="1" x14ac:dyDescent="0.25">
      <c r="A174" s="6" t="s">
        <v>2386</v>
      </c>
      <c r="B174" s="28">
        <v>2078.1999999999998</v>
      </c>
      <c r="C174" s="14" t="s">
        <v>107</v>
      </c>
      <c r="D174" t="str">
        <f t="shared" si="6"/>
        <v>06.001.04.122.0001.2.011.3.3.90.30.00</v>
      </c>
      <c r="E174" t="str">
        <f>VLOOKUP(LEFT(A174,2),ConsolidadoLoa27_ATIVIDADES!A:I,9,0)</f>
        <v>06 - SECRETARIA DE ADMINISTRAÇÃO</v>
      </c>
      <c r="F174" t="str">
        <f t="shared" si="7"/>
        <v>2.011</v>
      </c>
      <c r="G174" t="str">
        <f t="shared" si="8"/>
        <v>01.110.0000</v>
      </c>
    </row>
    <row r="175" spans="1:7" hidden="1" x14ac:dyDescent="0.25">
      <c r="A175" s="6" t="s">
        <v>2386</v>
      </c>
      <c r="B175" s="28">
        <v>40524.9</v>
      </c>
      <c r="C175" s="6" t="s">
        <v>2289</v>
      </c>
      <c r="D175" t="str">
        <f t="shared" si="6"/>
        <v>06.001.04.122.0001.2.011.3.3.90.30.00</v>
      </c>
      <c r="E175" t="str">
        <f>VLOOKUP(LEFT(A175,2),ConsolidadoLoa27_ATIVIDADES!A:I,9,0)</f>
        <v>06 - SECRETARIA DE ADMINISTRAÇÃO</v>
      </c>
      <c r="F175" t="str">
        <f t="shared" si="7"/>
        <v>2.011</v>
      </c>
      <c r="G175" t="str">
        <f t="shared" si="8"/>
        <v>01.110.0000</v>
      </c>
    </row>
    <row r="176" spans="1:7" hidden="1" x14ac:dyDescent="0.25">
      <c r="A176" s="6" t="s">
        <v>2386</v>
      </c>
      <c r="B176" s="28">
        <v>10391</v>
      </c>
      <c r="C176" s="6" t="s">
        <v>104</v>
      </c>
      <c r="D176" t="str">
        <f t="shared" si="6"/>
        <v>06.001.04.122.0001.2.011.3.3.90.30.00</v>
      </c>
      <c r="E176" t="str">
        <f>VLOOKUP(LEFT(A176,2),ConsolidadoLoa27_ATIVIDADES!A:I,9,0)</f>
        <v>06 - SECRETARIA DE ADMINISTRAÇÃO</v>
      </c>
      <c r="F176" t="str">
        <f t="shared" si="7"/>
        <v>2.011</v>
      </c>
      <c r="G176" t="str">
        <f t="shared" si="8"/>
        <v>01.110.0000</v>
      </c>
    </row>
    <row r="177" spans="1:7" hidden="1" x14ac:dyDescent="0.25">
      <c r="A177" s="6" t="s">
        <v>2387</v>
      </c>
      <c r="B177" s="28">
        <v>1</v>
      </c>
      <c r="C177" s="14" t="s">
        <v>95</v>
      </c>
      <c r="D177" t="str">
        <f t="shared" si="6"/>
        <v>06.001.04.122.0001.2.011.3.3.90.39.00</v>
      </c>
      <c r="E177" t="str">
        <f>VLOOKUP(LEFT(A177,2),ConsolidadoLoa27_ATIVIDADES!A:I,9,0)</f>
        <v>06 - SECRETARIA DE ADMINISTRAÇÃO</v>
      </c>
      <c r="F177" t="str">
        <f t="shared" si="7"/>
        <v>2.011</v>
      </c>
      <c r="G177" t="str">
        <f t="shared" si="8"/>
        <v>01.110.0000</v>
      </c>
    </row>
    <row r="178" spans="1:7" hidden="1" x14ac:dyDescent="0.25">
      <c r="A178" s="6" t="s">
        <v>2387</v>
      </c>
      <c r="B178" s="28">
        <v>2078.1999999999998</v>
      </c>
      <c r="C178" s="14" t="s">
        <v>107</v>
      </c>
      <c r="D178" t="str">
        <f t="shared" si="6"/>
        <v>06.001.04.122.0001.2.011.3.3.90.39.00</v>
      </c>
      <c r="E178" t="str">
        <f>VLOOKUP(LEFT(A178,2),ConsolidadoLoa27_ATIVIDADES!A:I,9,0)</f>
        <v>06 - SECRETARIA DE ADMINISTRAÇÃO</v>
      </c>
      <c r="F178" t="str">
        <f t="shared" si="7"/>
        <v>2.011</v>
      </c>
      <c r="G178" t="str">
        <f t="shared" si="8"/>
        <v>01.110.0000</v>
      </c>
    </row>
    <row r="179" spans="1:7" hidden="1" x14ac:dyDescent="0.25">
      <c r="A179" s="6" t="s">
        <v>2387</v>
      </c>
      <c r="B179" s="28">
        <v>12898089.6</v>
      </c>
      <c r="C179" s="6" t="s">
        <v>2388</v>
      </c>
      <c r="D179" t="str">
        <f t="shared" si="6"/>
        <v>06.001.04.122.0001.2.011.3.3.90.39.00</v>
      </c>
      <c r="E179" t="str">
        <f>VLOOKUP(LEFT(A179,2),ConsolidadoLoa27_ATIVIDADES!A:I,9,0)</f>
        <v>06 - SECRETARIA DE ADMINISTRAÇÃO</v>
      </c>
      <c r="F179" t="str">
        <f t="shared" si="7"/>
        <v>2.011</v>
      </c>
      <c r="G179" t="str">
        <f t="shared" si="8"/>
        <v>01.110.0000</v>
      </c>
    </row>
    <row r="180" spans="1:7" hidden="1" x14ac:dyDescent="0.25">
      <c r="A180" s="6" t="s">
        <v>2387</v>
      </c>
      <c r="B180" s="28">
        <v>1</v>
      </c>
      <c r="C180" s="6" t="s">
        <v>196</v>
      </c>
      <c r="D180" t="str">
        <f t="shared" si="6"/>
        <v>06.001.04.122.0001.2.011.3.3.90.39.00</v>
      </c>
      <c r="E180" t="str">
        <f>VLOOKUP(LEFT(A180,2),ConsolidadoLoa27_ATIVIDADES!A:I,9,0)</f>
        <v>06 - SECRETARIA DE ADMINISTRAÇÃO</v>
      </c>
      <c r="F180" t="str">
        <f t="shared" si="7"/>
        <v>2.011</v>
      </c>
      <c r="G180" t="str">
        <f t="shared" si="8"/>
        <v>01.110.0000</v>
      </c>
    </row>
    <row r="181" spans="1:7" hidden="1" x14ac:dyDescent="0.25">
      <c r="A181" s="6" t="s">
        <v>2387</v>
      </c>
      <c r="B181" s="28">
        <v>23898.260900000001</v>
      </c>
      <c r="C181" s="6" t="s">
        <v>106</v>
      </c>
      <c r="D181" t="str">
        <f t="shared" si="6"/>
        <v>06.001.04.122.0001.2.011.3.3.90.39.00</v>
      </c>
      <c r="E181" t="str">
        <f>VLOOKUP(LEFT(A181,2),ConsolidadoLoa27_ATIVIDADES!A:I,9,0)</f>
        <v>06 - SECRETARIA DE ADMINISTRAÇÃO</v>
      </c>
      <c r="F181" t="str">
        <f t="shared" si="7"/>
        <v>2.011</v>
      </c>
      <c r="G181" t="str">
        <f t="shared" si="8"/>
        <v>01.110.0000</v>
      </c>
    </row>
    <row r="182" spans="1:7" hidden="1" x14ac:dyDescent="0.25">
      <c r="A182" s="6" t="s">
        <v>2389</v>
      </c>
      <c r="B182" s="28">
        <v>95218</v>
      </c>
      <c r="C182" s="6" t="s">
        <v>2390</v>
      </c>
      <c r="D182" t="str">
        <f t="shared" si="6"/>
        <v>06.001.04.126.0002.2.007.3.3.90.39.00</v>
      </c>
      <c r="E182" t="str">
        <f>VLOOKUP(LEFT(A182,2),ConsolidadoLoa27_ATIVIDADES!A:I,9,0)</f>
        <v>06 - SECRETARIA DE ADMINISTRAÇÃO</v>
      </c>
      <c r="F182" t="str">
        <f t="shared" si="7"/>
        <v>2.007</v>
      </c>
      <c r="G182" t="str">
        <f t="shared" si="8"/>
        <v>01.110.0000</v>
      </c>
    </row>
    <row r="183" spans="1:7" hidden="1" x14ac:dyDescent="0.25">
      <c r="A183" s="6" t="s">
        <v>2389</v>
      </c>
      <c r="B183" s="28">
        <v>1433376</v>
      </c>
      <c r="C183" s="6" t="s">
        <v>2391</v>
      </c>
      <c r="D183" t="str">
        <f t="shared" si="6"/>
        <v>06.001.04.126.0002.2.007.3.3.90.39.00</v>
      </c>
      <c r="E183" t="str">
        <f>VLOOKUP(LEFT(A183,2),ConsolidadoLoa27_ATIVIDADES!A:I,9,0)</f>
        <v>06 - SECRETARIA DE ADMINISTRAÇÃO</v>
      </c>
      <c r="F183" t="str">
        <f t="shared" si="7"/>
        <v>2.007</v>
      </c>
      <c r="G183" t="str">
        <f t="shared" si="8"/>
        <v>01.110.0000</v>
      </c>
    </row>
    <row r="184" spans="1:7" hidden="1" x14ac:dyDescent="0.25">
      <c r="A184" s="6" t="s">
        <v>2392</v>
      </c>
      <c r="B184" s="28">
        <v>0</v>
      </c>
      <c r="C184" s="6" t="s">
        <v>318</v>
      </c>
      <c r="D184" t="str">
        <f t="shared" si="6"/>
        <v>06.001.04.128.0002.2.003.3.3.90.36.00</v>
      </c>
      <c r="E184" t="str">
        <f>VLOOKUP(LEFT(A184,2),ConsolidadoLoa27_ATIVIDADES!A:I,9,0)</f>
        <v>06 - SECRETARIA DE ADMINISTRAÇÃO</v>
      </c>
      <c r="F184" t="str">
        <f t="shared" si="7"/>
        <v>2.003</v>
      </c>
      <c r="G184" t="str">
        <f t="shared" si="8"/>
        <v>01.110.0000</v>
      </c>
    </row>
    <row r="185" spans="1:7" hidden="1" x14ac:dyDescent="0.25">
      <c r="A185" s="6" t="s">
        <v>2393</v>
      </c>
      <c r="B185" s="28">
        <v>0</v>
      </c>
      <c r="C185" s="6" t="s">
        <v>318</v>
      </c>
      <c r="D185" t="str">
        <f t="shared" si="6"/>
        <v>06.001.04.128.0002.2.003.3.3.90.39.00</v>
      </c>
      <c r="E185" t="str">
        <f>VLOOKUP(LEFT(A185,2),ConsolidadoLoa27_ATIVIDADES!A:I,9,0)</f>
        <v>06 - SECRETARIA DE ADMINISTRAÇÃO</v>
      </c>
      <c r="F185" t="str">
        <f t="shared" si="7"/>
        <v>2.003</v>
      </c>
      <c r="G185" t="str">
        <f t="shared" si="8"/>
        <v>01.110.0000</v>
      </c>
    </row>
    <row r="186" spans="1:7" hidden="1" x14ac:dyDescent="0.25">
      <c r="A186" s="6" t="s">
        <v>2394</v>
      </c>
      <c r="B186" s="28">
        <v>1039.0999999999999</v>
      </c>
      <c r="C186" s="6" t="s">
        <v>245</v>
      </c>
      <c r="D186" t="str">
        <f t="shared" si="6"/>
        <v>06.001.04.131.0002.2.005.3.3.90.30.00</v>
      </c>
      <c r="E186" t="str">
        <f>VLOOKUP(LEFT(A186,2),ConsolidadoLoa27_ATIVIDADES!A:I,9,0)</f>
        <v>06 - SECRETARIA DE ADMINISTRAÇÃO</v>
      </c>
      <c r="F186" t="str">
        <f t="shared" si="7"/>
        <v>2.005</v>
      </c>
      <c r="G186" t="str">
        <f t="shared" si="8"/>
        <v>01.110.0000</v>
      </c>
    </row>
    <row r="187" spans="1:7" hidden="1" x14ac:dyDescent="0.25">
      <c r="A187" s="6" t="s">
        <v>2395</v>
      </c>
      <c r="B187" s="28">
        <v>5195.5</v>
      </c>
      <c r="C187" s="6" t="s">
        <v>198</v>
      </c>
      <c r="D187" t="str">
        <f t="shared" si="6"/>
        <v>06.001.04.131.0002.2.005.3.3.90.39.00</v>
      </c>
      <c r="E187" t="str">
        <f>VLOOKUP(LEFT(A187,2),ConsolidadoLoa27_ATIVIDADES!A:I,9,0)</f>
        <v>06 - SECRETARIA DE ADMINISTRAÇÃO</v>
      </c>
      <c r="F187" t="str">
        <f t="shared" si="7"/>
        <v>2.005</v>
      </c>
      <c r="G187" t="str">
        <f t="shared" si="8"/>
        <v>01.110.0000</v>
      </c>
    </row>
    <row r="188" spans="1:7" hidden="1" x14ac:dyDescent="0.25">
      <c r="A188" s="6" t="s">
        <v>2395</v>
      </c>
      <c r="B188" s="28">
        <v>62040</v>
      </c>
      <c r="C188" s="6" t="s">
        <v>2293</v>
      </c>
      <c r="D188" t="str">
        <f t="shared" si="6"/>
        <v>06.001.04.131.0002.2.005.3.3.90.39.00</v>
      </c>
      <c r="E188" t="str">
        <f>VLOOKUP(LEFT(A188,2),ConsolidadoLoa27_ATIVIDADES!A:I,9,0)</f>
        <v>06 - SECRETARIA DE ADMINISTRAÇÃO</v>
      </c>
      <c r="F188" t="str">
        <f t="shared" si="7"/>
        <v>2.005</v>
      </c>
      <c r="G188" t="str">
        <f t="shared" si="8"/>
        <v>01.110.0000</v>
      </c>
    </row>
    <row r="189" spans="1:7" hidden="1" x14ac:dyDescent="0.25">
      <c r="A189" s="6" t="s">
        <v>2395</v>
      </c>
      <c r="B189" s="28">
        <v>1</v>
      </c>
      <c r="C189" s="6" t="s">
        <v>196</v>
      </c>
      <c r="D189" t="str">
        <f t="shared" si="6"/>
        <v>06.001.04.131.0002.2.005.3.3.90.39.00</v>
      </c>
      <c r="E189" t="str">
        <f>VLOOKUP(LEFT(A189,2),ConsolidadoLoa27_ATIVIDADES!A:I,9,0)</f>
        <v>06 - SECRETARIA DE ADMINISTRAÇÃO</v>
      </c>
      <c r="F189" t="str">
        <f t="shared" si="7"/>
        <v>2.005</v>
      </c>
      <c r="G189" t="str">
        <f t="shared" si="8"/>
        <v>01.110.0000</v>
      </c>
    </row>
    <row r="190" spans="1:7" hidden="1" x14ac:dyDescent="0.25">
      <c r="A190" s="6" t="s">
        <v>2396</v>
      </c>
      <c r="B190" s="28">
        <v>0</v>
      </c>
      <c r="C190" s="6" t="s">
        <v>2397</v>
      </c>
      <c r="D190" t="str">
        <f t="shared" si="6"/>
        <v>06.011.04.128.0002.2.003.3.3.90.39.00</v>
      </c>
      <c r="E190" t="str">
        <f>VLOOKUP(LEFT(A190,2),ConsolidadoLoa27_ATIVIDADES!A:I,9,0)</f>
        <v>06 - SECRETARIA DE ADMINISTRAÇÃO</v>
      </c>
      <c r="F190" t="str">
        <f t="shared" si="7"/>
        <v>2.003</v>
      </c>
      <c r="G190" t="str">
        <f t="shared" si="8"/>
        <v>01.110.0000</v>
      </c>
    </row>
    <row r="191" spans="1:7" hidden="1" x14ac:dyDescent="0.25">
      <c r="A191" s="6" t="s">
        <v>2398</v>
      </c>
      <c r="B191" s="28">
        <v>1</v>
      </c>
      <c r="C191" s="6" t="s">
        <v>2271</v>
      </c>
      <c r="D191" t="str">
        <f t="shared" si="6"/>
        <v>07.001.04.121.0004.1.001.3.3.90.35.00</v>
      </c>
      <c r="E191" t="str">
        <f>VLOOKUP(LEFT(A191,2),ConsolidadoLoa27_ATIVIDADES!A:I,9,0)</f>
        <v>07 - SECRETARIA DE EMPREGO, TRABALHO E RENDA</v>
      </c>
      <c r="F191" t="str">
        <f t="shared" si="7"/>
        <v>1.001</v>
      </c>
      <c r="G191" t="str">
        <f t="shared" si="8"/>
        <v>01.110.0000</v>
      </c>
    </row>
    <row r="192" spans="1:7" hidden="1" x14ac:dyDescent="0.25">
      <c r="A192" s="6" t="s">
        <v>2399</v>
      </c>
      <c r="B192" s="28">
        <v>5584691.7399999993</v>
      </c>
      <c r="C192" s="6" t="s">
        <v>847</v>
      </c>
      <c r="D192" t="str">
        <f t="shared" si="6"/>
        <v>07.001.04.122.0001.2.001.3.1.90.11.00</v>
      </c>
      <c r="E192" t="str">
        <f>VLOOKUP(LEFT(A192,2),ConsolidadoLoa27_ATIVIDADES!A:I,9,0)</f>
        <v>07 - SECRETARIA DE EMPREGO, TRABALHO E RENDA</v>
      </c>
      <c r="F192" t="str">
        <f t="shared" si="7"/>
        <v>2.001</v>
      </c>
      <c r="G192" t="str">
        <f t="shared" si="8"/>
        <v>01.110.0000</v>
      </c>
    </row>
    <row r="193" spans="1:7" hidden="1" x14ac:dyDescent="0.25">
      <c r="A193" s="6" t="s">
        <v>2400</v>
      </c>
      <c r="B193" s="28">
        <v>0</v>
      </c>
      <c r="C193" s="6" t="s">
        <v>847</v>
      </c>
      <c r="D193" t="str">
        <f t="shared" si="6"/>
        <v>07.001.04.122.0001.2.001.3.1.90.11.00</v>
      </c>
      <c r="E193" t="str">
        <f>VLOOKUP(LEFT(A193,2),ConsolidadoLoa27_ATIVIDADES!A:I,9,0)</f>
        <v>07 - SECRETARIA DE EMPREGO, TRABALHO E RENDA</v>
      </c>
      <c r="F193" t="str">
        <f t="shared" si="7"/>
        <v>2.001</v>
      </c>
      <c r="G193" t="str">
        <f t="shared" si="8"/>
        <v>02.100.0000</v>
      </c>
    </row>
    <row r="194" spans="1:7" hidden="1" x14ac:dyDescent="0.25">
      <c r="A194" s="6" t="s">
        <v>2401</v>
      </c>
      <c r="B194" s="28">
        <v>711468.09</v>
      </c>
      <c r="C194" s="6" t="s">
        <v>847</v>
      </c>
      <c r="D194" t="str">
        <f t="shared" si="6"/>
        <v>07.001.04.122.0001.2.001.3.1.90.13.00</v>
      </c>
      <c r="E194" t="str">
        <f>VLOOKUP(LEFT(A194,2),ConsolidadoLoa27_ATIVIDADES!A:I,9,0)</f>
        <v>07 - SECRETARIA DE EMPREGO, TRABALHO E RENDA</v>
      </c>
      <c r="F194" t="str">
        <f t="shared" si="7"/>
        <v>2.001</v>
      </c>
      <c r="G194" t="str">
        <f t="shared" si="8"/>
        <v>01.110.0000</v>
      </c>
    </row>
    <row r="195" spans="1:7" hidden="1" x14ac:dyDescent="0.25">
      <c r="A195" s="6" t="s">
        <v>2402</v>
      </c>
      <c r="B195" s="28">
        <v>449376.4</v>
      </c>
      <c r="C195" s="12" t="s">
        <v>847</v>
      </c>
      <c r="D195" t="str">
        <f t="shared" ref="D195:D258" si="9">_xlfn.CONCAT(LEFT(A195,34),".00")</f>
        <v>07.001.04.122.0001.2.001.3.1.91.13.00</v>
      </c>
      <c r="E195" t="str">
        <f>VLOOKUP(LEFT(A195,2),ConsolidadoLoa27_ATIVIDADES!A:I,9,0)</f>
        <v>07 - SECRETARIA DE EMPREGO, TRABALHO E RENDA</v>
      </c>
      <c r="F195" t="str">
        <f t="shared" ref="F195:F258" si="10">MID(A195,20,5)</f>
        <v>2.001</v>
      </c>
      <c r="G195" t="str">
        <f t="shared" ref="G195:G258" si="11">RIGHT(A195,11)</f>
        <v>01.110.0000</v>
      </c>
    </row>
    <row r="196" spans="1:7" hidden="1" x14ac:dyDescent="0.25">
      <c r="A196" s="6" t="s">
        <v>2403</v>
      </c>
      <c r="B196" s="28">
        <v>2.13</v>
      </c>
      <c r="C196" s="15" t="s">
        <v>2278</v>
      </c>
      <c r="D196" t="str">
        <f t="shared" si="9"/>
        <v>07.001.04.122.0001.2.001.3.3.90.46.00</v>
      </c>
      <c r="E196" t="str">
        <f>VLOOKUP(LEFT(A196,2),ConsolidadoLoa27_ATIVIDADES!A:I,9,0)</f>
        <v>07 - SECRETARIA DE EMPREGO, TRABALHO E RENDA</v>
      </c>
      <c r="F196" t="str">
        <f t="shared" si="10"/>
        <v>2.001</v>
      </c>
      <c r="G196" t="str">
        <f t="shared" si="11"/>
        <v>01.110.0000</v>
      </c>
    </row>
    <row r="197" spans="1:7" hidden="1" x14ac:dyDescent="0.25">
      <c r="A197" s="6" t="s">
        <v>2404</v>
      </c>
      <c r="B197" s="28">
        <v>63666.64</v>
      </c>
      <c r="C197" s="16" t="s">
        <v>2280</v>
      </c>
      <c r="D197" t="str">
        <f t="shared" si="9"/>
        <v>07.001.04.122.0001.2.001.3.3.90.49.00</v>
      </c>
      <c r="E197" t="str">
        <f>VLOOKUP(LEFT(A197,2),ConsolidadoLoa27_ATIVIDADES!A:I,9,0)</f>
        <v>07 - SECRETARIA DE EMPREGO, TRABALHO E RENDA</v>
      </c>
      <c r="F197" t="str">
        <f t="shared" si="10"/>
        <v>2.001</v>
      </c>
      <c r="G197" t="str">
        <f t="shared" si="11"/>
        <v>01.110.0000</v>
      </c>
    </row>
    <row r="198" spans="1:7" hidden="1" x14ac:dyDescent="0.25">
      <c r="A198" s="6" t="s">
        <v>2405</v>
      </c>
      <c r="B198" s="28">
        <v>1</v>
      </c>
      <c r="C198" s="6" t="s">
        <v>2282</v>
      </c>
      <c r="D198" t="str">
        <f t="shared" si="9"/>
        <v>07.001.04.122.0001.2.006.3.3.90.33.00</v>
      </c>
      <c r="E198" t="str">
        <f>VLOOKUP(LEFT(A198,2),ConsolidadoLoa27_ATIVIDADES!A:I,9,0)</f>
        <v>07 - SECRETARIA DE EMPREGO, TRABALHO E RENDA</v>
      </c>
      <c r="F198" t="str">
        <f t="shared" si="10"/>
        <v>2.006</v>
      </c>
      <c r="G198" t="str">
        <f t="shared" si="11"/>
        <v>01.110.0000</v>
      </c>
    </row>
    <row r="199" spans="1:7" hidden="1" x14ac:dyDescent="0.25">
      <c r="A199" s="6" t="s">
        <v>2406</v>
      </c>
      <c r="B199" s="28">
        <v>1</v>
      </c>
      <c r="C199" s="14" t="s">
        <v>421</v>
      </c>
      <c r="D199" t="str">
        <f t="shared" si="9"/>
        <v>07.001.04.122.0001.2.006.3.3.90.39.00</v>
      </c>
      <c r="E199" t="str">
        <f>VLOOKUP(LEFT(A199,2),ConsolidadoLoa27_ATIVIDADES!A:I,9,0)</f>
        <v>07 - SECRETARIA DE EMPREGO, TRABALHO E RENDA</v>
      </c>
      <c r="F199" t="str">
        <f t="shared" si="10"/>
        <v>2.006</v>
      </c>
      <c r="G199" t="str">
        <f t="shared" si="11"/>
        <v>01.110.0000</v>
      </c>
    </row>
    <row r="200" spans="1:7" hidden="1" x14ac:dyDescent="0.25">
      <c r="A200" s="6" t="s">
        <v>2407</v>
      </c>
      <c r="B200" s="28">
        <v>1</v>
      </c>
      <c r="C200" s="6" t="s">
        <v>318</v>
      </c>
      <c r="D200" t="str">
        <f t="shared" si="9"/>
        <v>07.001.04.128.0002.2.003.3.3.90.36.00</v>
      </c>
      <c r="E200" t="str">
        <f>VLOOKUP(LEFT(A200,2),ConsolidadoLoa27_ATIVIDADES!A:I,9,0)</f>
        <v>07 - SECRETARIA DE EMPREGO, TRABALHO E RENDA</v>
      </c>
      <c r="F200" t="str">
        <f t="shared" si="10"/>
        <v>2.003</v>
      </c>
      <c r="G200" t="str">
        <f t="shared" si="11"/>
        <v>01.110.0000</v>
      </c>
    </row>
    <row r="201" spans="1:7" hidden="1" x14ac:dyDescent="0.25">
      <c r="A201" s="6" t="s">
        <v>2408</v>
      </c>
      <c r="B201" s="28">
        <v>1</v>
      </c>
      <c r="C201" s="6" t="s">
        <v>318</v>
      </c>
      <c r="D201" t="str">
        <f t="shared" si="9"/>
        <v>07.001.04.128.0002.2.003.3.3.90.39.00</v>
      </c>
      <c r="E201" t="str">
        <f>VLOOKUP(LEFT(A201,2),ConsolidadoLoa27_ATIVIDADES!A:I,9,0)</f>
        <v>07 - SECRETARIA DE EMPREGO, TRABALHO E RENDA</v>
      </c>
      <c r="F201" t="str">
        <f t="shared" si="10"/>
        <v>2.003</v>
      </c>
      <c r="G201" t="str">
        <f t="shared" si="11"/>
        <v>01.110.0000</v>
      </c>
    </row>
    <row r="202" spans="1:7" hidden="1" x14ac:dyDescent="0.25">
      <c r="A202" s="6" t="s">
        <v>2409</v>
      </c>
      <c r="B202" s="28">
        <v>2597.75</v>
      </c>
      <c r="C202" s="6" t="s">
        <v>245</v>
      </c>
      <c r="D202" t="str">
        <f t="shared" si="9"/>
        <v>07.001.04.131.0002.2.005.3.3.90.30.00</v>
      </c>
      <c r="E202" t="str">
        <f>VLOOKUP(LEFT(A202,2),ConsolidadoLoa27_ATIVIDADES!A:I,9,0)</f>
        <v>07 - SECRETARIA DE EMPREGO, TRABALHO E RENDA</v>
      </c>
      <c r="F202" t="str">
        <f t="shared" si="10"/>
        <v>2.005</v>
      </c>
      <c r="G202" t="str">
        <f t="shared" si="11"/>
        <v>01.110.0000</v>
      </c>
    </row>
    <row r="203" spans="1:7" hidden="1" x14ac:dyDescent="0.25">
      <c r="A203" s="6" t="s">
        <v>2410</v>
      </c>
      <c r="B203" s="28">
        <v>2078.1999999999998</v>
      </c>
      <c r="C203" s="6" t="s">
        <v>198</v>
      </c>
      <c r="D203" t="str">
        <f t="shared" si="9"/>
        <v>07.001.04.131.0002.2.005.3.3.90.39.00</v>
      </c>
      <c r="E203" t="str">
        <f>VLOOKUP(LEFT(A203,2),ConsolidadoLoa27_ATIVIDADES!A:I,9,0)</f>
        <v>07 - SECRETARIA DE EMPREGO, TRABALHO E RENDA</v>
      </c>
      <c r="F203" t="str">
        <f t="shared" si="10"/>
        <v>2.005</v>
      </c>
      <c r="G203" t="str">
        <f t="shared" si="11"/>
        <v>01.110.0000</v>
      </c>
    </row>
    <row r="204" spans="1:7" hidden="1" x14ac:dyDescent="0.25">
      <c r="A204" s="6" t="s">
        <v>2410</v>
      </c>
      <c r="B204" s="28">
        <v>6234.6</v>
      </c>
      <c r="C204" s="6" t="s">
        <v>2293</v>
      </c>
      <c r="D204" t="str">
        <f t="shared" si="9"/>
        <v>07.001.04.131.0002.2.005.3.3.90.39.00</v>
      </c>
      <c r="E204" t="str">
        <f>VLOOKUP(LEFT(A204,2),ConsolidadoLoa27_ATIVIDADES!A:I,9,0)</f>
        <v>07 - SECRETARIA DE EMPREGO, TRABALHO E RENDA</v>
      </c>
      <c r="F204" t="str">
        <f t="shared" si="10"/>
        <v>2.005</v>
      </c>
      <c r="G204" t="str">
        <f t="shared" si="11"/>
        <v>01.110.0000</v>
      </c>
    </row>
    <row r="205" spans="1:7" hidden="1" x14ac:dyDescent="0.25">
      <c r="A205" s="6" t="s">
        <v>2410</v>
      </c>
      <c r="B205" s="28">
        <v>1</v>
      </c>
      <c r="C205" s="6" t="s">
        <v>196</v>
      </c>
      <c r="D205" t="str">
        <f t="shared" si="9"/>
        <v>07.001.04.131.0002.2.005.3.3.90.39.00</v>
      </c>
      <c r="E205" t="str">
        <f>VLOOKUP(LEFT(A205,2),ConsolidadoLoa27_ATIVIDADES!A:I,9,0)</f>
        <v>07 - SECRETARIA DE EMPREGO, TRABALHO E RENDA</v>
      </c>
      <c r="F205" t="str">
        <f t="shared" si="10"/>
        <v>2.005</v>
      </c>
      <c r="G205" t="str">
        <f t="shared" si="11"/>
        <v>01.110.0000</v>
      </c>
    </row>
    <row r="206" spans="1:7" hidden="1" x14ac:dyDescent="0.25">
      <c r="A206" s="6" t="s">
        <v>2411</v>
      </c>
      <c r="B206" s="28">
        <v>1</v>
      </c>
      <c r="C206" s="6" t="s">
        <v>2412</v>
      </c>
      <c r="D206" t="str">
        <f t="shared" si="9"/>
        <v>07.001.11.122.0017.1.002.3.3.90.39.00</v>
      </c>
      <c r="E206" t="str">
        <f>VLOOKUP(LEFT(A206,2),ConsolidadoLoa27_ATIVIDADES!A:I,9,0)</f>
        <v>07 - SECRETARIA DE EMPREGO, TRABALHO E RENDA</v>
      </c>
      <c r="F206" t="str">
        <f t="shared" si="10"/>
        <v>1.002</v>
      </c>
      <c r="G206" t="str">
        <f t="shared" si="11"/>
        <v>01.110.0000</v>
      </c>
    </row>
    <row r="207" spans="1:7" hidden="1" x14ac:dyDescent="0.25">
      <c r="A207" s="6" t="s">
        <v>2413</v>
      </c>
      <c r="B207" s="28">
        <v>11380.929787999999</v>
      </c>
      <c r="C207" s="6" t="s">
        <v>2288</v>
      </c>
      <c r="D207" t="str">
        <f t="shared" si="9"/>
        <v>07.001.11.122.0017.2.011.3.3.90.30.00</v>
      </c>
      <c r="E207" t="str">
        <f>VLOOKUP(LEFT(A207,2),ConsolidadoLoa27_ATIVIDADES!A:I,9,0)</f>
        <v>07 - SECRETARIA DE EMPREGO, TRABALHO E RENDA</v>
      </c>
      <c r="F207" t="str">
        <f t="shared" si="10"/>
        <v>2.011</v>
      </c>
      <c r="G207" t="str">
        <f t="shared" si="11"/>
        <v>01.110.0000</v>
      </c>
    </row>
    <row r="208" spans="1:7" hidden="1" x14ac:dyDescent="0.25">
      <c r="A208" s="6" t="s">
        <v>2413</v>
      </c>
      <c r="B208" s="28">
        <v>0</v>
      </c>
      <c r="C208" s="6" t="s">
        <v>2323</v>
      </c>
      <c r="D208" t="str">
        <f t="shared" si="9"/>
        <v>07.001.11.122.0017.2.011.3.3.90.30.00</v>
      </c>
      <c r="E208" t="str">
        <f>VLOOKUP(LEFT(A208,2),ConsolidadoLoa27_ATIVIDADES!A:I,9,0)</f>
        <v>07 - SECRETARIA DE EMPREGO, TRABALHO E RENDA</v>
      </c>
      <c r="F208" t="str">
        <f t="shared" si="10"/>
        <v>2.011</v>
      </c>
      <c r="G208" t="str">
        <f t="shared" si="11"/>
        <v>01.110.0000</v>
      </c>
    </row>
    <row r="209" spans="1:7" hidden="1" x14ac:dyDescent="0.25">
      <c r="A209" s="6" t="s">
        <v>2413</v>
      </c>
      <c r="B209" s="28">
        <v>38011.649612000001</v>
      </c>
      <c r="C209" s="6" t="s">
        <v>2295</v>
      </c>
      <c r="D209" t="str">
        <f t="shared" si="9"/>
        <v>07.001.11.122.0017.2.011.3.3.90.30.00</v>
      </c>
      <c r="E209" t="str">
        <f>VLOOKUP(LEFT(A209,2),ConsolidadoLoa27_ATIVIDADES!A:I,9,0)</f>
        <v>07 - SECRETARIA DE EMPREGO, TRABALHO E RENDA</v>
      </c>
      <c r="F209" t="str">
        <f t="shared" si="10"/>
        <v>2.011</v>
      </c>
      <c r="G209" t="str">
        <f t="shared" si="11"/>
        <v>01.110.0000</v>
      </c>
    </row>
    <row r="210" spans="1:7" hidden="1" x14ac:dyDescent="0.25">
      <c r="A210" s="6" t="s">
        <v>2413</v>
      </c>
      <c r="B210" s="28">
        <v>0</v>
      </c>
      <c r="C210" s="14" t="s">
        <v>107</v>
      </c>
      <c r="D210" t="str">
        <f t="shared" si="9"/>
        <v>07.001.11.122.0017.2.011.3.3.90.30.00</v>
      </c>
      <c r="E210" t="str">
        <f>VLOOKUP(LEFT(A210,2),ConsolidadoLoa27_ATIVIDADES!A:I,9,0)</f>
        <v>07 - SECRETARIA DE EMPREGO, TRABALHO E RENDA</v>
      </c>
      <c r="F210" t="str">
        <f t="shared" si="10"/>
        <v>2.011</v>
      </c>
      <c r="G210" t="str">
        <f t="shared" si="11"/>
        <v>01.110.0000</v>
      </c>
    </row>
    <row r="211" spans="1:7" hidden="1" x14ac:dyDescent="0.25">
      <c r="A211" s="6" t="s">
        <v>2413</v>
      </c>
      <c r="B211" s="28">
        <v>0</v>
      </c>
      <c r="C211" s="6" t="s">
        <v>2289</v>
      </c>
      <c r="D211" t="str">
        <f t="shared" si="9"/>
        <v>07.001.11.122.0017.2.011.3.3.90.30.00</v>
      </c>
      <c r="E211" t="str">
        <f>VLOOKUP(LEFT(A211,2),ConsolidadoLoa27_ATIVIDADES!A:I,9,0)</f>
        <v>07 - SECRETARIA DE EMPREGO, TRABALHO E RENDA</v>
      </c>
      <c r="F211" t="str">
        <f t="shared" si="10"/>
        <v>2.011</v>
      </c>
      <c r="G211" t="str">
        <f t="shared" si="11"/>
        <v>01.110.0000</v>
      </c>
    </row>
    <row r="212" spans="1:7" hidden="1" x14ac:dyDescent="0.25">
      <c r="A212" s="6" t="s">
        <v>2414</v>
      </c>
      <c r="B212" s="28">
        <v>4156.3999999999996</v>
      </c>
      <c r="C212" s="14" t="s">
        <v>107</v>
      </c>
      <c r="D212" t="str">
        <f t="shared" si="9"/>
        <v>07.001.11.122.0017.2.011.3.3.90.39.00</v>
      </c>
      <c r="E212" t="str">
        <f>VLOOKUP(LEFT(A212,2),ConsolidadoLoa27_ATIVIDADES!A:I,9,0)</f>
        <v>07 - SECRETARIA DE EMPREGO, TRABALHO E RENDA</v>
      </c>
      <c r="F212" t="str">
        <f t="shared" si="10"/>
        <v>2.011</v>
      </c>
      <c r="G212" t="str">
        <f t="shared" si="11"/>
        <v>01.110.0000</v>
      </c>
    </row>
    <row r="213" spans="1:7" hidden="1" x14ac:dyDescent="0.25">
      <c r="A213" s="6" t="s">
        <v>2415</v>
      </c>
      <c r="B213" s="28">
        <v>15189078.619999999</v>
      </c>
      <c r="C213" s="6" t="s">
        <v>2416</v>
      </c>
      <c r="D213" t="str">
        <f t="shared" si="9"/>
        <v>07.001.11.333.0017.2.027.3.3.90.39.00</v>
      </c>
      <c r="E213" t="str">
        <f>VLOOKUP(LEFT(A213,2),ConsolidadoLoa27_ATIVIDADES!A:I,9,0)</f>
        <v>07 - SECRETARIA DE EMPREGO, TRABALHO E RENDA</v>
      </c>
      <c r="F213" t="str">
        <f t="shared" si="10"/>
        <v>2.027</v>
      </c>
      <c r="G213" t="str">
        <f t="shared" si="11"/>
        <v>01.110.0000</v>
      </c>
    </row>
    <row r="214" spans="1:7" hidden="1" x14ac:dyDescent="0.25">
      <c r="A214" s="6" t="s">
        <v>2417</v>
      </c>
      <c r="B214" s="28">
        <v>2834440</v>
      </c>
      <c r="C214" s="6" t="s">
        <v>2418</v>
      </c>
      <c r="D214" t="str">
        <f t="shared" si="9"/>
        <v>07.001.11.334.0017.2.004.3.3.50.39.00</v>
      </c>
      <c r="E214" t="str">
        <f>VLOOKUP(LEFT(A214,2),ConsolidadoLoa27_ATIVIDADES!A:I,9,0)</f>
        <v>07 - SECRETARIA DE EMPREGO, TRABALHO E RENDA</v>
      </c>
      <c r="F214" t="str">
        <f t="shared" si="10"/>
        <v>2.004</v>
      </c>
      <c r="G214" t="str">
        <f t="shared" si="11"/>
        <v>01.110.0000</v>
      </c>
    </row>
    <row r="215" spans="1:7" hidden="1" x14ac:dyDescent="0.25">
      <c r="A215" s="6" t="s">
        <v>2419</v>
      </c>
      <c r="B215" s="28">
        <v>0</v>
      </c>
      <c r="C215" s="6" t="s">
        <v>2420</v>
      </c>
      <c r="D215" t="str">
        <f t="shared" si="9"/>
        <v>07.001.11.334.0017.2.004.3.3.50.39.00</v>
      </c>
      <c r="E215" t="str">
        <f>VLOOKUP(LEFT(A215,2),ConsolidadoLoa27_ATIVIDADES!A:I,9,0)</f>
        <v>07 - SECRETARIA DE EMPREGO, TRABALHO E RENDA</v>
      </c>
      <c r="F215" t="str">
        <f t="shared" si="10"/>
        <v>2.004</v>
      </c>
      <c r="G215" t="str">
        <f t="shared" si="11"/>
        <v>08.110.0000</v>
      </c>
    </row>
    <row r="216" spans="1:7" hidden="1" x14ac:dyDescent="0.25">
      <c r="A216" s="6" t="s">
        <v>2421</v>
      </c>
      <c r="B216" s="28">
        <v>5195.5</v>
      </c>
      <c r="C216" s="6" t="s">
        <v>245</v>
      </c>
      <c r="D216" t="str">
        <f t="shared" si="9"/>
        <v>07.001.11.334.0017.2.004.3.3.90.30.00</v>
      </c>
      <c r="E216" t="str">
        <f>VLOOKUP(LEFT(A216,2),ConsolidadoLoa27_ATIVIDADES!A:I,9,0)</f>
        <v>07 - SECRETARIA DE EMPREGO, TRABALHO E RENDA</v>
      </c>
      <c r="F216" t="str">
        <f t="shared" si="10"/>
        <v>2.004</v>
      </c>
      <c r="G216" t="str">
        <f t="shared" si="11"/>
        <v>01.110.0000</v>
      </c>
    </row>
    <row r="217" spans="1:7" hidden="1" x14ac:dyDescent="0.25">
      <c r="A217" s="6" t="s">
        <v>2422</v>
      </c>
      <c r="B217" s="28">
        <v>1</v>
      </c>
      <c r="C217" s="6" t="s">
        <v>196</v>
      </c>
      <c r="D217" t="str">
        <f t="shared" si="9"/>
        <v>07.001.11.334.0017.2.004.3.3.90.39.00</v>
      </c>
      <c r="E217" t="str">
        <f>VLOOKUP(LEFT(A217,2),ConsolidadoLoa27_ATIVIDADES!A:I,9,0)</f>
        <v>07 - SECRETARIA DE EMPREGO, TRABALHO E RENDA</v>
      </c>
      <c r="F217" t="str">
        <f t="shared" si="10"/>
        <v>2.004</v>
      </c>
      <c r="G217" t="str">
        <f t="shared" si="11"/>
        <v>01.110.0000</v>
      </c>
    </row>
    <row r="218" spans="1:7" hidden="1" x14ac:dyDescent="0.25">
      <c r="A218" s="6" t="s">
        <v>2423</v>
      </c>
      <c r="B218" s="28">
        <v>957385.17599999998</v>
      </c>
      <c r="C218" s="6" t="s">
        <v>2424</v>
      </c>
      <c r="D218" t="str">
        <f t="shared" si="9"/>
        <v>07.001.11.334.0017.2.025.3.3.90.48.00</v>
      </c>
      <c r="E218" t="str">
        <f>VLOOKUP(LEFT(A218,2),ConsolidadoLoa27_ATIVIDADES!A:I,9,0)</f>
        <v>07 - SECRETARIA DE EMPREGO, TRABALHO E RENDA</v>
      </c>
      <c r="F218" t="str">
        <f t="shared" si="10"/>
        <v>2.025</v>
      </c>
      <c r="G218" t="str">
        <f t="shared" si="11"/>
        <v>01.110.0000</v>
      </c>
    </row>
    <row r="219" spans="1:7" hidden="1" x14ac:dyDescent="0.25">
      <c r="A219" s="6" t="s">
        <v>2423</v>
      </c>
      <c r="B219" s="28">
        <v>1853795.9639999999</v>
      </c>
      <c r="C219" s="6" t="s">
        <v>2425</v>
      </c>
      <c r="D219" t="str">
        <f t="shared" si="9"/>
        <v>07.001.11.334.0017.2.025.3.3.90.48.00</v>
      </c>
      <c r="E219" t="str">
        <f>VLOOKUP(LEFT(A219,2),ConsolidadoLoa27_ATIVIDADES!A:I,9,0)</f>
        <v>07 - SECRETARIA DE EMPREGO, TRABALHO E RENDA</v>
      </c>
      <c r="F219" t="str">
        <f t="shared" si="10"/>
        <v>2.025</v>
      </c>
      <c r="G219" t="str">
        <f t="shared" si="11"/>
        <v>01.110.0000</v>
      </c>
    </row>
    <row r="220" spans="1:7" hidden="1" x14ac:dyDescent="0.25">
      <c r="A220" s="6" t="s">
        <v>2423</v>
      </c>
      <c r="B220" s="28">
        <v>0</v>
      </c>
      <c r="C220" s="6" t="s">
        <v>2426</v>
      </c>
      <c r="D220" t="str">
        <f t="shared" si="9"/>
        <v>07.001.11.334.0017.2.025.3.3.90.48.00</v>
      </c>
      <c r="E220" t="str">
        <f>VLOOKUP(LEFT(A220,2),ConsolidadoLoa27_ATIVIDADES!A:I,9,0)</f>
        <v>07 - SECRETARIA DE EMPREGO, TRABALHO E RENDA</v>
      </c>
      <c r="F220" t="str">
        <f t="shared" si="10"/>
        <v>2.025</v>
      </c>
      <c r="G220" t="str">
        <f t="shared" si="11"/>
        <v>01.110.0000</v>
      </c>
    </row>
    <row r="221" spans="1:7" hidden="1" x14ac:dyDescent="0.25">
      <c r="A221" s="6" t="s">
        <v>2423</v>
      </c>
      <c r="B221" s="28">
        <v>26269.487099999998</v>
      </c>
      <c r="C221" s="6" t="s">
        <v>2427</v>
      </c>
      <c r="D221" t="str">
        <f t="shared" si="9"/>
        <v>07.001.11.334.0017.2.025.3.3.90.48.00</v>
      </c>
      <c r="E221" t="str">
        <f>VLOOKUP(LEFT(A221,2),ConsolidadoLoa27_ATIVIDADES!A:I,9,0)</f>
        <v>07 - SECRETARIA DE EMPREGO, TRABALHO E RENDA</v>
      </c>
      <c r="F221" t="str">
        <f t="shared" si="10"/>
        <v>2.025</v>
      </c>
      <c r="G221" t="str">
        <f t="shared" si="11"/>
        <v>01.110.0000</v>
      </c>
    </row>
    <row r="222" spans="1:7" hidden="1" x14ac:dyDescent="0.25">
      <c r="A222" s="6" t="s">
        <v>2423</v>
      </c>
      <c r="B222" s="28">
        <v>52537.935100000002</v>
      </c>
      <c r="C222" s="6" t="s">
        <v>2428</v>
      </c>
      <c r="D222" t="str">
        <f t="shared" si="9"/>
        <v>07.001.11.334.0017.2.025.3.3.90.48.00</v>
      </c>
      <c r="E222" t="str">
        <f>VLOOKUP(LEFT(A222,2),ConsolidadoLoa27_ATIVIDADES!A:I,9,0)</f>
        <v>07 - SECRETARIA DE EMPREGO, TRABALHO E RENDA</v>
      </c>
      <c r="F222" t="str">
        <f t="shared" si="10"/>
        <v>2.025</v>
      </c>
      <c r="G222" t="str">
        <f t="shared" si="11"/>
        <v>01.110.0000</v>
      </c>
    </row>
    <row r="223" spans="1:7" hidden="1" x14ac:dyDescent="0.25">
      <c r="A223" s="6" t="s">
        <v>2423</v>
      </c>
      <c r="B223" s="28">
        <v>78807.422200000001</v>
      </c>
      <c r="C223" s="6" t="s">
        <v>2429</v>
      </c>
      <c r="D223" t="str">
        <f t="shared" si="9"/>
        <v>07.001.11.334.0017.2.025.3.3.90.48.00</v>
      </c>
      <c r="E223" t="str">
        <f>VLOOKUP(LEFT(A223,2),ConsolidadoLoa27_ATIVIDADES!A:I,9,0)</f>
        <v>07 - SECRETARIA DE EMPREGO, TRABALHO E RENDA</v>
      </c>
      <c r="F223" t="str">
        <f t="shared" si="10"/>
        <v>2.025</v>
      </c>
      <c r="G223" t="str">
        <f t="shared" si="11"/>
        <v>01.110.0000</v>
      </c>
    </row>
    <row r="224" spans="1:7" hidden="1" x14ac:dyDescent="0.25">
      <c r="A224" s="6" t="s">
        <v>2423</v>
      </c>
      <c r="B224" s="28">
        <v>525377.27280000004</v>
      </c>
      <c r="C224" s="6" t="s">
        <v>2430</v>
      </c>
      <c r="D224" t="str">
        <f t="shared" si="9"/>
        <v>07.001.11.334.0017.2.025.3.3.90.48.00</v>
      </c>
      <c r="E224" t="str">
        <f>VLOOKUP(LEFT(A224,2),ConsolidadoLoa27_ATIVIDADES!A:I,9,0)</f>
        <v>07 - SECRETARIA DE EMPREGO, TRABALHO E RENDA</v>
      </c>
      <c r="F224" t="str">
        <f t="shared" si="10"/>
        <v>2.025</v>
      </c>
      <c r="G224" t="str">
        <f t="shared" si="11"/>
        <v>01.110.0000</v>
      </c>
    </row>
    <row r="225" spans="1:7" hidden="1" x14ac:dyDescent="0.25">
      <c r="A225" s="6" t="s">
        <v>2423</v>
      </c>
      <c r="B225" s="28">
        <v>131344.31820000001</v>
      </c>
      <c r="C225" s="6" t="s">
        <v>2431</v>
      </c>
      <c r="D225" t="str">
        <f t="shared" si="9"/>
        <v>07.001.11.334.0017.2.025.3.3.90.48.00</v>
      </c>
      <c r="E225" t="str">
        <f>VLOOKUP(LEFT(A225,2),ConsolidadoLoa27_ATIVIDADES!A:I,9,0)</f>
        <v>07 - SECRETARIA DE EMPREGO, TRABALHO E RENDA</v>
      </c>
      <c r="F225" t="str">
        <f t="shared" si="10"/>
        <v>2.025</v>
      </c>
      <c r="G225" t="str">
        <f t="shared" si="11"/>
        <v>01.110.0000</v>
      </c>
    </row>
    <row r="226" spans="1:7" hidden="1" x14ac:dyDescent="0.25">
      <c r="A226" s="6" t="s">
        <v>2423</v>
      </c>
      <c r="B226" s="28">
        <v>525377.27280000004</v>
      </c>
      <c r="C226" s="6" t="s">
        <v>2432</v>
      </c>
      <c r="D226" t="str">
        <f t="shared" si="9"/>
        <v>07.001.11.334.0017.2.025.3.3.90.48.00</v>
      </c>
      <c r="E226" t="str">
        <f>VLOOKUP(LEFT(A226,2),ConsolidadoLoa27_ATIVIDADES!A:I,9,0)</f>
        <v>07 - SECRETARIA DE EMPREGO, TRABALHO E RENDA</v>
      </c>
      <c r="F226" t="str">
        <f t="shared" si="10"/>
        <v>2.025</v>
      </c>
      <c r="G226" t="str">
        <f t="shared" si="11"/>
        <v>01.110.0000</v>
      </c>
    </row>
    <row r="227" spans="1:7" hidden="1" x14ac:dyDescent="0.25">
      <c r="A227" s="6" t="s">
        <v>2423</v>
      </c>
      <c r="B227" s="28">
        <v>2521811.5329</v>
      </c>
      <c r="C227" s="6" t="s">
        <v>2433</v>
      </c>
      <c r="D227" t="str">
        <f t="shared" si="9"/>
        <v>07.001.11.334.0017.2.025.3.3.90.48.00</v>
      </c>
      <c r="E227" t="str">
        <f>VLOOKUP(LEFT(A227,2),ConsolidadoLoa27_ATIVIDADES!A:I,9,0)</f>
        <v>07 - SECRETARIA DE EMPREGO, TRABALHO E RENDA</v>
      </c>
      <c r="F227" t="str">
        <f t="shared" si="10"/>
        <v>2.025</v>
      </c>
      <c r="G227" t="str">
        <f t="shared" si="11"/>
        <v>01.110.0000</v>
      </c>
    </row>
    <row r="228" spans="1:7" hidden="1" x14ac:dyDescent="0.25">
      <c r="A228" s="6" t="s">
        <v>2423</v>
      </c>
      <c r="B228" s="28">
        <v>26269.487099999998</v>
      </c>
      <c r="C228" s="6" t="s">
        <v>2434</v>
      </c>
      <c r="D228" t="str">
        <f t="shared" si="9"/>
        <v>07.001.11.334.0017.2.025.3.3.90.48.00</v>
      </c>
      <c r="E228" t="str">
        <f>VLOOKUP(LEFT(A228,2),ConsolidadoLoa27_ATIVIDADES!A:I,9,0)</f>
        <v>07 - SECRETARIA DE EMPREGO, TRABALHO E RENDA</v>
      </c>
      <c r="F228" t="str">
        <f t="shared" si="10"/>
        <v>2.025</v>
      </c>
      <c r="G228" t="str">
        <f t="shared" si="11"/>
        <v>01.110.0000</v>
      </c>
    </row>
    <row r="229" spans="1:7" hidden="1" x14ac:dyDescent="0.25">
      <c r="A229" s="6" t="s">
        <v>2423</v>
      </c>
      <c r="B229" s="28">
        <v>52537.935100000002</v>
      </c>
      <c r="C229" s="6" t="s">
        <v>2435</v>
      </c>
      <c r="D229" t="str">
        <f t="shared" si="9"/>
        <v>07.001.11.334.0017.2.025.3.3.90.48.00</v>
      </c>
      <c r="E229" t="str">
        <f>VLOOKUP(LEFT(A229,2),ConsolidadoLoa27_ATIVIDADES!A:I,9,0)</f>
        <v>07 - SECRETARIA DE EMPREGO, TRABALHO E RENDA</v>
      </c>
      <c r="F229" t="str">
        <f t="shared" si="10"/>
        <v>2.025</v>
      </c>
      <c r="G229" t="str">
        <f t="shared" si="11"/>
        <v>01.110.0000</v>
      </c>
    </row>
    <row r="230" spans="1:7" hidden="1" x14ac:dyDescent="0.25">
      <c r="A230" s="6" t="s">
        <v>2423</v>
      </c>
      <c r="B230" s="28">
        <v>420302.44170000002</v>
      </c>
      <c r="C230" s="6" t="s">
        <v>2436</v>
      </c>
      <c r="D230" t="str">
        <f t="shared" si="9"/>
        <v>07.001.11.334.0017.2.025.3.3.90.48.00</v>
      </c>
      <c r="E230" t="str">
        <f>VLOOKUP(LEFT(A230,2),ConsolidadoLoa27_ATIVIDADES!A:I,9,0)</f>
        <v>07 - SECRETARIA DE EMPREGO, TRABALHO E RENDA</v>
      </c>
      <c r="F230" t="str">
        <f t="shared" si="10"/>
        <v>2.025</v>
      </c>
      <c r="G230" t="str">
        <f t="shared" si="11"/>
        <v>01.110.0000</v>
      </c>
    </row>
    <row r="231" spans="1:7" hidden="1" x14ac:dyDescent="0.25">
      <c r="A231" s="6" t="s">
        <v>2423</v>
      </c>
      <c r="B231" s="28">
        <v>394032.9546</v>
      </c>
      <c r="C231" s="6" t="s">
        <v>2437</v>
      </c>
      <c r="D231" t="str">
        <f t="shared" si="9"/>
        <v>07.001.11.334.0017.2.025.3.3.90.48.00</v>
      </c>
      <c r="E231" t="str">
        <f>VLOOKUP(LEFT(A231,2),ConsolidadoLoa27_ATIVIDADES!A:I,9,0)</f>
        <v>07 - SECRETARIA DE EMPREGO, TRABALHO E RENDA</v>
      </c>
      <c r="F231" t="str">
        <f t="shared" si="10"/>
        <v>2.025</v>
      </c>
      <c r="G231" t="str">
        <f t="shared" si="11"/>
        <v>01.110.0000</v>
      </c>
    </row>
    <row r="232" spans="1:7" hidden="1" x14ac:dyDescent="0.25">
      <c r="A232" s="6" t="s">
        <v>2423</v>
      </c>
      <c r="B232" s="28">
        <v>15052059.697000001</v>
      </c>
      <c r="C232" s="6" t="s">
        <v>2438</v>
      </c>
      <c r="D232" t="str">
        <f t="shared" si="9"/>
        <v>07.001.11.334.0017.2.025.3.3.90.48.00</v>
      </c>
      <c r="E232" t="str">
        <f>VLOOKUP(LEFT(A232,2),ConsolidadoLoa27_ATIVIDADES!A:I,9,0)</f>
        <v>07 - SECRETARIA DE EMPREGO, TRABALHO E RENDA</v>
      </c>
      <c r="F232" t="str">
        <f t="shared" si="10"/>
        <v>2.025</v>
      </c>
      <c r="G232" t="str">
        <f t="shared" si="11"/>
        <v>01.110.0000</v>
      </c>
    </row>
    <row r="233" spans="1:7" hidden="1" x14ac:dyDescent="0.25">
      <c r="A233" s="6" t="s">
        <v>2423</v>
      </c>
      <c r="B233" s="28">
        <v>525377.27280000004</v>
      </c>
      <c r="C233" s="6" t="s">
        <v>2439</v>
      </c>
      <c r="D233" t="str">
        <f t="shared" si="9"/>
        <v>07.001.11.334.0017.2.025.3.3.90.48.00</v>
      </c>
      <c r="E233" t="str">
        <f>VLOOKUP(LEFT(A233,2),ConsolidadoLoa27_ATIVIDADES!A:I,9,0)</f>
        <v>07 - SECRETARIA DE EMPREGO, TRABALHO E RENDA</v>
      </c>
      <c r="F233" t="str">
        <f t="shared" si="10"/>
        <v>2.025</v>
      </c>
      <c r="G233" t="str">
        <f t="shared" si="11"/>
        <v>01.110.0000</v>
      </c>
    </row>
    <row r="234" spans="1:7" hidden="1" x14ac:dyDescent="0.25">
      <c r="A234" s="6" t="s">
        <v>2423</v>
      </c>
      <c r="B234" s="28">
        <v>394032.9546</v>
      </c>
      <c r="C234" s="6" t="s">
        <v>2440</v>
      </c>
      <c r="D234" t="str">
        <f t="shared" si="9"/>
        <v>07.001.11.334.0017.2.025.3.3.90.48.00</v>
      </c>
      <c r="E234" t="str">
        <f>VLOOKUP(LEFT(A234,2),ConsolidadoLoa27_ATIVIDADES!A:I,9,0)</f>
        <v>07 - SECRETARIA DE EMPREGO, TRABALHO E RENDA</v>
      </c>
      <c r="F234" t="str">
        <f t="shared" si="10"/>
        <v>2.025</v>
      </c>
      <c r="G234" t="str">
        <f t="shared" si="11"/>
        <v>01.110.0000</v>
      </c>
    </row>
    <row r="235" spans="1:7" hidden="1" x14ac:dyDescent="0.25">
      <c r="A235" s="6" t="s">
        <v>2423</v>
      </c>
      <c r="B235" s="28">
        <v>499108.8248</v>
      </c>
      <c r="C235" s="6" t="s">
        <v>2441</v>
      </c>
      <c r="D235" t="str">
        <f t="shared" si="9"/>
        <v>07.001.11.334.0017.2.025.3.3.90.48.00</v>
      </c>
      <c r="E235" t="str">
        <f>VLOOKUP(LEFT(A235,2),ConsolidadoLoa27_ATIVIDADES!A:I,9,0)</f>
        <v>07 - SECRETARIA DE EMPREGO, TRABALHO E RENDA</v>
      </c>
      <c r="F235" t="str">
        <f t="shared" si="10"/>
        <v>2.025</v>
      </c>
      <c r="G235" t="str">
        <f t="shared" si="11"/>
        <v>01.110.0000</v>
      </c>
    </row>
    <row r="236" spans="1:7" hidden="1" x14ac:dyDescent="0.25">
      <c r="A236" s="6" t="s">
        <v>2423</v>
      </c>
      <c r="B236" s="28">
        <v>236420.18840000001</v>
      </c>
      <c r="C236" s="6" t="s">
        <v>2442</v>
      </c>
      <c r="D236" t="str">
        <f t="shared" si="9"/>
        <v>07.001.11.334.0017.2.025.3.3.90.48.00</v>
      </c>
      <c r="E236" t="str">
        <f>VLOOKUP(LEFT(A236,2),ConsolidadoLoa27_ATIVIDADES!A:I,9,0)</f>
        <v>07 - SECRETARIA DE EMPREGO, TRABALHO E RENDA</v>
      </c>
      <c r="F236" t="str">
        <f t="shared" si="10"/>
        <v>2.025</v>
      </c>
      <c r="G236" t="str">
        <f t="shared" si="11"/>
        <v>01.110.0000</v>
      </c>
    </row>
    <row r="237" spans="1:7" hidden="1" x14ac:dyDescent="0.25">
      <c r="A237" s="6" t="s">
        <v>2423</v>
      </c>
      <c r="B237" s="28">
        <v>814335.39630000002</v>
      </c>
      <c r="C237" s="6" t="s">
        <v>2443</v>
      </c>
      <c r="D237" t="str">
        <f t="shared" si="9"/>
        <v>07.001.11.334.0017.2.025.3.3.90.48.00</v>
      </c>
      <c r="E237" t="str">
        <f>VLOOKUP(LEFT(A237,2),ConsolidadoLoa27_ATIVIDADES!A:I,9,0)</f>
        <v>07 - SECRETARIA DE EMPREGO, TRABALHO E RENDA</v>
      </c>
      <c r="F237" t="str">
        <f t="shared" si="10"/>
        <v>2.025</v>
      </c>
      <c r="G237" t="str">
        <f t="shared" si="11"/>
        <v>01.110.0000</v>
      </c>
    </row>
    <row r="238" spans="1:7" hidden="1" x14ac:dyDescent="0.25">
      <c r="A238" s="6" t="s">
        <v>2423</v>
      </c>
      <c r="B238" s="28">
        <v>78807.422200000001</v>
      </c>
      <c r="C238" s="6" t="s">
        <v>2444</v>
      </c>
      <c r="D238" t="str">
        <f t="shared" si="9"/>
        <v>07.001.11.334.0017.2.025.3.3.90.48.00</v>
      </c>
      <c r="E238" t="str">
        <f>VLOOKUP(LEFT(A238,2),ConsolidadoLoa27_ATIVIDADES!A:I,9,0)</f>
        <v>07 - SECRETARIA DE EMPREGO, TRABALHO E RENDA</v>
      </c>
      <c r="F238" t="str">
        <f t="shared" si="10"/>
        <v>2.025</v>
      </c>
      <c r="G238" t="str">
        <f t="shared" si="11"/>
        <v>01.110.0000</v>
      </c>
    </row>
    <row r="239" spans="1:7" hidden="1" x14ac:dyDescent="0.25">
      <c r="A239" s="6" t="s">
        <v>2423</v>
      </c>
      <c r="B239" s="28">
        <v>183882.25330000001</v>
      </c>
      <c r="C239" s="6" t="s">
        <v>2445</v>
      </c>
      <c r="D239" t="str">
        <f t="shared" si="9"/>
        <v>07.001.11.334.0017.2.025.3.3.90.48.00</v>
      </c>
      <c r="E239" t="str">
        <f>VLOOKUP(LEFT(A239,2),ConsolidadoLoa27_ATIVIDADES!A:I,9,0)</f>
        <v>07 - SECRETARIA DE EMPREGO, TRABALHO E RENDA</v>
      </c>
      <c r="F239" t="str">
        <f t="shared" si="10"/>
        <v>2.025</v>
      </c>
      <c r="G239" t="str">
        <f t="shared" si="11"/>
        <v>01.110.0000</v>
      </c>
    </row>
    <row r="240" spans="1:7" hidden="1" x14ac:dyDescent="0.25">
      <c r="A240" s="6" t="s">
        <v>2423</v>
      </c>
      <c r="B240" s="28">
        <v>131344.31820000001</v>
      </c>
      <c r="C240" s="6" t="s">
        <v>2446</v>
      </c>
      <c r="D240" t="str">
        <f t="shared" si="9"/>
        <v>07.001.11.334.0017.2.025.3.3.90.48.00</v>
      </c>
      <c r="E240" t="str">
        <f>VLOOKUP(LEFT(A240,2),ConsolidadoLoa27_ATIVIDADES!A:I,9,0)</f>
        <v>07 - SECRETARIA DE EMPREGO, TRABALHO E RENDA</v>
      </c>
      <c r="F240" t="str">
        <f t="shared" si="10"/>
        <v>2.025</v>
      </c>
      <c r="G240" t="str">
        <f t="shared" si="11"/>
        <v>01.110.0000</v>
      </c>
    </row>
    <row r="241" spans="1:7" hidden="1" x14ac:dyDescent="0.25">
      <c r="A241" s="6" t="s">
        <v>2423</v>
      </c>
      <c r="B241" s="28">
        <v>78807.422200000001</v>
      </c>
      <c r="C241" s="6" t="s">
        <v>2447</v>
      </c>
      <c r="D241" t="str">
        <f t="shared" si="9"/>
        <v>07.001.11.334.0017.2.025.3.3.90.48.00</v>
      </c>
      <c r="E241" t="str">
        <f>VLOOKUP(LEFT(A241,2),ConsolidadoLoa27_ATIVIDADES!A:I,9,0)</f>
        <v>07 - SECRETARIA DE EMPREGO, TRABALHO E RENDA</v>
      </c>
      <c r="F241" t="str">
        <f t="shared" si="10"/>
        <v>2.025</v>
      </c>
      <c r="G241" t="str">
        <f t="shared" si="11"/>
        <v>01.110.0000</v>
      </c>
    </row>
    <row r="242" spans="1:7" hidden="1" x14ac:dyDescent="0.25">
      <c r="A242" s="6" t="s">
        <v>2423</v>
      </c>
      <c r="B242" s="28">
        <v>1050754.5456000001</v>
      </c>
      <c r="C242" s="6" t="s">
        <v>2448</v>
      </c>
      <c r="D242" t="str">
        <f t="shared" si="9"/>
        <v>07.001.11.334.0017.2.025.3.3.90.48.00</v>
      </c>
      <c r="E242" t="str">
        <f>VLOOKUP(LEFT(A242,2),ConsolidadoLoa27_ATIVIDADES!A:I,9,0)</f>
        <v>07 - SECRETARIA DE EMPREGO, TRABALHO E RENDA</v>
      </c>
      <c r="F242" t="str">
        <f t="shared" si="10"/>
        <v>2.025</v>
      </c>
      <c r="G242" t="str">
        <f t="shared" si="11"/>
        <v>01.110.0000</v>
      </c>
    </row>
    <row r="243" spans="1:7" hidden="1" x14ac:dyDescent="0.25">
      <c r="A243" s="6" t="s">
        <v>2423</v>
      </c>
      <c r="B243" s="28">
        <v>341496.05859999999</v>
      </c>
      <c r="C243" s="6" t="s">
        <v>2449</v>
      </c>
      <c r="D243" t="str">
        <f t="shared" si="9"/>
        <v>07.001.11.334.0017.2.025.3.3.90.48.00</v>
      </c>
      <c r="E243" t="str">
        <f>VLOOKUP(LEFT(A243,2),ConsolidadoLoa27_ATIVIDADES!A:I,9,0)</f>
        <v>07 - SECRETARIA DE EMPREGO, TRABALHO E RENDA</v>
      </c>
      <c r="F243" t="str">
        <f t="shared" si="10"/>
        <v>2.025</v>
      </c>
      <c r="G243" t="str">
        <f t="shared" si="11"/>
        <v>01.110.0000</v>
      </c>
    </row>
    <row r="244" spans="1:7" hidden="1" x14ac:dyDescent="0.25">
      <c r="A244" s="6" t="s">
        <v>2423</v>
      </c>
      <c r="B244" s="28">
        <v>394032.9546</v>
      </c>
      <c r="C244" s="6" t="s">
        <v>2450</v>
      </c>
      <c r="D244" t="str">
        <f t="shared" si="9"/>
        <v>07.001.11.334.0017.2.025.3.3.90.48.00</v>
      </c>
      <c r="E244" t="str">
        <f>VLOOKUP(LEFT(A244,2),ConsolidadoLoa27_ATIVIDADES!A:I,9,0)</f>
        <v>07 - SECRETARIA DE EMPREGO, TRABALHO E RENDA</v>
      </c>
      <c r="F244" t="str">
        <f t="shared" si="10"/>
        <v>2.025</v>
      </c>
      <c r="G244" t="str">
        <f t="shared" si="11"/>
        <v>01.110.0000</v>
      </c>
    </row>
    <row r="245" spans="1:7" hidden="1" x14ac:dyDescent="0.25">
      <c r="A245" s="6" t="s">
        <v>2423</v>
      </c>
      <c r="B245" s="28">
        <v>551646.75989999995</v>
      </c>
      <c r="C245" s="6" t="s">
        <v>2451</v>
      </c>
      <c r="D245" t="str">
        <f t="shared" si="9"/>
        <v>07.001.11.334.0017.2.025.3.3.90.48.00</v>
      </c>
      <c r="E245" t="str">
        <f>VLOOKUP(LEFT(A245,2),ConsolidadoLoa27_ATIVIDADES!A:I,9,0)</f>
        <v>07 - SECRETARIA DE EMPREGO, TRABALHO E RENDA</v>
      </c>
      <c r="F245" t="str">
        <f t="shared" si="10"/>
        <v>2.025</v>
      </c>
      <c r="G245" t="str">
        <f t="shared" si="11"/>
        <v>01.110.0000</v>
      </c>
    </row>
    <row r="246" spans="1:7" hidden="1" x14ac:dyDescent="0.25">
      <c r="A246" s="6" t="s">
        <v>2423</v>
      </c>
      <c r="B246" s="28">
        <v>131344.31820000001</v>
      </c>
      <c r="C246" s="6" t="s">
        <v>2452</v>
      </c>
      <c r="D246" t="str">
        <f t="shared" si="9"/>
        <v>07.001.11.334.0017.2.025.3.3.90.48.00</v>
      </c>
      <c r="E246" t="str">
        <f>VLOOKUP(LEFT(A246,2),ConsolidadoLoa27_ATIVIDADES!A:I,9,0)</f>
        <v>07 - SECRETARIA DE EMPREGO, TRABALHO E RENDA</v>
      </c>
      <c r="F246" t="str">
        <f t="shared" si="10"/>
        <v>2.025</v>
      </c>
      <c r="G246" t="str">
        <f t="shared" si="11"/>
        <v>01.110.0000</v>
      </c>
    </row>
    <row r="247" spans="1:7" hidden="1" x14ac:dyDescent="0.25">
      <c r="A247" s="6" t="s">
        <v>2423</v>
      </c>
      <c r="B247" s="28">
        <v>3546296.5913999998</v>
      </c>
      <c r="C247" s="6" t="s">
        <v>2453</v>
      </c>
      <c r="D247" t="str">
        <f t="shared" si="9"/>
        <v>07.001.11.334.0017.2.025.3.3.90.48.00</v>
      </c>
      <c r="E247" t="str">
        <f>VLOOKUP(LEFT(A247,2),ConsolidadoLoa27_ATIVIDADES!A:I,9,0)</f>
        <v>07 - SECRETARIA DE EMPREGO, TRABALHO E RENDA</v>
      </c>
      <c r="F247" t="str">
        <f t="shared" si="10"/>
        <v>2.025</v>
      </c>
      <c r="G247" t="str">
        <f t="shared" si="11"/>
        <v>01.110.0000</v>
      </c>
    </row>
    <row r="248" spans="1:7" hidden="1" x14ac:dyDescent="0.25">
      <c r="A248" s="6" t="s">
        <v>2423</v>
      </c>
      <c r="B248" s="28">
        <v>1392250.6041999999</v>
      </c>
      <c r="C248" s="6" t="s">
        <v>2454</v>
      </c>
      <c r="D248" t="str">
        <f t="shared" si="9"/>
        <v>07.001.11.334.0017.2.025.3.3.90.48.00</v>
      </c>
      <c r="E248" t="str">
        <f>VLOOKUP(LEFT(A248,2),ConsolidadoLoa27_ATIVIDADES!A:I,9,0)</f>
        <v>07 - SECRETARIA DE EMPREGO, TRABALHO E RENDA</v>
      </c>
      <c r="F248" t="str">
        <f t="shared" si="10"/>
        <v>2.025</v>
      </c>
      <c r="G248" t="str">
        <f t="shared" si="11"/>
        <v>01.110.0000</v>
      </c>
    </row>
    <row r="249" spans="1:7" hidden="1" x14ac:dyDescent="0.25">
      <c r="A249" s="6" t="s">
        <v>2455</v>
      </c>
      <c r="B249" s="28">
        <v>3636.85</v>
      </c>
      <c r="C249" s="6" t="s">
        <v>2318</v>
      </c>
      <c r="D249" t="str">
        <f t="shared" si="9"/>
        <v>07.001.11.334.0017.2.033.3.3.90.30.00</v>
      </c>
      <c r="E249" t="str">
        <f>VLOOKUP(LEFT(A249,2),ConsolidadoLoa27_ATIVIDADES!A:I,9,0)</f>
        <v>07 - SECRETARIA DE EMPREGO, TRABALHO E RENDA</v>
      </c>
      <c r="F249" t="str">
        <f t="shared" si="10"/>
        <v>2.033</v>
      </c>
      <c r="G249" t="str">
        <f t="shared" si="11"/>
        <v>01.110.0000</v>
      </c>
    </row>
    <row r="250" spans="1:7" hidden="1" x14ac:dyDescent="0.25">
      <c r="A250" s="6" t="s">
        <v>2455</v>
      </c>
      <c r="B250" s="28">
        <v>1558.65</v>
      </c>
      <c r="C250" s="6" t="s">
        <v>245</v>
      </c>
      <c r="D250" t="str">
        <f t="shared" si="9"/>
        <v>07.001.11.334.0017.2.033.3.3.90.30.00</v>
      </c>
      <c r="E250" t="str">
        <f>VLOOKUP(LEFT(A250,2),ConsolidadoLoa27_ATIVIDADES!A:I,9,0)</f>
        <v>07 - SECRETARIA DE EMPREGO, TRABALHO E RENDA</v>
      </c>
      <c r="F250" t="str">
        <f t="shared" si="10"/>
        <v>2.033</v>
      </c>
      <c r="G250" t="str">
        <f t="shared" si="11"/>
        <v>01.110.0000</v>
      </c>
    </row>
    <row r="251" spans="1:7" hidden="1" x14ac:dyDescent="0.25">
      <c r="A251" s="6" t="s">
        <v>2456</v>
      </c>
      <c r="B251" s="28">
        <v>1558.65</v>
      </c>
      <c r="C251" s="6" t="s">
        <v>198</v>
      </c>
      <c r="D251" t="str">
        <f t="shared" si="9"/>
        <v>07.001.11.334.0017.2.033.3.3.90.39.00</v>
      </c>
      <c r="E251" t="str">
        <f>VLOOKUP(LEFT(A251,2),ConsolidadoLoa27_ATIVIDADES!A:I,9,0)</f>
        <v>07 - SECRETARIA DE EMPREGO, TRABALHO E RENDA</v>
      </c>
      <c r="F251" t="str">
        <f t="shared" si="10"/>
        <v>2.033</v>
      </c>
      <c r="G251" t="str">
        <f t="shared" si="11"/>
        <v>01.110.0000</v>
      </c>
    </row>
    <row r="252" spans="1:7" hidden="1" x14ac:dyDescent="0.25">
      <c r="A252" s="6" t="s">
        <v>2456</v>
      </c>
      <c r="B252" s="28">
        <v>520.58910000000003</v>
      </c>
      <c r="C252" s="6" t="s">
        <v>2457</v>
      </c>
      <c r="D252" t="str">
        <f t="shared" si="9"/>
        <v>07.001.11.334.0017.2.033.3.3.90.39.00</v>
      </c>
      <c r="E252" t="str">
        <f>VLOOKUP(LEFT(A252,2),ConsolidadoLoa27_ATIVIDADES!A:I,9,0)</f>
        <v>07 - SECRETARIA DE EMPREGO, TRABALHO E RENDA</v>
      </c>
      <c r="F252" t="str">
        <f t="shared" si="10"/>
        <v>2.033</v>
      </c>
      <c r="G252" t="str">
        <f t="shared" si="11"/>
        <v>01.110.0000</v>
      </c>
    </row>
    <row r="253" spans="1:7" hidden="1" x14ac:dyDescent="0.25">
      <c r="A253" s="6" t="s">
        <v>2456</v>
      </c>
      <c r="B253" s="28">
        <v>3636.85</v>
      </c>
      <c r="C253" s="6" t="s">
        <v>2293</v>
      </c>
      <c r="D253" t="str">
        <f t="shared" si="9"/>
        <v>07.001.11.334.0017.2.033.3.3.90.39.00</v>
      </c>
      <c r="E253" t="str">
        <f>VLOOKUP(LEFT(A253,2),ConsolidadoLoa27_ATIVIDADES!A:I,9,0)</f>
        <v>07 - SECRETARIA DE EMPREGO, TRABALHO E RENDA</v>
      </c>
      <c r="F253" t="str">
        <f t="shared" si="10"/>
        <v>2.033</v>
      </c>
      <c r="G253" t="str">
        <f t="shared" si="11"/>
        <v>01.110.0000</v>
      </c>
    </row>
    <row r="254" spans="1:7" hidden="1" x14ac:dyDescent="0.25">
      <c r="A254" s="6" t="s">
        <v>2456</v>
      </c>
      <c r="B254" s="28">
        <v>519.54999999999995</v>
      </c>
      <c r="C254" s="6" t="s">
        <v>196</v>
      </c>
      <c r="D254" t="str">
        <f t="shared" si="9"/>
        <v>07.001.11.334.0017.2.033.3.3.90.39.00</v>
      </c>
      <c r="E254" t="str">
        <f>VLOOKUP(LEFT(A254,2),ConsolidadoLoa27_ATIVIDADES!A:I,9,0)</f>
        <v>07 - SECRETARIA DE EMPREGO, TRABALHO E RENDA</v>
      </c>
      <c r="F254" t="str">
        <f t="shared" si="10"/>
        <v>2.033</v>
      </c>
      <c r="G254" t="str">
        <f t="shared" si="11"/>
        <v>01.110.0000</v>
      </c>
    </row>
    <row r="255" spans="1:7" hidden="1" x14ac:dyDescent="0.25">
      <c r="A255" s="6" t="s">
        <v>2458</v>
      </c>
      <c r="B255" s="28">
        <v>2078.1999999999998</v>
      </c>
      <c r="C255" s="6" t="s">
        <v>2459</v>
      </c>
      <c r="D255" t="str">
        <f t="shared" si="9"/>
        <v>07.001.11.334.0017.2.033.4.4.90.52.00</v>
      </c>
      <c r="E255" t="str">
        <f>VLOOKUP(LEFT(A255,2),ConsolidadoLoa27_ATIVIDADES!A:I,9,0)</f>
        <v>07 - SECRETARIA DE EMPREGO, TRABALHO E RENDA</v>
      </c>
      <c r="F255" t="str">
        <f t="shared" si="10"/>
        <v>2.033</v>
      </c>
      <c r="G255" t="str">
        <f t="shared" si="11"/>
        <v>01.110.0000</v>
      </c>
    </row>
    <row r="256" spans="1:7" hidden="1" x14ac:dyDescent="0.25">
      <c r="A256" s="6" t="s">
        <v>2460</v>
      </c>
      <c r="B256" s="28">
        <v>1</v>
      </c>
      <c r="C256" s="6" t="s">
        <v>2461</v>
      </c>
      <c r="D256" t="str">
        <f t="shared" si="9"/>
        <v>07.001.18.542.0007.1.003.4.4.90.51.00</v>
      </c>
      <c r="E256" t="str">
        <f>VLOOKUP(LEFT(A256,2),ConsolidadoLoa27_ATIVIDADES!A:I,9,0)</f>
        <v>07 - SECRETARIA DE EMPREGO, TRABALHO E RENDA</v>
      </c>
      <c r="F256" t="str">
        <f t="shared" si="10"/>
        <v>1.003</v>
      </c>
      <c r="G256" t="str">
        <f t="shared" si="11"/>
        <v>01.110.0000</v>
      </c>
    </row>
    <row r="257" spans="1:7" hidden="1" x14ac:dyDescent="0.25">
      <c r="A257" s="6" t="s">
        <v>2462</v>
      </c>
      <c r="B257" s="28">
        <v>1</v>
      </c>
      <c r="C257" s="6" t="s">
        <v>2416</v>
      </c>
      <c r="D257" t="str">
        <f t="shared" si="9"/>
        <v>07.005.11.333.0017.2.027.3.3.90.39.00</v>
      </c>
      <c r="E257" t="str">
        <f>VLOOKUP(LEFT(A257,2),ConsolidadoLoa27_ATIVIDADES!A:I,9,0)</f>
        <v>07 - SECRETARIA DE EMPREGO, TRABALHO E RENDA</v>
      </c>
      <c r="F257" t="str">
        <f t="shared" si="10"/>
        <v>2.027</v>
      </c>
      <c r="G257" t="str">
        <f t="shared" si="11"/>
        <v>03.100.0000</v>
      </c>
    </row>
    <row r="258" spans="1:7" hidden="1" x14ac:dyDescent="0.25">
      <c r="A258" s="6" t="s">
        <v>2463</v>
      </c>
      <c r="B258" s="28">
        <v>1</v>
      </c>
      <c r="C258" s="6" t="s">
        <v>2271</v>
      </c>
      <c r="D258" t="str">
        <f t="shared" si="9"/>
        <v>08.001.04.121.0004.1.001.3.3.90.35.00</v>
      </c>
      <c r="E258" t="str">
        <f>VLOOKUP(LEFT(A258,2),ConsolidadoLoa27_ATIVIDADES!A:I,9,0)</f>
        <v>08 - SECRETARIA DE EDUCAÇÃO</v>
      </c>
      <c r="F258" t="str">
        <f t="shared" si="10"/>
        <v>1.001</v>
      </c>
      <c r="G258" t="str">
        <f t="shared" si="11"/>
        <v>01.110.0000</v>
      </c>
    </row>
    <row r="259" spans="1:7" hidden="1" x14ac:dyDescent="0.25">
      <c r="A259" s="6" t="s">
        <v>2464</v>
      </c>
      <c r="B259" s="28">
        <v>1</v>
      </c>
      <c r="C259" s="6" t="s">
        <v>2271</v>
      </c>
      <c r="D259" t="str">
        <f t="shared" ref="D259:D322" si="12">_xlfn.CONCAT(LEFT(A259,34),".00")</f>
        <v>08.001.04.121.0004.1001.3.3.90.35..00</v>
      </c>
      <c r="E259" t="str">
        <f>VLOOKUP(LEFT(A259,2),ConsolidadoLoa27_ATIVIDADES!A:I,9,0)</f>
        <v>08 - SECRETARIA DE EDUCAÇÃO</v>
      </c>
      <c r="F259" t="str">
        <f t="shared" ref="F259:F322" si="13">MID(A259,20,5)</f>
        <v>1001.</v>
      </c>
      <c r="G259" t="str">
        <f t="shared" ref="G259:G322" si="14">RIGHT(A259,11)</f>
        <v>01.110.0000</v>
      </c>
    </row>
    <row r="260" spans="1:7" hidden="1" x14ac:dyDescent="0.25">
      <c r="A260" s="6" t="s">
        <v>2465</v>
      </c>
      <c r="B260" s="28">
        <v>315000</v>
      </c>
      <c r="C260" s="6" t="s">
        <v>2466</v>
      </c>
      <c r="D260" t="str">
        <f t="shared" si="12"/>
        <v>08.001.04.131.0002.2.005.3.3.90.30.00</v>
      </c>
      <c r="E260" t="str">
        <f>VLOOKUP(LEFT(A260,2),ConsolidadoLoa27_ATIVIDADES!A:I,9,0)</f>
        <v>08 - SECRETARIA DE EDUCAÇÃO</v>
      </c>
      <c r="F260" t="str">
        <f t="shared" si="13"/>
        <v>2.005</v>
      </c>
      <c r="G260" t="str">
        <f t="shared" si="14"/>
        <v>01.110.0000</v>
      </c>
    </row>
    <row r="261" spans="1:7" hidden="1" x14ac:dyDescent="0.25">
      <c r="A261" s="6" t="s">
        <v>2465</v>
      </c>
      <c r="B261" s="28">
        <v>1039100</v>
      </c>
      <c r="C261" s="6" t="s">
        <v>245</v>
      </c>
      <c r="D261" t="str">
        <f t="shared" si="12"/>
        <v>08.001.04.131.0002.2.005.3.3.90.30.00</v>
      </c>
      <c r="E261" t="str">
        <f>VLOOKUP(LEFT(A261,2),ConsolidadoLoa27_ATIVIDADES!A:I,9,0)</f>
        <v>08 - SECRETARIA DE EDUCAÇÃO</v>
      </c>
      <c r="F261" t="str">
        <f t="shared" si="13"/>
        <v>2.005</v>
      </c>
      <c r="G261" t="str">
        <f t="shared" si="14"/>
        <v>01.110.0000</v>
      </c>
    </row>
    <row r="262" spans="1:7" hidden="1" x14ac:dyDescent="0.25">
      <c r="A262" s="6" t="s">
        <v>2467</v>
      </c>
      <c r="B262" s="28">
        <v>0</v>
      </c>
      <c r="C262" s="6" t="s">
        <v>2466</v>
      </c>
      <c r="D262" t="str">
        <f t="shared" si="12"/>
        <v>08.001.04.131.0002.2.005.3.3.90.39.00</v>
      </c>
      <c r="E262" t="str">
        <f>VLOOKUP(LEFT(A262,2),ConsolidadoLoa27_ATIVIDADES!A:I,9,0)</f>
        <v>08 - SECRETARIA DE EDUCAÇÃO</v>
      </c>
      <c r="F262" t="str">
        <f t="shared" si="13"/>
        <v>2.005</v>
      </c>
      <c r="G262" t="str">
        <f t="shared" si="14"/>
        <v>01.110.0000</v>
      </c>
    </row>
    <row r="263" spans="1:7" hidden="1" x14ac:dyDescent="0.25">
      <c r="A263" s="6" t="s">
        <v>2468</v>
      </c>
      <c r="B263" s="28">
        <v>1</v>
      </c>
      <c r="C263" s="6" t="s">
        <v>2333</v>
      </c>
      <c r="D263" t="str">
        <f t="shared" si="12"/>
        <v>08.001.12.122.0001.1.002.3.3.90.39.00</v>
      </c>
      <c r="E263" t="str">
        <f>VLOOKUP(LEFT(A263,2),ConsolidadoLoa27_ATIVIDADES!A:I,9,0)</f>
        <v>08 - SECRETARIA DE EDUCAÇÃO</v>
      </c>
      <c r="F263" t="str">
        <f t="shared" si="13"/>
        <v>1.002</v>
      </c>
      <c r="G263" t="str">
        <f t="shared" si="14"/>
        <v>01.110.0000</v>
      </c>
    </row>
    <row r="264" spans="1:7" hidden="1" x14ac:dyDescent="0.25">
      <c r="A264" s="6" t="s">
        <v>2469</v>
      </c>
      <c r="B264" s="28">
        <v>0</v>
      </c>
      <c r="C264" s="6" t="s">
        <v>2470</v>
      </c>
      <c r="D264" t="str">
        <f t="shared" si="12"/>
        <v>08.001.12.122.0001.1.002.3.3.90.39.00</v>
      </c>
      <c r="E264" t="str">
        <f>VLOOKUP(LEFT(A264,2),ConsolidadoLoa27_ATIVIDADES!A:I,9,0)</f>
        <v>08 - SECRETARIA DE EDUCAÇÃO</v>
      </c>
      <c r="F264" t="str">
        <f t="shared" si="13"/>
        <v>1.002</v>
      </c>
      <c r="G264" t="str">
        <f t="shared" si="14"/>
        <v>08.110.0000</v>
      </c>
    </row>
    <row r="265" spans="1:7" hidden="1" x14ac:dyDescent="0.25">
      <c r="A265" s="6" t="s">
        <v>2469</v>
      </c>
      <c r="B265" s="28">
        <v>0</v>
      </c>
      <c r="C265" s="6" t="s">
        <v>2471</v>
      </c>
      <c r="D265" t="str">
        <f t="shared" si="12"/>
        <v>08.001.12.122.0001.1.002.3.3.90.39.00</v>
      </c>
      <c r="E265" t="str">
        <f>VLOOKUP(LEFT(A265,2),ConsolidadoLoa27_ATIVIDADES!A:I,9,0)</f>
        <v>08 - SECRETARIA DE EDUCAÇÃO</v>
      </c>
      <c r="F265" t="str">
        <f t="shared" si="13"/>
        <v>1.002</v>
      </c>
      <c r="G265" t="str">
        <f t="shared" si="14"/>
        <v>08.110.0000</v>
      </c>
    </row>
    <row r="266" spans="1:7" hidden="1" x14ac:dyDescent="0.25">
      <c r="A266" s="6" t="s">
        <v>2469</v>
      </c>
      <c r="B266" s="28">
        <v>0</v>
      </c>
      <c r="C266" s="6" t="s">
        <v>2472</v>
      </c>
      <c r="D266" t="str">
        <f t="shared" si="12"/>
        <v>08.001.12.122.0001.1.002.3.3.90.39.00</v>
      </c>
      <c r="E266" t="str">
        <f>VLOOKUP(LEFT(A266,2),ConsolidadoLoa27_ATIVIDADES!A:I,9,0)</f>
        <v>08 - SECRETARIA DE EDUCAÇÃO</v>
      </c>
      <c r="F266" t="str">
        <f t="shared" si="13"/>
        <v>1.002</v>
      </c>
      <c r="G266" t="str">
        <f t="shared" si="14"/>
        <v>08.110.0000</v>
      </c>
    </row>
    <row r="267" spans="1:7" hidden="1" x14ac:dyDescent="0.25">
      <c r="A267" s="6" t="s">
        <v>2473</v>
      </c>
      <c r="B267" s="28">
        <v>0</v>
      </c>
      <c r="C267" s="6" t="s">
        <v>2470</v>
      </c>
      <c r="D267" t="str">
        <f t="shared" si="12"/>
        <v>08.001.12.122.0001.1.002.4.4.90.51.00</v>
      </c>
      <c r="E267" t="str">
        <f>VLOOKUP(LEFT(A267,2),ConsolidadoLoa27_ATIVIDADES!A:I,9,0)</f>
        <v>08 - SECRETARIA DE EDUCAÇÃO</v>
      </c>
      <c r="F267" t="str">
        <f t="shared" si="13"/>
        <v>1.002</v>
      </c>
      <c r="G267" t="str">
        <f t="shared" si="14"/>
        <v>08.110.0000</v>
      </c>
    </row>
    <row r="268" spans="1:7" hidden="1" x14ac:dyDescent="0.25">
      <c r="A268" s="6" t="s">
        <v>2473</v>
      </c>
      <c r="B268" s="28">
        <v>0</v>
      </c>
      <c r="C268" s="6" t="s">
        <v>2471</v>
      </c>
      <c r="D268" t="str">
        <f t="shared" si="12"/>
        <v>08.001.12.122.0001.1.002.4.4.90.51.00</v>
      </c>
      <c r="E268" t="str">
        <f>VLOOKUP(LEFT(A268,2),ConsolidadoLoa27_ATIVIDADES!A:I,9,0)</f>
        <v>08 - SECRETARIA DE EDUCAÇÃO</v>
      </c>
      <c r="F268" t="str">
        <f t="shared" si="13"/>
        <v>1.002</v>
      </c>
      <c r="G268" t="str">
        <f t="shared" si="14"/>
        <v>08.110.0000</v>
      </c>
    </row>
    <row r="269" spans="1:7" hidden="1" x14ac:dyDescent="0.25">
      <c r="A269" s="6" t="s">
        <v>2473</v>
      </c>
      <c r="B269" s="28">
        <v>0</v>
      </c>
      <c r="C269" s="6" t="s">
        <v>2472</v>
      </c>
      <c r="D269" t="str">
        <f t="shared" si="12"/>
        <v>08.001.12.122.0001.1.002.4.4.90.51.00</v>
      </c>
      <c r="E269" t="str">
        <f>VLOOKUP(LEFT(A269,2),ConsolidadoLoa27_ATIVIDADES!A:I,9,0)</f>
        <v>08 - SECRETARIA DE EDUCAÇÃO</v>
      </c>
      <c r="F269" t="str">
        <f t="shared" si="13"/>
        <v>1.002</v>
      </c>
      <c r="G269" t="str">
        <f t="shared" si="14"/>
        <v>08.110.0000</v>
      </c>
    </row>
    <row r="270" spans="1:7" hidden="1" x14ac:dyDescent="0.25">
      <c r="A270" s="6" t="s">
        <v>2474</v>
      </c>
      <c r="B270" s="28">
        <v>1.07</v>
      </c>
      <c r="C270" s="6" t="s">
        <v>847</v>
      </c>
      <c r="D270" t="str">
        <f t="shared" si="12"/>
        <v>08.001.12.122.0001.2.001.3.1.90.11.00</v>
      </c>
      <c r="E270" t="str">
        <f>VLOOKUP(LEFT(A270,2),ConsolidadoLoa27_ATIVIDADES!A:I,9,0)</f>
        <v>08 - SECRETARIA DE EDUCAÇÃO</v>
      </c>
      <c r="F270" t="str">
        <f t="shared" si="13"/>
        <v>2.001</v>
      </c>
      <c r="G270" t="str">
        <f t="shared" si="14"/>
        <v>01.110.0000</v>
      </c>
    </row>
    <row r="271" spans="1:7" hidden="1" x14ac:dyDescent="0.25">
      <c r="A271" s="6" t="s">
        <v>2475</v>
      </c>
      <c r="B271" s="28">
        <v>33838767.359999999</v>
      </c>
      <c r="C271" s="6" t="s">
        <v>847</v>
      </c>
      <c r="D271" t="str">
        <f t="shared" si="12"/>
        <v>08.001.12.122.0001.2.001.3.1.90.11.00</v>
      </c>
      <c r="E271" t="str">
        <f>VLOOKUP(LEFT(A271,2),ConsolidadoLoa27_ATIVIDADES!A:I,9,0)</f>
        <v>08 - SECRETARIA DE EDUCAÇÃO</v>
      </c>
      <c r="F271" t="str">
        <f t="shared" si="13"/>
        <v>2.001</v>
      </c>
      <c r="G271" t="str">
        <f t="shared" si="14"/>
        <v>01.200.0000</v>
      </c>
    </row>
    <row r="272" spans="1:7" hidden="1" x14ac:dyDescent="0.25">
      <c r="A272" s="6" t="s">
        <v>2476</v>
      </c>
      <c r="B272" s="28">
        <v>1.1100000000000001</v>
      </c>
      <c r="C272" s="6" t="s">
        <v>847</v>
      </c>
      <c r="D272" t="str">
        <f t="shared" si="12"/>
        <v>08.001.12.122.0001.2.001.3.1.90.13.00</v>
      </c>
      <c r="E272" t="str">
        <f>VLOOKUP(LEFT(A272,2),ConsolidadoLoa27_ATIVIDADES!A:I,9,0)</f>
        <v>08 - SECRETARIA DE EDUCAÇÃO</v>
      </c>
      <c r="F272" t="str">
        <f t="shared" si="13"/>
        <v>2.001</v>
      </c>
      <c r="G272" t="str">
        <f t="shared" si="14"/>
        <v>01.110.0000</v>
      </c>
    </row>
    <row r="273" spans="1:7" hidden="1" x14ac:dyDescent="0.25">
      <c r="A273" s="6" t="s">
        <v>2477</v>
      </c>
      <c r="B273" s="28">
        <v>3174538.74</v>
      </c>
      <c r="C273" s="6" t="s">
        <v>847</v>
      </c>
      <c r="D273" t="str">
        <f t="shared" si="12"/>
        <v>08.001.12.122.0001.2.001.3.1.90.13.00</v>
      </c>
      <c r="E273" t="str">
        <f>VLOOKUP(LEFT(A273,2),ConsolidadoLoa27_ATIVIDADES!A:I,9,0)</f>
        <v>08 - SECRETARIA DE EDUCAÇÃO</v>
      </c>
      <c r="F273" t="str">
        <f t="shared" si="13"/>
        <v>2.001</v>
      </c>
      <c r="G273" t="str">
        <f t="shared" si="14"/>
        <v>01.200.0000</v>
      </c>
    </row>
    <row r="274" spans="1:7" hidden="1" x14ac:dyDescent="0.25">
      <c r="A274" s="6" t="s">
        <v>2478</v>
      </c>
      <c r="B274" s="28">
        <v>4945566.1100000003</v>
      </c>
      <c r="C274" s="12" t="s">
        <v>847</v>
      </c>
      <c r="D274" t="str">
        <f t="shared" si="12"/>
        <v>08.001.12.122.0001.2.001.3.1.91.13.00</v>
      </c>
      <c r="E274" t="str">
        <f>VLOOKUP(LEFT(A274,2),ConsolidadoLoa27_ATIVIDADES!A:I,9,0)</f>
        <v>08 - SECRETARIA DE EDUCAÇÃO</v>
      </c>
      <c r="F274" t="str">
        <f t="shared" si="13"/>
        <v>2.001</v>
      </c>
      <c r="G274" t="str">
        <f t="shared" si="14"/>
        <v>01.200.0000</v>
      </c>
    </row>
    <row r="275" spans="1:7" hidden="1" x14ac:dyDescent="0.25">
      <c r="A275" s="6" t="s">
        <v>2479</v>
      </c>
      <c r="B275" s="28">
        <v>8417047.5700000003</v>
      </c>
      <c r="C275" s="6" t="s">
        <v>2278</v>
      </c>
      <c r="D275" t="str">
        <f t="shared" si="12"/>
        <v>08.001.12.122.0001.2.001.3.3.90.46.00</v>
      </c>
      <c r="E275" t="str">
        <f>VLOOKUP(LEFT(A275,2),ConsolidadoLoa27_ATIVIDADES!A:I,9,0)</f>
        <v>08 - SECRETARIA DE EDUCAÇÃO</v>
      </c>
      <c r="F275" t="str">
        <f t="shared" si="13"/>
        <v>2.001</v>
      </c>
      <c r="G275" t="str">
        <f t="shared" si="14"/>
        <v>01.200.0000</v>
      </c>
    </row>
    <row r="276" spans="1:7" hidden="1" x14ac:dyDescent="0.25">
      <c r="A276" s="6" t="s">
        <v>2480</v>
      </c>
      <c r="B276" s="28">
        <v>515236.52</v>
      </c>
      <c r="C276" s="6" t="s">
        <v>2280</v>
      </c>
      <c r="D276" t="str">
        <f t="shared" si="12"/>
        <v>08.001.12.122.0001.2.001.3.3.90.49.00</v>
      </c>
      <c r="E276" t="str">
        <f>VLOOKUP(LEFT(A276,2),ConsolidadoLoa27_ATIVIDADES!A:I,9,0)</f>
        <v>08 - SECRETARIA DE EDUCAÇÃO</v>
      </c>
      <c r="F276" t="str">
        <f t="shared" si="13"/>
        <v>2.001</v>
      </c>
      <c r="G276" t="str">
        <f t="shared" si="14"/>
        <v>01.200.0000</v>
      </c>
    </row>
    <row r="277" spans="1:7" hidden="1" x14ac:dyDescent="0.25">
      <c r="A277" s="6" t="s">
        <v>2481</v>
      </c>
      <c r="B277" s="28">
        <v>1</v>
      </c>
      <c r="C277" s="6" t="s">
        <v>2282</v>
      </c>
      <c r="D277" t="str">
        <f t="shared" si="12"/>
        <v>08.001.12.122.0001.2.006.3.3.90.33.00</v>
      </c>
      <c r="E277" t="str">
        <f>VLOOKUP(LEFT(A277,2),ConsolidadoLoa27_ATIVIDADES!A:I,9,0)</f>
        <v>08 - SECRETARIA DE EDUCAÇÃO</v>
      </c>
      <c r="F277" t="str">
        <f t="shared" si="13"/>
        <v>2.006</v>
      </c>
      <c r="G277" t="str">
        <f t="shared" si="14"/>
        <v>01.200.0000</v>
      </c>
    </row>
    <row r="278" spans="1:7" hidden="1" x14ac:dyDescent="0.25">
      <c r="A278" s="6" t="s">
        <v>2482</v>
      </c>
      <c r="B278" s="28">
        <v>1</v>
      </c>
      <c r="C278" s="6" t="s">
        <v>421</v>
      </c>
      <c r="D278" t="str">
        <f t="shared" si="12"/>
        <v>08.001.12.122.0001.2.006.3.3.90.39.00</v>
      </c>
      <c r="E278" t="str">
        <f>VLOOKUP(LEFT(A278,2),ConsolidadoLoa27_ATIVIDADES!A:I,9,0)</f>
        <v>08 - SECRETARIA DE EDUCAÇÃO</v>
      </c>
      <c r="F278" t="str">
        <f t="shared" si="13"/>
        <v>2.006</v>
      </c>
      <c r="G278" t="str">
        <f t="shared" si="14"/>
        <v>01.200.0000</v>
      </c>
    </row>
    <row r="279" spans="1:7" hidden="1" x14ac:dyDescent="0.25">
      <c r="A279" s="6" t="s">
        <v>2483</v>
      </c>
      <c r="B279" s="28">
        <v>493440</v>
      </c>
      <c r="C279" s="6" t="s">
        <v>2484</v>
      </c>
      <c r="D279" t="str">
        <f t="shared" si="12"/>
        <v>08.001.12.122.0001.2.008.3.3.90.39.00</v>
      </c>
      <c r="E279" t="str">
        <f>VLOOKUP(LEFT(A279,2),ConsolidadoLoa27_ATIVIDADES!A:I,9,0)</f>
        <v>08 - SECRETARIA DE EDUCAÇÃO</v>
      </c>
      <c r="F279" t="str">
        <f t="shared" si="13"/>
        <v>2.008</v>
      </c>
      <c r="G279" t="str">
        <f t="shared" si="14"/>
        <v>01.200.0000</v>
      </c>
    </row>
    <row r="280" spans="1:7" hidden="1" x14ac:dyDescent="0.25">
      <c r="A280" s="6" t="s">
        <v>2485</v>
      </c>
      <c r="B280" s="28"/>
      <c r="C280" s="15" t="s">
        <v>2486</v>
      </c>
      <c r="D280" t="str">
        <f t="shared" si="12"/>
        <v>08.001.12.122.0001.2.008.3.3.90.48.00</v>
      </c>
      <c r="E280" t="str">
        <f>VLOOKUP(LEFT(A280,2),ConsolidadoLoa27_ATIVIDADES!A:I,9,0)</f>
        <v>08 - SECRETARIA DE EDUCAÇÃO</v>
      </c>
      <c r="F280" t="str">
        <f t="shared" si="13"/>
        <v>2.008</v>
      </c>
      <c r="G280" t="str">
        <f t="shared" si="14"/>
        <v>01.110.0000</v>
      </c>
    </row>
    <row r="281" spans="1:7" hidden="1" x14ac:dyDescent="0.25">
      <c r="A281" s="6" t="s">
        <v>2487</v>
      </c>
      <c r="B281" s="28">
        <v>16964195.190000001</v>
      </c>
      <c r="C281" s="15" t="s">
        <v>2486</v>
      </c>
      <c r="D281" t="str">
        <f t="shared" si="12"/>
        <v>08.001.12.122.0001.2.008.3.3.90.48.00</v>
      </c>
      <c r="E281" t="str">
        <f>VLOOKUP(LEFT(A281,2),ConsolidadoLoa27_ATIVIDADES!A:I,9,0)</f>
        <v>08 - SECRETARIA DE EDUCAÇÃO</v>
      </c>
      <c r="F281" t="str">
        <f t="shared" si="13"/>
        <v>2.008</v>
      </c>
      <c r="G281" t="str">
        <f t="shared" si="14"/>
        <v>01.200.0000</v>
      </c>
    </row>
    <row r="282" spans="1:7" hidden="1" x14ac:dyDescent="0.25">
      <c r="A282" s="6" t="s">
        <v>2488</v>
      </c>
      <c r="B282" s="28">
        <v>0</v>
      </c>
      <c r="C282" s="16" t="s">
        <v>2489</v>
      </c>
      <c r="D282" t="str">
        <f t="shared" si="12"/>
        <v>08.001.12.122.0001.2.011.3.3.50.39.00</v>
      </c>
      <c r="E282" t="str">
        <f>VLOOKUP(LEFT(A282,2),ConsolidadoLoa27_ATIVIDADES!A:I,9,0)</f>
        <v>08 - SECRETARIA DE EDUCAÇÃO</v>
      </c>
      <c r="F282" t="str">
        <f t="shared" si="13"/>
        <v>2.011</v>
      </c>
      <c r="G282" t="str">
        <f t="shared" si="14"/>
        <v>08.110.0000</v>
      </c>
    </row>
    <row r="283" spans="1:7" hidden="1" x14ac:dyDescent="0.25">
      <c r="A283" s="6" t="s">
        <v>2490</v>
      </c>
      <c r="B283" s="28">
        <v>103910</v>
      </c>
      <c r="C283" s="6" t="s">
        <v>2288</v>
      </c>
      <c r="D283" t="str">
        <f t="shared" si="12"/>
        <v>08.001.12.122.0001.2.011.3.3.90.30.00</v>
      </c>
      <c r="E283" t="str">
        <f>VLOOKUP(LEFT(A283,2),ConsolidadoLoa27_ATIVIDADES!A:I,9,0)</f>
        <v>08 - SECRETARIA DE EDUCAÇÃO</v>
      </c>
      <c r="F283" t="str">
        <f t="shared" si="13"/>
        <v>2.011</v>
      </c>
      <c r="G283" t="str">
        <f t="shared" si="14"/>
        <v>01.110.0000</v>
      </c>
    </row>
    <row r="284" spans="1:7" hidden="1" x14ac:dyDescent="0.25">
      <c r="A284" s="6" t="s">
        <v>2490</v>
      </c>
      <c r="B284" s="28">
        <v>373606.32679999998</v>
      </c>
      <c r="C284" s="6" t="s">
        <v>2295</v>
      </c>
      <c r="D284" t="str">
        <f t="shared" si="12"/>
        <v>08.001.12.122.0001.2.011.3.3.90.30.00</v>
      </c>
      <c r="E284" t="str">
        <f>VLOOKUP(LEFT(A284,2),ConsolidadoLoa27_ATIVIDADES!A:I,9,0)</f>
        <v>08 - SECRETARIA DE EDUCAÇÃO</v>
      </c>
      <c r="F284" t="str">
        <f t="shared" si="13"/>
        <v>2.011</v>
      </c>
      <c r="G284" t="str">
        <f t="shared" si="14"/>
        <v>01.110.0000</v>
      </c>
    </row>
    <row r="285" spans="1:7" hidden="1" x14ac:dyDescent="0.25">
      <c r="A285" s="6" t="s">
        <v>2490</v>
      </c>
      <c r="B285" s="28">
        <v>62346</v>
      </c>
      <c r="C285" s="14" t="s">
        <v>107</v>
      </c>
      <c r="D285" t="str">
        <f t="shared" si="12"/>
        <v>08.001.12.122.0001.2.011.3.3.90.30.00</v>
      </c>
      <c r="E285" t="str">
        <f>VLOOKUP(LEFT(A285,2),ConsolidadoLoa27_ATIVIDADES!A:I,9,0)</f>
        <v>08 - SECRETARIA DE EDUCAÇÃO</v>
      </c>
      <c r="F285" t="str">
        <f t="shared" si="13"/>
        <v>2.011</v>
      </c>
      <c r="G285" t="str">
        <f t="shared" si="14"/>
        <v>01.110.0000</v>
      </c>
    </row>
    <row r="286" spans="1:7" hidden="1" x14ac:dyDescent="0.25">
      <c r="A286" s="6" t="s">
        <v>2490</v>
      </c>
      <c r="B286" s="28">
        <v>51955</v>
      </c>
      <c r="C286" s="6" t="s">
        <v>104</v>
      </c>
      <c r="D286" t="str">
        <f t="shared" si="12"/>
        <v>08.001.12.122.0001.2.011.3.3.90.30.00</v>
      </c>
      <c r="E286" t="str">
        <f>VLOOKUP(LEFT(A286,2),ConsolidadoLoa27_ATIVIDADES!A:I,9,0)</f>
        <v>08 - SECRETARIA DE EDUCAÇÃO</v>
      </c>
      <c r="F286" t="str">
        <f t="shared" si="13"/>
        <v>2.011</v>
      </c>
      <c r="G286" t="str">
        <f t="shared" si="14"/>
        <v>01.110.0000</v>
      </c>
    </row>
    <row r="287" spans="1:7" hidden="1" x14ac:dyDescent="0.25">
      <c r="A287" s="6" t="s">
        <v>2490</v>
      </c>
      <c r="B287" s="28">
        <v>6700</v>
      </c>
      <c r="C287" s="15" t="s">
        <v>2289</v>
      </c>
      <c r="D287" t="str">
        <f t="shared" si="12"/>
        <v>08.001.12.122.0001.2.011.3.3.90.30.00</v>
      </c>
      <c r="E287" t="str">
        <f>VLOOKUP(LEFT(A287,2),ConsolidadoLoa27_ATIVIDADES!A:I,9,0)</f>
        <v>08 - SECRETARIA DE EDUCAÇÃO</v>
      </c>
      <c r="F287" t="str">
        <f t="shared" si="13"/>
        <v>2.011</v>
      </c>
      <c r="G287" t="str">
        <f t="shared" si="14"/>
        <v>01.110.0000</v>
      </c>
    </row>
    <row r="288" spans="1:7" hidden="1" x14ac:dyDescent="0.25">
      <c r="A288" s="6" t="s">
        <v>2491</v>
      </c>
      <c r="B288" s="28">
        <v>169947</v>
      </c>
      <c r="C288" s="15" t="s">
        <v>2289</v>
      </c>
      <c r="D288" t="str">
        <f t="shared" si="12"/>
        <v>08.001.12.122.0001.2.011.3.3.90.30.00</v>
      </c>
      <c r="E288" t="str">
        <f>VLOOKUP(LEFT(A288,2),ConsolidadoLoa27_ATIVIDADES!A:I,9,0)</f>
        <v>08 - SECRETARIA DE EDUCAÇÃO</v>
      </c>
      <c r="F288" t="str">
        <f t="shared" si="13"/>
        <v>2.011</v>
      </c>
      <c r="G288" t="str">
        <f t="shared" si="14"/>
        <v>01.200.0000</v>
      </c>
    </row>
    <row r="289" spans="1:7" hidden="1" x14ac:dyDescent="0.25">
      <c r="A289" s="6" t="s">
        <v>2492</v>
      </c>
      <c r="B289" s="28">
        <v>610990.80000000005</v>
      </c>
      <c r="C289" s="16" t="s">
        <v>2493</v>
      </c>
      <c r="D289" t="str">
        <f t="shared" si="12"/>
        <v>08.001.12.122.0001.2.011.3.3.90.39.00</v>
      </c>
      <c r="E289" t="str">
        <f>VLOOKUP(LEFT(A289,2),ConsolidadoLoa27_ATIVIDADES!A:I,9,0)</f>
        <v>08 - SECRETARIA DE EDUCAÇÃO</v>
      </c>
      <c r="F289" t="str">
        <f t="shared" si="13"/>
        <v>2.011</v>
      </c>
      <c r="G289" t="str">
        <f t="shared" si="14"/>
        <v>01.110.0000</v>
      </c>
    </row>
    <row r="290" spans="1:7" hidden="1" x14ac:dyDescent="0.25">
      <c r="A290" s="6" t="s">
        <v>2492</v>
      </c>
      <c r="B290" s="28">
        <v>31173</v>
      </c>
      <c r="C290" s="14" t="s">
        <v>107</v>
      </c>
      <c r="D290" t="str">
        <f t="shared" si="12"/>
        <v>08.001.12.122.0001.2.011.3.3.90.39.00</v>
      </c>
      <c r="E290" t="str">
        <f>VLOOKUP(LEFT(A290,2),ConsolidadoLoa27_ATIVIDADES!A:I,9,0)</f>
        <v>08 - SECRETARIA DE EDUCAÇÃO</v>
      </c>
      <c r="F290" t="str">
        <f t="shared" si="13"/>
        <v>2.011</v>
      </c>
      <c r="G290" t="str">
        <f t="shared" si="14"/>
        <v>01.110.0000</v>
      </c>
    </row>
    <row r="291" spans="1:7" hidden="1" x14ac:dyDescent="0.25">
      <c r="A291" s="6" t="s">
        <v>2492</v>
      </c>
      <c r="B291" s="28">
        <v>51955</v>
      </c>
      <c r="C291" s="6" t="s">
        <v>106</v>
      </c>
      <c r="D291" t="str">
        <f t="shared" si="12"/>
        <v>08.001.12.122.0001.2.011.3.3.90.39.00</v>
      </c>
      <c r="E291" t="str">
        <f>VLOOKUP(LEFT(A291,2),ConsolidadoLoa27_ATIVIDADES!A:I,9,0)</f>
        <v>08 - SECRETARIA DE EDUCAÇÃO</v>
      </c>
      <c r="F291" t="str">
        <f t="shared" si="13"/>
        <v>2.011</v>
      </c>
      <c r="G291" t="str">
        <f t="shared" si="14"/>
        <v>01.110.0000</v>
      </c>
    </row>
    <row r="292" spans="1:7" hidden="1" x14ac:dyDescent="0.25">
      <c r="A292" s="6" t="s">
        <v>2492</v>
      </c>
      <c r="B292" s="28">
        <v>12469.2</v>
      </c>
      <c r="C292" s="6" t="s">
        <v>100</v>
      </c>
      <c r="D292" t="str">
        <f t="shared" si="12"/>
        <v>08.001.12.122.0001.2.011.3.3.90.39.00</v>
      </c>
      <c r="E292" t="str">
        <f>VLOOKUP(LEFT(A292,2),ConsolidadoLoa27_ATIVIDADES!A:I,9,0)</f>
        <v>08 - SECRETARIA DE EDUCAÇÃO</v>
      </c>
      <c r="F292" t="str">
        <f t="shared" si="13"/>
        <v>2.011</v>
      </c>
      <c r="G292" t="str">
        <f t="shared" si="14"/>
        <v>01.110.0000</v>
      </c>
    </row>
    <row r="293" spans="1:7" hidden="1" x14ac:dyDescent="0.25">
      <c r="A293" s="6" t="s">
        <v>2494</v>
      </c>
      <c r="B293" s="28">
        <v>1</v>
      </c>
      <c r="C293" s="14" t="s">
        <v>95</v>
      </c>
      <c r="D293" t="str">
        <f t="shared" si="12"/>
        <v>08.001.12.122.0001.2.011.3.3.90.39.00</v>
      </c>
      <c r="E293" t="str">
        <f>VLOOKUP(LEFT(A293,2),ConsolidadoLoa27_ATIVIDADES!A:I,9,0)</f>
        <v>08 - SECRETARIA DE EDUCAÇÃO</v>
      </c>
      <c r="F293" t="str">
        <f t="shared" si="13"/>
        <v>2.011</v>
      </c>
      <c r="G293" t="str">
        <f t="shared" si="14"/>
        <v>01.200.0000</v>
      </c>
    </row>
    <row r="294" spans="1:7" hidden="1" x14ac:dyDescent="0.25">
      <c r="A294" s="6" t="s">
        <v>2494</v>
      </c>
      <c r="B294" s="28">
        <v>84600</v>
      </c>
      <c r="C294" s="6" t="s">
        <v>2495</v>
      </c>
      <c r="D294" t="str">
        <f t="shared" si="12"/>
        <v>08.001.12.122.0001.2.011.3.3.90.39.00</v>
      </c>
      <c r="E294" t="str">
        <f>VLOOKUP(LEFT(A294,2),ConsolidadoLoa27_ATIVIDADES!A:I,9,0)</f>
        <v>08 - SECRETARIA DE EDUCAÇÃO</v>
      </c>
      <c r="F294" t="str">
        <f t="shared" si="13"/>
        <v>2.011</v>
      </c>
      <c r="G294" t="str">
        <f t="shared" si="14"/>
        <v>01.200.0000</v>
      </c>
    </row>
    <row r="295" spans="1:7" hidden="1" x14ac:dyDescent="0.25">
      <c r="A295" s="6" t="s">
        <v>2494</v>
      </c>
      <c r="B295" s="28">
        <v>27817.82</v>
      </c>
      <c r="C295" s="6" t="s">
        <v>2496</v>
      </c>
      <c r="D295" t="str">
        <f t="shared" si="12"/>
        <v>08.001.12.122.0001.2.011.3.3.90.39.00</v>
      </c>
      <c r="E295" t="str">
        <f>VLOOKUP(LEFT(A295,2),ConsolidadoLoa27_ATIVIDADES!A:I,9,0)</f>
        <v>08 - SECRETARIA DE EDUCAÇÃO</v>
      </c>
      <c r="F295" t="str">
        <f t="shared" si="13"/>
        <v>2.011</v>
      </c>
      <c r="G295" t="str">
        <f t="shared" si="14"/>
        <v>01.200.0000</v>
      </c>
    </row>
    <row r="296" spans="1:7" hidden="1" x14ac:dyDescent="0.25">
      <c r="A296" s="6" t="s">
        <v>2497</v>
      </c>
      <c r="B296" s="28">
        <v>103910</v>
      </c>
      <c r="C296" s="6" t="s">
        <v>2498</v>
      </c>
      <c r="D296" t="str">
        <f t="shared" si="12"/>
        <v>08.001.12.122.0001.2.011.4.4.90.52.00</v>
      </c>
      <c r="E296" t="str">
        <f>VLOOKUP(LEFT(A296,2),ConsolidadoLoa27_ATIVIDADES!A:I,9,0)</f>
        <v>08 - SECRETARIA DE EDUCAÇÃO</v>
      </c>
      <c r="F296" t="str">
        <f t="shared" si="13"/>
        <v>2.011</v>
      </c>
      <c r="G296" t="str">
        <f t="shared" si="14"/>
        <v>01.200.0000</v>
      </c>
    </row>
    <row r="297" spans="1:7" hidden="1" x14ac:dyDescent="0.25">
      <c r="A297" s="6" t="s">
        <v>2497</v>
      </c>
      <c r="B297" s="28">
        <v>55072.3</v>
      </c>
      <c r="C297" s="15" t="s">
        <v>2499</v>
      </c>
      <c r="D297" t="str">
        <f t="shared" si="12"/>
        <v>08.001.12.122.0001.2.011.4.4.90.52.00</v>
      </c>
      <c r="E297" t="str">
        <f>VLOOKUP(LEFT(A297,2),ConsolidadoLoa27_ATIVIDADES!A:I,9,0)</f>
        <v>08 - SECRETARIA DE EDUCAÇÃO</v>
      </c>
      <c r="F297" t="str">
        <f t="shared" si="13"/>
        <v>2.011</v>
      </c>
      <c r="G297" t="str">
        <f t="shared" si="14"/>
        <v>01.200.0000</v>
      </c>
    </row>
    <row r="298" spans="1:7" hidden="1" x14ac:dyDescent="0.25">
      <c r="A298" s="6" t="s">
        <v>2497</v>
      </c>
      <c r="B298" s="28">
        <v>103910</v>
      </c>
      <c r="C298" s="16" t="s">
        <v>2500</v>
      </c>
      <c r="D298" t="str">
        <f t="shared" si="12"/>
        <v>08.001.12.122.0001.2.011.4.4.90.52.00</v>
      </c>
      <c r="E298" t="str">
        <f>VLOOKUP(LEFT(A298,2),ConsolidadoLoa27_ATIVIDADES!A:I,9,0)</f>
        <v>08 - SECRETARIA DE EDUCAÇÃO</v>
      </c>
      <c r="F298" t="str">
        <f t="shared" si="13"/>
        <v>2.011</v>
      </c>
      <c r="G298" t="str">
        <f t="shared" si="14"/>
        <v>01.200.0000</v>
      </c>
    </row>
    <row r="299" spans="1:7" hidden="1" x14ac:dyDescent="0.25">
      <c r="A299" s="6" t="s">
        <v>2497</v>
      </c>
      <c r="B299" s="28">
        <v>87907.86</v>
      </c>
      <c r="C299" s="13" t="s">
        <v>2501</v>
      </c>
      <c r="D299" t="str">
        <f t="shared" si="12"/>
        <v>08.001.12.122.0001.2.011.4.4.90.52.00</v>
      </c>
      <c r="E299" t="str">
        <f>VLOOKUP(LEFT(A299,2),ConsolidadoLoa27_ATIVIDADES!A:I,9,0)</f>
        <v>08 - SECRETARIA DE EDUCAÇÃO</v>
      </c>
      <c r="F299" t="str">
        <f t="shared" si="13"/>
        <v>2.011</v>
      </c>
      <c r="G299" t="str">
        <f t="shared" si="14"/>
        <v>01.200.0000</v>
      </c>
    </row>
    <row r="300" spans="1:7" hidden="1" x14ac:dyDescent="0.25">
      <c r="A300" s="6" t="s">
        <v>2497</v>
      </c>
      <c r="B300" s="28">
        <v>1</v>
      </c>
      <c r="C300" s="6" t="s">
        <v>2502</v>
      </c>
      <c r="D300" t="str">
        <f t="shared" si="12"/>
        <v>08.001.12.122.0001.2.011.4.4.90.52.00</v>
      </c>
      <c r="E300" t="str">
        <f>VLOOKUP(LEFT(A300,2),ConsolidadoLoa27_ATIVIDADES!A:I,9,0)</f>
        <v>08 - SECRETARIA DE EDUCAÇÃO</v>
      </c>
      <c r="F300" t="str">
        <f t="shared" si="13"/>
        <v>2.011</v>
      </c>
      <c r="G300" t="str">
        <f t="shared" si="14"/>
        <v>01.200.0000</v>
      </c>
    </row>
    <row r="301" spans="1:7" hidden="1" x14ac:dyDescent="0.25">
      <c r="A301" s="6" t="s">
        <v>2503</v>
      </c>
      <c r="B301" s="28">
        <v>1</v>
      </c>
      <c r="C301" s="6" t="s">
        <v>318</v>
      </c>
      <c r="D301" t="str">
        <f t="shared" si="12"/>
        <v>08.001.12.122.0002.2.003.3.3.90.36.00</v>
      </c>
      <c r="E301" t="str">
        <f>VLOOKUP(LEFT(A301,2),ConsolidadoLoa27_ATIVIDADES!A:I,9,0)</f>
        <v>08 - SECRETARIA DE EDUCAÇÃO</v>
      </c>
      <c r="F301" t="str">
        <f t="shared" si="13"/>
        <v>2.003</v>
      </c>
      <c r="G301" t="str">
        <f t="shared" si="14"/>
        <v>01.200.0000</v>
      </c>
    </row>
    <row r="302" spans="1:7" hidden="1" x14ac:dyDescent="0.25">
      <c r="A302" s="6" t="s">
        <v>2504</v>
      </c>
      <c r="B302" s="28">
        <v>1</v>
      </c>
      <c r="C302" s="6" t="s">
        <v>318</v>
      </c>
      <c r="D302" t="str">
        <f t="shared" si="12"/>
        <v>08.001.12.122.0002.2.003.3.3.90.39.00</v>
      </c>
      <c r="E302" t="str">
        <f>VLOOKUP(LEFT(A302,2),ConsolidadoLoa27_ATIVIDADES!A:I,9,0)</f>
        <v>08 - SECRETARIA DE EDUCAÇÃO</v>
      </c>
      <c r="F302" t="str">
        <f t="shared" si="13"/>
        <v>2.003</v>
      </c>
      <c r="G302" t="str">
        <f t="shared" si="14"/>
        <v>01.200.0000</v>
      </c>
    </row>
    <row r="303" spans="1:7" hidden="1" x14ac:dyDescent="0.25">
      <c r="A303" s="6" t="s">
        <v>2505</v>
      </c>
      <c r="B303" s="28">
        <v>305495.40000000002</v>
      </c>
      <c r="C303" s="6" t="s">
        <v>2506</v>
      </c>
      <c r="D303" t="str">
        <f t="shared" si="12"/>
        <v>08.001.12.122.0002.2.005.3.3.90.31.00</v>
      </c>
      <c r="E303" t="str">
        <f>VLOOKUP(LEFT(A303,2),ConsolidadoLoa27_ATIVIDADES!A:I,9,0)</f>
        <v>08 - SECRETARIA DE EDUCAÇÃO</v>
      </c>
      <c r="F303" t="str">
        <f t="shared" si="13"/>
        <v>2.005</v>
      </c>
      <c r="G303" t="str">
        <f t="shared" si="14"/>
        <v>01.200.0000</v>
      </c>
    </row>
    <row r="304" spans="1:7" hidden="1" x14ac:dyDescent="0.25">
      <c r="A304" s="6" t="s">
        <v>2507</v>
      </c>
      <c r="B304" s="28">
        <v>0</v>
      </c>
      <c r="C304" s="6" t="s">
        <v>2508</v>
      </c>
      <c r="D304" t="str">
        <f t="shared" si="12"/>
        <v>08.001.12.122.0016.2.019.3.3.50.39.00</v>
      </c>
      <c r="E304" t="str">
        <f>VLOOKUP(LEFT(A304,2),ConsolidadoLoa27_ATIVIDADES!A:I,9,0)</f>
        <v>08 - SECRETARIA DE EDUCAÇÃO</v>
      </c>
      <c r="F304" t="str">
        <f t="shared" si="13"/>
        <v>2.019</v>
      </c>
      <c r="G304" t="str">
        <f t="shared" si="14"/>
        <v>08.110.0000</v>
      </c>
    </row>
    <row r="305" spans="1:7" hidden="1" x14ac:dyDescent="0.25">
      <c r="A305" s="6" t="s">
        <v>2509</v>
      </c>
      <c r="B305" s="28">
        <v>9197655.4399999995</v>
      </c>
      <c r="C305" s="6" t="s">
        <v>2510</v>
      </c>
      <c r="D305" t="str">
        <f t="shared" si="12"/>
        <v>08.001.12.122.0016.2.019.3.3.90.39.00</v>
      </c>
      <c r="E305" t="str">
        <f>VLOOKUP(LEFT(A305,2),ConsolidadoLoa27_ATIVIDADES!A:I,9,0)</f>
        <v>08 - SECRETARIA DE EDUCAÇÃO</v>
      </c>
      <c r="F305" t="str">
        <f t="shared" si="13"/>
        <v>2.019</v>
      </c>
      <c r="G305" t="str">
        <f t="shared" si="14"/>
        <v>01.200.0000</v>
      </c>
    </row>
    <row r="306" spans="1:7" hidden="1" x14ac:dyDescent="0.25">
      <c r="A306" s="6" t="s">
        <v>2511</v>
      </c>
      <c r="B306" s="28">
        <v>3333298.01</v>
      </c>
      <c r="C306" s="6" t="s">
        <v>2512</v>
      </c>
      <c r="D306" t="str">
        <f t="shared" si="12"/>
        <v>08.001.12.122.0016.2.023.3.3.50.39.00</v>
      </c>
      <c r="E306" t="str">
        <f>VLOOKUP(LEFT(A306,2),ConsolidadoLoa27_ATIVIDADES!A:I,9,0)</f>
        <v>08 - SECRETARIA DE EDUCAÇÃO</v>
      </c>
      <c r="F306" t="str">
        <f t="shared" si="13"/>
        <v>2.023</v>
      </c>
      <c r="G306" t="str">
        <f t="shared" si="14"/>
        <v>01.110.0000</v>
      </c>
    </row>
    <row r="307" spans="1:7" hidden="1" x14ac:dyDescent="0.25">
      <c r="A307" s="6" t="s">
        <v>2511</v>
      </c>
      <c r="B307" s="28">
        <v>3509573.51</v>
      </c>
      <c r="C307" s="6" t="s">
        <v>2513</v>
      </c>
      <c r="D307" t="str">
        <f t="shared" si="12"/>
        <v>08.001.12.122.0016.2.023.3.3.50.39.00</v>
      </c>
      <c r="E307" t="str">
        <f>VLOOKUP(LEFT(A307,2),ConsolidadoLoa27_ATIVIDADES!A:I,9,0)</f>
        <v>08 - SECRETARIA DE EDUCAÇÃO</v>
      </c>
      <c r="F307" t="str">
        <f t="shared" si="13"/>
        <v>2.023</v>
      </c>
      <c r="G307" t="str">
        <f t="shared" si="14"/>
        <v>01.110.0000</v>
      </c>
    </row>
    <row r="308" spans="1:7" hidden="1" x14ac:dyDescent="0.25">
      <c r="A308" s="6" t="s">
        <v>2514</v>
      </c>
      <c r="B308" s="28">
        <v>833323.8</v>
      </c>
      <c r="C308" s="6" t="s">
        <v>2512</v>
      </c>
      <c r="D308" t="str">
        <f t="shared" si="12"/>
        <v>08.001.12.122.0016.2.023.4.4.50.39.00</v>
      </c>
      <c r="E308" t="str">
        <f>VLOOKUP(LEFT(A308,2),ConsolidadoLoa27_ATIVIDADES!A:I,9,0)</f>
        <v>08 - SECRETARIA DE EDUCAÇÃO</v>
      </c>
      <c r="F308" t="str">
        <f t="shared" si="13"/>
        <v>2.023</v>
      </c>
      <c r="G308" t="str">
        <f t="shared" si="14"/>
        <v>01.110.0000</v>
      </c>
    </row>
    <row r="309" spans="1:7" hidden="1" x14ac:dyDescent="0.25">
      <c r="A309" s="6" t="s">
        <v>2514</v>
      </c>
      <c r="B309" s="28">
        <v>877394.11</v>
      </c>
      <c r="C309" s="6" t="s">
        <v>2513</v>
      </c>
      <c r="D309" t="str">
        <f t="shared" si="12"/>
        <v>08.001.12.122.0016.2.023.4.4.50.39.00</v>
      </c>
      <c r="E309" t="str">
        <f>VLOOKUP(LEFT(A309,2),ConsolidadoLoa27_ATIVIDADES!A:I,9,0)</f>
        <v>08 - SECRETARIA DE EDUCAÇÃO</v>
      </c>
      <c r="F309" t="str">
        <f t="shared" si="13"/>
        <v>2.023</v>
      </c>
      <c r="G309" t="str">
        <f t="shared" si="14"/>
        <v>01.110.0000</v>
      </c>
    </row>
    <row r="310" spans="1:7" hidden="1" x14ac:dyDescent="0.25">
      <c r="A310" s="6" t="s">
        <v>2515</v>
      </c>
      <c r="B310" s="28">
        <v>1246920</v>
      </c>
      <c r="C310" s="6" t="s">
        <v>2516</v>
      </c>
      <c r="D310" t="str">
        <f t="shared" si="12"/>
        <v>08.001.12.306.0016.2.011.3.3.90.30.00</v>
      </c>
      <c r="E310" t="str">
        <f>VLOOKUP(LEFT(A310,2),ConsolidadoLoa27_ATIVIDADES!A:I,9,0)</f>
        <v>08 - SECRETARIA DE EDUCAÇÃO</v>
      </c>
      <c r="F310" t="str">
        <f t="shared" si="13"/>
        <v>2.011</v>
      </c>
      <c r="G310" t="str">
        <f t="shared" si="14"/>
        <v>01.110.0000</v>
      </c>
    </row>
    <row r="311" spans="1:7" hidden="1" x14ac:dyDescent="0.25">
      <c r="A311" s="6" t="s">
        <v>2517</v>
      </c>
      <c r="B311" s="28">
        <v>467595</v>
      </c>
      <c r="C311" s="6" t="s">
        <v>2288</v>
      </c>
      <c r="D311" t="str">
        <f t="shared" si="12"/>
        <v>08.001.12.306.0016.2.011.3.3.90.39.00</v>
      </c>
      <c r="E311" t="str">
        <f>VLOOKUP(LEFT(A311,2),ConsolidadoLoa27_ATIVIDADES!A:I,9,0)</f>
        <v>08 - SECRETARIA DE EDUCAÇÃO</v>
      </c>
      <c r="F311" t="str">
        <f t="shared" si="13"/>
        <v>2.011</v>
      </c>
      <c r="G311" t="str">
        <f t="shared" si="14"/>
        <v>01.110.0000</v>
      </c>
    </row>
    <row r="312" spans="1:7" hidden="1" x14ac:dyDescent="0.25">
      <c r="A312" s="6" t="s">
        <v>2518</v>
      </c>
      <c r="B312" s="28">
        <v>311730</v>
      </c>
      <c r="C312" s="6" t="s">
        <v>2288</v>
      </c>
      <c r="D312" t="str">
        <f t="shared" si="12"/>
        <v>08.001.12.306.0016.2.011.3.3.90.39.00</v>
      </c>
      <c r="E312" t="str">
        <f>VLOOKUP(LEFT(A312,2),ConsolidadoLoa27_ATIVIDADES!A:I,9,0)</f>
        <v>08 - SECRETARIA DE EDUCAÇÃO</v>
      </c>
      <c r="F312" t="str">
        <f t="shared" si="13"/>
        <v>2.011</v>
      </c>
      <c r="G312" t="str">
        <f t="shared" si="14"/>
        <v>01.200.0000</v>
      </c>
    </row>
    <row r="313" spans="1:7" hidden="1" x14ac:dyDescent="0.25">
      <c r="A313" s="6" t="s">
        <v>2519</v>
      </c>
      <c r="B313" s="28">
        <v>519550</v>
      </c>
      <c r="C313" s="6" t="s">
        <v>2520</v>
      </c>
      <c r="D313" t="str">
        <f t="shared" si="12"/>
        <v>08.001.12.306.0016.2.011.4.4.90.52.00</v>
      </c>
      <c r="E313" t="str">
        <f>VLOOKUP(LEFT(A313,2),ConsolidadoLoa27_ATIVIDADES!A:I,9,0)</f>
        <v>08 - SECRETARIA DE EDUCAÇÃO</v>
      </c>
      <c r="F313" t="str">
        <f t="shared" si="13"/>
        <v>2.011</v>
      </c>
      <c r="G313" t="str">
        <f t="shared" si="14"/>
        <v>01.110.0000</v>
      </c>
    </row>
    <row r="314" spans="1:7" hidden="1" x14ac:dyDescent="0.25">
      <c r="A314" s="6" t="s">
        <v>2521</v>
      </c>
      <c r="B314" s="28">
        <v>68808953.25</v>
      </c>
      <c r="C314" s="6" t="s">
        <v>2522</v>
      </c>
      <c r="D314" t="str">
        <f t="shared" si="12"/>
        <v>08.001.12.306.0016.2.017.3.3.90.30.00</v>
      </c>
      <c r="E314" t="str">
        <f>VLOOKUP(LEFT(A314,2),ConsolidadoLoa27_ATIVIDADES!A:I,9,0)</f>
        <v>08 - SECRETARIA DE EDUCAÇÃO</v>
      </c>
      <c r="F314" t="str">
        <f t="shared" si="13"/>
        <v>2.017</v>
      </c>
      <c r="G314" t="str">
        <f t="shared" si="14"/>
        <v>01.110.0000</v>
      </c>
    </row>
    <row r="315" spans="1:7" hidden="1" x14ac:dyDescent="0.25">
      <c r="A315" s="6" t="s">
        <v>2521</v>
      </c>
      <c r="B315" s="28">
        <v>25579328.59</v>
      </c>
      <c r="C315" s="17" t="s">
        <v>2523</v>
      </c>
      <c r="D315" t="str">
        <f t="shared" si="12"/>
        <v>08.001.12.306.0016.2.017.3.3.90.30.00</v>
      </c>
      <c r="E315" t="str">
        <f>VLOOKUP(LEFT(A315,2),ConsolidadoLoa27_ATIVIDADES!A:I,9,0)</f>
        <v>08 - SECRETARIA DE EDUCAÇÃO</v>
      </c>
      <c r="F315" t="str">
        <f t="shared" si="13"/>
        <v>2.017</v>
      </c>
      <c r="G315" t="str">
        <f t="shared" si="14"/>
        <v>01.110.0000</v>
      </c>
    </row>
    <row r="316" spans="1:7" hidden="1" x14ac:dyDescent="0.25">
      <c r="A316" s="6" t="s">
        <v>2521</v>
      </c>
      <c r="B316" s="28">
        <v>15663692.92</v>
      </c>
      <c r="C316" s="17" t="s">
        <v>2524</v>
      </c>
      <c r="D316" t="str">
        <f t="shared" si="12"/>
        <v>08.001.12.306.0016.2.017.3.3.90.30.00</v>
      </c>
      <c r="E316" t="str">
        <f>VLOOKUP(LEFT(A316,2),ConsolidadoLoa27_ATIVIDADES!A:I,9,0)</f>
        <v>08 - SECRETARIA DE EDUCAÇÃO</v>
      </c>
      <c r="F316" t="str">
        <f t="shared" si="13"/>
        <v>2.017</v>
      </c>
      <c r="G316" t="str">
        <f t="shared" si="14"/>
        <v>01.110.0000</v>
      </c>
    </row>
    <row r="317" spans="1:7" hidden="1" x14ac:dyDescent="0.25">
      <c r="A317" s="6" t="s">
        <v>2521</v>
      </c>
      <c r="B317" s="28">
        <v>31638739.289999999</v>
      </c>
      <c r="C317" s="6" t="s">
        <v>2525</v>
      </c>
      <c r="D317" t="str">
        <f t="shared" si="12"/>
        <v>08.001.12.306.0016.2.017.3.3.90.30.00</v>
      </c>
      <c r="E317" t="str">
        <f>VLOOKUP(LEFT(A317,2),ConsolidadoLoa27_ATIVIDADES!A:I,9,0)</f>
        <v>08 - SECRETARIA DE EDUCAÇÃO</v>
      </c>
      <c r="F317" t="str">
        <f t="shared" si="13"/>
        <v>2.017</v>
      </c>
      <c r="G317" t="str">
        <f t="shared" si="14"/>
        <v>01.110.0000</v>
      </c>
    </row>
    <row r="318" spans="1:7" hidden="1" x14ac:dyDescent="0.25">
      <c r="A318" s="6" t="s">
        <v>2521</v>
      </c>
      <c r="B318" s="28">
        <v>5339868.49</v>
      </c>
      <c r="C318" s="6" t="s">
        <v>2526</v>
      </c>
      <c r="D318" t="str">
        <f t="shared" si="12"/>
        <v>08.001.12.306.0016.2.017.3.3.90.30.00</v>
      </c>
      <c r="E318" t="str">
        <f>VLOOKUP(LEFT(A318,2),ConsolidadoLoa27_ATIVIDADES!A:I,9,0)</f>
        <v>08 - SECRETARIA DE EDUCAÇÃO</v>
      </c>
      <c r="F318" t="str">
        <f t="shared" si="13"/>
        <v>2.017</v>
      </c>
      <c r="G318" t="str">
        <f t="shared" si="14"/>
        <v>01.110.0000</v>
      </c>
    </row>
    <row r="319" spans="1:7" hidden="1" x14ac:dyDescent="0.25">
      <c r="A319" s="6" t="s">
        <v>2527</v>
      </c>
      <c r="B319" s="28">
        <v>6160131.5099999998</v>
      </c>
      <c r="C319" s="6" t="s">
        <v>2526</v>
      </c>
      <c r="D319" t="str">
        <f t="shared" si="12"/>
        <v>08.001.12.306.0016.2.017.3.3.90.30.00</v>
      </c>
      <c r="E319" t="str">
        <f>VLOOKUP(LEFT(A319,2),ConsolidadoLoa27_ATIVIDADES!A:I,9,0)</f>
        <v>08 - SECRETARIA DE EDUCAÇÃO</v>
      </c>
      <c r="F319" t="str">
        <f t="shared" si="13"/>
        <v>2.017</v>
      </c>
      <c r="G319" t="str">
        <f t="shared" si="14"/>
        <v>05.200.0002</v>
      </c>
    </row>
    <row r="320" spans="1:7" hidden="1" x14ac:dyDescent="0.25">
      <c r="A320" s="6" t="s">
        <v>2528</v>
      </c>
      <c r="B320" s="28">
        <v>7100229.3899999997</v>
      </c>
      <c r="C320" s="6" t="s">
        <v>2522</v>
      </c>
      <c r="D320" t="str">
        <f t="shared" si="12"/>
        <v>08.001.12.306.0016.2.017.3.3.90.30.00</v>
      </c>
      <c r="E320" t="str">
        <f>VLOOKUP(LEFT(A320,2),ConsolidadoLoa27_ATIVIDADES!A:I,9,0)</f>
        <v>08 - SECRETARIA DE EDUCAÇÃO</v>
      </c>
      <c r="F320" t="str">
        <f t="shared" si="13"/>
        <v>2.017</v>
      </c>
      <c r="G320" t="str">
        <f t="shared" si="14"/>
        <v>05.200.0003</v>
      </c>
    </row>
    <row r="321" spans="1:7" hidden="1" x14ac:dyDescent="0.25">
      <c r="A321" s="6" t="s">
        <v>2528</v>
      </c>
      <c r="B321" s="28">
        <v>5896850.29</v>
      </c>
      <c r="C321" s="6" t="s">
        <v>2523</v>
      </c>
      <c r="D321" t="str">
        <f t="shared" si="12"/>
        <v>08.001.12.306.0016.2.017.3.3.90.30.00</v>
      </c>
      <c r="E321" t="str">
        <f>VLOOKUP(LEFT(A321,2),ConsolidadoLoa27_ATIVIDADES!A:I,9,0)</f>
        <v>08 - SECRETARIA DE EDUCAÇÃO</v>
      </c>
      <c r="F321" t="str">
        <f t="shared" si="13"/>
        <v>2.017</v>
      </c>
      <c r="G321" t="str">
        <f t="shared" si="14"/>
        <v>05.200.0003</v>
      </c>
    </row>
    <row r="322" spans="1:7" hidden="1" x14ac:dyDescent="0.25">
      <c r="A322" s="6" t="s">
        <v>2528</v>
      </c>
      <c r="B322" s="28">
        <v>1887324.58</v>
      </c>
      <c r="C322" s="6" t="s">
        <v>2524</v>
      </c>
      <c r="D322" t="str">
        <f t="shared" si="12"/>
        <v>08.001.12.306.0016.2.017.3.3.90.30.00</v>
      </c>
      <c r="E322" t="str">
        <f>VLOOKUP(LEFT(A322,2),ConsolidadoLoa27_ATIVIDADES!A:I,9,0)</f>
        <v>08 - SECRETARIA DE EDUCAÇÃO</v>
      </c>
      <c r="F322" t="str">
        <f t="shared" si="13"/>
        <v>2.017</v>
      </c>
      <c r="G322" t="str">
        <f t="shared" si="14"/>
        <v>05.200.0003</v>
      </c>
    </row>
    <row r="323" spans="1:7" hidden="1" x14ac:dyDescent="0.25">
      <c r="A323" s="6" t="s">
        <v>2528</v>
      </c>
      <c r="B323" s="28">
        <v>3722725.71</v>
      </c>
      <c r="C323" s="6" t="s">
        <v>2525</v>
      </c>
      <c r="D323" t="str">
        <f t="shared" ref="D323:D386" si="15">_xlfn.CONCAT(LEFT(A323,34),".00")</f>
        <v>08.001.12.306.0016.2.017.3.3.90.30.00</v>
      </c>
      <c r="E323" t="str">
        <f>VLOOKUP(LEFT(A323,2),ConsolidadoLoa27_ATIVIDADES!A:I,9,0)</f>
        <v>08 - SECRETARIA DE EDUCAÇÃO</v>
      </c>
      <c r="F323" t="str">
        <f t="shared" ref="F323:F386" si="16">MID(A323,20,5)</f>
        <v>2.017</v>
      </c>
      <c r="G323" t="str">
        <f t="shared" ref="G323:G386" si="17">RIGHT(A323,11)</f>
        <v>05.200.0003</v>
      </c>
    </row>
    <row r="324" spans="1:7" hidden="1" x14ac:dyDescent="0.25">
      <c r="A324" s="6" t="s">
        <v>2529</v>
      </c>
      <c r="B324" s="28">
        <v>4.3</v>
      </c>
      <c r="C324" s="6" t="s">
        <v>847</v>
      </c>
      <c r="D324" t="str">
        <f t="shared" si="15"/>
        <v>08.001.12.361.0001.2.001.3.1.90.11.00</v>
      </c>
      <c r="E324" t="str">
        <f>VLOOKUP(LEFT(A324,2),ConsolidadoLoa27_ATIVIDADES!A:I,9,0)</f>
        <v>08 - SECRETARIA DE EDUCAÇÃO</v>
      </c>
      <c r="F324" t="str">
        <f t="shared" si="16"/>
        <v>2.001</v>
      </c>
      <c r="G324" t="str">
        <f t="shared" si="17"/>
        <v>01.110.0000</v>
      </c>
    </row>
    <row r="325" spans="1:7" hidden="1" x14ac:dyDescent="0.25">
      <c r="A325" s="6" t="s">
        <v>2530</v>
      </c>
      <c r="B325" s="28">
        <v>278628612.56</v>
      </c>
      <c r="C325" s="6" t="s">
        <v>847</v>
      </c>
      <c r="D325" t="str">
        <f t="shared" si="15"/>
        <v>08.001.12.361.0001.2.001.3.1.90.11.00</v>
      </c>
      <c r="E325" t="str">
        <f>VLOOKUP(LEFT(A325,2),ConsolidadoLoa27_ATIVIDADES!A:I,9,0)</f>
        <v>08 - SECRETARIA DE EDUCAÇÃO</v>
      </c>
      <c r="F325" t="str">
        <f t="shared" si="16"/>
        <v>2.001</v>
      </c>
      <c r="G325" t="str">
        <f t="shared" si="17"/>
        <v>01.200.0000</v>
      </c>
    </row>
    <row r="326" spans="1:7" hidden="1" x14ac:dyDescent="0.25">
      <c r="A326" s="6" t="s">
        <v>2531</v>
      </c>
      <c r="B326" s="28">
        <v>59311185.869999997</v>
      </c>
      <c r="C326" s="6" t="s">
        <v>847</v>
      </c>
      <c r="D326" t="str">
        <f t="shared" si="15"/>
        <v>08.001.12.361.0001.2.001.3.1.90.11.00</v>
      </c>
      <c r="E326" t="str">
        <f>VLOOKUP(LEFT(A326,2),ConsolidadoLoa27_ATIVIDADES!A:I,9,0)</f>
        <v>08 - SECRETARIA DE EDUCAÇÃO</v>
      </c>
      <c r="F326" t="str">
        <f t="shared" si="16"/>
        <v>2.001</v>
      </c>
      <c r="G326" t="str">
        <f t="shared" si="17"/>
        <v>02.261.0000</v>
      </c>
    </row>
    <row r="327" spans="1:7" hidden="1" x14ac:dyDescent="0.25">
      <c r="A327" s="6" t="s">
        <v>2532</v>
      </c>
      <c r="B327" s="28">
        <v>23373511.02</v>
      </c>
      <c r="C327" s="6" t="s">
        <v>847</v>
      </c>
      <c r="D327" t="str">
        <f t="shared" si="15"/>
        <v>08.001.12.361.0001.2.001.3.1.90.11.00</v>
      </c>
      <c r="E327" t="str">
        <f>VLOOKUP(LEFT(A327,2),ConsolidadoLoa27_ATIVIDADES!A:I,9,0)</f>
        <v>08 - SECRETARIA DE EDUCAÇÃO</v>
      </c>
      <c r="F327" t="str">
        <f t="shared" si="16"/>
        <v>2.001</v>
      </c>
      <c r="G327" t="str">
        <f t="shared" si="17"/>
        <v>02.262.0000</v>
      </c>
    </row>
    <row r="328" spans="1:7" hidden="1" x14ac:dyDescent="0.25">
      <c r="A328" s="6" t="s">
        <v>2533</v>
      </c>
      <c r="B328" s="28">
        <v>0</v>
      </c>
      <c r="C328" s="6" t="s">
        <v>847</v>
      </c>
      <c r="D328" t="str">
        <f t="shared" si="15"/>
        <v>08.001.12.361.0001.2.001.3.1.90.13.00</v>
      </c>
      <c r="E328" t="str">
        <f>VLOOKUP(LEFT(A328,2),ConsolidadoLoa27_ATIVIDADES!A:I,9,0)</f>
        <v>08 - SECRETARIA DE EDUCAÇÃO</v>
      </c>
      <c r="F328" t="str">
        <f t="shared" si="16"/>
        <v>2.001</v>
      </c>
      <c r="G328" t="str">
        <f t="shared" si="17"/>
        <v>01.200.0000</v>
      </c>
    </row>
    <row r="329" spans="1:7" hidden="1" x14ac:dyDescent="0.25">
      <c r="A329" s="6" t="s">
        <v>2534</v>
      </c>
      <c r="B329" s="28">
        <v>3.22</v>
      </c>
      <c r="C329" s="6" t="s">
        <v>847</v>
      </c>
      <c r="D329" t="str">
        <f t="shared" si="15"/>
        <v>08.001.12.361.0001.2.001.3.1.90.13.00</v>
      </c>
      <c r="E329" t="str">
        <f>VLOOKUP(LEFT(A329,2),ConsolidadoLoa27_ATIVIDADES!A:I,9,0)</f>
        <v>08 - SECRETARIA DE EDUCAÇÃO</v>
      </c>
      <c r="F329" t="str">
        <f t="shared" si="16"/>
        <v>2.001</v>
      </c>
      <c r="G329" t="str">
        <f t="shared" si="17"/>
        <v>02.261.0000</v>
      </c>
    </row>
    <row r="330" spans="1:7" hidden="1" x14ac:dyDescent="0.25">
      <c r="A330" s="6" t="s">
        <v>2535</v>
      </c>
      <c r="B330" s="28">
        <v>3.22</v>
      </c>
      <c r="C330" s="6" t="s">
        <v>847</v>
      </c>
      <c r="D330" t="str">
        <f t="shared" si="15"/>
        <v>08.001.12.361.0001.2.001.3.1.90.13.00</v>
      </c>
      <c r="E330" t="str">
        <f>VLOOKUP(LEFT(A330,2),ConsolidadoLoa27_ATIVIDADES!A:I,9,0)</f>
        <v>08 - SECRETARIA DE EDUCAÇÃO</v>
      </c>
      <c r="F330" t="str">
        <f t="shared" si="16"/>
        <v>2.001</v>
      </c>
      <c r="G330" t="str">
        <f t="shared" si="17"/>
        <v>02.262.0000</v>
      </c>
    </row>
    <row r="331" spans="1:7" hidden="1" x14ac:dyDescent="0.25">
      <c r="A331" s="6" t="s">
        <v>2536</v>
      </c>
      <c r="B331" s="28">
        <v>1.07</v>
      </c>
      <c r="C331" s="12" t="s">
        <v>847</v>
      </c>
      <c r="D331" t="str">
        <f t="shared" si="15"/>
        <v>08.001.12.361.0001.2.001.3.1.91.13.00</v>
      </c>
      <c r="E331" t="str">
        <f>VLOOKUP(LEFT(A331,2),ConsolidadoLoa27_ATIVIDADES!A:I,9,0)</f>
        <v>08 - SECRETARIA DE EDUCAÇÃO</v>
      </c>
      <c r="F331" t="str">
        <f t="shared" si="16"/>
        <v>2.001</v>
      </c>
      <c r="G331" t="str">
        <f t="shared" si="17"/>
        <v>01.110.0000</v>
      </c>
    </row>
    <row r="332" spans="1:7" hidden="1" x14ac:dyDescent="0.25">
      <c r="A332" s="6" t="s">
        <v>2537</v>
      </c>
      <c r="B332" s="28">
        <v>66109640.770000003</v>
      </c>
      <c r="C332" s="12" t="s">
        <v>847</v>
      </c>
      <c r="D332" t="str">
        <f t="shared" si="15"/>
        <v>08.001.12.361.0001.2.001.3.1.91.13.00</v>
      </c>
      <c r="E332" t="str">
        <f>VLOOKUP(LEFT(A332,2),ConsolidadoLoa27_ATIVIDADES!A:I,9,0)</f>
        <v>08 - SECRETARIA DE EDUCAÇÃO</v>
      </c>
      <c r="F332" t="str">
        <f t="shared" si="16"/>
        <v>2.001</v>
      </c>
      <c r="G332" t="str">
        <f t="shared" si="17"/>
        <v>01.200.0000</v>
      </c>
    </row>
    <row r="333" spans="1:7" hidden="1" x14ac:dyDescent="0.25">
      <c r="A333" s="6" t="s">
        <v>2538</v>
      </c>
      <c r="B333" s="28">
        <v>34721289.729999997</v>
      </c>
      <c r="C333" s="6" t="s">
        <v>2278</v>
      </c>
      <c r="D333" t="str">
        <f t="shared" si="15"/>
        <v>08.001.12.361.0001.2.001.3.3.90.46.00</v>
      </c>
      <c r="E333" t="str">
        <f>VLOOKUP(LEFT(A333,2),ConsolidadoLoa27_ATIVIDADES!A:I,9,0)</f>
        <v>08 - SECRETARIA DE EDUCAÇÃO</v>
      </c>
      <c r="F333" t="str">
        <f t="shared" si="16"/>
        <v>2.001</v>
      </c>
      <c r="G333" t="str">
        <f t="shared" si="17"/>
        <v>01.200.0000</v>
      </c>
    </row>
    <row r="334" spans="1:7" hidden="1" x14ac:dyDescent="0.25">
      <c r="A334" s="6" t="s">
        <v>2539</v>
      </c>
      <c r="B334" s="28">
        <v>5.37</v>
      </c>
      <c r="C334" s="17" t="s">
        <v>2278</v>
      </c>
      <c r="D334" t="str">
        <f t="shared" si="15"/>
        <v>08.001.12.361.0001.2.001.3.3.90.46.00</v>
      </c>
      <c r="E334" t="str">
        <f>VLOOKUP(LEFT(A334,2),ConsolidadoLoa27_ATIVIDADES!A:I,9,0)</f>
        <v>08 - SECRETARIA DE EDUCAÇÃO</v>
      </c>
      <c r="F334" t="str">
        <f t="shared" si="16"/>
        <v>2.001</v>
      </c>
      <c r="G334" t="str">
        <f t="shared" si="17"/>
        <v>02.262.0000</v>
      </c>
    </row>
    <row r="335" spans="1:7" hidden="1" x14ac:dyDescent="0.25">
      <c r="A335" s="6" t="s">
        <v>2540</v>
      </c>
      <c r="B335" s="28">
        <v>6055417.4299999997</v>
      </c>
      <c r="C335" s="17" t="s">
        <v>2280</v>
      </c>
      <c r="D335" t="str">
        <f t="shared" si="15"/>
        <v>08.001.12.361.0001.2.001.3.3.90.49.00</v>
      </c>
      <c r="E335" t="str">
        <f>VLOOKUP(LEFT(A335,2),ConsolidadoLoa27_ATIVIDADES!A:I,9,0)</f>
        <v>08 - SECRETARIA DE EDUCAÇÃO</v>
      </c>
      <c r="F335" t="str">
        <f t="shared" si="16"/>
        <v>2.001</v>
      </c>
      <c r="G335" t="str">
        <f t="shared" si="17"/>
        <v>01.200.0000</v>
      </c>
    </row>
    <row r="336" spans="1:7" hidden="1" x14ac:dyDescent="0.25">
      <c r="A336" s="6" t="s">
        <v>2541</v>
      </c>
      <c r="B336" s="28">
        <v>159855.144</v>
      </c>
      <c r="C336" s="17" t="s">
        <v>198</v>
      </c>
      <c r="D336" t="str">
        <f t="shared" si="15"/>
        <v>08.001.12.361.0002.2.005.3.3.90.39.00</v>
      </c>
      <c r="E336" t="str">
        <f>VLOOKUP(LEFT(A336,2),ConsolidadoLoa27_ATIVIDADES!A:I,9,0)</f>
        <v>08 - SECRETARIA DE EDUCAÇÃO</v>
      </c>
      <c r="F336" t="str">
        <f t="shared" si="16"/>
        <v>2.005</v>
      </c>
      <c r="G336" t="str">
        <f t="shared" si="17"/>
        <v>01.200.0000</v>
      </c>
    </row>
    <row r="337" spans="1:7" hidden="1" x14ac:dyDescent="0.25">
      <c r="A337" s="6" t="s">
        <v>2542</v>
      </c>
      <c r="B337" s="28">
        <v>0</v>
      </c>
      <c r="C337" s="16" t="s">
        <v>2293</v>
      </c>
      <c r="D337" t="str">
        <f t="shared" si="15"/>
        <v>08.001.12.361.0002.2.005.3.3.90.39.00</v>
      </c>
      <c r="E337" t="str">
        <f>VLOOKUP(LEFT(A337,2),ConsolidadoLoa27_ATIVIDADES!A:I,9,0)</f>
        <v>08 - SECRETARIA DE EDUCAÇÃO</v>
      </c>
      <c r="F337" t="str">
        <f t="shared" si="16"/>
        <v>2.005</v>
      </c>
      <c r="G337" t="str">
        <f t="shared" si="17"/>
        <v>01.110.0000</v>
      </c>
    </row>
    <row r="338" spans="1:7" hidden="1" x14ac:dyDescent="0.25">
      <c r="A338" s="6" t="s">
        <v>2541</v>
      </c>
      <c r="B338" s="28">
        <v>768799.21020000009</v>
      </c>
      <c r="C338" s="16" t="s">
        <v>2293</v>
      </c>
      <c r="D338" t="str">
        <f t="shared" si="15"/>
        <v>08.001.12.361.0002.2.005.3.3.90.39.00</v>
      </c>
      <c r="E338" t="str">
        <f>VLOOKUP(LEFT(A338,2),ConsolidadoLoa27_ATIVIDADES!A:I,9,0)</f>
        <v>08 - SECRETARIA DE EDUCAÇÃO</v>
      </c>
      <c r="F338" t="str">
        <f t="shared" si="16"/>
        <v>2.005</v>
      </c>
      <c r="G338" t="str">
        <f t="shared" si="17"/>
        <v>01.200.0000</v>
      </c>
    </row>
    <row r="339" spans="1:7" hidden="1" x14ac:dyDescent="0.25">
      <c r="A339" s="6" t="s">
        <v>2541</v>
      </c>
      <c r="B339" s="28">
        <v>3859987.3731</v>
      </c>
      <c r="C339" s="16" t="s">
        <v>196</v>
      </c>
      <c r="D339" t="str">
        <f t="shared" si="15"/>
        <v>08.001.12.361.0002.2.005.3.3.90.39.00</v>
      </c>
      <c r="E339" t="str">
        <f>VLOOKUP(LEFT(A339,2),ConsolidadoLoa27_ATIVIDADES!A:I,9,0)</f>
        <v>08 - SECRETARIA DE EDUCAÇÃO</v>
      </c>
      <c r="F339" t="str">
        <f t="shared" si="16"/>
        <v>2.005</v>
      </c>
      <c r="G339" t="str">
        <f t="shared" si="17"/>
        <v>01.200.0000</v>
      </c>
    </row>
    <row r="340" spans="1:7" hidden="1" x14ac:dyDescent="0.25">
      <c r="A340" s="6" t="s">
        <v>2543</v>
      </c>
      <c r="B340" s="28">
        <v>17720015</v>
      </c>
      <c r="C340" s="16" t="s">
        <v>2544</v>
      </c>
      <c r="D340" t="str">
        <f t="shared" si="15"/>
        <v>08.001.12.361.0002.2.007.3.3.90.40.00</v>
      </c>
      <c r="E340" t="str">
        <f>VLOOKUP(LEFT(A340,2),ConsolidadoLoa27_ATIVIDADES!A:I,9,0)</f>
        <v>08 - SECRETARIA DE EDUCAÇÃO</v>
      </c>
      <c r="F340" t="str">
        <f t="shared" si="16"/>
        <v>2.007</v>
      </c>
      <c r="G340" t="str">
        <f t="shared" si="17"/>
        <v>01.200.0000</v>
      </c>
    </row>
    <row r="341" spans="1:7" hidden="1" x14ac:dyDescent="0.25">
      <c r="A341" s="6" t="s">
        <v>2543</v>
      </c>
      <c r="B341" s="28">
        <v>6800000</v>
      </c>
      <c r="C341" s="16" t="s">
        <v>2545</v>
      </c>
      <c r="D341" t="str">
        <f t="shared" si="15"/>
        <v>08.001.12.361.0002.2.007.3.3.90.40.00</v>
      </c>
      <c r="E341" t="str">
        <f>VLOOKUP(LEFT(A341,2),ConsolidadoLoa27_ATIVIDADES!A:I,9,0)</f>
        <v>08 - SECRETARIA DE EDUCAÇÃO</v>
      </c>
      <c r="F341" t="str">
        <f t="shared" si="16"/>
        <v>2.007</v>
      </c>
      <c r="G341" t="str">
        <f t="shared" si="17"/>
        <v>01.200.0000</v>
      </c>
    </row>
    <row r="342" spans="1:7" hidden="1" x14ac:dyDescent="0.25">
      <c r="A342" s="6" t="s">
        <v>2546</v>
      </c>
      <c r="B342" s="28">
        <v>1</v>
      </c>
      <c r="C342" s="17" t="s">
        <v>2547</v>
      </c>
      <c r="D342" t="str">
        <f t="shared" si="15"/>
        <v>08.001.12.361.0016.1.002.3.3.90.39.00</v>
      </c>
      <c r="E342" t="str">
        <f>VLOOKUP(LEFT(A342,2),ConsolidadoLoa27_ATIVIDADES!A:I,9,0)</f>
        <v>08 - SECRETARIA DE EDUCAÇÃO</v>
      </c>
      <c r="F342" t="str">
        <f t="shared" si="16"/>
        <v>1.002</v>
      </c>
      <c r="G342" t="str">
        <f t="shared" si="17"/>
        <v>01.110.0000</v>
      </c>
    </row>
    <row r="343" spans="1:7" hidden="1" x14ac:dyDescent="0.25">
      <c r="A343" s="6" t="s">
        <v>2546</v>
      </c>
      <c r="B343" s="28">
        <v>1</v>
      </c>
      <c r="C343" s="17" t="s">
        <v>2548</v>
      </c>
      <c r="D343" t="str">
        <f t="shared" si="15"/>
        <v>08.001.12.361.0016.1.002.3.3.90.39.00</v>
      </c>
      <c r="E343" t="str">
        <f>VLOOKUP(LEFT(A343,2),ConsolidadoLoa27_ATIVIDADES!A:I,9,0)</f>
        <v>08 - SECRETARIA DE EDUCAÇÃO</v>
      </c>
      <c r="F343" t="str">
        <f t="shared" si="16"/>
        <v>1.002</v>
      </c>
      <c r="G343" t="str">
        <f t="shared" si="17"/>
        <v>01.110.0000</v>
      </c>
    </row>
    <row r="344" spans="1:7" hidden="1" x14ac:dyDescent="0.25">
      <c r="A344" s="6" t="s">
        <v>2546</v>
      </c>
      <c r="B344" s="28">
        <v>1</v>
      </c>
      <c r="C344" s="17" t="s">
        <v>2549</v>
      </c>
      <c r="D344" t="str">
        <f t="shared" si="15"/>
        <v>08.001.12.361.0016.1.002.3.3.90.39.00</v>
      </c>
      <c r="E344" t="str">
        <f>VLOOKUP(LEFT(A344,2),ConsolidadoLoa27_ATIVIDADES!A:I,9,0)</f>
        <v>08 - SECRETARIA DE EDUCAÇÃO</v>
      </c>
      <c r="F344" t="str">
        <f t="shared" si="16"/>
        <v>1.002</v>
      </c>
      <c r="G344" t="str">
        <f t="shared" si="17"/>
        <v>01.110.0000</v>
      </c>
    </row>
    <row r="345" spans="1:7" hidden="1" x14ac:dyDescent="0.25">
      <c r="A345" s="6" t="s">
        <v>2546</v>
      </c>
      <c r="B345" s="28">
        <v>1</v>
      </c>
      <c r="C345" s="17" t="s">
        <v>2550</v>
      </c>
      <c r="D345" t="str">
        <f t="shared" si="15"/>
        <v>08.001.12.361.0016.1.002.3.3.90.39.00</v>
      </c>
      <c r="E345" t="str">
        <f>VLOOKUP(LEFT(A345,2),ConsolidadoLoa27_ATIVIDADES!A:I,9,0)</f>
        <v>08 - SECRETARIA DE EDUCAÇÃO</v>
      </c>
      <c r="F345" t="str">
        <f t="shared" si="16"/>
        <v>1.002</v>
      </c>
      <c r="G345" t="str">
        <f t="shared" si="17"/>
        <v>01.110.0000</v>
      </c>
    </row>
    <row r="346" spans="1:7" hidden="1" x14ac:dyDescent="0.25">
      <c r="A346" s="6" t="s">
        <v>2546</v>
      </c>
      <c r="B346" s="28">
        <v>1</v>
      </c>
      <c r="C346" s="17" t="s">
        <v>2551</v>
      </c>
      <c r="D346" t="str">
        <f t="shared" si="15"/>
        <v>08.001.12.361.0016.1.002.3.3.90.39.00</v>
      </c>
      <c r="E346" t="str">
        <f>VLOOKUP(LEFT(A346,2),ConsolidadoLoa27_ATIVIDADES!A:I,9,0)</f>
        <v>08 - SECRETARIA DE EDUCAÇÃO</v>
      </c>
      <c r="F346" t="str">
        <f t="shared" si="16"/>
        <v>1.002</v>
      </c>
      <c r="G346" t="str">
        <f t="shared" si="17"/>
        <v>01.110.0000</v>
      </c>
    </row>
    <row r="347" spans="1:7" hidden="1" x14ac:dyDescent="0.25">
      <c r="A347" s="6" t="s">
        <v>2546</v>
      </c>
      <c r="B347" s="28">
        <v>1</v>
      </c>
      <c r="C347" s="17" t="s">
        <v>2552</v>
      </c>
      <c r="D347" t="str">
        <f t="shared" si="15"/>
        <v>08.001.12.361.0016.1.002.3.3.90.39.00</v>
      </c>
      <c r="E347" t="str">
        <f>VLOOKUP(LEFT(A347,2),ConsolidadoLoa27_ATIVIDADES!A:I,9,0)</f>
        <v>08 - SECRETARIA DE EDUCAÇÃO</v>
      </c>
      <c r="F347" t="str">
        <f t="shared" si="16"/>
        <v>1.002</v>
      </c>
      <c r="G347" t="str">
        <f t="shared" si="17"/>
        <v>01.110.0000</v>
      </c>
    </row>
    <row r="348" spans="1:7" hidden="1" x14ac:dyDescent="0.25">
      <c r="A348" s="6" t="s">
        <v>2546</v>
      </c>
      <c r="B348" s="28">
        <v>1</v>
      </c>
      <c r="C348" s="17" t="s">
        <v>2553</v>
      </c>
      <c r="D348" t="str">
        <f t="shared" si="15"/>
        <v>08.001.12.361.0016.1.002.3.3.90.39.00</v>
      </c>
      <c r="E348" t="str">
        <f>VLOOKUP(LEFT(A348,2),ConsolidadoLoa27_ATIVIDADES!A:I,9,0)</f>
        <v>08 - SECRETARIA DE EDUCAÇÃO</v>
      </c>
      <c r="F348" t="str">
        <f t="shared" si="16"/>
        <v>1.002</v>
      </c>
      <c r="G348" t="str">
        <f t="shared" si="17"/>
        <v>01.110.0000</v>
      </c>
    </row>
    <row r="349" spans="1:7" hidden="1" x14ac:dyDescent="0.25">
      <c r="A349" s="6" t="s">
        <v>2546</v>
      </c>
      <c r="B349" s="28">
        <v>1</v>
      </c>
      <c r="C349" s="17" t="s">
        <v>2554</v>
      </c>
      <c r="D349" t="str">
        <f t="shared" si="15"/>
        <v>08.001.12.361.0016.1.002.3.3.90.39.00</v>
      </c>
      <c r="E349" t="str">
        <f>VLOOKUP(LEFT(A349,2),ConsolidadoLoa27_ATIVIDADES!A:I,9,0)</f>
        <v>08 - SECRETARIA DE EDUCAÇÃO</v>
      </c>
      <c r="F349" t="str">
        <f t="shared" si="16"/>
        <v>1.002</v>
      </c>
      <c r="G349" t="str">
        <f t="shared" si="17"/>
        <v>01.110.0000</v>
      </c>
    </row>
    <row r="350" spans="1:7" hidden="1" x14ac:dyDescent="0.25">
      <c r="A350" s="6" t="s">
        <v>2546</v>
      </c>
      <c r="B350" s="28">
        <v>1</v>
      </c>
      <c r="C350" s="6" t="s">
        <v>2555</v>
      </c>
      <c r="D350" t="str">
        <f t="shared" si="15"/>
        <v>08.001.12.361.0016.1.002.3.3.90.39.00</v>
      </c>
      <c r="E350" t="str">
        <f>VLOOKUP(LEFT(A350,2),ConsolidadoLoa27_ATIVIDADES!A:I,9,0)</f>
        <v>08 - SECRETARIA DE EDUCAÇÃO</v>
      </c>
      <c r="F350" t="str">
        <f t="shared" si="16"/>
        <v>1.002</v>
      </c>
      <c r="G350" t="str">
        <f t="shared" si="17"/>
        <v>01.110.0000</v>
      </c>
    </row>
    <row r="351" spans="1:7" hidden="1" x14ac:dyDescent="0.25">
      <c r="A351" s="6" t="s">
        <v>2546</v>
      </c>
      <c r="B351" s="28">
        <v>1</v>
      </c>
      <c r="C351" s="17" t="s">
        <v>2556</v>
      </c>
      <c r="D351" t="str">
        <f t="shared" si="15"/>
        <v>08.001.12.361.0016.1.002.3.3.90.39.00</v>
      </c>
      <c r="E351" t="str">
        <f>VLOOKUP(LEFT(A351,2),ConsolidadoLoa27_ATIVIDADES!A:I,9,0)</f>
        <v>08 - SECRETARIA DE EDUCAÇÃO</v>
      </c>
      <c r="F351" t="str">
        <f t="shared" si="16"/>
        <v>1.002</v>
      </c>
      <c r="G351" t="str">
        <f t="shared" si="17"/>
        <v>01.110.0000</v>
      </c>
    </row>
    <row r="352" spans="1:7" hidden="1" x14ac:dyDescent="0.25">
      <c r="A352" s="6" t="s">
        <v>2546</v>
      </c>
      <c r="B352" s="28">
        <v>1</v>
      </c>
      <c r="C352" s="17" t="s">
        <v>2557</v>
      </c>
      <c r="D352" t="str">
        <f t="shared" si="15"/>
        <v>08.001.12.361.0016.1.002.3.3.90.39.00</v>
      </c>
      <c r="E352" t="str">
        <f>VLOOKUP(LEFT(A352,2),ConsolidadoLoa27_ATIVIDADES!A:I,9,0)</f>
        <v>08 - SECRETARIA DE EDUCAÇÃO</v>
      </c>
      <c r="F352" t="str">
        <f t="shared" si="16"/>
        <v>1.002</v>
      </c>
      <c r="G352" t="str">
        <f t="shared" si="17"/>
        <v>01.110.0000</v>
      </c>
    </row>
    <row r="353" spans="1:7" hidden="1" x14ac:dyDescent="0.25">
      <c r="A353" s="6" t="s">
        <v>2546</v>
      </c>
      <c r="B353" s="28">
        <v>1</v>
      </c>
      <c r="C353" s="17" t="s">
        <v>2558</v>
      </c>
      <c r="D353" t="str">
        <f t="shared" si="15"/>
        <v>08.001.12.361.0016.1.002.3.3.90.39.00</v>
      </c>
      <c r="E353" t="str">
        <f>VLOOKUP(LEFT(A353,2),ConsolidadoLoa27_ATIVIDADES!A:I,9,0)</f>
        <v>08 - SECRETARIA DE EDUCAÇÃO</v>
      </c>
      <c r="F353" t="str">
        <f t="shared" si="16"/>
        <v>1.002</v>
      </c>
      <c r="G353" t="str">
        <f t="shared" si="17"/>
        <v>01.110.0000</v>
      </c>
    </row>
    <row r="354" spans="1:7" hidden="1" x14ac:dyDescent="0.25">
      <c r="A354" s="6" t="s">
        <v>2546</v>
      </c>
      <c r="B354" s="28">
        <v>1</v>
      </c>
      <c r="C354" s="17" t="s">
        <v>2559</v>
      </c>
      <c r="D354" t="str">
        <f t="shared" si="15"/>
        <v>08.001.12.361.0016.1.002.3.3.90.39.00</v>
      </c>
      <c r="E354" t="str">
        <f>VLOOKUP(LEFT(A354,2),ConsolidadoLoa27_ATIVIDADES!A:I,9,0)</f>
        <v>08 - SECRETARIA DE EDUCAÇÃO</v>
      </c>
      <c r="F354" t="str">
        <f t="shared" si="16"/>
        <v>1.002</v>
      </c>
      <c r="G354" t="str">
        <f t="shared" si="17"/>
        <v>01.110.0000</v>
      </c>
    </row>
    <row r="355" spans="1:7" hidden="1" x14ac:dyDescent="0.25">
      <c r="A355" s="6" t="s">
        <v>2546</v>
      </c>
      <c r="B355" s="28">
        <v>1</v>
      </c>
      <c r="C355" s="17" t="s">
        <v>2560</v>
      </c>
      <c r="D355" t="str">
        <f t="shared" si="15"/>
        <v>08.001.12.361.0016.1.002.3.3.90.39.00</v>
      </c>
      <c r="E355" t="str">
        <f>VLOOKUP(LEFT(A355,2),ConsolidadoLoa27_ATIVIDADES!A:I,9,0)</f>
        <v>08 - SECRETARIA DE EDUCAÇÃO</v>
      </c>
      <c r="F355" t="str">
        <f t="shared" si="16"/>
        <v>1.002</v>
      </c>
      <c r="G355" t="str">
        <f t="shared" si="17"/>
        <v>01.110.0000</v>
      </c>
    </row>
    <row r="356" spans="1:7" hidden="1" x14ac:dyDescent="0.25">
      <c r="A356" s="6" t="s">
        <v>2546</v>
      </c>
      <c r="B356" s="28">
        <v>1</v>
      </c>
      <c r="C356" s="17" t="s">
        <v>2561</v>
      </c>
      <c r="D356" t="str">
        <f t="shared" si="15"/>
        <v>08.001.12.361.0016.1.002.3.3.90.39.00</v>
      </c>
      <c r="E356" t="str">
        <f>VLOOKUP(LEFT(A356,2),ConsolidadoLoa27_ATIVIDADES!A:I,9,0)</f>
        <v>08 - SECRETARIA DE EDUCAÇÃO</v>
      </c>
      <c r="F356" t="str">
        <f t="shared" si="16"/>
        <v>1.002</v>
      </c>
      <c r="G356" t="str">
        <f t="shared" si="17"/>
        <v>01.110.0000</v>
      </c>
    </row>
    <row r="357" spans="1:7" hidden="1" x14ac:dyDescent="0.25">
      <c r="A357" s="6" t="s">
        <v>2546</v>
      </c>
      <c r="B357" s="28">
        <v>1</v>
      </c>
      <c r="C357" s="17" t="s">
        <v>2562</v>
      </c>
      <c r="D357" t="str">
        <f t="shared" si="15"/>
        <v>08.001.12.361.0016.1.002.3.3.90.39.00</v>
      </c>
      <c r="E357" t="str">
        <f>VLOOKUP(LEFT(A357,2),ConsolidadoLoa27_ATIVIDADES!A:I,9,0)</f>
        <v>08 - SECRETARIA DE EDUCAÇÃO</v>
      </c>
      <c r="F357" t="str">
        <f t="shared" si="16"/>
        <v>1.002</v>
      </c>
      <c r="G357" t="str">
        <f t="shared" si="17"/>
        <v>01.110.0000</v>
      </c>
    </row>
    <row r="358" spans="1:7" hidden="1" x14ac:dyDescent="0.25">
      <c r="A358" s="6" t="s">
        <v>2563</v>
      </c>
      <c r="B358" s="28">
        <v>1</v>
      </c>
      <c r="C358" s="17" t="s">
        <v>2552</v>
      </c>
      <c r="D358" t="str">
        <f t="shared" si="15"/>
        <v>08.001.12.361.0016.1.002.3.3.90.39.00</v>
      </c>
      <c r="E358" t="str">
        <f>VLOOKUP(LEFT(A358,2),ConsolidadoLoa27_ATIVIDADES!A:I,9,0)</f>
        <v>08 - SECRETARIA DE EDUCAÇÃO</v>
      </c>
      <c r="F358" t="str">
        <f t="shared" si="16"/>
        <v>1.002</v>
      </c>
      <c r="G358" t="str">
        <f t="shared" si="17"/>
        <v>01.200.0000</v>
      </c>
    </row>
    <row r="359" spans="1:7" hidden="1" x14ac:dyDescent="0.25">
      <c r="A359" s="6" t="s">
        <v>2563</v>
      </c>
      <c r="B359" s="28">
        <v>1</v>
      </c>
      <c r="C359" s="16" t="s">
        <v>2553</v>
      </c>
      <c r="D359" t="str">
        <f t="shared" si="15"/>
        <v>08.001.12.361.0016.1.002.3.3.90.39.00</v>
      </c>
      <c r="E359" t="str">
        <f>VLOOKUP(LEFT(A359,2),ConsolidadoLoa27_ATIVIDADES!A:I,9,0)</f>
        <v>08 - SECRETARIA DE EDUCAÇÃO</v>
      </c>
      <c r="F359" t="str">
        <f t="shared" si="16"/>
        <v>1.002</v>
      </c>
      <c r="G359" t="str">
        <f t="shared" si="17"/>
        <v>01.200.0000</v>
      </c>
    </row>
    <row r="360" spans="1:7" hidden="1" x14ac:dyDescent="0.25">
      <c r="A360" s="6" t="s">
        <v>2563</v>
      </c>
      <c r="B360" s="28">
        <v>1</v>
      </c>
      <c r="C360" s="16" t="s">
        <v>2555</v>
      </c>
      <c r="D360" t="str">
        <f t="shared" si="15"/>
        <v>08.001.12.361.0016.1.002.3.3.90.39.00</v>
      </c>
      <c r="E360" t="str">
        <f>VLOOKUP(LEFT(A360,2),ConsolidadoLoa27_ATIVIDADES!A:I,9,0)</f>
        <v>08 - SECRETARIA DE EDUCAÇÃO</v>
      </c>
      <c r="F360" t="str">
        <f t="shared" si="16"/>
        <v>1.002</v>
      </c>
      <c r="G360" t="str">
        <f t="shared" si="17"/>
        <v>01.200.0000</v>
      </c>
    </row>
    <row r="361" spans="1:7" hidden="1" x14ac:dyDescent="0.25">
      <c r="A361" s="6" t="s">
        <v>2563</v>
      </c>
      <c r="B361" s="28">
        <v>1</v>
      </c>
      <c r="C361" s="6" t="s">
        <v>2562</v>
      </c>
      <c r="D361" t="str">
        <f t="shared" si="15"/>
        <v>08.001.12.361.0016.1.002.3.3.90.39.00</v>
      </c>
      <c r="E361" t="str">
        <f>VLOOKUP(LEFT(A361,2),ConsolidadoLoa27_ATIVIDADES!A:I,9,0)</f>
        <v>08 - SECRETARIA DE EDUCAÇÃO</v>
      </c>
      <c r="F361" t="str">
        <f t="shared" si="16"/>
        <v>1.002</v>
      </c>
      <c r="G361" t="str">
        <f t="shared" si="17"/>
        <v>01.200.0000</v>
      </c>
    </row>
    <row r="362" spans="1:7" hidden="1" x14ac:dyDescent="0.25">
      <c r="A362" s="6" t="s">
        <v>2564</v>
      </c>
      <c r="B362" s="28">
        <v>0</v>
      </c>
      <c r="C362" s="17" t="s">
        <v>2565</v>
      </c>
      <c r="D362" t="str">
        <f t="shared" si="15"/>
        <v>08.001.12.361.0016.1.003.4.4.90.51.00</v>
      </c>
      <c r="E362" t="str">
        <f>VLOOKUP(LEFT(A362,2),ConsolidadoLoa27_ATIVIDADES!A:I,9,0)</f>
        <v>08 - SECRETARIA DE EDUCAÇÃO</v>
      </c>
      <c r="F362" t="str">
        <f t="shared" si="16"/>
        <v>1.003</v>
      </c>
      <c r="G362" t="str">
        <f t="shared" si="17"/>
        <v>01.200.0000</v>
      </c>
    </row>
    <row r="363" spans="1:7" hidden="1" x14ac:dyDescent="0.25">
      <c r="A363" s="6" t="s">
        <v>2566</v>
      </c>
      <c r="B363" s="28">
        <v>1</v>
      </c>
      <c r="C363" s="18" t="s">
        <v>2567</v>
      </c>
      <c r="D363" t="str">
        <f t="shared" si="15"/>
        <v>08.001.12.361.0016.1.003.4.4.90.51.00</v>
      </c>
      <c r="E363" t="str">
        <f>VLOOKUP(LEFT(A363,2),ConsolidadoLoa27_ATIVIDADES!A:I,9,0)</f>
        <v>08 - SECRETARIA DE EDUCAÇÃO</v>
      </c>
      <c r="F363" t="str">
        <f t="shared" si="16"/>
        <v>1.003</v>
      </c>
      <c r="G363" t="str">
        <f t="shared" si="17"/>
        <v>01.110.0000</v>
      </c>
    </row>
    <row r="364" spans="1:7" hidden="1" x14ac:dyDescent="0.25">
      <c r="A364" s="6" t="s">
        <v>2568</v>
      </c>
      <c r="B364" s="28">
        <v>0</v>
      </c>
      <c r="C364" s="18" t="s">
        <v>2567</v>
      </c>
      <c r="D364" t="str">
        <f t="shared" si="15"/>
        <v>08.001.12.361.0016.1.003.4.4.90.51.00</v>
      </c>
      <c r="E364" t="str">
        <f>VLOOKUP(LEFT(A364,2),ConsolidadoLoa27_ATIVIDADES!A:I,9,0)</f>
        <v>08 - SECRETARIA DE EDUCAÇÃO</v>
      </c>
      <c r="F364" t="str">
        <f t="shared" si="16"/>
        <v>1.003</v>
      </c>
      <c r="G364" t="str">
        <f t="shared" si="17"/>
        <v>07.203.0000</v>
      </c>
    </row>
    <row r="365" spans="1:7" hidden="1" x14ac:dyDescent="0.25">
      <c r="A365" s="6" t="s">
        <v>2569</v>
      </c>
      <c r="B365" s="28">
        <v>2</v>
      </c>
      <c r="C365" s="17" t="s">
        <v>2565</v>
      </c>
      <c r="D365" t="str">
        <f t="shared" si="15"/>
        <v>08.001.12.361.0016.1.003.4.4.90.52.00</v>
      </c>
      <c r="E365" t="str">
        <f>VLOOKUP(LEFT(A365,2),ConsolidadoLoa27_ATIVIDADES!A:I,9,0)</f>
        <v>08 - SECRETARIA DE EDUCAÇÃO</v>
      </c>
      <c r="F365" t="str">
        <f t="shared" si="16"/>
        <v>1.003</v>
      </c>
      <c r="G365" t="str">
        <f t="shared" si="17"/>
        <v>01.200.0000</v>
      </c>
    </row>
    <row r="366" spans="1:7" hidden="1" x14ac:dyDescent="0.25">
      <c r="A366" s="6" t="s">
        <v>2570</v>
      </c>
      <c r="B366" s="28">
        <v>1</v>
      </c>
      <c r="C366" s="17" t="s">
        <v>2571</v>
      </c>
      <c r="D366" t="str">
        <f t="shared" si="15"/>
        <v>08.001.12.361.0016.2.011.3.3.50.43.00</v>
      </c>
      <c r="E366" t="str">
        <f>VLOOKUP(LEFT(A366,2),ConsolidadoLoa27_ATIVIDADES!A:I,9,0)</f>
        <v>08 - SECRETARIA DE EDUCAÇÃO</v>
      </c>
      <c r="F366" t="str">
        <f t="shared" si="16"/>
        <v>2.011</v>
      </c>
      <c r="G366" t="str">
        <f t="shared" si="17"/>
        <v>01.200.0000</v>
      </c>
    </row>
    <row r="367" spans="1:7" hidden="1" x14ac:dyDescent="0.25">
      <c r="A367" s="6" t="s">
        <v>2572</v>
      </c>
      <c r="B367" s="28">
        <v>4130663.5712000001</v>
      </c>
      <c r="C367" s="17" t="s">
        <v>2318</v>
      </c>
      <c r="D367" t="str">
        <f t="shared" si="15"/>
        <v>08.001.12.361.0016.2.011.3.3.90.30.00</v>
      </c>
      <c r="E367" t="str">
        <f>VLOOKUP(LEFT(A367,2),ConsolidadoLoa27_ATIVIDADES!A:I,9,0)</f>
        <v>08 - SECRETARIA DE EDUCAÇÃO</v>
      </c>
      <c r="F367" t="str">
        <f t="shared" si="16"/>
        <v>2.011</v>
      </c>
      <c r="G367" t="str">
        <f t="shared" si="17"/>
        <v>01.110.0000</v>
      </c>
    </row>
    <row r="368" spans="1:7" hidden="1" x14ac:dyDescent="0.25">
      <c r="A368" s="6" t="s">
        <v>2573</v>
      </c>
      <c r="B368" s="28">
        <v>1</v>
      </c>
      <c r="C368" s="17" t="s">
        <v>2318</v>
      </c>
      <c r="D368" t="str">
        <f t="shared" si="15"/>
        <v>08.001.12.361.0016.2.011.3.3.90.30.00</v>
      </c>
      <c r="E368" t="str">
        <f>VLOOKUP(LEFT(A368,2),ConsolidadoLoa27_ATIVIDADES!A:I,9,0)</f>
        <v>08 - SECRETARIA DE EDUCAÇÃO</v>
      </c>
      <c r="F368" t="str">
        <f t="shared" si="16"/>
        <v>2.011</v>
      </c>
      <c r="G368" t="str">
        <f t="shared" si="17"/>
        <v>01.200.0000</v>
      </c>
    </row>
    <row r="369" spans="1:7" hidden="1" x14ac:dyDescent="0.25">
      <c r="A369" s="6" t="s">
        <v>2572</v>
      </c>
      <c r="B369" s="28">
        <v>3155700</v>
      </c>
      <c r="C369" s="17" t="s">
        <v>2295</v>
      </c>
      <c r="D369" t="str">
        <f t="shared" si="15"/>
        <v>08.001.12.361.0016.2.011.3.3.90.30.00</v>
      </c>
      <c r="E369" t="str">
        <f>VLOOKUP(LEFT(A369,2),ConsolidadoLoa27_ATIVIDADES!A:I,9,0)</f>
        <v>08 - SECRETARIA DE EDUCAÇÃO</v>
      </c>
      <c r="F369" t="str">
        <f t="shared" si="16"/>
        <v>2.011</v>
      </c>
      <c r="G369" t="str">
        <f t="shared" si="17"/>
        <v>01.110.0000</v>
      </c>
    </row>
    <row r="370" spans="1:7" hidden="1" x14ac:dyDescent="0.25">
      <c r="A370" s="6" t="s">
        <v>2573</v>
      </c>
      <c r="B370" s="28">
        <v>2533611.4929999998</v>
      </c>
      <c r="C370" s="17" t="s">
        <v>2295</v>
      </c>
      <c r="D370" t="str">
        <f t="shared" si="15"/>
        <v>08.001.12.361.0016.2.011.3.3.90.30.00</v>
      </c>
      <c r="E370" t="str">
        <f>VLOOKUP(LEFT(A370,2),ConsolidadoLoa27_ATIVIDADES!A:I,9,0)</f>
        <v>08 - SECRETARIA DE EDUCAÇÃO</v>
      </c>
      <c r="F370" t="str">
        <f t="shared" si="16"/>
        <v>2.011</v>
      </c>
      <c r="G370" t="str">
        <f t="shared" si="17"/>
        <v>01.200.0000</v>
      </c>
    </row>
    <row r="371" spans="1:7" hidden="1" x14ac:dyDescent="0.25">
      <c r="A371" s="6" t="s">
        <v>2572</v>
      </c>
      <c r="B371" s="28">
        <v>75800</v>
      </c>
      <c r="C371" s="6" t="s">
        <v>2289</v>
      </c>
      <c r="D371" t="str">
        <f t="shared" si="15"/>
        <v>08.001.12.361.0016.2.011.3.3.90.30.00</v>
      </c>
      <c r="E371" t="str">
        <f>VLOOKUP(LEFT(A371,2),ConsolidadoLoa27_ATIVIDADES!A:I,9,0)</f>
        <v>08 - SECRETARIA DE EDUCAÇÃO</v>
      </c>
      <c r="F371" t="str">
        <f t="shared" si="16"/>
        <v>2.011</v>
      </c>
      <c r="G371" t="str">
        <f t="shared" si="17"/>
        <v>01.110.0000</v>
      </c>
    </row>
    <row r="372" spans="1:7" hidden="1" x14ac:dyDescent="0.25">
      <c r="A372" s="6" t="s">
        <v>2573</v>
      </c>
      <c r="B372" s="28">
        <v>1937975.8</v>
      </c>
      <c r="C372" s="6" t="s">
        <v>2289</v>
      </c>
      <c r="D372" t="str">
        <f t="shared" si="15"/>
        <v>08.001.12.361.0016.2.011.3.3.90.30.00</v>
      </c>
      <c r="E372" t="str">
        <f>VLOOKUP(LEFT(A372,2),ConsolidadoLoa27_ATIVIDADES!A:I,9,0)</f>
        <v>08 - SECRETARIA DE EDUCAÇÃO</v>
      </c>
      <c r="F372" t="str">
        <f t="shared" si="16"/>
        <v>2.011</v>
      </c>
      <c r="G372" t="str">
        <f t="shared" si="17"/>
        <v>01.200.0000</v>
      </c>
    </row>
    <row r="373" spans="1:7" hidden="1" x14ac:dyDescent="0.25">
      <c r="A373" s="6" t="s">
        <v>2573</v>
      </c>
      <c r="B373" s="28">
        <v>1</v>
      </c>
      <c r="C373" s="6" t="s">
        <v>104</v>
      </c>
      <c r="D373" t="str">
        <f t="shared" si="15"/>
        <v>08.001.12.361.0016.2.011.3.3.90.30.00</v>
      </c>
      <c r="E373" t="str">
        <f>VLOOKUP(LEFT(A373,2),ConsolidadoLoa27_ATIVIDADES!A:I,9,0)</f>
        <v>08 - SECRETARIA DE EDUCAÇÃO</v>
      </c>
      <c r="F373" t="str">
        <f t="shared" si="16"/>
        <v>2.011</v>
      </c>
      <c r="G373" t="str">
        <f t="shared" si="17"/>
        <v>01.200.0000</v>
      </c>
    </row>
    <row r="374" spans="1:7" hidden="1" x14ac:dyDescent="0.25">
      <c r="A374" s="6" t="s">
        <v>2574</v>
      </c>
      <c r="B374" s="28">
        <v>1</v>
      </c>
      <c r="C374" s="6" t="s">
        <v>2575</v>
      </c>
      <c r="D374" t="str">
        <f t="shared" si="15"/>
        <v>08.001.12.361.0016.2.011.3.3.90.39.00</v>
      </c>
      <c r="E374" t="str">
        <f>VLOOKUP(LEFT(A374,2),ConsolidadoLoa27_ATIVIDADES!A:I,9,0)</f>
        <v>08 - SECRETARIA DE EDUCAÇÃO</v>
      </c>
      <c r="F374" t="str">
        <f t="shared" si="16"/>
        <v>2.011</v>
      </c>
      <c r="G374" t="str">
        <f t="shared" si="17"/>
        <v>01.110.0000</v>
      </c>
    </row>
    <row r="375" spans="1:7" hidden="1" x14ac:dyDescent="0.25">
      <c r="A375" s="6" t="s">
        <v>2574</v>
      </c>
      <c r="B375" s="28">
        <v>1530000</v>
      </c>
      <c r="C375" s="6" t="s">
        <v>2493</v>
      </c>
      <c r="D375" t="str">
        <f t="shared" si="15"/>
        <v>08.001.12.361.0016.2.011.3.3.90.39.00</v>
      </c>
      <c r="E375" t="str">
        <f>VLOOKUP(LEFT(A375,2),ConsolidadoLoa27_ATIVIDADES!A:I,9,0)</f>
        <v>08 - SECRETARIA DE EDUCAÇÃO</v>
      </c>
      <c r="F375" t="str">
        <f t="shared" si="16"/>
        <v>2.011</v>
      </c>
      <c r="G375" t="str">
        <f t="shared" si="17"/>
        <v>01.110.0000</v>
      </c>
    </row>
    <row r="376" spans="1:7" hidden="1" x14ac:dyDescent="0.25">
      <c r="A376" s="6" t="s">
        <v>2576</v>
      </c>
      <c r="B376" s="28">
        <v>1530923.390507</v>
      </c>
      <c r="C376" s="6" t="s">
        <v>2493</v>
      </c>
      <c r="D376" t="str">
        <f t="shared" si="15"/>
        <v>08.001.12.361.0016.2.011.3.3.90.39.00</v>
      </c>
      <c r="E376" t="str">
        <f>VLOOKUP(LEFT(A376,2),ConsolidadoLoa27_ATIVIDADES!A:I,9,0)</f>
        <v>08 - SECRETARIA DE EDUCAÇÃO</v>
      </c>
      <c r="F376" t="str">
        <f t="shared" si="16"/>
        <v>2.011</v>
      </c>
      <c r="G376" t="str">
        <f t="shared" si="17"/>
        <v>01.200.0000</v>
      </c>
    </row>
    <row r="377" spans="1:7" hidden="1" x14ac:dyDescent="0.25">
      <c r="A377" s="6" t="s">
        <v>2576</v>
      </c>
      <c r="B377" s="28">
        <v>94853</v>
      </c>
      <c r="C377" s="6" t="s">
        <v>2577</v>
      </c>
      <c r="D377" t="str">
        <f t="shared" si="15"/>
        <v>08.001.12.361.0016.2.011.3.3.90.39.00</v>
      </c>
      <c r="E377" t="str">
        <f>VLOOKUP(LEFT(A377,2),ConsolidadoLoa27_ATIVIDADES!A:I,9,0)</f>
        <v>08 - SECRETARIA DE EDUCAÇÃO</v>
      </c>
      <c r="F377" t="str">
        <f t="shared" si="16"/>
        <v>2.011</v>
      </c>
      <c r="G377" t="str">
        <f t="shared" si="17"/>
        <v>01.200.0000</v>
      </c>
    </row>
    <row r="378" spans="1:7" hidden="1" x14ac:dyDescent="0.25">
      <c r="A378" s="6" t="s">
        <v>2576</v>
      </c>
      <c r="B378" s="28">
        <v>2078.1999999999998</v>
      </c>
      <c r="C378" s="6" t="s">
        <v>2288</v>
      </c>
      <c r="D378" t="str">
        <f t="shared" si="15"/>
        <v>08.001.12.361.0016.2.011.3.3.90.39.00</v>
      </c>
      <c r="E378" t="str">
        <f>VLOOKUP(LEFT(A378,2),ConsolidadoLoa27_ATIVIDADES!A:I,9,0)</f>
        <v>08 - SECRETARIA DE EDUCAÇÃO</v>
      </c>
      <c r="F378" t="str">
        <f t="shared" si="16"/>
        <v>2.011</v>
      </c>
      <c r="G378" t="str">
        <f t="shared" si="17"/>
        <v>01.200.0000</v>
      </c>
    </row>
    <row r="379" spans="1:7" hidden="1" x14ac:dyDescent="0.25">
      <c r="A379" s="6" t="s">
        <v>2576</v>
      </c>
      <c r="B379" s="28">
        <v>1</v>
      </c>
      <c r="C379" s="6" t="s">
        <v>2578</v>
      </c>
      <c r="D379" t="str">
        <f t="shared" si="15"/>
        <v>08.001.12.361.0016.2.011.3.3.90.39.00</v>
      </c>
      <c r="E379" t="str">
        <f>VLOOKUP(LEFT(A379,2),ConsolidadoLoa27_ATIVIDADES!A:I,9,0)</f>
        <v>08 - SECRETARIA DE EDUCAÇÃO</v>
      </c>
      <c r="F379" t="str">
        <f t="shared" si="16"/>
        <v>2.011</v>
      </c>
      <c r="G379" t="str">
        <f t="shared" si="17"/>
        <v>01.200.0000</v>
      </c>
    </row>
    <row r="380" spans="1:7" hidden="1" x14ac:dyDescent="0.25">
      <c r="A380" s="6" t="s">
        <v>2576</v>
      </c>
      <c r="B380" s="28">
        <v>554400</v>
      </c>
      <c r="C380" s="6" t="s">
        <v>2496</v>
      </c>
      <c r="D380" t="str">
        <f t="shared" si="15"/>
        <v>08.001.12.361.0016.2.011.3.3.90.39.00</v>
      </c>
      <c r="E380" t="str">
        <f>VLOOKUP(LEFT(A380,2),ConsolidadoLoa27_ATIVIDADES!A:I,9,0)</f>
        <v>08 - SECRETARIA DE EDUCAÇÃO</v>
      </c>
      <c r="F380" t="str">
        <f t="shared" si="16"/>
        <v>2.011</v>
      </c>
      <c r="G380" t="str">
        <f t="shared" si="17"/>
        <v>01.200.0000</v>
      </c>
    </row>
    <row r="381" spans="1:7" hidden="1" x14ac:dyDescent="0.25">
      <c r="A381" s="6" t="s">
        <v>2576</v>
      </c>
      <c r="B381" s="28">
        <v>1</v>
      </c>
      <c r="C381" s="6" t="s">
        <v>388</v>
      </c>
      <c r="D381" t="str">
        <f t="shared" si="15"/>
        <v>08.001.12.361.0016.2.011.3.3.90.39.00</v>
      </c>
      <c r="E381" t="str">
        <f>VLOOKUP(LEFT(A381,2),ConsolidadoLoa27_ATIVIDADES!A:I,9,0)</f>
        <v>08 - SECRETARIA DE EDUCAÇÃO</v>
      </c>
      <c r="F381" t="str">
        <f t="shared" si="16"/>
        <v>2.011</v>
      </c>
      <c r="G381" t="str">
        <f t="shared" si="17"/>
        <v>01.200.0000</v>
      </c>
    </row>
    <row r="382" spans="1:7" hidden="1" x14ac:dyDescent="0.25">
      <c r="A382" s="6" t="s">
        <v>2576</v>
      </c>
      <c r="B382" s="28">
        <v>0</v>
      </c>
      <c r="C382" s="6" t="s">
        <v>2579</v>
      </c>
      <c r="D382" t="str">
        <f t="shared" si="15"/>
        <v>08.001.12.361.0016.2.011.3.3.90.39.00</v>
      </c>
      <c r="E382" t="str">
        <f>VLOOKUP(LEFT(A382,2),ConsolidadoLoa27_ATIVIDADES!A:I,9,0)</f>
        <v>08 - SECRETARIA DE EDUCAÇÃO</v>
      </c>
      <c r="F382" t="str">
        <f t="shared" si="16"/>
        <v>2.011</v>
      </c>
      <c r="G382" t="str">
        <f t="shared" si="17"/>
        <v>01.200.0000</v>
      </c>
    </row>
    <row r="383" spans="1:7" hidden="1" x14ac:dyDescent="0.25">
      <c r="A383" s="6" t="s">
        <v>2576</v>
      </c>
      <c r="B383" s="28">
        <v>1</v>
      </c>
      <c r="C383" s="6" t="s">
        <v>106</v>
      </c>
      <c r="D383" t="str">
        <f t="shared" si="15"/>
        <v>08.001.12.361.0016.2.011.3.3.90.39.00</v>
      </c>
      <c r="E383" t="str">
        <f>VLOOKUP(LEFT(A383,2),ConsolidadoLoa27_ATIVIDADES!A:I,9,0)</f>
        <v>08 - SECRETARIA DE EDUCAÇÃO</v>
      </c>
      <c r="F383" t="str">
        <f t="shared" si="16"/>
        <v>2.011</v>
      </c>
      <c r="G383" t="str">
        <f t="shared" si="17"/>
        <v>01.200.0000</v>
      </c>
    </row>
    <row r="384" spans="1:7" hidden="1" x14ac:dyDescent="0.25">
      <c r="A384" s="6" t="s">
        <v>2580</v>
      </c>
      <c r="B384" s="28">
        <v>103911.03909999999</v>
      </c>
      <c r="C384" s="6" t="s">
        <v>2498</v>
      </c>
      <c r="D384" t="str">
        <f t="shared" si="15"/>
        <v>08.001.12.361.0016.2.011.4.4.90.52.00</v>
      </c>
      <c r="E384" t="str">
        <f>VLOOKUP(LEFT(A384,2),ConsolidadoLoa27_ATIVIDADES!A:I,9,0)</f>
        <v>08 - SECRETARIA DE EDUCAÇÃO</v>
      </c>
      <c r="F384" t="str">
        <f t="shared" si="16"/>
        <v>2.011</v>
      </c>
      <c r="G384" t="str">
        <f t="shared" si="17"/>
        <v>01.110.0000</v>
      </c>
    </row>
    <row r="385" spans="1:7" hidden="1" x14ac:dyDescent="0.25">
      <c r="A385" s="6" t="s">
        <v>2580</v>
      </c>
      <c r="B385" s="28">
        <v>103910</v>
      </c>
      <c r="C385" s="6" t="s">
        <v>2500</v>
      </c>
      <c r="D385" t="str">
        <f t="shared" si="15"/>
        <v>08.001.12.361.0016.2.011.4.4.90.52.00</v>
      </c>
      <c r="E385" t="str">
        <f>VLOOKUP(LEFT(A385,2),ConsolidadoLoa27_ATIVIDADES!A:I,9,0)</f>
        <v>08 - SECRETARIA DE EDUCAÇÃO</v>
      </c>
      <c r="F385" t="str">
        <f t="shared" si="16"/>
        <v>2.011</v>
      </c>
      <c r="G385" t="str">
        <f t="shared" si="17"/>
        <v>01.110.0000</v>
      </c>
    </row>
    <row r="386" spans="1:7" hidden="1" x14ac:dyDescent="0.25">
      <c r="A386" s="6" t="s">
        <v>2580</v>
      </c>
      <c r="B386" s="28">
        <v>1</v>
      </c>
      <c r="C386" s="6" t="s">
        <v>2502</v>
      </c>
      <c r="D386" t="str">
        <f t="shared" si="15"/>
        <v>08.001.12.361.0016.2.011.4.4.90.52.00</v>
      </c>
      <c r="E386" t="str">
        <f>VLOOKUP(LEFT(A386,2),ConsolidadoLoa27_ATIVIDADES!A:I,9,0)</f>
        <v>08 - SECRETARIA DE EDUCAÇÃO</v>
      </c>
      <c r="F386" t="str">
        <f t="shared" si="16"/>
        <v>2.011</v>
      </c>
      <c r="G386" t="str">
        <f t="shared" si="17"/>
        <v>01.110.0000</v>
      </c>
    </row>
    <row r="387" spans="1:7" hidden="1" x14ac:dyDescent="0.25">
      <c r="A387" s="6" t="s">
        <v>2581</v>
      </c>
      <c r="B387" s="28">
        <v>0</v>
      </c>
      <c r="C387" s="6" t="s">
        <v>2582</v>
      </c>
      <c r="D387" t="str">
        <f t="shared" ref="D387:D450" si="18">_xlfn.CONCAT(LEFT(A387,34),".00")</f>
        <v>08.001.12.361.0016.2.017.3.3.90.32.00</v>
      </c>
      <c r="E387" t="str">
        <f>VLOOKUP(LEFT(A387,2),ConsolidadoLoa27_ATIVIDADES!A:I,9,0)</f>
        <v>08 - SECRETARIA DE EDUCAÇÃO</v>
      </c>
      <c r="F387" t="str">
        <f t="shared" ref="F387:F450" si="19">MID(A387,20,5)</f>
        <v>2.017</v>
      </c>
      <c r="G387" t="str">
        <f t="shared" ref="G387:G450" si="20">RIGHT(A387,11)</f>
        <v>01.110.0000</v>
      </c>
    </row>
    <row r="388" spans="1:7" hidden="1" x14ac:dyDescent="0.25">
      <c r="A388" s="6" t="s">
        <v>2581</v>
      </c>
      <c r="B388" s="28">
        <v>1</v>
      </c>
      <c r="C388" s="6" t="s">
        <v>2583</v>
      </c>
      <c r="D388" t="str">
        <f t="shared" si="18"/>
        <v>08.001.12.361.0016.2.017.3.3.90.32.00</v>
      </c>
      <c r="E388" t="str">
        <f>VLOOKUP(LEFT(A388,2),ConsolidadoLoa27_ATIVIDADES!A:I,9,0)</f>
        <v>08 - SECRETARIA DE EDUCAÇÃO</v>
      </c>
      <c r="F388" t="str">
        <f t="shared" si="19"/>
        <v>2.017</v>
      </c>
      <c r="G388" t="str">
        <f t="shared" si="20"/>
        <v>01.110.0000</v>
      </c>
    </row>
    <row r="389" spans="1:7" hidden="1" x14ac:dyDescent="0.25">
      <c r="A389" s="6" t="s">
        <v>2581</v>
      </c>
      <c r="B389" s="28">
        <v>22809301.75</v>
      </c>
      <c r="C389" s="6" t="s">
        <v>2584</v>
      </c>
      <c r="D389" t="str">
        <f t="shared" si="18"/>
        <v>08.001.12.361.0016.2.017.3.3.90.32.00</v>
      </c>
      <c r="E389" t="str">
        <f>VLOOKUP(LEFT(A389,2),ConsolidadoLoa27_ATIVIDADES!A:I,9,0)</f>
        <v>08 - SECRETARIA DE EDUCAÇÃO</v>
      </c>
      <c r="F389" t="str">
        <f t="shared" si="19"/>
        <v>2.017</v>
      </c>
      <c r="G389" t="str">
        <f t="shared" si="20"/>
        <v>01.110.0000</v>
      </c>
    </row>
    <row r="390" spans="1:7" hidden="1" x14ac:dyDescent="0.25">
      <c r="A390" s="6" t="s">
        <v>2585</v>
      </c>
      <c r="B390" s="28">
        <v>19362975.5</v>
      </c>
      <c r="C390" s="6" t="s">
        <v>2582</v>
      </c>
      <c r="D390" t="str">
        <f t="shared" si="18"/>
        <v>08.001.12.361.0016.2.017.3.3.90.32.00</v>
      </c>
      <c r="E390" t="str">
        <f>VLOOKUP(LEFT(A390,2),ConsolidadoLoa27_ATIVIDADES!A:I,9,0)</f>
        <v>08 - SECRETARIA DE EDUCAÇÃO</v>
      </c>
      <c r="F390" t="str">
        <f t="shared" si="19"/>
        <v>2.017</v>
      </c>
      <c r="G390" t="str">
        <f t="shared" si="20"/>
        <v>01.200.0000</v>
      </c>
    </row>
    <row r="391" spans="1:7" hidden="1" x14ac:dyDescent="0.25">
      <c r="A391" s="6" t="s">
        <v>2586</v>
      </c>
      <c r="B391" s="28">
        <v>6871825.4399999995</v>
      </c>
      <c r="C391" s="6" t="s">
        <v>2587</v>
      </c>
      <c r="D391" t="str">
        <f t="shared" si="18"/>
        <v>08.001.12.361.0016.2.018.3.3.90.40.00</v>
      </c>
      <c r="E391" t="str">
        <f>VLOOKUP(LEFT(A391,2),ConsolidadoLoa27_ATIVIDADES!A:I,9,0)</f>
        <v>08 - SECRETARIA DE EDUCAÇÃO</v>
      </c>
      <c r="F391" t="str">
        <f t="shared" si="19"/>
        <v>2.018</v>
      </c>
      <c r="G391" t="str">
        <f t="shared" si="20"/>
        <v>01.110.0000</v>
      </c>
    </row>
    <row r="392" spans="1:7" hidden="1" x14ac:dyDescent="0.25">
      <c r="A392" s="6" t="s">
        <v>2586</v>
      </c>
      <c r="B392" s="28">
        <v>10736000</v>
      </c>
      <c r="C392" s="6" t="s">
        <v>2588</v>
      </c>
      <c r="D392" t="str">
        <f t="shared" si="18"/>
        <v>08.001.12.361.0016.2.018.3.3.90.40.00</v>
      </c>
      <c r="E392" t="str">
        <f>VLOOKUP(LEFT(A392,2),ConsolidadoLoa27_ATIVIDADES!A:I,9,0)</f>
        <v>08 - SECRETARIA DE EDUCAÇÃO</v>
      </c>
      <c r="F392" t="str">
        <f t="shared" si="19"/>
        <v>2.018</v>
      </c>
      <c r="G392" t="str">
        <f t="shared" si="20"/>
        <v>01.110.0000</v>
      </c>
    </row>
    <row r="393" spans="1:7" hidden="1" x14ac:dyDescent="0.25">
      <c r="A393" s="6" t="s">
        <v>2589</v>
      </c>
      <c r="B393" s="28">
        <v>1</v>
      </c>
      <c r="C393" s="6" t="s">
        <v>2587</v>
      </c>
      <c r="D393" t="str">
        <f t="shared" si="18"/>
        <v>08.001.12.361.0016.2.018.3.3.90.40.00</v>
      </c>
      <c r="E393" t="str">
        <f>VLOOKUP(LEFT(A393,2),ConsolidadoLoa27_ATIVIDADES!A:I,9,0)</f>
        <v>08 - SECRETARIA DE EDUCAÇÃO</v>
      </c>
      <c r="F393" t="str">
        <f t="shared" si="19"/>
        <v>2.018</v>
      </c>
      <c r="G393" t="str">
        <f t="shared" si="20"/>
        <v>01.200.0000</v>
      </c>
    </row>
    <row r="394" spans="1:7" hidden="1" x14ac:dyDescent="0.25">
      <c r="A394" s="6" t="s">
        <v>2589</v>
      </c>
      <c r="B394" s="28">
        <v>50191758.539999999</v>
      </c>
      <c r="C394" s="6" t="s">
        <v>2590</v>
      </c>
      <c r="D394" t="str">
        <f t="shared" si="18"/>
        <v>08.001.12.361.0016.2.018.3.3.90.40.00</v>
      </c>
      <c r="E394" t="str">
        <f>VLOOKUP(LEFT(A394,2),ConsolidadoLoa27_ATIVIDADES!A:I,9,0)</f>
        <v>08 - SECRETARIA DE EDUCAÇÃO</v>
      </c>
      <c r="F394" t="str">
        <f t="shared" si="19"/>
        <v>2.018</v>
      </c>
      <c r="G394" t="str">
        <f t="shared" si="20"/>
        <v>01.200.0000</v>
      </c>
    </row>
    <row r="395" spans="1:7" hidden="1" x14ac:dyDescent="0.25">
      <c r="A395" s="6" t="s">
        <v>2589</v>
      </c>
      <c r="B395" s="28">
        <v>4234309.84</v>
      </c>
      <c r="C395" s="6" t="s">
        <v>2591</v>
      </c>
      <c r="D395" t="str">
        <f t="shared" si="18"/>
        <v>08.001.12.361.0016.2.018.3.3.90.40.00</v>
      </c>
      <c r="E395" t="str">
        <f>VLOOKUP(LEFT(A395,2),ConsolidadoLoa27_ATIVIDADES!A:I,9,0)</f>
        <v>08 - SECRETARIA DE EDUCAÇÃO</v>
      </c>
      <c r="F395" t="str">
        <f t="shared" si="19"/>
        <v>2.018</v>
      </c>
      <c r="G395" t="str">
        <f t="shared" si="20"/>
        <v>01.200.0000</v>
      </c>
    </row>
    <row r="396" spans="1:7" hidden="1" x14ac:dyDescent="0.25">
      <c r="A396" s="6" t="s">
        <v>2589</v>
      </c>
      <c r="B396" s="28">
        <v>2396007</v>
      </c>
      <c r="C396" s="6" t="s">
        <v>2592</v>
      </c>
      <c r="D396" t="str">
        <f t="shared" si="18"/>
        <v>08.001.12.361.0016.2.018.3.3.90.40.00</v>
      </c>
      <c r="E396" t="str">
        <f>VLOOKUP(LEFT(A396,2),ConsolidadoLoa27_ATIVIDADES!A:I,9,0)</f>
        <v>08 - SECRETARIA DE EDUCAÇÃO</v>
      </c>
      <c r="F396" t="str">
        <f t="shared" si="19"/>
        <v>2.018</v>
      </c>
      <c r="G396" t="str">
        <f t="shared" si="20"/>
        <v>01.200.0000</v>
      </c>
    </row>
    <row r="397" spans="1:7" hidden="1" x14ac:dyDescent="0.25">
      <c r="A397" s="6" t="s">
        <v>2593</v>
      </c>
      <c r="B397" s="28">
        <v>3606580</v>
      </c>
      <c r="C397" s="6" t="s">
        <v>2591</v>
      </c>
      <c r="D397" t="str">
        <f t="shared" si="18"/>
        <v>08.001.12.361.0016.2.018.4.4.90.52.00</v>
      </c>
      <c r="E397" t="str">
        <f>VLOOKUP(LEFT(A397,2),ConsolidadoLoa27_ATIVIDADES!A:I,9,0)</f>
        <v>08 - SECRETARIA DE EDUCAÇÃO</v>
      </c>
      <c r="F397" t="str">
        <f t="shared" si="19"/>
        <v>2.018</v>
      </c>
      <c r="G397" t="str">
        <f t="shared" si="20"/>
        <v>01.200.0000</v>
      </c>
    </row>
    <row r="398" spans="1:7" hidden="1" x14ac:dyDescent="0.25">
      <c r="A398" s="6" t="s">
        <v>2594</v>
      </c>
      <c r="B398" s="28">
        <v>1</v>
      </c>
      <c r="C398" s="6" t="s">
        <v>286</v>
      </c>
      <c r="D398" t="str">
        <f t="shared" si="18"/>
        <v>08.001.12.361.0016.2.019.3.3.90.32.00</v>
      </c>
      <c r="E398" t="str">
        <f>VLOOKUP(LEFT(A398,2),ConsolidadoLoa27_ATIVIDADES!A:I,9,0)</f>
        <v>08 - SECRETARIA DE EDUCAÇÃO</v>
      </c>
      <c r="F398" t="str">
        <f t="shared" si="19"/>
        <v>2.019</v>
      </c>
      <c r="G398" t="str">
        <f t="shared" si="20"/>
        <v>01.200.0000</v>
      </c>
    </row>
    <row r="399" spans="1:7" hidden="1" x14ac:dyDescent="0.25">
      <c r="A399" s="6" t="s">
        <v>2595</v>
      </c>
      <c r="B399" s="28">
        <v>2644844.79</v>
      </c>
      <c r="C399" s="6" t="s">
        <v>2596</v>
      </c>
      <c r="D399" t="str">
        <f t="shared" si="18"/>
        <v>08.001.12.361.0016.2.019.3.3.90.39.00</v>
      </c>
      <c r="E399" t="str">
        <f>VLOOKUP(LEFT(A399,2),ConsolidadoLoa27_ATIVIDADES!A:I,9,0)</f>
        <v>08 - SECRETARIA DE EDUCAÇÃO</v>
      </c>
      <c r="F399" t="str">
        <f t="shared" si="19"/>
        <v>2.019</v>
      </c>
      <c r="G399" t="str">
        <f t="shared" si="20"/>
        <v>01.200.0000</v>
      </c>
    </row>
    <row r="400" spans="1:7" hidden="1" x14ac:dyDescent="0.25">
      <c r="A400" s="6" t="s">
        <v>2595</v>
      </c>
      <c r="B400" s="28">
        <v>24491805.890000001</v>
      </c>
      <c r="C400" s="6" t="s">
        <v>2597</v>
      </c>
      <c r="D400" t="str">
        <f t="shared" si="18"/>
        <v>08.001.12.361.0016.2.019.3.3.90.39.00</v>
      </c>
      <c r="E400" t="str">
        <f>VLOOKUP(LEFT(A400,2),ConsolidadoLoa27_ATIVIDADES!A:I,9,0)</f>
        <v>08 - SECRETARIA DE EDUCAÇÃO</v>
      </c>
      <c r="F400" t="str">
        <f t="shared" si="19"/>
        <v>2.019</v>
      </c>
      <c r="G400" t="str">
        <f t="shared" si="20"/>
        <v>01.200.0000</v>
      </c>
    </row>
    <row r="401" spans="1:7" hidden="1" x14ac:dyDescent="0.25">
      <c r="A401" s="6" t="s">
        <v>2598</v>
      </c>
      <c r="B401" s="28">
        <v>2025840</v>
      </c>
      <c r="C401" s="6" t="s">
        <v>2599</v>
      </c>
      <c r="D401" t="str">
        <f t="shared" si="18"/>
        <v>08.001.12.361.0016.2.020.3.3.90.39.00</v>
      </c>
      <c r="E401" t="str">
        <f>VLOOKUP(LEFT(A401,2),ConsolidadoLoa27_ATIVIDADES!A:I,9,0)</f>
        <v>08 - SECRETARIA DE EDUCAÇÃO</v>
      </c>
      <c r="F401" t="str">
        <f t="shared" si="19"/>
        <v>2.020</v>
      </c>
      <c r="G401" t="str">
        <f t="shared" si="20"/>
        <v>01.110.0000</v>
      </c>
    </row>
    <row r="402" spans="1:7" hidden="1" x14ac:dyDescent="0.25">
      <c r="A402" s="6" t="s">
        <v>2600</v>
      </c>
      <c r="B402" s="28">
        <v>13120263</v>
      </c>
      <c r="C402" s="6" t="s">
        <v>2601</v>
      </c>
      <c r="D402" t="str">
        <f t="shared" si="18"/>
        <v>08.001.12.361.0016.2.020.3.3.90.39.00</v>
      </c>
      <c r="E402" t="str">
        <f>VLOOKUP(LEFT(A402,2),ConsolidadoLoa27_ATIVIDADES!A:I,9,0)</f>
        <v>08 - SECRETARIA DE EDUCAÇÃO</v>
      </c>
      <c r="F402" t="str">
        <f t="shared" si="19"/>
        <v>2.020</v>
      </c>
      <c r="G402" t="str">
        <f t="shared" si="20"/>
        <v>01.200.0000</v>
      </c>
    </row>
    <row r="403" spans="1:7" hidden="1" x14ac:dyDescent="0.25">
      <c r="A403" s="6" t="s">
        <v>2602</v>
      </c>
      <c r="B403" s="28">
        <v>3777736.43</v>
      </c>
      <c r="C403" s="6" t="s">
        <v>2512</v>
      </c>
      <c r="D403" t="str">
        <f t="shared" si="18"/>
        <v>08.001.12.361.0016.2.023.3.3.50.39.00</v>
      </c>
      <c r="E403" t="str">
        <f>VLOOKUP(LEFT(A403,2),ConsolidadoLoa27_ATIVIDADES!A:I,9,0)</f>
        <v>08 - SECRETARIA DE EDUCAÇÃO</v>
      </c>
      <c r="F403" t="str">
        <f t="shared" si="19"/>
        <v>2.023</v>
      </c>
      <c r="G403" t="str">
        <f t="shared" si="20"/>
        <v>01.110.0000</v>
      </c>
    </row>
    <row r="404" spans="1:7" hidden="1" x14ac:dyDescent="0.25">
      <c r="A404" s="6" t="s">
        <v>2602</v>
      </c>
      <c r="B404" s="28">
        <v>3606504.85</v>
      </c>
      <c r="C404" s="6" t="s">
        <v>2513</v>
      </c>
      <c r="D404" t="str">
        <f t="shared" si="18"/>
        <v>08.001.12.361.0016.2.023.3.3.50.39.00</v>
      </c>
      <c r="E404" t="str">
        <f>VLOOKUP(LEFT(A404,2),ConsolidadoLoa27_ATIVIDADES!A:I,9,0)</f>
        <v>08 - SECRETARIA DE EDUCAÇÃO</v>
      </c>
      <c r="F404" t="str">
        <f t="shared" si="19"/>
        <v>2.023</v>
      </c>
      <c r="G404" t="str">
        <f t="shared" si="20"/>
        <v>01.110.0000</v>
      </c>
    </row>
    <row r="405" spans="1:7" hidden="1" x14ac:dyDescent="0.25">
      <c r="A405" s="6" t="s">
        <v>2603</v>
      </c>
      <c r="B405" s="28">
        <v>1</v>
      </c>
      <c r="C405" s="6" t="s">
        <v>2512</v>
      </c>
      <c r="D405" t="str">
        <f t="shared" si="18"/>
        <v>08.001.12.361.0016.2.023.3.3.50.39.00</v>
      </c>
      <c r="E405" t="str">
        <f>VLOOKUP(LEFT(A405,2),ConsolidadoLoa27_ATIVIDADES!A:I,9,0)</f>
        <v>08 - SECRETARIA DE EDUCAÇÃO</v>
      </c>
      <c r="F405" t="str">
        <f t="shared" si="19"/>
        <v>2.023</v>
      </c>
      <c r="G405" t="str">
        <f t="shared" si="20"/>
        <v>01.200.0000</v>
      </c>
    </row>
    <row r="406" spans="1:7" hidden="1" x14ac:dyDescent="0.25">
      <c r="A406" s="6" t="s">
        <v>2603</v>
      </c>
      <c r="B406" s="28">
        <v>1</v>
      </c>
      <c r="C406" s="6" t="s">
        <v>2513</v>
      </c>
      <c r="D406" t="str">
        <f t="shared" si="18"/>
        <v>08.001.12.361.0016.2.023.3.3.50.39.00</v>
      </c>
      <c r="E406" t="str">
        <f>VLOOKUP(LEFT(A406,2),ConsolidadoLoa27_ATIVIDADES!A:I,9,0)</f>
        <v>08 - SECRETARIA DE EDUCAÇÃO</v>
      </c>
      <c r="F406" t="str">
        <f t="shared" si="19"/>
        <v>2.023</v>
      </c>
      <c r="G406" t="str">
        <f t="shared" si="20"/>
        <v>01.200.0000</v>
      </c>
    </row>
    <row r="407" spans="1:7" hidden="1" x14ac:dyDescent="0.25">
      <c r="A407" s="6" t="s">
        <v>2604</v>
      </c>
      <c r="B407" s="28">
        <v>944433.64</v>
      </c>
      <c r="C407" s="6" t="s">
        <v>2512</v>
      </c>
      <c r="D407" t="str">
        <f t="shared" si="18"/>
        <v>08.001.12.361.0016.2.023.4.4.50.39.00</v>
      </c>
      <c r="E407" t="str">
        <f>VLOOKUP(LEFT(A407,2),ConsolidadoLoa27_ATIVIDADES!A:I,9,0)</f>
        <v>08 - SECRETARIA DE EDUCAÇÃO</v>
      </c>
      <c r="F407" t="str">
        <f t="shared" si="19"/>
        <v>2.023</v>
      </c>
      <c r="G407" t="str">
        <f t="shared" si="20"/>
        <v>01.110.0000</v>
      </c>
    </row>
    <row r="408" spans="1:7" hidden="1" x14ac:dyDescent="0.25">
      <c r="A408" s="6" t="s">
        <v>2604</v>
      </c>
      <c r="B408" s="28">
        <v>901626.7</v>
      </c>
      <c r="C408" s="6" t="s">
        <v>2513</v>
      </c>
      <c r="D408" t="str">
        <f t="shared" si="18"/>
        <v>08.001.12.361.0016.2.023.4.4.50.39.00</v>
      </c>
      <c r="E408" t="str">
        <f>VLOOKUP(LEFT(A408,2),ConsolidadoLoa27_ATIVIDADES!A:I,9,0)</f>
        <v>08 - SECRETARIA DE EDUCAÇÃO</v>
      </c>
      <c r="F408" t="str">
        <f t="shared" si="19"/>
        <v>2.023</v>
      </c>
      <c r="G408" t="str">
        <f t="shared" si="20"/>
        <v>01.110.0000</v>
      </c>
    </row>
    <row r="409" spans="1:7" hidden="1" x14ac:dyDescent="0.25">
      <c r="A409" s="6" t="s">
        <v>2605</v>
      </c>
      <c r="B409" s="28">
        <v>1</v>
      </c>
      <c r="C409" s="6" t="s">
        <v>2512</v>
      </c>
      <c r="D409" t="str">
        <f t="shared" si="18"/>
        <v>08.001.12.361.0016.2.023.4.4.50.39.00</v>
      </c>
      <c r="E409" t="str">
        <f>VLOOKUP(LEFT(A409,2),ConsolidadoLoa27_ATIVIDADES!A:I,9,0)</f>
        <v>08 - SECRETARIA DE EDUCAÇÃO</v>
      </c>
      <c r="F409" t="str">
        <f t="shared" si="19"/>
        <v>2.023</v>
      </c>
      <c r="G409" t="str">
        <f t="shared" si="20"/>
        <v>01.200.0000</v>
      </c>
    </row>
    <row r="410" spans="1:7" hidden="1" x14ac:dyDescent="0.25">
      <c r="A410" s="6" t="s">
        <v>2605</v>
      </c>
      <c r="B410" s="28">
        <v>1</v>
      </c>
      <c r="C410" s="6" t="s">
        <v>2513</v>
      </c>
      <c r="D410" t="str">
        <f t="shared" si="18"/>
        <v>08.001.12.361.0016.2.023.4.4.50.39.00</v>
      </c>
      <c r="E410" t="str">
        <f>VLOOKUP(LEFT(A410,2),ConsolidadoLoa27_ATIVIDADES!A:I,9,0)</f>
        <v>08 - SECRETARIA DE EDUCAÇÃO</v>
      </c>
      <c r="F410" t="str">
        <f t="shared" si="19"/>
        <v>2.023</v>
      </c>
      <c r="G410" t="str">
        <f t="shared" si="20"/>
        <v>01.200.0000</v>
      </c>
    </row>
    <row r="411" spans="1:7" hidden="1" x14ac:dyDescent="0.25">
      <c r="A411" s="6" t="s">
        <v>2606</v>
      </c>
      <c r="B411" s="28">
        <v>48837.7</v>
      </c>
      <c r="C411" s="6" t="s">
        <v>2607</v>
      </c>
      <c r="D411" t="str">
        <f t="shared" si="18"/>
        <v>08.001.12.364.0001.2.011.3.3.90.30.00</v>
      </c>
      <c r="E411" t="str">
        <f>VLOOKUP(LEFT(A411,2),ConsolidadoLoa27_ATIVIDADES!A:I,9,0)</f>
        <v>08 - SECRETARIA DE EDUCAÇÃO</v>
      </c>
      <c r="F411" t="str">
        <f t="shared" si="19"/>
        <v>2.011</v>
      </c>
      <c r="G411" t="str">
        <f t="shared" si="20"/>
        <v>01.110.0000</v>
      </c>
    </row>
    <row r="412" spans="1:7" hidden="1" x14ac:dyDescent="0.25">
      <c r="A412" s="6" t="s">
        <v>2608</v>
      </c>
      <c r="B412" s="28">
        <v>1.07</v>
      </c>
      <c r="C412" s="6" t="s">
        <v>847</v>
      </c>
      <c r="D412" t="str">
        <f t="shared" si="18"/>
        <v>08.001.12.365.0001.2.001.3.1.90.11.00</v>
      </c>
      <c r="E412" t="str">
        <f>VLOOKUP(LEFT(A412,2),ConsolidadoLoa27_ATIVIDADES!A:I,9,0)</f>
        <v>08 - SECRETARIA DE EDUCAÇÃO</v>
      </c>
      <c r="F412" t="str">
        <f t="shared" si="19"/>
        <v>2.001</v>
      </c>
      <c r="G412" t="str">
        <f t="shared" si="20"/>
        <v>01.110.0000</v>
      </c>
    </row>
    <row r="413" spans="1:7" hidden="1" x14ac:dyDescent="0.25">
      <c r="A413" s="6" t="s">
        <v>2609</v>
      </c>
      <c r="B413" s="28">
        <v>157086636.55000001</v>
      </c>
      <c r="C413" s="6" t="s">
        <v>847</v>
      </c>
      <c r="D413" t="str">
        <f t="shared" si="18"/>
        <v>08.001.12.365.0001.2.001.3.1.90.11.00</v>
      </c>
      <c r="E413" t="str">
        <f>VLOOKUP(LEFT(A413,2),ConsolidadoLoa27_ATIVIDADES!A:I,9,0)</f>
        <v>08 - SECRETARIA DE EDUCAÇÃO</v>
      </c>
      <c r="F413" t="str">
        <f t="shared" si="19"/>
        <v>2.001</v>
      </c>
      <c r="G413" t="str">
        <f t="shared" si="20"/>
        <v>01.200.0000</v>
      </c>
    </row>
    <row r="414" spans="1:7" hidden="1" x14ac:dyDescent="0.25">
      <c r="A414" s="6" t="s">
        <v>2610</v>
      </c>
      <c r="B414" s="28">
        <v>357689067.44</v>
      </c>
      <c r="C414" s="6" t="s">
        <v>847</v>
      </c>
      <c r="D414" t="str">
        <f t="shared" si="18"/>
        <v>08.001.12.365.0001.2.001.3.1.90.11.00</v>
      </c>
      <c r="E414" t="str">
        <f>VLOOKUP(LEFT(A414,2),ConsolidadoLoa27_ATIVIDADES!A:I,9,0)</f>
        <v>08 - SECRETARIA DE EDUCAÇÃO</v>
      </c>
      <c r="F414" t="str">
        <f t="shared" si="19"/>
        <v>2.001</v>
      </c>
      <c r="G414" t="str">
        <f t="shared" si="20"/>
        <v>02.261.0000</v>
      </c>
    </row>
    <row r="415" spans="1:7" hidden="1" x14ac:dyDescent="0.25">
      <c r="A415" s="6" t="s">
        <v>2611</v>
      </c>
      <c r="B415" s="28">
        <v>3.22</v>
      </c>
      <c r="C415" s="6" t="s">
        <v>847</v>
      </c>
      <c r="D415" t="str">
        <f t="shared" si="18"/>
        <v>08.001.12.365.0001.2.001.3.1.90.11.00</v>
      </c>
      <c r="E415" t="str">
        <f>VLOOKUP(LEFT(A415,2),ConsolidadoLoa27_ATIVIDADES!A:I,9,0)</f>
        <v>08 - SECRETARIA DE EDUCAÇÃO</v>
      </c>
      <c r="F415" t="str">
        <f t="shared" si="19"/>
        <v>2.001</v>
      </c>
      <c r="G415" t="str">
        <f t="shared" si="20"/>
        <v>02.262.0000</v>
      </c>
    </row>
    <row r="416" spans="1:7" hidden="1" x14ac:dyDescent="0.25">
      <c r="A416" s="6" t="s">
        <v>2612</v>
      </c>
      <c r="B416" s="28">
        <v>2363.1799999999998</v>
      </c>
      <c r="C416" s="6" t="s">
        <v>847</v>
      </c>
      <c r="D416" t="str">
        <f t="shared" si="18"/>
        <v>08.001.12.365.0001.2.001.3.1.90.11.00</v>
      </c>
      <c r="E416" t="str">
        <f>VLOOKUP(LEFT(A416,2),ConsolidadoLoa27_ATIVIDADES!A:I,9,0)</f>
        <v>08 - SECRETARIA DE EDUCAÇÃO</v>
      </c>
      <c r="F416" t="str">
        <f t="shared" si="19"/>
        <v>2.001</v>
      </c>
      <c r="G416" t="str">
        <f t="shared" si="20"/>
        <v>02.264.2023</v>
      </c>
    </row>
    <row r="417" spans="1:7" hidden="1" x14ac:dyDescent="0.25">
      <c r="A417" s="6" t="s">
        <v>2613</v>
      </c>
      <c r="B417" s="28">
        <v>53708.74</v>
      </c>
      <c r="C417" s="6" t="s">
        <v>847</v>
      </c>
      <c r="D417" t="str">
        <f t="shared" si="18"/>
        <v>08.001.12.365.0001.2.001.3.1.90.11.00</v>
      </c>
      <c r="E417" t="str">
        <f>VLOOKUP(LEFT(A417,2),ConsolidadoLoa27_ATIVIDADES!A:I,9,0)</f>
        <v>08 - SECRETARIA DE EDUCAÇÃO</v>
      </c>
      <c r="F417" t="str">
        <f t="shared" si="19"/>
        <v>2.001</v>
      </c>
      <c r="G417" t="str">
        <f t="shared" si="20"/>
        <v>02.264.2024</v>
      </c>
    </row>
    <row r="418" spans="1:7" hidden="1" x14ac:dyDescent="0.25">
      <c r="A418" s="6" t="s">
        <v>2614</v>
      </c>
      <c r="B418" s="28">
        <v>27713708.760000002</v>
      </c>
      <c r="C418" s="6" t="s">
        <v>847</v>
      </c>
      <c r="D418" t="str">
        <f t="shared" si="18"/>
        <v>08.001.12.365.0001.2.001.3.1.90.11.00</v>
      </c>
      <c r="E418" t="str">
        <f>VLOOKUP(LEFT(A418,2),ConsolidadoLoa27_ATIVIDADES!A:I,9,0)</f>
        <v>08 - SECRETARIA DE EDUCAÇÃO</v>
      </c>
      <c r="F418" t="str">
        <f t="shared" si="19"/>
        <v>2.001</v>
      </c>
      <c r="G418" t="str">
        <f t="shared" si="20"/>
        <v>02.264.2025</v>
      </c>
    </row>
    <row r="419" spans="1:7" hidden="1" x14ac:dyDescent="0.25">
      <c r="A419" s="6" t="s">
        <v>2615</v>
      </c>
      <c r="B419" s="28">
        <v>1.07</v>
      </c>
      <c r="C419" s="6" t="s">
        <v>847</v>
      </c>
      <c r="D419" t="str">
        <f t="shared" si="18"/>
        <v>08.001.12.365.0001.2.001.3.1.90.13.00</v>
      </c>
      <c r="E419" t="str">
        <f>VLOOKUP(LEFT(A419,2),ConsolidadoLoa27_ATIVIDADES!A:I,9,0)</f>
        <v>08 - SECRETARIA DE EDUCAÇÃO</v>
      </c>
      <c r="F419" t="str">
        <f t="shared" si="19"/>
        <v>2.001</v>
      </c>
      <c r="G419" t="str">
        <f t="shared" si="20"/>
        <v>01.110.0000</v>
      </c>
    </row>
    <row r="420" spans="1:7" hidden="1" x14ac:dyDescent="0.25">
      <c r="A420" s="6" t="s">
        <v>2616</v>
      </c>
      <c r="B420" s="28">
        <v>107417.48</v>
      </c>
      <c r="C420" s="6" t="s">
        <v>847</v>
      </c>
      <c r="D420" t="str">
        <f t="shared" si="18"/>
        <v>08.001.12.365.0001.2.001.3.1.90.13.00</v>
      </c>
      <c r="E420" t="str">
        <f>VLOOKUP(LEFT(A420,2),ConsolidadoLoa27_ATIVIDADES!A:I,9,0)</f>
        <v>08 - SECRETARIA DE EDUCAÇÃO</v>
      </c>
      <c r="F420" t="str">
        <f t="shared" si="19"/>
        <v>2.001</v>
      </c>
      <c r="G420" t="str">
        <f t="shared" si="20"/>
        <v>01.200.0000</v>
      </c>
    </row>
    <row r="421" spans="1:7" hidden="1" x14ac:dyDescent="0.25">
      <c r="A421" s="6" t="s">
        <v>2617</v>
      </c>
      <c r="B421" s="28">
        <v>0</v>
      </c>
      <c r="C421" s="6" t="s">
        <v>847</v>
      </c>
      <c r="D421" t="str">
        <f t="shared" si="18"/>
        <v>08.001.12.365.0001.2.001.3.1.90.13.00</v>
      </c>
      <c r="E421" t="str">
        <f>VLOOKUP(LEFT(A421,2),ConsolidadoLoa27_ATIVIDADES!A:I,9,0)</f>
        <v>08 - SECRETARIA DE EDUCAÇÃO</v>
      </c>
      <c r="F421" t="str">
        <f t="shared" si="19"/>
        <v>2.001</v>
      </c>
      <c r="G421" t="str">
        <f t="shared" si="20"/>
        <v>02.261.0000</v>
      </c>
    </row>
    <row r="422" spans="1:7" hidden="1" x14ac:dyDescent="0.25">
      <c r="A422" s="6" t="s">
        <v>2618</v>
      </c>
      <c r="B422" s="28">
        <v>3.22</v>
      </c>
      <c r="C422" s="6" t="s">
        <v>847</v>
      </c>
      <c r="D422" t="str">
        <f t="shared" si="18"/>
        <v>08.001.12.365.0001.2.001.3.1.90.13.00</v>
      </c>
      <c r="E422" t="str">
        <f>VLOOKUP(LEFT(A422,2),ConsolidadoLoa27_ATIVIDADES!A:I,9,0)</f>
        <v>08 - SECRETARIA DE EDUCAÇÃO</v>
      </c>
      <c r="F422" t="str">
        <f t="shared" si="19"/>
        <v>2.001</v>
      </c>
      <c r="G422" t="str">
        <f t="shared" si="20"/>
        <v>02.262.0000</v>
      </c>
    </row>
    <row r="423" spans="1:7" hidden="1" x14ac:dyDescent="0.25">
      <c r="A423" s="6" t="s">
        <v>2619</v>
      </c>
      <c r="B423" s="28">
        <v>1.07</v>
      </c>
      <c r="C423" s="12" t="s">
        <v>847</v>
      </c>
      <c r="D423" t="str">
        <f t="shared" si="18"/>
        <v>08.001.12.365.0001.2.001.3.1.91.13.00</v>
      </c>
      <c r="E423" t="str">
        <f>VLOOKUP(LEFT(A423,2),ConsolidadoLoa27_ATIVIDADES!A:I,9,0)</f>
        <v>08 - SECRETARIA DE EDUCAÇÃO</v>
      </c>
      <c r="F423" t="str">
        <f t="shared" si="19"/>
        <v>2.001</v>
      </c>
      <c r="G423" t="str">
        <f t="shared" si="20"/>
        <v>01.110.0000</v>
      </c>
    </row>
    <row r="424" spans="1:7" hidden="1" x14ac:dyDescent="0.25">
      <c r="A424" s="6" t="s">
        <v>2620</v>
      </c>
      <c r="B424" s="28">
        <v>26041944.619999997</v>
      </c>
      <c r="C424" s="12" t="s">
        <v>847</v>
      </c>
      <c r="D424" t="str">
        <f t="shared" si="18"/>
        <v>08.001.12.365.0001.2.001.3.1.91.13.00</v>
      </c>
      <c r="E424" t="str">
        <f>VLOOKUP(LEFT(A424,2),ConsolidadoLoa27_ATIVIDADES!A:I,9,0)</f>
        <v>08 - SECRETARIA DE EDUCAÇÃO</v>
      </c>
      <c r="F424" t="str">
        <f t="shared" si="19"/>
        <v>2.001</v>
      </c>
      <c r="G424" t="str">
        <f t="shared" si="20"/>
        <v>01.200.0000</v>
      </c>
    </row>
    <row r="425" spans="1:7" hidden="1" x14ac:dyDescent="0.25">
      <c r="A425" s="6" t="s">
        <v>2621</v>
      </c>
      <c r="B425" s="28">
        <v>65925047.239999995</v>
      </c>
      <c r="C425" s="12" t="s">
        <v>847</v>
      </c>
      <c r="D425" t="str">
        <f t="shared" si="18"/>
        <v>08.001.12.365.0001.2.001.3.1.91.13.00</v>
      </c>
      <c r="E425" t="str">
        <f>VLOOKUP(LEFT(A425,2),ConsolidadoLoa27_ATIVIDADES!A:I,9,0)</f>
        <v>08 - SECRETARIA DE EDUCAÇÃO</v>
      </c>
      <c r="F425" t="str">
        <f t="shared" si="19"/>
        <v>2.001</v>
      </c>
      <c r="G425" t="str">
        <f t="shared" si="20"/>
        <v>02.261.0000</v>
      </c>
    </row>
    <row r="426" spans="1:7" hidden="1" x14ac:dyDescent="0.25">
      <c r="A426" s="6" t="s">
        <v>2622</v>
      </c>
      <c r="B426" s="28">
        <v>3.22</v>
      </c>
      <c r="C426" s="12" t="s">
        <v>847</v>
      </c>
      <c r="D426" t="str">
        <f t="shared" si="18"/>
        <v>08.001.12.365.0001.2.001.3.1.91.13.00</v>
      </c>
      <c r="E426" t="str">
        <f>VLOOKUP(LEFT(A426,2),ConsolidadoLoa27_ATIVIDADES!A:I,9,0)</f>
        <v>08 - SECRETARIA DE EDUCAÇÃO</v>
      </c>
      <c r="F426" t="str">
        <f t="shared" si="19"/>
        <v>2.001</v>
      </c>
      <c r="G426" t="str">
        <f t="shared" si="20"/>
        <v>02.262.0000</v>
      </c>
    </row>
    <row r="427" spans="1:7" hidden="1" x14ac:dyDescent="0.25">
      <c r="A427" s="6" t="s">
        <v>2623</v>
      </c>
      <c r="B427" s="28">
        <v>54509549.140000001</v>
      </c>
      <c r="C427" s="19" t="s">
        <v>2278</v>
      </c>
      <c r="D427" t="str">
        <f t="shared" si="18"/>
        <v>08.001.12.365.0001.2.001.3.3.90.46.00</v>
      </c>
      <c r="E427" t="str">
        <f>VLOOKUP(LEFT(A427,2),ConsolidadoLoa27_ATIVIDADES!A:I,9,0)</f>
        <v>08 - SECRETARIA DE EDUCAÇÃO</v>
      </c>
      <c r="F427" t="str">
        <f t="shared" si="19"/>
        <v>2.001</v>
      </c>
      <c r="G427" t="str">
        <f t="shared" si="20"/>
        <v>01.200.0000</v>
      </c>
    </row>
    <row r="428" spans="1:7" hidden="1" x14ac:dyDescent="0.25">
      <c r="A428" s="6" t="s">
        <v>2624</v>
      </c>
      <c r="B428" s="28">
        <v>5.37</v>
      </c>
      <c r="C428" s="6" t="s">
        <v>2278</v>
      </c>
      <c r="D428" t="str">
        <f t="shared" si="18"/>
        <v>08.001.12.365.0001.2.001.3.3.90.46.00</v>
      </c>
      <c r="E428" t="str">
        <f>VLOOKUP(LEFT(A428,2),ConsolidadoLoa27_ATIVIDADES!A:I,9,0)</f>
        <v>08 - SECRETARIA DE EDUCAÇÃO</v>
      </c>
      <c r="F428" t="str">
        <f t="shared" si="19"/>
        <v>2.001</v>
      </c>
      <c r="G428" t="str">
        <f t="shared" si="20"/>
        <v>02.262.0000</v>
      </c>
    </row>
    <row r="429" spans="1:7" hidden="1" x14ac:dyDescent="0.25">
      <c r="A429" s="6" t="s">
        <v>2625</v>
      </c>
      <c r="B429" s="28">
        <v>9221301.5500000007</v>
      </c>
      <c r="C429" s="6" t="s">
        <v>2280</v>
      </c>
      <c r="D429" t="str">
        <f t="shared" si="18"/>
        <v>08.001.12.365.0001.2.001.3.3.90.49.00</v>
      </c>
      <c r="E429" t="str">
        <f>VLOOKUP(LEFT(A429,2),ConsolidadoLoa27_ATIVIDADES!A:I,9,0)</f>
        <v>08 - SECRETARIA DE EDUCAÇÃO</v>
      </c>
      <c r="F429" t="str">
        <f t="shared" si="19"/>
        <v>2.001</v>
      </c>
      <c r="G429" t="str">
        <f t="shared" si="20"/>
        <v>01.200.0000</v>
      </c>
    </row>
    <row r="430" spans="1:7" hidden="1" x14ac:dyDescent="0.25">
      <c r="A430" s="6" t="s">
        <v>2626</v>
      </c>
      <c r="B430" s="28">
        <v>107624.7825</v>
      </c>
      <c r="C430" s="6" t="s">
        <v>198</v>
      </c>
      <c r="D430" t="str">
        <f t="shared" si="18"/>
        <v>08.001.12.365.0002.2.005.3.3.90.39.00</v>
      </c>
      <c r="E430" t="str">
        <f>VLOOKUP(LEFT(A430,2),ConsolidadoLoa27_ATIVIDADES!A:I,9,0)</f>
        <v>08 - SECRETARIA DE EDUCAÇÃO</v>
      </c>
      <c r="F430" t="str">
        <f t="shared" si="19"/>
        <v>2.005</v>
      </c>
      <c r="G430" t="str">
        <f t="shared" si="20"/>
        <v>01.200.0000</v>
      </c>
    </row>
    <row r="431" spans="1:7" hidden="1" x14ac:dyDescent="0.25">
      <c r="A431" s="6" t="s">
        <v>2627</v>
      </c>
      <c r="B431" s="28">
        <v>699000</v>
      </c>
      <c r="C431" s="6" t="s">
        <v>2293</v>
      </c>
      <c r="D431" t="str">
        <f t="shared" si="18"/>
        <v>08.001.12.365.0002.2.005.3.3.90.39.00</v>
      </c>
      <c r="E431" t="str">
        <f>VLOOKUP(LEFT(A431,2),ConsolidadoLoa27_ATIVIDADES!A:I,9,0)</f>
        <v>08 - SECRETARIA DE EDUCAÇÃO</v>
      </c>
      <c r="F431" t="str">
        <f t="shared" si="19"/>
        <v>2.005</v>
      </c>
      <c r="G431" t="str">
        <f t="shared" si="20"/>
        <v>01.110.0000</v>
      </c>
    </row>
    <row r="432" spans="1:7" hidden="1" x14ac:dyDescent="0.25">
      <c r="A432" s="6" t="s">
        <v>2626</v>
      </c>
      <c r="B432" s="28">
        <v>466916.9595</v>
      </c>
      <c r="C432" s="6" t="s">
        <v>2293</v>
      </c>
      <c r="D432" t="str">
        <f t="shared" si="18"/>
        <v>08.001.12.365.0002.2.005.3.3.90.39.00</v>
      </c>
      <c r="E432" t="str">
        <f>VLOOKUP(LEFT(A432,2),ConsolidadoLoa27_ATIVIDADES!A:I,9,0)</f>
        <v>08 - SECRETARIA DE EDUCAÇÃO</v>
      </c>
      <c r="F432" t="str">
        <f t="shared" si="19"/>
        <v>2.005</v>
      </c>
      <c r="G432" t="str">
        <f t="shared" si="20"/>
        <v>01.200.0000</v>
      </c>
    </row>
    <row r="433" spans="1:7" hidden="1" x14ac:dyDescent="0.25">
      <c r="A433" s="6" t="s">
        <v>2626</v>
      </c>
      <c r="B433" s="28">
        <v>3252016.1976999999</v>
      </c>
      <c r="C433" s="6" t="s">
        <v>196</v>
      </c>
      <c r="D433" t="str">
        <f t="shared" si="18"/>
        <v>08.001.12.365.0002.2.005.3.3.90.39.00</v>
      </c>
      <c r="E433" t="str">
        <f>VLOOKUP(LEFT(A433,2),ConsolidadoLoa27_ATIVIDADES!A:I,9,0)</f>
        <v>08 - SECRETARIA DE EDUCAÇÃO</v>
      </c>
      <c r="F433" t="str">
        <f t="shared" si="19"/>
        <v>2.005</v>
      </c>
      <c r="G433" t="str">
        <f t="shared" si="20"/>
        <v>01.200.0000</v>
      </c>
    </row>
    <row r="434" spans="1:7" hidden="1" x14ac:dyDescent="0.25">
      <c r="A434" s="6" t="s">
        <v>2628</v>
      </c>
      <c r="B434" s="28">
        <v>10179986</v>
      </c>
      <c r="C434" s="6" t="s">
        <v>2629</v>
      </c>
      <c r="D434" t="str">
        <f t="shared" si="18"/>
        <v>08.001.12.365.0002.2.007.3.3.90.40.00</v>
      </c>
      <c r="E434" t="str">
        <f>VLOOKUP(LEFT(A434,2),ConsolidadoLoa27_ATIVIDADES!A:I,9,0)</f>
        <v>08 - SECRETARIA DE EDUCAÇÃO</v>
      </c>
      <c r="F434" t="str">
        <f t="shared" si="19"/>
        <v>2.007</v>
      </c>
      <c r="G434" t="str">
        <f t="shared" si="20"/>
        <v>01.200.0000</v>
      </c>
    </row>
    <row r="435" spans="1:7" hidden="1" x14ac:dyDescent="0.25">
      <c r="A435" s="6" t="s">
        <v>2628</v>
      </c>
      <c r="B435" s="28">
        <v>10200000</v>
      </c>
      <c r="C435" s="6" t="s">
        <v>2545</v>
      </c>
      <c r="D435" t="str">
        <f t="shared" si="18"/>
        <v>08.001.12.365.0002.2.007.3.3.90.40.00</v>
      </c>
      <c r="E435" t="str">
        <f>VLOOKUP(LEFT(A435,2),ConsolidadoLoa27_ATIVIDADES!A:I,9,0)</f>
        <v>08 - SECRETARIA DE EDUCAÇÃO</v>
      </c>
      <c r="F435" t="str">
        <f t="shared" si="19"/>
        <v>2.007</v>
      </c>
      <c r="G435" t="str">
        <f t="shared" si="20"/>
        <v>01.200.0000</v>
      </c>
    </row>
    <row r="436" spans="1:7" hidden="1" x14ac:dyDescent="0.25">
      <c r="A436" s="6" t="s">
        <v>2630</v>
      </c>
      <c r="B436" s="28">
        <v>1</v>
      </c>
      <c r="C436" s="6" t="s">
        <v>2631</v>
      </c>
      <c r="D436" t="str">
        <f t="shared" si="18"/>
        <v>08.001.12.365.0016.1.002.3.3.90.39.00</v>
      </c>
      <c r="E436" t="str">
        <f>VLOOKUP(LEFT(A436,2),ConsolidadoLoa27_ATIVIDADES!A:I,9,0)</f>
        <v>08 - SECRETARIA DE EDUCAÇÃO</v>
      </c>
      <c r="F436" t="str">
        <f t="shared" si="19"/>
        <v>1.002</v>
      </c>
      <c r="G436" t="str">
        <f t="shared" si="20"/>
        <v>01.200.0000</v>
      </c>
    </row>
    <row r="437" spans="1:7" hidden="1" x14ac:dyDescent="0.25">
      <c r="A437" s="6" t="s">
        <v>2630</v>
      </c>
      <c r="B437" s="28">
        <v>1</v>
      </c>
      <c r="C437" s="6" t="s">
        <v>2632</v>
      </c>
      <c r="D437" t="str">
        <f t="shared" si="18"/>
        <v>08.001.12.365.0016.1.002.3.3.90.39.00</v>
      </c>
      <c r="E437" t="str">
        <f>VLOOKUP(LEFT(A437,2),ConsolidadoLoa27_ATIVIDADES!A:I,9,0)</f>
        <v>08 - SECRETARIA DE EDUCAÇÃO</v>
      </c>
      <c r="F437" t="str">
        <f t="shared" si="19"/>
        <v>1.002</v>
      </c>
      <c r="G437" t="str">
        <f t="shared" si="20"/>
        <v>01.200.0000</v>
      </c>
    </row>
    <row r="438" spans="1:7" hidden="1" x14ac:dyDescent="0.25">
      <c r="A438" s="6" t="s">
        <v>2630</v>
      </c>
      <c r="B438" s="28">
        <v>1</v>
      </c>
      <c r="C438" s="6" t="s">
        <v>2633</v>
      </c>
      <c r="D438" t="str">
        <f t="shared" si="18"/>
        <v>08.001.12.365.0016.1.002.3.3.90.39.00</v>
      </c>
      <c r="E438" t="str">
        <f>VLOOKUP(LEFT(A438,2),ConsolidadoLoa27_ATIVIDADES!A:I,9,0)</f>
        <v>08 - SECRETARIA DE EDUCAÇÃO</v>
      </c>
      <c r="F438" t="str">
        <f t="shared" si="19"/>
        <v>1.002</v>
      </c>
      <c r="G438" t="str">
        <f t="shared" si="20"/>
        <v>01.200.0000</v>
      </c>
    </row>
    <row r="439" spans="1:7" hidden="1" x14ac:dyDescent="0.25">
      <c r="A439" s="6" t="s">
        <v>2630</v>
      </c>
      <c r="B439" s="28">
        <v>1</v>
      </c>
      <c r="C439" s="6" t="s">
        <v>2634</v>
      </c>
      <c r="D439" t="str">
        <f t="shared" si="18"/>
        <v>08.001.12.365.0016.1.002.3.3.90.39.00</v>
      </c>
      <c r="E439" t="str">
        <f>VLOOKUP(LEFT(A439,2),ConsolidadoLoa27_ATIVIDADES!A:I,9,0)</f>
        <v>08 - SECRETARIA DE EDUCAÇÃO</v>
      </c>
      <c r="F439" t="str">
        <f t="shared" si="19"/>
        <v>1.002</v>
      </c>
      <c r="G439" t="str">
        <f t="shared" si="20"/>
        <v>01.200.0000</v>
      </c>
    </row>
    <row r="440" spans="1:7" hidden="1" x14ac:dyDescent="0.25">
      <c r="A440" s="6" t="s">
        <v>2630</v>
      </c>
      <c r="B440" s="28">
        <v>1</v>
      </c>
      <c r="C440" s="6" t="s">
        <v>2635</v>
      </c>
      <c r="D440" t="str">
        <f t="shared" si="18"/>
        <v>08.001.12.365.0016.1.002.3.3.90.39.00</v>
      </c>
      <c r="E440" t="str">
        <f>VLOOKUP(LEFT(A440,2),ConsolidadoLoa27_ATIVIDADES!A:I,9,0)</f>
        <v>08 - SECRETARIA DE EDUCAÇÃO</v>
      </c>
      <c r="F440" t="str">
        <f t="shared" si="19"/>
        <v>1.002</v>
      </c>
      <c r="G440" t="str">
        <f t="shared" si="20"/>
        <v>01.200.0000</v>
      </c>
    </row>
    <row r="441" spans="1:7" hidden="1" x14ac:dyDescent="0.25">
      <c r="A441" s="6" t="s">
        <v>2630</v>
      </c>
      <c r="B441" s="28">
        <v>1</v>
      </c>
      <c r="C441" s="6" t="s">
        <v>2636</v>
      </c>
      <c r="D441" t="str">
        <f t="shared" si="18"/>
        <v>08.001.12.365.0016.1.002.3.3.90.39.00</v>
      </c>
      <c r="E441" t="str">
        <f>VLOOKUP(LEFT(A441,2),ConsolidadoLoa27_ATIVIDADES!A:I,9,0)</f>
        <v>08 - SECRETARIA DE EDUCAÇÃO</v>
      </c>
      <c r="F441" t="str">
        <f t="shared" si="19"/>
        <v>1.002</v>
      </c>
      <c r="G441" t="str">
        <f t="shared" si="20"/>
        <v>01.200.0000</v>
      </c>
    </row>
    <row r="442" spans="1:7" hidden="1" x14ac:dyDescent="0.25">
      <c r="A442" s="6" t="s">
        <v>2630</v>
      </c>
      <c r="B442" s="28">
        <v>1</v>
      </c>
      <c r="C442" s="6" t="s">
        <v>2637</v>
      </c>
      <c r="D442" t="str">
        <f t="shared" si="18"/>
        <v>08.001.12.365.0016.1.002.3.3.90.39.00</v>
      </c>
      <c r="E442" t="str">
        <f>VLOOKUP(LEFT(A442,2),ConsolidadoLoa27_ATIVIDADES!A:I,9,0)</f>
        <v>08 - SECRETARIA DE EDUCAÇÃO</v>
      </c>
      <c r="F442" t="str">
        <f t="shared" si="19"/>
        <v>1.002</v>
      </c>
      <c r="G442" t="str">
        <f t="shared" si="20"/>
        <v>01.200.0000</v>
      </c>
    </row>
    <row r="443" spans="1:7" hidden="1" x14ac:dyDescent="0.25">
      <c r="A443" s="6" t="s">
        <v>2630</v>
      </c>
      <c r="B443" s="28">
        <v>1</v>
      </c>
      <c r="C443" s="6" t="s">
        <v>2638</v>
      </c>
      <c r="D443" t="str">
        <f t="shared" si="18"/>
        <v>08.001.12.365.0016.1.002.3.3.90.39.00</v>
      </c>
      <c r="E443" t="str">
        <f>VLOOKUP(LEFT(A443,2),ConsolidadoLoa27_ATIVIDADES!A:I,9,0)</f>
        <v>08 - SECRETARIA DE EDUCAÇÃO</v>
      </c>
      <c r="F443" t="str">
        <f t="shared" si="19"/>
        <v>1.002</v>
      </c>
      <c r="G443" t="str">
        <f t="shared" si="20"/>
        <v>01.200.0000</v>
      </c>
    </row>
    <row r="444" spans="1:7" hidden="1" x14ac:dyDescent="0.25">
      <c r="A444" s="6" t="s">
        <v>2630</v>
      </c>
      <c r="B444" s="28">
        <v>1</v>
      </c>
      <c r="C444" s="6" t="s">
        <v>2639</v>
      </c>
      <c r="D444" t="str">
        <f t="shared" si="18"/>
        <v>08.001.12.365.0016.1.002.3.3.90.39.00</v>
      </c>
      <c r="E444" t="str">
        <f>VLOOKUP(LEFT(A444,2),ConsolidadoLoa27_ATIVIDADES!A:I,9,0)</f>
        <v>08 - SECRETARIA DE EDUCAÇÃO</v>
      </c>
      <c r="F444" t="str">
        <f t="shared" si="19"/>
        <v>1.002</v>
      </c>
      <c r="G444" t="str">
        <f t="shared" si="20"/>
        <v>01.200.0000</v>
      </c>
    </row>
    <row r="445" spans="1:7" hidden="1" x14ac:dyDescent="0.25">
      <c r="A445" s="6" t="s">
        <v>2630</v>
      </c>
      <c r="B445" s="28">
        <v>1</v>
      </c>
      <c r="C445" s="6" t="s">
        <v>2640</v>
      </c>
      <c r="D445" t="str">
        <f t="shared" si="18"/>
        <v>08.001.12.365.0016.1.002.3.3.90.39.00</v>
      </c>
      <c r="E445" t="str">
        <f>VLOOKUP(LEFT(A445,2),ConsolidadoLoa27_ATIVIDADES!A:I,9,0)</f>
        <v>08 - SECRETARIA DE EDUCAÇÃO</v>
      </c>
      <c r="F445" t="str">
        <f t="shared" si="19"/>
        <v>1.002</v>
      </c>
      <c r="G445" t="str">
        <f t="shared" si="20"/>
        <v>01.200.0000</v>
      </c>
    </row>
    <row r="446" spans="1:7" hidden="1" x14ac:dyDescent="0.25">
      <c r="A446" s="6" t="s">
        <v>2630</v>
      </c>
      <c r="B446" s="28">
        <v>1</v>
      </c>
      <c r="C446" s="6" t="s">
        <v>2641</v>
      </c>
      <c r="D446" t="str">
        <f t="shared" si="18"/>
        <v>08.001.12.365.0016.1.002.3.3.90.39.00</v>
      </c>
      <c r="E446" t="str">
        <f>VLOOKUP(LEFT(A446,2),ConsolidadoLoa27_ATIVIDADES!A:I,9,0)</f>
        <v>08 - SECRETARIA DE EDUCAÇÃO</v>
      </c>
      <c r="F446" t="str">
        <f t="shared" si="19"/>
        <v>1.002</v>
      </c>
      <c r="G446" t="str">
        <f t="shared" si="20"/>
        <v>01.200.0000</v>
      </c>
    </row>
    <row r="447" spans="1:7" hidden="1" x14ac:dyDescent="0.25">
      <c r="A447" s="6" t="s">
        <v>2630</v>
      </c>
      <c r="B447" s="28">
        <v>1</v>
      </c>
      <c r="C447" s="6" t="s">
        <v>2642</v>
      </c>
      <c r="D447" t="str">
        <f t="shared" si="18"/>
        <v>08.001.12.365.0016.1.002.3.3.90.39.00</v>
      </c>
      <c r="E447" t="str">
        <f>VLOOKUP(LEFT(A447,2),ConsolidadoLoa27_ATIVIDADES!A:I,9,0)</f>
        <v>08 - SECRETARIA DE EDUCAÇÃO</v>
      </c>
      <c r="F447" t="str">
        <f t="shared" si="19"/>
        <v>1.002</v>
      </c>
      <c r="G447" t="str">
        <f t="shared" si="20"/>
        <v>01.200.0000</v>
      </c>
    </row>
    <row r="448" spans="1:7" hidden="1" x14ac:dyDescent="0.25">
      <c r="A448" s="6" t="s">
        <v>2630</v>
      </c>
      <c r="B448" s="28">
        <v>1</v>
      </c>
      <c r="C448" s="6" t="s">
        <v>2643</v>
      </c>
      <c r="D448" t="str">
        <f t="shared" si="18"/>
        <v>08.001.12.365.0016.1.002.3.3.90.39.00</v>
      </c>
      <c r="E448" t="str">
        <f>VLOOKUP(LEFT(A448,2),ConsolidadoLoa27_ATIVIDADES!A:I,9,0)</f>
        <v>08 - SECRETARIA DE EDUCAÇÃO</v>
      </c>
      <c r="F448" t="str">
        <f t="shared" si="19"/>
        <v>1.002</v>
      </c>
      <c r="G448" t="str">
        <f t="shared" si="20"/>
        <v>01.200.0000</v>
      </c>
    </row>
    <row r="449" spans="1:7" hidden="1" x14ac:dyDescent="0.25">
      <c r="A449" s="6" t="s">
        <v>2630</v>
      </c>
      <c r="B449" s="28">
        <v>1</v>
      </c>
      <c r="C449" s="6" t="s">
        <v>2644</v>
      </c>
      <c r="D449" t="str">
        <f t="shared" si="18"/>
        <v>08.001.12.365.0016.1.002.3.3.90.39.00</v>
      </c>
      <c r="E449" t="str">
        <f>VLOOKUP(LEFT(A449,2),ConsolidadoLoa27_ATIVIDADES!A:I,9,0)</f>
        <v>08 - SECRETARIA DE EDUCAÇÃO</v>
      </c>
      <c r="F449" t="str">
        <f t="shared" si="19"/>
        <v>1.002</v>
      </c>
      <c r="G449" t="str">
        <f t="shared" si="20"/>
        <v>01.200.0000</v>
      </c>
    </row>
    <row r="450" spans="1:7" hidden="1" x14ac:dyDescent="0.25">
      <c r="A450" s="6" t="s">
        <v>2630</v>
      </c>
      <c r="B450" s="28">
        <v>1</v>
      </c>
      <c r="C450" s="6" t="s">
        <v>2645</v>
      </c>
      <c r="D450" t="str">
        <f t="shared" si="18"/>
        <v>08.001.12.365.0016.1.002.3.3.90.39.00</v>
      </c>
      <c r="E450" t="str">
        <f>VLOOKUP(LEFT(A450,2),ConsolidadoLoa27_ATIVIDADES!A:I,9,0)</f>
        <v>08 - SECRETARIA DE EDUCAÇÃO</v>
      </c>
      <c r="F450" t="str">
        <f t="shared" si="19"/>
        <v>1.002</v>
      </c>
      <c r="G450" t="str">
        <f t="shared" si="20"/>
        <v>01.200.0000</v>
      </c>
    </row>
    <row r="451" spans="1:7" hidden="1" x14ac:dyDescent="0.25">
      <c r="A451" s="6" t="s">
        <v>2630</v>
      </c>
      <c r="B451" s="28">
        <v>1</v>
      </c>
      <c r="C451" s="6" t="s">
        <v>2646</v>
      </c>
      <c r="D451" t="str">
        <f t="shared" ref="D451:D514" si="21">_xlfn.CONCAT(LEFT(A451,34),".00")</f>
        <v>08.001.12.365.0016.1.002.3.3.90.39.00</v>
      </c>
      <c r="E451" t="str">
        <f>VLOOKUP(LEFT(A451,2),ConsolidadoLoa27_ATIVIDADES!A:I,9,0)</f>
        <v>08 - SECRETARIA DE EDUCAÇÃO</v>
      </c>
      <c r="F451" t="str">
        <f t="shared" ref="F451:F514" si="22">MID(A451,20,5)</f>
        <v>1.002</v>
      </c>
      <c r="G451" t="str">
        <f t="shared" ref="G451:G514" si="23">RIGHT(A451,11)</f>
        <v>01.200.0000</v>
      </c>
    </row>
    <row r="452" spans="1:7" hidden="1" x14ac:dyDescent="0.25">
      <c r="A452" s="6" t="s">
        <v>2647</v>
      </c>
      <c r="B452" s="28">
        <v>0</v>
      </c>
      <c r="C452" s="6" t="s">
        <v>2648</v>
      </c>
      <c r="D452" t="str">
        <f t="shared" si="21"/>
        <v>08.001.12.365.0016.1.003.4.4.90.51.00</v>
      </c>
      <c r="E452" t="str">
        <f>VLOOKUP(LEFT(A452,2),ConsolidadoLoa27_ATIVIDADES!A:I,9,0)</f>
        <v>08 - SECRETARIA DE EDUCAÇÃO</v>
      </c>
      <c r="F452" t="str">
        <f t="shared" si="22"/>
        <v>1.003</v>
      </c>
      <c r="G452" t="str">
        <f t="shared" si="23"/>
        <v>01.200.0000</v>
      </c>
    </row>
    <row r="453" spans="1:7" hidden="1" x14ac:dyDescent="0.25">
      <c r="A453" s="6" t="s">
        <v>2647</v>
      </c>
      <c r="B453" s="28">
        <v>0</v>
      </c>
      <c r="C453" s="6" t="s">
        <v>2649</v>
      </c>
      <c r="D453" t="str">
        <f t="shared" si="21"/>
        <v>08.001.12.365.0016.1.003.4.4.90.51.00</v>
      </c>
      <c r="E453" t="str">
        <f>VLOOKUP(LEFT(A453,2),ConsolidadoLoa27_ATIVIDADES!A:I,9,0)</f>
        <v>08 - SECRETARIA DE EDUCAÇÃO</v>
      </c>
      <c r="F453" t="str">
        <f t="shared" si="22"/>
        <v>1.003</v>
      </c>
      <c r="G453" t="str">
        <f t="shared" si="23"/>
        <v>01.200.0000</v>
      </c>
    </row>
    <row r="454" spans="1:7" hidden="1" x14ac:dyDescent="0.25">
      <c r="A454" s="6" t="s">
        <v>2650</v>
      </c>
      <c r="B454" s="28">
        <v>0</v>
      </c>
      <c r="C454" s="6" t="s">
        <v>2648</v>
      </c>
      <c r="D454" t="str">
        <f t="shared" si="21"/>
        <v>08.001.12.365.0016.1.003.4.4.90.51.00</v>
      </c>
      <c r="E454" t="str">
        <f>VLOOKUP(LEFT(A454,2),ConsolidadoLoa27_ATIVIDADES!A:I,9,0)</f>
        <v>08 - SECRETARIA DE EDUCAÇÃO</v>
      </c>
      <c r="F454" t="str">
        <f t="shared" si="22"/>
        <v>1.003</v>
      </c>
      <c r="G454" t="str">
        <f t="shared" si="23"/>
        <v>07.202.0000</v>
      </c>
    </row>
    <row r="455" spans="1:7" hidden="1" x14ac:dyDescent="0.25">
      <c r="A455" s="6" t="s">
        <v>2650</v>
      </c>
      <c r="B455" s="28">
        <v>0</v>
      </c>
      <c r="C455" s="6" t="s">
        <v>2649</v>
      </c>
      <c r="D455" t="str">
        <f t="shared" si="21"/>
        <v>08.001.12.365.0016.1.003.4.4.90.51.00</v>
      </c>
      <c r="E455" t="str">
        <f>VLOOKUP(LEFT(A455,2),ConsolidadoLoa27_ATIVIDADES!A:I,9,0)</f>
        <v>08 - SECRETARIA DE EDUCAÇÃO</v>
      </c>
      <c r="F455" t="str">
        <f t="shared" si="22"/>
        <v>1.003</v>
      </c>
      <c r="G455" t="str">
        <f t="shared" si="23"/>
        <v>07.202.0000</v>
      </c>
    </row>
    <row r="456" spans="1:7" hidden="1" x14ac:dyDescent="0.25">
      <c r="A456" s="6" t="s">
        <v>2651</v>
      </c>
      <c r="B456" s="28">
        <v>1</v>
      </c>
      <c r="C456" s="6" t="s">
        <v>2649</v>
      </c>
      <c r="D456" t="str">
        <f t="shared" si="21"/>
        <v>08.001.12.365.0016.1.003.4.4.90.52.00</v>
      </c>
      <c r="E456" t="str">
        <f>VLOOKUP(LEFT(A456,2),ConsolidadoLoa27_ATIVIDADES!A:I,9,0)</f>
        <v>08 - SECRETARIA DE EDUCAÇÃO</v>
      </c>
      <c r="F456" t="str">
        <f t="shared" si="22"/>
        <v>1.003</v>
      </c>
      <c r="G456" t="str">
        <f t="shared" si="23"/>
        <v>01.200.0000</v>
      </c>
    </row>
    <row r="457" spans="1:7" hidden="1" x14ac:dyDescent="0.25">
      <c r="A457" s="6" t="s">
        <v>2652</v>
      </c>
      <c r="B457" s="28">
        <v>1</v>
      </c>
      <c r="C457" s="6" t="s">
        <v>2571</v>
      </c>
      <c r="D457" t="str">
        <f t="shared" si="21"/>
        <v>08.001.12.365.0016.2.011.3.3.50.43.00</v>
      </c>
      <c r="E457" t="str">
        <f>VLOOKUP(LEFT(A457,2),ConsolidadoLoa27_ATIVIDADES!A:I,9,0)</f>
        <v>08 - SECRETARIA DE EDUCAÇÃO</v>
      </c>
      <c r="F457" t="str">
        <f t="shared" si="22"/>
        <v>2.011</v>
      </c>
      <c r="G457" t="str">
        <f t="shared" si="23"/>
        <v>01.110.0000</v>
      </c>
    </row>
    <row r="458" spans="1:7" hidden="1" x14ac:dyDescent="0.25">
      <c r="A458" s="6" t="s">
        <v>2653</v>
      </c>
      <c r="B458" s="28">
        <v>1880461.3481999999</v>
      </c>
      <c r="C458" s="6" t="s">
        <v>2318</v>
      </c>
      <c r="D458" t="str">
        <f t="shared" si="21"/>
        <v>08.001.12.365.0016.2.011.3.3.90.30.00</v>
      </c>
      <c r="E458" t="str">
        <f>VLOOKUP(LEFT(A458,2),ConsolidadoLoa27_ATIVIDADES!A:I,9,0)</f>
        <v>08 - SECRETARIA DE EDUCAÇÃO</v>
      </c>
      <c r="F458" t="str">
        <f t="shared" si="22"/>
        <v>2.011</v>
      </c>
      <c r="G458" t="str">
        <f t="shared" si="23"/>
        <v>01.110.0000</v>
      </c>
    </row>
    <row r="459" spans="1:7" hidden="1" x14ac:dyDescent="0.25">
      <c r="A459" s="6" t="s">
        <v>2653</v>
      </c>
      <c r="B459" s="28">
        <v>206780.9</v>
      </c>
      <c r="C459" s="6" t="s">
        <v>2654</v>
      </c>
      <c r="D459" t="str">
        <f t="shared" si="21"/>
        <v>08.001.12.365.0016.2.011.3.3.90.30.00</v>
      </c>
      <c r="E459" t="str">
        <f>VLOOKUP(LEFT(A459,2),ConsolidadoLoa27_ATIVIDADES!A:I,9,0)</f>
        <v>08 - SECRETARIA DE EDUCAÇÃO</v>
      </c>
      <c r="F459" t="str">
        <f t="shared" si="22"/>
        <v>2.011</v>
      </c>
      <c r="G459" t="str">
        <f t="shared" si="23"/>
        <v>01.110.0000</v>
      </c>
    </row>
    <row r="460" spans="1:7" hidden="1" x14ac:dyDescent="0.25">
      <c r="A460" s="6" t="s">
        <v>2655</v>
      </c>
      <c r="B460" s="28">
        <v>1</v>
      </c>
      <c r="C460" s="6" t="s">
        <v>2318</v>
      </c>
      <c r="D460" t="str">
        <f t="shared" si="21"/>
        <v>08.001.12.365.0016.2.011.3.3.90.30.00</v>
      </c>
      <c r="E460" t="str">
        <f>VLOOKUP(LEFT(A460,2),ConsolidadoLoa27_ATIVIDADES!A:I,9,0)</f>
        <v>08 - SECRETARIA DE EDUCAÇÃO</v>
      </c>
      <c r="F460" t="str">
        <f t="shared" si="22"/>
        <v>2.011</v>
      </c>
      <c r="G460" t="str">
        <f t="shared" si="23"/>
        <v>01.200.0000</v>
      </c>
    </row>
    <row r="461" spans="1:7" hidden="1" x14ac:dyDescent="0.25">
      <c r="A461" s="6" t="s">
        <v>2655</v>
      </c>
      <c r="B461" s="28">
        <v>5195.5</v>
      </c>
      <c r="C461" s="6" t="s">
        <v>2654</v>
      </c>
      <c r="D461" t="str">
        <f t="shared" si="21"/>
        <v>08.001.12.365.0016.2.011.3.3.90.30.00</v>
      </c>
      <c r="E461" t="str">
        <f>VLOOKUP(LEFT(A461,2),ConsolidadoLoa27_ATIVIDADES!A:I,9,0)</f>
        <v>08 - SECRETARIA DE EDUCAÇÃO</v>
      </c>
      <c r="F461" t="str">
        <f t="shared" si="22"/>
        <v>2.011</v>
      </c>
      <c r="G461" t="str">
        <f t="shared" si="23"/>
        <v>01.200.0000</v>
      </c>
    </row>
    <row r="462" spans="1:7" hidden="1" x14ac:dyDescent="0.25">
      <c r="A462" s="6" t="s">
        <v>2653</v>
      </c>
      <c r="B462" s="28">
        <v>433000</v>
      </c>
      <c r="C462" s="6" t="s">
        <v>2656</v>
      </c>
      <c r="D462" t="str">
        <f t="shared" si="21"/>
        <v>08.001.12.365.0016.2.011.3.3.90.30.00</v>
      </c>
      <c r="E462" t="str">
        <f>VLOOKUP(LEFT(A462,2),ConsolidadoLoa27_ATIVIDADES!A:I,9,0)</f>
        <v>08 - SECRETARIA DE EDUCAÇÃO</v>
      </c>
      <c r="F462" t="str">
        <f t="shared" si="22"/>
        <v>2.011</v>
      </c>
      <c r="G462" t="str">
        <f t="shared" si="23"/>
        <v>01.110.0000</v>
      </c>
    </row>
    <row r="463" spans="1:7" hidden="1" x14ac:dyDescent="0.25">
      <c r="A463" s="6" t="s">
        <v>2655</v>
      </c>
      <c r="B463" s="28">
        <v>289174.5</v>
      </c>
      <c r="C463" s="6" t="s">
        <v>2656</v>
      </c>
      <c r="D463" t="str">
        <f t="shared" si="21"/>
        <v>08.001.12.365.0016.2.011.3.3.90.30.00</v>
      </c>
      <c r="E463" t="str">
        <f>VLOOKUP(LEFT(A463,2),ConsolidadoLoa27_ATIVIDADES!A:I,9,0)</f>
        <v>08 - SECRETARIA DE EDUCAÇÃO</v>
      </c>
      <c r="F463" t="str">
        <f t="shared" si="22"/>
        <v>2.011</v>
      </c>
      <c r="G463" t="str">
        <f t="shared" si="23"/>
        <v>01.200.0000</v>
      </c>
    </row>
    <row r="464" spans="1:7" hidden="1" x14ac:dyDescent="0.25">
      <c r="A464" s="6" t="s">
        <v>2655</v>
      </c>
      <c r="B464" s="28">
        <v>1</v>
      </c>
      <c r="C464" s="6" t="s">
        <v>2288</v>
      </c>
      <c r="D464" t="str">
        <f t="shared" si="21"/>
        <v>08.001.12.365.0016.2.011.3.3.90.30.00</v>
      </c>
      <c r="E464" t="str">
        <f>VLOOKUP(LEFT(A464,2),ConsolidadoLoa27_ATIVIDADES!A:I,9,0)</f>
        <v>08 - SECRETARIA DE EDUCAÇÃO</v>
      </c>
      <c r="F464" t="str">
        <f t="shared" si="22"/>
        <v>2.011</v>
      </c>
      <c r="G464" t="str">
        <f t="shared" si="23"/>
        <v>01.200.0000</v>
      </c>
    </row>
    <row r="465" spans="1:7" hidden="1" x14ac:dyDescent="0.25">
      <c r="A465" s="6" t="s">
        <v>2653</v>
      </c>
      <c r="B465" s="28">
        <v>3155700</v>
      </c>
      <c r="C465" s="6" t="s">
        <v>2295</v>
      </c>
      <c r="D465" t="str">
        <f t="shared" si="21"/>
        <v>08.001.12.365.0016.2.011.3.3.90.30.00</v>
      </c>
      <c r="E465" t="str">
        <f>VLOOKUP(LEFT(A465,2),ConsolidadoLoa27_ATIVIDADES!A:I,9,0)</f>
        <v>08 - SECRETARIA DE EDUCAÇÃO</v>
      </c>
      <c r="F465" t="str">
        <f t="shared" si="22"/>
        <v>2.011</v>
      </c>
      <c r="G465" t="str">
        <f t="shared" si="23"/>
        <v>01.110.0000</v>
      </c>
    </row>
    <row r="466" spans="1:7" hidden="1" x14ac:dyDescent="0.25">
      <c r="A466" s="6" t="s">
        <v>2655</v>
      </c>
      <c r="B466" s="28">
        <v>1674712.2149999999</v>
      </c>
      <c r="C466" s="6" t="s">
        <v>2295</v>
      </c>
      <c r="D466" t="str">
        <f t="shared" si="21"/>
        <v>08.001.12.365.0016.2.011.3.3.90.30.00</v>
      </c>
      <c r="E466" t="str">
        <f>VLOOKUP(LEFT(A466,2),ConsolidadoLoa27_ATIVIDADES!A:I,9,0)</f>
        <v>08 - SECRETARIA DE EDUCAÇÃO</v>
      </c>
      <c r="F466" t="str">
        <f t="shared" si="22"/>
        <v>2.011</v>
      </c>
      <c r="G466" t="str">
        <f t="shared" si="23"/>
        <v>01.200.0000</v>
      </c>
    </row>
    <row r="467" spans="1:7" hidden="1" x14ac:dyDescent="0.25">
      <c r="A467" s="6" t="s">
        <v>2655</v>
      </c>
      <c r="B467" s="28">
        <v>1558.65</v>
      </c>
      <c r="C467" s="14" t="s">
        <v>107</v>
      </c>
      <c r="D467" t="str">
        <f t="shared" si="21"/>
        <v>08.001.12.365.0016.2.011.3.3.90.30.00</v>
      </c>
      <c r="E467" t="str">
        <f>VLOOKUP(LEFT(A467,2),ConsolidadoLoa27_ATIVIDADES!A:I,9,0)</f>
        <v>08 - SECRETARIA DE EDUCAÇÃO</v>
      </c>
      <c r="F467" t="str">
        <f t="shared" si="22"/>
        <v>2.011</v>
      </c>
      <c r="G467" t="str">
        <f t="shared" si="23"/>
        <v>01.200.0000</v>
      </c>
    </row>
    <row r="468" spans="1:7" hidden="1" x14ac:dyDescent="0.25">
      <c r="A468" s="6" t="s">
        <v>2653</v>
      </c>
      <c r="B468" s="28">
        <v>50500</v>
      </c>
      <c r="C468" s="6" t="s">
        <v>2289</v>
      </c>
      <c r="D468" t="str">
        <f t="shared" si="21"/>
        <v>08.001.12.365.0016.2.011.3.3.90.30.00</v>
      </c>
      <c r="E468" t="str">
        <f>VLOOKUP(LEFT(A468,2),ConsolidadoLoa27_ATIVIDADES!A:I,9,0)</f>
        <v>08 - SECRETARIA DE EDUCAÇÃO</v>
      </c>
      <c r="F468" t="str">
        <f t="shared" si="22"/>
        <v>2.011</v>
      </c>
      <c r="G468" t="str">
        <f t="shared" si="23"/>
        <v>01.110.0000</v>
      </c>
    </row>
    <row r="469" spans="1:7" hidden="1" x14ac:dyDescent="0.25">
      <c r="A469" s="6" t="s">
        <v>2655</v>
      </c>
      <c r="B469" s="28">
        <v>1286821.7</v>
      </c>
      <c r="C469" s="6" t="s">
        <v>2289</v>
      </c>
      <c r="D469" t="str">
        <f t="shared" si="21"/>
        <v>08.001.12.365.0016.2.011.3.3.90.30.00</v>
      </c>
      <c r="E469" t="str">
        <f>VLOOKUP(LEFT(A469,2),ConsolidadoLoa27_ATIVIDADES!A:I,9,0)</f>
        <v>08 - SECRETARIA DE EDUCAÇÃO</v>
      </c>
      <c r="F469" t="str">
        <f t="shared" si="22"/>
        <v>2.011</v>
      </c>
      <c r="G469" t="str">
        <f t="shared" si="23"/>
        <v>01.200.0000</v>
      </c>
    </row>
    <row r="470" spans="1:7" hidden="1" x14ac:dyDescent="0.25">
      <c r="A470" s="6" t="s">
        <v>2655</v>
      </c>
      <c r="B470" s="28">
        <v>5195.5</v>
      </c>
      <c r="C470" s="6" t="s">
        <v>2500</v>
      </c>
      <c r="D470" t="str">
        <f t="shared" si="21"/>
        <v>08.001.12.365.0016.2.011.3.3.90.30.00</v>
      </c>
      <c r="E470" t="str">
        <f>VLOOKUP(LEFT(A470,2),ConsolidadoLoa27_ATIVIDADES!A:I,9,0)</f>
        <v>08 - SECRETARIA DE EDUCAÇÃO</v>
      </c>
      <c r="F470" t="str">
        <f t="shared" si="22"/>
        <v>2.011</v>
      </c>
      <c r="G470" t="str">
        <f t="shared" si="23"/>
        <v>01.200.0000</v>
      </c>
    </row>
    <row r="471" spans="1:7" hidden="1" x14ac:dyDescent="0.25">
      <c r="A471" s="6" t="s">
        <v>2655</v>
      </c>
      <c r="B471" s="28">
        <v>1</v>
      </c>
      <c r="C471" s="6" t="s">
        <v>104</v>
      </c>
      <c r="D471" t="str">
        <f t="shared" si="21"/>
        <v>08.001.12.365.0016.2.011.3.3.90.30.00</v>
      </c>
      <c r="E471" t="str">
        <f>VLOOKUP(LEFT(A471,2),ConsolidadoLoa27_ATIVIDADES!A:I,9,0)</f>
        <v>08 - SECRETARIA DE EDUCAÇÃO</v>
      </c>
      <c r="F471" t="str">
        <f t="shared" si="22"/>
        <v>2.011</v>
      </c>
      <c r="G471" t="str">
        <f t="shared" si="23"/>
        <v>01.200.0000</v>
      </c>
    </row>
    <row r="472" spans="1:7" hidden="1" x14ac:dyDescent="0.25">
      <c r="A472" s="6" t="s">
        <v>2657</v>
      </c>
      <c r="B472" s="28">
        <v>2231986.7999999998</v>
      </c>
      <c r="C472" s="6" t="s">
        <v>2493</v>
      </c>
      <c r="D472" t="str">
        <f t="shared" si="21"/>
        <v>08.001.12.365.0016.2.011.3.3.90.39.00</v>
      </c>
      <c r="E472" t="str">
        <f>VLOOKUP(LEFT(A472,2),ConsolidadoLoa27_ATIVIDADES!A:I,9,0)</f>
        <v>08 - SECRETARIA DE EDUCAÇÃO</v>
      </c>
      <c r="F472" t="str">
        <f t="shared" si="22"/>
        <v>2.011</v>
      </c>
      <c r="G472" t="str">
        <f t="shared" si="23"/>
        <v>01.110.0000</v>
      </c>
    </row>
    <row r="473" spans="1:7" hidden="1" x14ac:dyDescent="0.25">
      <c r="A473" s="6" t="s">
        <v>2657</v>
      </c>
      <c r="B473" s="28">
        <v>1</v>
      </c>
      <c r="C473" s="6" t="s">
        <v>2575</v>
      </c>
      <c r="D473" t="str">
        <f t="shared" si="21"/>
        <v>08.001.12.365.0016.2.011.3.3.90.39.00</v>
      </c>
      <c r="E473" t="str">
        <f>VLOOKUP(LEFT(A473,2),ConsolidadoLoa27_ATIVIDADES!A:I,9,0)</f>
        <v>08 - SECRETARIA DE EDUCAÇÃO</v>
      </c>
      <c r="F473" t="str">
        <f t="shared" si="22"/>
        <v>2.011</v>
      </c>
      <c r="G473" t="str">
        <f t="shared" si="23"/>
        <v>01.110.0000</v>
      </c>
    </row>
    <row r="474" spans="1:7" hidden="1" x14ac:dyDescent="0.25">
      <c r="A474" s="6" t="s">
        <v>2658</v>
      </c>
      <c r="B474" s="28">
        <v>94853</v>
      </c>
      <c r="C474" s="17" t="s">
        <v>2577</v>
      </c>
      <c r="D474" t="str">
        <f t="shared" si="21"/>
        <v>08.001.12.365.0016.2.011.3.3.90.39.00</v>
      </c>
      <c r="E474" t="str">
        <f>VLOOKUP(LEFT(A474,2),ConsolidadoLoa27_ATIVIDADES!A:I,9,0)</f>
        <v>08 - SECRETARIA DE EDUCAÇÃO</v>
      </c>
      <c r="F474" t="str">
        <f t="shared" si="22"/>
        <v>2.011</v>
      </c>
      <c r="G474" t="str">
        <f t="shared" si="23"/>
        <v>01.200.0000</v>
      </c>
    </row>
    <row r="475" spans="1:7" hidden="1" x14ac:dyDescent="0.25">
      <c r="A475" s="6" t="s">
        <v>2658</v>
      </c>
      <c r="B475" s="28">
        <v>1</v>
      </c>
      <c r="C475" s="6" t="s">
        <v>2520</v>
      </c>
      <c r="D475" t="str">
        <f t="shared" si="21"/>
        <v>08.001.12.365.0016.2.011.3.3.90.39.00</v>
      </c>
      <c r="E475" t="str">
        <f>VLOOKUP(LEFT(A475,2),ConsolidadoLoa27_ATIVIDADES!A:I,9,0)</f>
        <v>08 - SECRETARIA DE EDUCAÇÃO</v>
      </c>
      <c r="F475" t="str">
        <f t="shared" si="22"/>
        <v>2.011</v>
      </c>
      <c r="G475" t="str">
        <f t="shared" si="23"/>
        <v>01.200.0000</v>
      </c>
    </row>
    <row r="476" spans="1:7" hidden="1" x14ac:dyDescent="0.25">
      <c r="A476" s="6" t="s">
        <v>2658</v>
      </c>
      <c r="B476" s="28">
        <v>1</v>
      </c>
      <c r="C476" s="14" t="s">
        <v>95</v>
      </c>
      <c r="D476" t="str">
        <f t="shared" si="21"/>
        <v>08.001.12.365.0016.2.011.3.3.90.39.00</v>
      </c>
      <c r="E476" t="str">
        <f>VLOOKUP(LEFT(A476,2),ConsolidadoLoa27_ATIVIDADES!A:I,9,0)</f>
        <v>08 - SECRETARIA DE EDUCAÇÃO</v>
      </c>
      <c r="F476" t="str">
        <f t="shared" si="22"/>
        <v>2.011</v>
      </c>
      <c r="G476" t="str">
        <f t="shared" si="23"/>
        <v>01.200.0000</v>
      </c>
    </row>
    <row r="477" spans="1:7" hidden="1" x14ac:dyDescent="0.25">
      <c r="A477" s="6" t="s">
        <v>2658</v>
      </c>
      <c r="B477" s="28">
        <v>1</v>
      </c>
      <c r="C477" s="6" t="s">
        <v>388</v>
      </c>
      <c r="D477" t="str">
        <f t="shared" si="21"/>
        <v>08.001.12.365.0016.2.011.3.3.90.39.00</v>
      </c>
      <c r="E477" t="str">
        <f>VLOOKUP(LEFT(A477,2),ConsolidadoLoa27_ATIVIDADES!A:I,9,0)</f>
        <v>08 - SECRETARIA DE EDUCAÇÃO</v>
      </c>
      <c r="F477" t="str">
        <f t="shared" si="22"/>
        <v>2.011</v>
      </c>
      <c r="G477" t="str">
        <f t="shared" si="23"/>
        <v>01.200.0000</v>
      </c>
    </row>
    <row r="478" spans="1:7" hidden="1" x14ac:dyDescent="0.25">
      <c r="A478" s="6" t="s">
        <v>2658</v>
      </c>
      <c r="B478" s="28">
        <v>0</v>
      </c>
      <c r="C478" s="6" t="s">
        <v>2579</v>
      </c>
      <c r="D478" t="str">
        <f t="shared" si="21"/>
        <v>08.001.12.365.0016.2.011.3.3.90.39.00</v>
      </c>
      <c r="E478" t="str">
        <f>VLOOKUP(LEFT(A478,2),ConsolidadoLoa27_ATIVIDADES!A:I,9,0)</f>
        <v>08 - SECRETARIA DE EDUCAÇÃO</v>
      </c>
      <c r="F478" t="str">
        <f t="shared" si="22"/>
        <v>2.011</v>
      </c>
      <c r="G478" t="str">
        <f t="shared" si="23"/>
        <v>01.200.0000</v>
      </c>
    </row>
    <row r="479" spans="1:7" hidden="1" x14ac:dyDescent="0.25">
      <c r="A479" s="6" t="s">
        <v>2658</v>
      </c>
      <c r="B479" s="28">
        <v>1</v>
      </c>
      <c r="C479" s="6" t="s">
        <v>106</v>
      </c>
      <c r="D479" t="str">
        <f t="shared" si="21"/>
        <v>08.001.12.365.0016.2.011.3.3.90.39.00</v>
      </c>
      <c r="E479" t="str">
        <f>VLOOKUP(LEFT(A479,2),ConsolidadoLoa27_ATIVIDADES!A:I,9,0)</f>
        <v>08 - SECRETARIA DE EDUCAÇÃO</v>
      </c>
      <c r="F479" t="str">
        <f t="shared" si="22"/>
        <v>2.011</v>
      </c>
      <c r="G479" t="str">
        <f t="shared" si="23"/>
        <v>01.200.0000</v>
      </c>
    </row>
    <row r="480" spans="1:7" hidden="1" x14ac:dyDescent="0.25">
      <c r="A480" s="6" t="s">
        <v>2659</v>
      </c>
      <c r="B480" s="28">
        <v>103390.45</v>
      </c>
      <c r="C480" s="6" t="s">
        <v>2498</v>
      </c>
      <c r="D480" t="str">
        <f t="shared" si="21"/>
        <v>08.001.12.365.0016.2.011.4.4.90.52.00</v>
      </c>
      <c r="E480" t="str">
        <f>VLOOKUP(LEFT(A480,2),ConsolidadoLoa27_ATIVIDADES!A:I,9,0)</f>
        <v>08 - SECRETARIA DE EDUCAÇÃO</v>
      </c>
      <c r="F480" t="str">
        <f t="shared" si="22"/>
        <v>2.011</v>
      </c>
      <c r="G480" t="str">
        <f t="shared" si="23"/>
        <v>01.200.0000</v>
      </c>
    </row>
    <row r="481" spans="1:7" hidden="1" x14ac:dyDescent="0.25">
      <c r="A481" s="6" t="s">
        <v>2659</v>
      </c>
      <c r="B481" s="28">
        <v>519030.45</v>
      </c>
      <c r="C481" s="6" t="s">
        <v>2500</v>
      </c>
      <c r="D481" t="str">
        <f t="shared" si="21"/>
        <v>08.001.12.365.0016.2.011.4.4.90.52.00</v>
      </c>
      <c r="E481" t="str">
        <f>VLOOKUP(LEFT(A481,2),ConsolidadoLoa27_ATIVIDADES!A:I,9,0)</f>
        <v>08 - SECRETARIA DE EDUCAÇÃO</v>
      </c>
      <c r="F481" t="str">
        <f t="shared" si="22"/>
        <v>2.011</v>
      </c>
      <c r="G481" t="str">
        <f t="shared" si="23"/>
        <v>01.200.0000</v>
      </c>
    </row>
    <row r="482" spans="1:7" hidden="1" x14ac:dyDescent="0.25">
      <c r="A482" s="6" t="s">
        <v>2659</v>
      </c>
      <c r="B482" s="28">
        <v>1</v>
      </c>
      <c r="C482" s="6" t="s">
        <v>2502</v>
      </c>
      <c r="D482" t="str">
        <f t="shared" si="21"/>
        <v>08.001.12.365.0016.2.011.4.4.90.52.00</v>
      </c>
      <c r="E482" t="str">
        <f>VLOOKUP(LEFT(A482,2),ConsolidadoLoa27_ATIVIDADES!A:I,9,0)</f>
        <v>08 - SECRETARIA DE EDUCAÇÃO</v>
      </c>
      <c r="F482" t="str">
        <f t="shared" si="22"/>
        <v>2.011</v>
      </c>
      <c r="G482" t="str">
        <f t="shared" si="23"/>
        <v>01.200.0000</v>
      </c>
    </row>
    <row r="483" spans="1:7" hidden="1" x14ac:dyDescent="0.25">
      <c r="A483" s="6" t="s">
        <v>2659</v>
      </c>
      <c r="B483" s="28">
        <v>1039.0999999999999</v>
      </c>
      <c r="C483" s="6" t="s">
        <v>100</v>
      </c>
      <c r="D483" t="str">
        <f t="shared" si="21"/>
        <v>08.001.12.365.0016.2.011.4.4.90.52.00</v>
      </c>
      <c r="E483" t="str">
        <f>VLOOKUP(LEFT(A483,2),ConsolidadoLoa27_ATIVIDADES!A:I,9,0)</f>
        <v>08 - SECRETARIA DE EDUCAÇÃO</v>
      </c>
      <c r="F483" t="str">
        <f t="shared" si="22"/>
        <v>2.011</v>
      </c>
      <c r="G483" t="str">
        <f t="shared" si="23"/>
        <v>01.200.0000</v>
      </c>
    </row>
    <row r="484" spans="1:7" hidden="1" x14ac:dyDescent="0.25">
      <c r="A484" s="6" t="s">
        <v>2660</v>
      </c>
      <c r="B484" s="28">
        <v>0</v>
      </c>
      <c r="C484" s="6" t="s">
        <v>2582</v>
      </c>
      <c r="D484" t="str">
        <f t="shared" si="21"/>
        <v>08.001.12.365.0016.2.017.3.3.90.32.00</v>
      </c>
      <c r="E484" t="str">
        <f>VLOOKUP(LEFT(A484,2),ConsolidadoLoa27_ATIVIDADES!A:I,9,0)</f>
        <v>08 - SECRETARIA DE EDUCAÇÃO</v>
      </c>
      <c r="F484" t="str">
        <f t="shared" si="22"/>
        <v>2.017</v>
      </c>
      <c r="G484" t="str">
        <f t="shared" si="23"/>
        <v>01.110.0000</v>
      </c>
    </row>
    <row r="485" spans="1:7" hidden="1" x14ac:dyDescent="0.25">
      <c r="A485" s="6" t="s">
        <v>2660</v>
      </c>
      <c r="B485" s="28">
        <v>7218669</v>
      </c>
      <c r="C485" s="6" t="s">
        <v>2583</v>
      </c>
      <c r="D485" t="str">
        <f t="shared" si="21"/>
        <v>08.001.12.365.0016.2.017.3.3.90.32.00</v>
      </c>
      <c r="E485" t="str">
        <f>VLOOKUP(LEFT(A485,2),ConsolidadoLoa27_ATIVIDADES!A:I,9,0)</f>
        <v>08 - SECRETARIA DE EDUCAÇÃO</v>
      </c>
      <c r="F485" t="str">
        <f t="shared" si="22"/>
        <v>2.017</v>
      </c>
      <c r="G485" t="str">
        <f t="shared" si="23"/>
        <v>01.110.0000</v>
      </c>
    </row>
    <row r="486" spans="1:7" hidden="1" x14ac:dyDescent="0.25">
      <c r="A486" s="6" t="s">
        <v>2660</v>
      </c>
      <c r="B486" s="28">
        <v>18522967.950000003</v>
      </c>
      <c r="C486" s="6" t="s">
        <v>2584</v>
      </c>
      <c r="D486" t="str">
        <f t="shared" si="21"/>
        <v>08.001.12.365.0016.2.017.3.3.90.32.00</v>
      </c>
      <c r="E486" t="str">
        <f>VLOOKUP(LEFT(A486,2),ConsolidadoLoa27_ATIVIDADES!A:I,9,0)</f>
        <v>08 - SECRETARIA DE EDUCAÇÃO</v>
      </c>
      <c r="F486" t="str">
        <f t="shared" si="22"/>
        <v>2.017</v>
      </c>
      <c r="G486" t="str">
        <f t="shared" si="23"/>
        <v>01.110.0000</v>
      </c>
    </row>
    <row r="487" spans="1:7" hidden="1" x14ac:dyDescent="0.25">
      <c r="A487" s="6" t="s">
        <v>2661</v>
      </c>
      <c r="B487" s="28">
        <v>11139748.970000001</v>
      </c>
      <c r="C487" s="6" t="s">
        <v>2582</v>
      </c>
      <c r="D487" t="str">
        <f t="shared" si="21"/>
        <v>08.001.12.365.0016.2.017.3.3.90.32.00</v>
      </c>
      <c r="E487" t="str">
        <f>VLOOKUP(LEFT(A487,2),ConsolidadoLoa27_ATIVIDADES!A:I,9,0)</f>
        <v>08 - SECRETARIA DE EDUCAÇÃO</v>
      </c>
      <c r="F487" t="str">
        <f t="shared" si="22"/>
        <v>2.017</v>
      </c>
      <c r="G487" t="str">
        <f t="shared" si="23"/>
        <v>01.200.0000</v>
      </c>
    </row>
    <row r="488" spans="1:7" hidden="1" x14ac:dyDescent="0.25">
      <c r="A488" s="6" t="s">
        <v>2662</v>
      </c>
      <c r="B488" s="28">
        <v>2112302.92</v>
      </c>
      <c r="C488" s="6" t="s">
        <v>2587</v>
      </c>
      <c r="D488" t="str">
        <f t="shared" si="21"/>
        <v>08.001.12.365.0016.2.018.3.3.90.40.00</v>
      </c>
      <c r="E488" t="str">
        <f>VLOOKUP(LEFT(A488,2),ConsolidadoLoa27_ATIVIDADES!A:I,9,0)</f>
        <v>08 - SECRETARIA DE EDUCAÇÃO</v>
      </c>
      <c r="F488" t="str">
        <f t="shared" si="22"/>
        <v>2.018</v>
      </c>
      <c r="G488" t="str">
        <f t="shared" si="23"/>
        <v>01.110.0000</v>
      </c>
    </row>
    <row r="489" spans="1:7" hidden="1" x14ac:dyDescent="0.25">
      <c r="A489" s="6" t="s">
        <v>2663</v>
      </c>
      <c r="B489" s="28">
        <v>1</v>
      </c>
      <c r="C489" s="6" t="s">
        <v>2587</v>
      </c>
      <c r="D489" t="str">
        <f t="shared" si="21"/>
        <v>08.001.12.365.0016.2.018.3.3.90.40.00</v>
      </c>
      <c r="E489" t="str">
        <f>VLOOKUP(LEFT(A489,2),ConsolidadoLoa27_ATIVIDADES!A:I,9,0)</f>
        <v>08 - SECRETARIA DE EDUCAÇÃO</v>
      </c>
      <c r="F489" t="str">
        <f t="shared" si="22"/>
        <v>2.018</v>
      </c>
      <c r="G489" t="str">
        <f t="shared" si="23"/>
        <v>01.200.0000</v>
      </c>
    </row>
    <row r="490" spans="1:7" hidden="1" x14ac:dyDescent="0.25">
      <c r="A490" s="6" t="s">
        <v>2663</v>
      </c>
      <c r="B490" s="28">
        <v>22606124.079999998</v>
      </c>
      <c r="C490" s="6" t="s">
        <v>2664</v>
      </c>
      <c r="D490" t="str">
        <f t="shared" si="21"/>
        <v>08.001.12.365.0016.2.018.3.3.90.40.00</v>
      </c>
      <c r="E490" t="str">
        <f>VLOOKUP(LEFT(A490,2),ConsolidadoLoa27_ATIVIDADES!A:I,9,0)</f>
        <v>08 - SECRETARIA DE EDUCAÇÃO</v>
      </c>
      <c r="F490" t="str">
        <f t="shared" si="22"/>
        <v>2.018</v>
      </c>
      <c r="G490" t="str">
        <f t="shared" si="23"/>
        <v>01.200.0000</v>
      </c>
    </row>
    <row r="491" spans="1:7" hidden="1" x14ac:dyDescent="0.25">
      <c r="A491" s="6" t="s">
        <v>2665</v>
      </c>
      <c r="B491" s="28">
        <v>3</v>
      </c>
      <c r="C491" s="6" t="s">
        <v>286</v>
      </c>
      <c r="D491" t="str">
        <f t="shared" si="21"/>
        <v>08.001.12.365.0016.2.019.3.3.90.32.00</v>
      </c>
      <c r="E491" t="str">
        <f>VLOOKUP(LEFT(A491,2),ConsolidadoLoa27_ATIVIDADES!A:I,9,0)</f>
        <v>08 - SECRETARIA DE EDUCAÇÃO</v>
      </c>
      <c r="F491" t="str">
        <f t="shared" si="22"/>
        <v>2.019</v>
      </c>
      <c r="G491" t="str">
        <f t="shared" si="23"/>
        <v>01.200.0000</v>
      </c>
    </row>
    <row r="492" spans="1:7" hidden="1" x14ac:dyDescent="0.25">
      <c r="A492" s="6" t="s">
        <v>2666</v>
      </c>
      <c r="B492" s="28">
        <v>20531167.84</v>
      </c>
      <c r="C492" s="6" t="s">
        <v>2667</v>
      </c>
      <c r="D492" t="str">
        <f t="shared" si="21"/>
        <v>08.001.12.365.0016.2.019.3.3.90.39.00</v>
      </c>
      <c r="E492" t="str">
        <f>VLOOKUP(LEFT(A492,2),ConsolidadoLoa27_ATIVIDADES!A:I,9,0)</f>
        <v>08 - SECRETARIA DE EDUCAÇÃO</v>
      </c>
      <c r="F492" t="str">
        <f t="shared" si="22"/>
        <v>2.019</v>
      </c>
      <c r="G492" t="str">
        <f t="shared" si="23"/>
        <v>01.200.0000</v>
      </c>
    </row>
    <row r="493" spans="1:7" hidden="1" x14ac:dyDescent="0.25">
      <c r="A493" s="6" t="s">
        <v>2668</v>
      </c>
      <c r="B493" s="28">
        <v>1</v>
      </c>
      <c r="C493" s="6" t="s">
        <v>2599</v>
      </c>
      <c r="D493" t="str">
        <f t="shared" si="21"/>
        <v>08.001.12.365.0016.2.020.3.3.90.39.00</v>
      </c>
      <c r="E493" t="str">
        <f>VLOOKUP(LEFT(A493,2),ConsolidadoLoa27_ATIVIDADES!A:I,9,0)</f>
        <v>08 - SECRETARIA DE EDUCAÇÃO</v>
      </c>
      <c r="F493" t="str">
        <f t="shared" si="22"/>
        <v>2.020</v>
      </c>
      <c r="G493" t="str">
        <f t="shared" si="23"/>
        <v>01.110.0000</v>
      </c>
    </row>
    <row r="494" spans="1:7" hidden="1" x14ac:dyDescent="0.25">
      <c r="A494" s="6" t="s">
        <v>2669</v>
      </c>
      <c r="B494" s="28">
        <v>7996842</v>
      </c>
      <c r="C494" s="6" t="s">
        <v>2601</v>
      </c>
      <c r="D494" t="str">
        <f t="shared" si="21"/>
        <v>08.001.12.365.0016.2.020.3.3.90.39.00</v>
      </c>
      <c r="E494" t="str">
        <f>VLOOKUP(LEFT(A494,2),ConsolidadoLoa27_ATIVIDADES!A:I,9,0)</f>
        <v>08 - SECRETARIA DE EDUCAÇÃO</v>
      </c>
      <c r="F494" t="str">
        <f t="shared" si="22"/>
        <v>2.020</v>
      </c>
      <c r="G494" t="str">
        <f t="shared" si="23"/>
        <v>01.200.0000</v>
      </c>
    </row>
    <row r="495" spans="1:7" hidden="1" x14ac:dyDescent="0.25">
      <c r="A495" s="6" t="s">
        <v>2670</v>
      </c>
      <c r="B495" s="28">
        <v>8693294</v>
      </c>
      <c r="C495" s="6" t="s">
        <v>2671</v>
      </c>
      <c r="D495" t="str">
        <f t="shared" si="21"/>
        <v>08.001.12.365.0016.2.022.3.3.50.39.00</v>
      </c>
      <c r="E495" t="str">
        <f>VLOOKUP(LEFT(A495,2),ConsolidadoLoa27_ATIVIDADES!A:I,9,0)</f>
        <v>08 - SECRETARIA DE EDUCAÇÃO</v>
      </c>
      <c r="F495" t="str">
        <f t="shared" si="22"/>
        <v>2.022</v>
      </c>
      <c r="G495" t="str">
        <f t="shared" si="23"/>
        <v>01.200.0000</v>
      </c>
    </row>
    <row r="496" spans="1:7" hidden="1" x14ac:dyDescent="0.25">
      <c r="A496" s="6" t="s">
        <v>2670</v>
      </c>
      <c r="B496" s="28">
        <v>6943284.3499999996</v>
      </c>
      <c r="C496" s="6" t="s">
        <v>2672</v>
      </c>
      <c r="D496" t="str">
        <f t="shared" si="21"/>
        <v>08.001.12.365.0016.2.022.3.3.50.39.00</v>
      </c>
      <c r="E496" t="str">
        <f>VLOOKUP(LEFT(A496,2),ConsolidadoLoa27_ATIVIDADES!A:I,9,0)</f>
        <v>08 - SECRETARIA DE EDUCAÇÃO</v>
      </c>
      <c r="F496" t="str">
        <f t="shared" si="22"/>
        <v>2.022</v>
      </c>
      <c r="G496" t="str">
        <f t="shared" si="23"/>
        <v>01.200.0000</v>
      </c>
    </row>
    <row r="497" spans="1:7" hidden="1" x14ac:dyDescent="0.25">
      <c r="A497" s="6" t="s">
        <v>2670</v>
      </c>
      <c r="B497" s="28">
        <v>1941391.4</v>
      </c>
      <c r="C497" s="6" t="s">
        <v>2673</v>
      </c>
      <c r="D497" t="str">
        <f t="shared" si="21"/>
        <v>08.001.12.365.0016.2.022.3.3.50.39.00</v>
      </c>
      <c r="E497" t="str">
        <f>VLOOKUP(LEFT(A497,2),ConsolidadoLoa27_ATIVIDADES!A:I,9,0)</f>
        <v>08 - SECRETARIA DE EDUCAÇÃO</v>
      </c>
      <c r="F497" t="str">
        <f t="shared" si="22"/>
        <v>2.022</v>
      </c>
      <c r="G497" t="str">
        <f t="shared" si="23"/>
        <v>01.200.0000</v>
      </c>
    </row>
    <row r="498" spans="1:7" hidden="1" x14ac:dyDescent="0.25">
      <c r="A498" s="6" t="s">
        <v>2670</v>
      </c>
      <c r="B498" s="28">
        <v>2013624.75</v>
      </c>
      <c r="C498" s="6" t="s">
        <v>2674</v>
      </c>
      <c r="D498" t="str">
        <f t="shared" si="21"/>
        <v>08.001.12.365.0016.2.022.3.3.50.39.00</v>
      </c>
      <c r="E498" t="str">
        <f>VLOOKUP(LEFT(A498,2),ConsolidadoLoa27_ATIVIDADES!A:I,9,0)</f>
        <v>08 - SECRETARIA DE EDUCAÇÃO</v>
      </c>
      <c r="F498" t="str">
        <f t="shared" si="22"/>
        <v>2.022</v>
      </c>
      <c r="G498" t="str">
        <f t="shared" si="23"/>
        <v>01.200.0000</v>
      </c>
    </row>
    <row r="499" spans="1:7" hidden="1" x14ac:dyDescent="0.25">
      <c r="A499" s="6" t="s">
        <v>2670</v>
      </c>
      <c r="B499" s="28">
        <v>2892090.68</v>
      </c>
      <c r="C499" s="6" t="s">
        <v>2675</v>
      </c>
      <c r="D499" t="str">
        <f t="shared" si="21"/>
        <v>08.001.12.365.0016.2.022.3.3.50.39.00</v>
      </c>
      <c r="E499" t="str">
        <f>VLOOKUP(LEFT(A499,2),ConsolidadoLoa27_ATIVIDADES!A:I,9,0)</f>
        <v>08 - SECRETARIA DE EDUCAÇÃO</v>
      </c>
      <c r="F499" t="str">
        <f t="shared" si="22"/>
        <v>2.022</v>
      </c>
      <c r="G499" t="str">
        <f t="shared" si="23"/>
        <v>01.200.0000</v>
      </c>
    </row>
    <row r="500" spans="1:7" hidden="1" x14ac:dyDescent="0.25">
      <c r="A500" s="6" t="s">
        <v>2670</v>
      </c>
      <c r="B500" s="28">
        <v>2648143</v>
      </c>
      <c r="C500" s="6" t="s">
        <v>2676</v>
      </c>
      <c r="D500" t="str">
        <f t="shared" si="21"/>
        <v>08.001.12.365.0016.2.022.3.3.50.39.00</v>
      </c>
      <c r="E500" t="str">
        <f>VLOOKUP(LEFT(A500,2),ConsolidadoLoa27_ATIVIDADES!A:I,9,0)</f>
        <v>08 - SECRETARIA DE EDUCAÇÃO</v>
      </c>
      <c r="F500" t="str">
        <f t="shared" si="22"/>
        <v>2.022</v>
      </c>
      <c r="G500" t="str">
        <f t="shared" si="23"/>
        <v>01.200.0000</v>
      </c>
    </row>
    <row r="501" spans="1:7" hidden="1" x14ac:dyDescent="0.25">
      <c r="A501" s="6" t="s">
        <v>2670</v>
      </c>
      <c r="B501" s="28">
        <v>1363563.83</v>
      </c>
      <c r="C501" s="6" t="s">
        <v>2677</v>
      </c>
      <c r="D501" t="str">
        <f t="shared" si="21"/>
        <v>08.001.12.365.0016.2.022.3.3.50.39.00</v>
      </c>
      <c r="E501" t="str">
        <f>VLOOKUP(LEFT(A501,2),ConsolidadoLoa27_ATIVIDADES!A:I,9,0)</f>
        <v>08 - SECRETARIA DE EDUCAÇÃO</v>
      </c>
      <c r="F501" t="str">
        <f t="shared" si="22"/>
        <v>2.022</v>
      </c>
      <c r="G501" t="str">
        <f t="shared" si="23"/>
        <v>01.200.0000</v>
      </c>
    </row>
    <row r="502" spans="1:7" hidden="1" x14ac:dyDescent="0.25">
      <c r="A502" s="6" t="s">
        <v>2670</v>
      </c>
      <c r="B502" s="28">
        <v>8593696.8800000008</v>
      </c>
      <c r="C502" s="6" t="s">
        <v>2678</v>
      </c>
      <c r="D502" t="str">
        <f t="shared" si="21"/>
        <v>08.001.12.365.0016.2.022.3.3.50.39.00</v>
      </c>
      <c r="E502" t="str">
        <f>VLOOKUP(LEFT(A502,2),ConsolidadoLoa27_ATIVIDADES!A:I,9,0)</f>
        <v>08 - SECRETARIA DE EDUCAÇÃO</v>
      </c>
      <c r="F502" t="str">
        <f t="shared" si="22"/>
        <v>2.022</v>
      </c>
      <c r="G502" t="str">
        <f t="shared" si="23"/>
        <v>01.200.0000</v>
      </c>
    </row>
    <row r="503" spans="1:7" hidden="1" x14ac:dyDescent="0.25">
      <c r="A503" s="6" t="s">
        <v>2670</v>
      </c>
      <c r="B503" s="28">
        <v>7302188.8700000001</v>
      </c>
      <c r="C503" s="6" t="s">
        <v>2679</v>
      </c>
      <c r="D503" t="str">
        <f t="shared" si="21"/>
        <v>08.001.12.365.0016.2.022.3.3.50.39.00</v>
      </c>
      <c r="E503" t="str">
        <f>VLOOKUP(LEFT(A503,2),ConsolidadoLoa27_ATIVIDADES!A:I,9,0)</f>
        <v>08 - SECRETARIA DE EDUCAÇÃO</v>
      </c>
      <c r="F503" t="str">
        <f t="shared" si="22"/>
        <v>2.022</v>
      </c>
      <c r="G503" t="str">
        <f t="shared" si="23"/>
        <v>01.200.0000</v>
      </c>
    </row>
    <row r="504" spans="1:7" hidden="1" x14ac:dyDescent="0.25">
      <c r="A504" s="6" t="s">
        <v>2670</v>
      </c>
      <c r="B504" s="28">
        <v>11078269.300000001</v>
      </c>
      <c r="C504" s="6" t="s">
        <v>2680</v>
      </c>
      <c r="D504" t="str">
        <f t="shared" si="21"/>
        <v>08.001.12.365.0016.2.022.3.3.50.39.00</v>
      </c>
      <c r="E504" t="str">
        <f>VLOOKUP(LEFT(A504,2),ConsolidadoLoa27_ATIVIDADES!A:I,9,0)</f>
        <v>08 - SECRETARIA DE EDUCAÇÃO</v>
      </c>
      <c r="F504" t="str">
        <f t="shared" si="22"/>
        <v>2.022</v>
      </c>
      <c r="G504" t="str">
        <f t="shared" si="23"/>
        <v>01.200.0000</v>
      </c>
    </row>
    <row r="505" spans="1:7" hidden="1" x14ac:dyDescent="0.25">
      <c r="A505" s="6" t="s">
        <v>2670</v>
      </c>
      <c r="B505" s="28">
        <v>1922051</v>
      </c>
      <c r="C505" s="6" t="s">
        <v>2681</v>
      </c>
      <c r="D505" t="str">
        <f t="shared" si="21"/>
        <v>08.001.12.365.0016.2.022.3.3.50.39.00</v>
      </c>
      <c r="E505" t="str">
        <f>VLOOKUP(LEFT(A505,2),ConsolidadoLoa27_ATIVIDADES!A:I,9,0)</f>
        <v>08 - SECRETARIA DE EDUCAÇÃO</v>
      </c>
      <c r="F505" t="str">
        <f t="shared" si="22"/>
        <v>2.022</v>
      </c>
      <c r="G505" t="str">
        <f t="shared" si="23"/>
        <v>01.200.0000</v>
      </c>
    </row>
    <row r="506" spans="1:7" hidden="1" x14ac:dyDescent="0.25">
      <c r="A506" s="6" t="s">
        <v>2682</v>
      </c>
      <c r="B506" s="28">
        <v>1</v>
      </c>
      <c r="C506" s="6" t="s">
        <v>2671</v>
      </c>
      <c r="D506" t="str">
        <f t="shared" si="21"/>
        <v>08.001.12.365.0016.2.022.4.4.50.39.00</v>
      </c>
      <c r="E506" t="str">
        <f>VLOOKUP(LEFT(A506,2),ConsolidadoLoa27_ATIVIDADES!A:I,9,0)</f>
        <v>08 - SECRETARIA DE EDUCAÇÃO</v>
      </c>
      <c r="F506" t="str">
        <f t="shared" si="22"/>
        <v>2.022</v>
      </c>
      <c r="G506" t="str">
        <f t="shared" si="23"/>
        <v>01.200.0000</v>
      </c>
    </row>
    <row r="507" spans="1:7" hidden="1" x14ac:dyDescent="0.25">
      <c r="A507" s="6" t="s">
        <v>2682</v>
      </c>
      <c r="B507" s="28">
        <v>761.41</v>
      </c>
      <c r="C507" s="6" t="s">
        <v>2672</v>
      </c>
      <c r="D507" t="str">
        <f t="shared" si="21"/>
        <v>08.001.12.365.0016.2.022.4.4.50.39.00</v>
      </c>
      <c r="E507" t="str">
        <f>VLOOKUP(LEFT(A507,2),ConsolidadoLoa27_ATIVIDADES!A:I,9,0)</f>
        <v>08 - SECRETARIA DE EDUCAÇÃO</v>
      </c>
      <c r="F507" t="str">
        <f t="shared" si="22"/>
        <v>2.022</v>
      </c>
      <c r="G507" t="str">
        <f t="shared" si="23"/>
        <v>01.200.0000</v>
      </c>
    </row>
    <row r="508" spans="1:7" hidden="1" x14ac:dyDescent="0.25">
      <c r="A508" s="6" t="s">
        <v>2682</v>
      </c>
      <c r="B508" s="28">
        <v>31215.16</v>
      </c>
      <c r="C508" s="6" t="s">
        <v>2673</v>
      </c>
      <c r="D508" t="str">
        <f t="shared" si="21"/>
        <v>08.001.12.365.0016.2.022.4.4.50.39.00</v>
      </c>
      <c r="E508" t="str">
        <f>VLOOKUP(LEFT(A508,2),ConsolidadoLoa27_ATIVIDADES!A:I,9,0)</f>
        <v>08 - SECRETARIA DE EDUCAÇÃO</v>
      </c>
      <c r="F508" t="str">
        <f t="shared" si="22"/>
        <v>2.022</v>
      </c>
      <c r="G508" t="str">
        <f t="shared" si="23"/>
        <v>01.200.0000</v>
      </c>
    </row>
    <row r="509" spans="1:7" hidden="1" x14ac:dyDescent="0.25">
      <c r="A509" s="6" t="s">
        <v>2682</v>
      </c>
      <c r="B509" s="28">
        <v>9830.85</v>
      </c>
      <c r="C509" s="6" t="s">
        <v>2674</v>
      </c>
      <c r="D509" t="str">
        <f t="shared" si="21"/>
        <v>08.001.12.365.0016.2.022.4.4.50.39.00</v>
      </c>
      <c r="E509" t="str">
        <f>VLOOKUP(LEFT(A509,2),ConsolidadoLoa27_ATIVIDADES!A:I,9,0)</f>
        <v>08 - SECRETARIA DE EDUCAÇÃO</v>
      </c>
      <c r="F509" t="str">
        <f t="shared" si="22"/>
        <v>2.022</v>
      </c>
      <c r="G509" t="str">
        <f t="shared" si="23"/>
        <v>01.200.0000</v>
      </c>
    </row>
    <row r="510" spans="1:7" hidden="1" x14ac:dyDescent="0.25">
      <c r="A510" s="6" t="s">
        <v>2682</v>
      </c>
      <c r="B510" s="28">
        <v>1</v>
      </c>
      <c r="C510" s="6" t="s">
        <v>2675</v>
      </c>
      <c r="D510" t="str">
        <f t="shared" si="21"/>
        <v>08.001.12.365.0016.2.022.4.4.50.39.00</v>
      </c>
      <c r="E510" t="str">
        <f>VLOOKUP(LEFT(A510,2),ConsolidadoLoa27_ATIVIDADES!A:I,9,0)</f>
        <v>08 - SECRETARIA DE EDUCAÇÃO</v>
      </c>
      <c r="F510" t="str">
        <f t="shared" si="22"/>
        <v>2.022</v>
      </c>
      <c r="G510" t="str">
        <f t="shared" si="23"/>
        <v>01.200.0000</v>
      </c>
    </row>
    <row r="511" spans="1:7" hidden="1" x14ac:dyDescent="0.25">
      <c r="A511" s="6" t="s">
        <v>2682</v>
      </c>
      <c r="B511" s="28">
        <v>5535.21</v>
      </c>
      <c r="C511" s="6" t="s">
        <v>2677</v>
      </c>
      <c r="D511" t="str">
        <f t="shared" si="21"/>
        <v>08.001.12.365.0016.2.022.4.4.50.39.00</v>
      </c>
      <c r="E511" t="str">
        <f>VLOOKUP(LEFT(A511,2),ConsolidadoLoa27_ATIVIDADES!A:I,9,0)</f>
        <v>08 - SECRETARIA DE EDUCAÇÃO</v>
      </c>
      <c r="F511" t="str">
        <f t="shared" si="22"/>
        <v>2.022</v>
      </c>
      <c r="G511" t="str">
        <f t="shared" si="23"/>
        <v>01.200.0000</v>
      </c>
    </row>
    <row r="512" spans="1:7" hidden="1" x14ac:dyDescent="0.25">
      <c r="A512" s="6" t="s">
        <v>2682</v>
      </c>
      <c r="B512" s="28">
        <v>25845</v>
      </c>
      <c r="C512" s="6" t="s">
        <v>2683</v>
      </c>
      <c r="D512" t="str">
        <f t="shared" si="21"/>
        <v>08.001.12.365.0016.2.022.4.4.50.39.00</v>
      </c>
      <c r="E512" t="str">
        <f>VLOOKUP(LEFT(A512,2),ConsolidadoLoa27_ATIVIDADES!A:I,9,0)</f>
        <v>08 - SECRETARIA DE EDUCAÇÃO</v>
      </c>
      <c r="F512" t="str">
        <f t="shared" si="22"/>
        <v>2.022</v>
      </c>
      <c r="G512" t="str">
        <f t="shared" si="23"/>
        <v>01.200.0000</v>
      </c>
    </row>
    <row r="513" spans="1:7" hidden="1" x14ac:dyDescent="0.25">
      <c r="A513" s="6" t="s">
        <v>2682</v>
      </c>
      <c r="B513" s="28">
        <v>1</v>
      </c>
      <c r="C513" s="6" t="s">
        <v>2678</v>
      </c>
      <c r="D513" t="str">
        <f t="shared" si="21"/>
        <v>08.001.12.365.0016.2.022.4.4.50.39.00</v>
      </c>
      <c r="E513" t="str">
        <f>VLOOKUP(LEFT(A513,2),ConsolidadoLoa27_ATIVIDADES!A:I,9,0)</f>
        <v>08 - SECRETARIA DE EDUCAÇÃO</v>
      </c>
      <c r="F513" t="str">
        <f t="shared" si="22"/>
        <v>2.022</v>
      </c>
      <c r="G513" t="str">
        <f t="shared" si="23"/>
        <v>01.200.0000</v>
      </c>
    </row>
    <row r="514" spans="1:7" hidden="1" x14ac:dyDescent="0.25">
      <c r="A514" s="6" t="s">
        <v>2682</v>
      </c>
      <c r="B514" s="28">
        <v>115887.61</v>
      </c>
      <c r="C514" s="6" t="s">
        <v>2679</v>
      </c>
      <c r="D514" t="str">
        <f t="shared" si="21"/>
        <v>08.001.12.365.0016.2.022.4.4.50.39.00</v>
      </c>
      <c r="E514" t="str">
        <f>VLOOKUP(LEFT(A514,2),ConsolidadoLoa27_ATIVIDADES!A:I,9,0)</f>
        <v>08 - SECRETARIA DE EDUCAÇÃO</v>
      </c>
      <c r="F514" t="str">
        <f t="shared" si="22"/>
        <v>2.022</v>
      </c>
      <c r="G514" t="str">
        <f t="shared" si="23"/>
        <v>01.200.0000</v>
      </c>
    </row>
    <row r="515" spans="1:7" hidden="1" x14ac:dyDescent="0.25">
      <c r="A515" s="6" t="s">
        <v>2682</v>
      </c>
      <c r="B515" s="28">
        <v>200131.82</v>
      </c>
      <c r="C515" s="6" t="s">
        <v>2680</v>
      </c>
      <c r="D515" t="str">
        <f t="shared" ref="D515:D578" si="24">_xlfn.CONCAT(LEFT(A515,34),".00")</f>
        <v>08.001.12.365.0016.2.022.4.4.50.39.00</v>
      </c>
      <c r="E515" t="str">
        <f>VLOOKUP(LEFT(A515,2),ConsolidadoLoa27_ATIVIDADES!A:I,9,0)</f>
        <v>08 - SECRETARIA DE EDUCAÇÃO</v>
      </c>
      <c r="F515" t="str">
        <f t="shared" ref="F515:F578" si="25">MID(A515,20,5)</f>
        <v>2.022</v>
      </c>
      <c r="G515" t="str">
        <f t="shared" ref="G515:G578" si="26">RIGHT(A515,11)</f>
        <v>01.200.0000</v>
      </c>
    </row>
    <row r="516" spans="1:7" hidden="1" x14ac:dyDescent="0.25">
      <c r="A516" s="6" t="s">
        <v>2682</v>
      </c>
      <c r="B516" s="28">
        <v>19458</v>
      </c>
      <c r="C516" s="6" t="s">
        <v>2681</v>
      </c>
      <c r="D516" t="str">
        <f t="shared" si="24"/>
        <v>08.001.12.365.0016.2.022.4.4.50.39.00</v>
      </c>
      <c r="E516" t="str">
        <f>VLOOKUP(LEFT(A516,2),ConsolidadoLoa27_ATIVIDADES!A:I,9,0)</f>
        <v>08 - SECRETARIA DE EDUCAÇÃO</v>
      </c>
      <c r="F516" t="str">
        <f t="shared" si="25"/>
        <v>2.022</v>
      </c>
      <c r="G516" t="str">
        <f t="shared" si="26"/>
        <v>01.200.0000</v>
      </c>
    </row>
    <row r="517" spans="1:7" hidden="1" x14ac:dyDescent="0.25">
      <c r="A517" s="6" t="s">
        <v>2684</v>
      </c>
      <c r="B517" s="28">
        <v>1114273.2</v>
      </c>
      <c r="C517" s="6" t="s">
        <v>2512</v>
      </c>
      <c r="D517" t="str">
        <f t="shared" si="24"/>
        <v>08.001.12.365.0016.2.023.3.3.50.39.00</v>
      </c>
      <c r="E517" t="str">
        <f>VLOOKUP(LEFT(A517,2),ConsolidadoLoa27_ATIVIDADES!A:I,9,0)</f>
        <v>08 - SECRETARIA DE EDUCAÇÃO</v>
      </c>
      <c r="F517" t="str">
        <f t="shared" si="25"/>
        <v>2.023</v>
      </c>
      <c r="G517" t="str">
        <f t="shared" si="26"/>
        <v>01.110.0000</v>
      </c>
    </row>
    <row r="518" spans="1:7" hidden="1" x14ac:dyDescent="0.25">
      <c r="A518" s="6" t="s">
        <v>2684</v>
      </c>
      <c r="B518" s="28">
        <v>987365.43</v>
      </c>
      <c r="C518" s="6" t="s">
        <v>2513</v>
      </c>
      <c r="D518" t="str">
        <f t="shared" si="24"/>
        <v>08.001.12.365.0016.2.023.3.3.50.39.00</v>
      </c>
      <c r="E518" t="str">
        <f>VLOOKUP(LEFT(A518,2),ConsolidadoLoa27_ATIVIDADES!A:I,9,0)</f>
        <v>08 - SECRETARIA DE EDUCAÇÃO</v>
      </c>
      <c r="F518" t="str">
        <f t="shared" si="25"/>
        <v>2.023</v>
      </c>
      <c r="G518" t="str">
        <f t="shared" si="26"/>
        <v>01.110.0000</v>
      </c>
    </row>
    <row r="519" spans="1:7" hidden="1" x14ac:dyDescent="0.25">
      <c r="A519" s="6" t="s">
        <v>2685</v>
      </c>
      <c r="B519" s="28">
        <v>1</v>
      </c>
      <c r="C519" s="6" t="s">
        <v>2512</v>
      </c>
      <c r="D519" t="str">
        <f t="shared" si="24"/>
        <v>08.001.12.365.0016.2.023.3.3.50.39.00</v>
      </c>
      <c r="E519" t="str">
        <f>VLOOKUP(LEFT(A519,2),ConsolidadoLoa27_ATIVIDADES!A:I,9,0)</f>
        <v>08 - SECRETARIA DE EDUCAÇÃO</v>
      </c>
      <c r="F519" t="str">
        <f t="shared" si="25"/>
        <v>2.023</v>
      </c>
      <c r="G519" t="str">
        <f t="shared" si="26"/>
        <v>01.200.0000</v>
      </c>
    </row>
    <row r="520" spans="1:7" hidden="1" x14ac:dyDescent="0.25">
      <c r="A520" s="6" t="s">
        <v>2685</v>
      </c>
      <c r="B520" s="28">
        <v>1</v>
      </c>
      <c r="C520" s="6" t="s">
        <v>2513</v>
      </c>
      <c r="D520" t="str">
        <f t="shared" si="24"/>
        <v>08.001.12.365.0016.2.023.3.3.50.39.00</v>
      </c>
      <c r="E520" t="str">
        <f>VLOOKUP(LEFT(A520,2),ConsolidadoLoa27_ATIVIDADES!A:I,9,0)</f>
        <v>08 - SECRETARIA DE EDUCAÇÃO</v>
      </c>
      <c r="F520" t="str">
        <f t="shared" si="25"/>
        <v>2.023</v>
      </c>
      <c r="G520" t="str">
        <f t="shared" si="26"/>
        <v>01.200.0000</v>
      </c>
    </row>
    <row r="521" spans="1:7" hidden="1" x14ac:dyDescent="0.25">
      <c r="A521" s="6" t="s">
        <v>2686</v>
      </c>
      <c r="B521" s="28">
        <v>278567.59000000003</v>
      </c>
      <c r="C521" s="6" t="s">
        <v>2512</v>
      </c>
      <c r="D521" t="str">
        <f t="shared" si="24"/>
        <v>08.001.12.365.0016.2.023.4.4.50.39.00</v>
      </c>
      <c r="E521" t="str">
        <f>VLOOKUP(LEFT(A521,2),ConsolidadoLoa27_ATIVIDADES!A:I,9,0)</f>
        <v>08 - SECRETARIA DE EDUCAÇÃO</v>
      </c>
      <c r="F521" t="str">
        <f t="shared" si="25"/>
        <v>2.023</v>
      </c>
      <c r="G521" t="str">
        <f t="shared" si="26"/>
        <v>01.110.0000</v>
      </c>
    </row>
    <row r="522" spans="1:7" hidden="1" x14ac:dyDescent="0.25">
      <c r="A522" s="6" t="s">
        <v>2686</v>
      </c>
      <c r="B522" s="28">
        <v>249341.85</v>
      </c>
      <c r="C522" s="6" t="s">
        <v>2513</v>
      </c>
      <c r="D522" t="str">
        <f t="shared" si="24"/>
        <v>08.001.12.365.0016.2.023.4.4.50.39.00</v>
      </c>
      <c r="E522" t="str">
        <f>VLOOKUP(LEFT(A522,2),ConsolidadoLoa27_ATIVIDADES!A:I,9,0)</f>
        <v>08 - SECRETARIA DE EDUCAÇÃO</v>
      </c>
      <c r="F522" t="str">
        <f t="shared" si="25"/>
        <v>2.023</v>
      </c>
      <c r="G522" t="str">
        <f t="shared" si="26"/>
        <v>01.110.0000</v>
      </c>
    </row>
    <row r="523" spans="1:7" hidden="1" x14ac:dyDescent="0.25">
      <c r="A523" s="6" t="s">
        <v>2687</v>
      </c>
      <c r="B523" s="28">
        <v>1</v>
      </c>
      <c r="C523" s="6" t="s">
        <v>2512</v>
      </c>
      <c r="D523" t="str">
        <f t="shared" si="24"/>
        <v>08.001.12.365.0016.2.023.4.4.50.39.00</v>
      </c>
      <c r="E523" t="str">
        <f>VLOOKUP(LEFT(A523,2),ConsolidadoLoa27_ATIVIDADES!A:I,9,0)</f>
        <v>08 - SECRETARIA DE EDUCAÇÃO</v>
      </c>
      <c r="F523" t="str">
        <f t="shared" si="25"/>
        <v>2.023</v>
      </c>
      <c r="G523" t="str">
        <f t="shared" si="26"/>
        <v>01.200.0000</v>
      </c>
    </row>
    <row r="524" spans="1:7" hidden="1" x14ac:dyDescent="0.25">
      <c r="A524" s="6" t="s">
        <v>2687</v>
      </c>
      <c r="B524" s="28">
        <v>1</v>
      </c>
      <c r="C524" s="6" t="s">
        <v>2513</v>
      </c>
      <c r="D524" t="str">
        <f t="shared" si="24"/>
        <v>08.001.12.365.0016.2.023.4.4.50.39.00</v>
      </c>
      <c r="E524" t="str">
        <f>VLOOKUP(LEFT(A524,2),ConsolidadoLoa27_ATIVIDADES!A:I,9,0)</f>
        <v>08 - SECRETARIA DE EDUCAÇÃO</v>
      </c>
      <c r="F524" t="str">
        <f t="shared" si="25"/>
        <v>2.023</v>
      </c>
      <c r="G524" t="str">
        <f t="shared" si="26"/>
        <v>01.200.0000</v>
      </c>
    </row>
    <row r="525" spans="1:7" hidden="1" x14ac:dyDescent="0.25">
      <c r="A525" s="6" t="s">
        <v>2688</v>
      </c>
      <c r="B525" s="28">
        <v>3.22</v>
      </c>
      <c r="C525" s="6" t="s">
        <v>847</v>
      </c>
      <c r="D525" t="str">
        <f t="shared" si="24"/>
        <v>08.001.12.366.0001.2.001.3.1.90.11.00</v>
      </c>
      <c r="E525" t="str">
        <f>VLOOKUP(LEFT(A525,2),ConsolidadoLoa27_ATIVIDADES!A:I,9,0)</f>
        <v>08 - SECRETARIA DE EDUCAÇÃO</v>
      </c>
      <c r="F525" t="str">
        <f t="shared" si="25"/>
        <v>2.001</v>
      </c>
      <c r="G525" t="str">
        <f t="shared" si="26"/>
        <v>01.200.0000</v>
      </c>
    </row>
    <row r="526" spans="1:7" hidden="1" x14ac:dyDescent="0.25">
      <c r="A526" s="6" t="s">
        <v>2689</v>
      </c>
      <c r="B526" s="28">
        <v>0</v>
      </c>
      <c r="C526" s="6" t="s">
        <v>847</v>
      </c>
      <c r="D526" t="str">
        <f t="shared" si="24"/>
        <v>08.001.12.366.0001.2.001.3.1.90.11.00</v>
      </c>
      <c r="E526" t="str">
        <f>VLOOKUP(LEFT(A526,2),ConsolidadoLoa27_ATIVIDADES!A:I,9,0)</f>
        <v>08 - SECRETARIA DE EDUCAÇÃO</v>
      </c>
      <c r="F526" t="str">
        <f t="shared" si="25"/>
        <v>2.001</v>
      </c>
      <c r="G526" t="str">
        <f t="shared" si="26"/>
        <v>02.261.0000</v>
      </c>
    </row>
    <row r="527" spans="1:7" hidden="1" x14ac:dyDescent="0.25">
      <c r="A527" s="6" t="s">
        <v>2690</v>
      </c>
      <c r="B527" s="28">
        <v>3.22</v>
      </c>
      <c r="C527" s="6" t="s">
        <v>847</v>
      </c>
      <c r="D527" t="str">
        <f t="shared" si="24"/>
        <v>08.001.12.366.0001.2.001.3.1.90.13.00</v>
      </c>
      <c r="E527" t="str">
        <f>VLOOKUP(LEFT(A527,2),ConsolidadoLoa27_ATIVIDADES!A:I,9,0)</f>
        <v>08 - SECRETARIA DE EDUCAÇÃO</v>
      </c>
      <c r="F527" t="str">
        <f t="shared" si="25"/>
        <v>2.001</v>
      </c>
      <c r="G527" t="str">
        <f t="shared" si="26"/>
        <v>01.200.0000</v>
      </c>
    </row>
    <row r="528" spans="1:7" hidden="1" x14ac:dyDescent="0.25">
      <c r="A528" s="6" t="s">
        <v>2691</v>
      </c>
      <c r="B528" s="28">
        <v>0</v>
      </c>
      <c r="C528" s="12" t="s">
        <v>847</v>
      </c>
      <c r="D528" t="str">
        <f t="shared" si="24"/>
        <v>08.001.12.366.0001.2.001.3.1.91.13.00</v>
      </c>
      <c r="E528" t="str">
        <f>VLOOKUP(LEFT(A528,2),ConsolidadoLoa27_ATIVIDADES!A:I,9,0)</f>
        <v>08 - SECRETARIA DE EDUCAÇÃO</v>
      </c>
      <c r="F528" t="str">
        <f t="shared" si="25"/>
        <v>2.001</v>
      </c>
      <c r="G528" t="str">
        <f t="shared" si="26"/>
        <v>01.200.0000</v>
      </c>
    </row>
    <row r="529" spans="1:7" hidden="1" x14ac:dyDescent="0.25">
      <c r="A529" s="6" t="s">
        <v>2692</v>
      </c>
      <c r="B529" s="28">
        <v>3.22</v>
      </c>
      <c r="C529" s="12" t="s">
        <v>847</v>
      </c>
      <c r="D529" t="str">
        <f t="shared" si="24"/>
        <v>08.001.12.366.0001.2.001.3.1.91.13.00</v>
      </c>
      <c r="E529" t="str">
        <f>VLOOKUP(LEFT(A529,2),ConsolidadoLoa27_ATIVIDADES!A:I,9,0)</f>
        <v>08 - SECRETARIA DE EDUCAÇÃO</v>
      </c>
      <c r="F529" t="str">
        <f t="shared" si="25"/>
        <v>2.001</v>
      </c>
      <c r="G529" t="str">
        <f t="shared" si="26"/>
        <v>02.262.0000</v>
      </c>
    </row>
    <row r="530" spans="1:7" hidden="1" x14ac:dyDescent="0.25">
      <c r="A530" s="6" t="s">
        <v>2693</v>
      </c>
      <c r="B530" s="28">
        <v>311830.78000000003</v>
      </c>
      <c r="C530" s="6" t="s">
        <v>2278</v>
      </c>
      <c r="D530" t="str">
        <f t="shared" si="24"/>
        <v>08.001.12.366.0001.2.001.3.3.90.46.00</v>
      </c>
      <c r="E530" t="str">
        <f>VLOOKUP(LEFT(A530,2),ConsolidadoLoa27_ATIVIDADES!A:I,9,0)</f>
        <v>08 - SECRETARIA DE EDUCAÇÃO</v>
      </c>
      <c r="F530" t="str">
        <f t="shared" si="25"/>
        <v>2.001</v>
      </c>
      <c r="G530" t="str">
        <f t="shared" si="26"/>
        <v>01.200.0000</v>
      </c>
    </row>
    <row r="531" spans="1:7" hidden="1" x14ac:dyDescent="0.25">
      <c r="A531" s="6" t="s">
        <v>2694</v>
      </c>
      <c r="B531" s="28">
        <v>0</v>
      </c>
      <c r="C531" s="6" t="s">
        <v>2280</v>
      </c>
      <c r="D531" t="str">
        <f t="shared" si="24"/>
        <v>08.001.12.366.0001.2.001.3.3.90.49.00</v>
      </c>
      <c r="E531" t="str">
        <f>VLOOKUP(LEFT(A531,2),ConsolidadoLoa27_ATIVIDADES!A:I,9,0)</f>
        <v>08 - SECRETARIA DE EDUCAÇÃO</v>
      </c>
      <c r="F531" t="str">
        <f t="shared" si="25"/>
        <v>2.001</v>
      </c>
      <c r="G531" t="str">
        <f t="shared" si="26"/>
        <v>01.200.0000</v>
      </c>
    </row>
    <row r="532" spans="1:7" hidden="1" x14ac:dyDescent="0.25">
      <c r="A532" s="6" t="s">
        <v>2695</v>
      </c>
      <c r="B532" s="28">
        <v>3018177</v>
      </c>
      <c r="C532" s="6" t="s">
        <v>284</v>
      </c>
      <c r="D532" t="str">
        <f t="shared" si="24"/>
        <v>08.001.12.366.0016.2.019.3.3.50.39.00</v>
      </c>
      <c r="E532" t="str">
        <f>VLOOKUP(LEFT(A532,2),ConsolidadoLoa27_ATIVIDADES!A:I,9,0)</f>
        <v>08 - SECRETARIA DE EDUCAÇÃO</v>
      </c>
      <c r="F532" t="str">
        <f t="shared" si="25"/>
        <v>2.019</v>
      </c>
      <c r="G532" t="str">
        <f t="shared" si="26"/>
        <v>01.200.0000</v>
      </c>
    </row>
    <row r="533" spans="1:7" hidden="1" x14ac:dyDescent="0.25">
      <c r="A533" s="6" t="s">
        <v>2695</v>
      </c>
      <c r="B533" s="28">
        <v>79200</v>
      </c>
      <c r="C533" s="6" t="s">
        <v>2696</v>
      </c>
      <c r="D533" t="str">
        <f t="shared" si="24"/>
        <v>08.001.12.366.0016.2.019.3.3.50.39.00</v>
      </c>
      <c r="E533" t="str">
        <f>VLOOKUP(LEFT(A533,2),ConsolidadoLoa27_ATIVIDADES!A:I,9,0)</f>
        <v>08 - SECRETARIA DE EDUCAÇÃO</v>
      </c>
      <c r="F533" t="str">
        <f t="shared" si="25"/>
        <v>2.019</v>
      </c>
      <c r="G533" t="str">
        <f t="shared" si="26"/>
        <v>01.200.0000</v>
      </c>
    </row>
    <row r="534" spans="1:7" hidden="1" x14ac:dyDescent="0.25">
      <c r="A534" s="6" t="s">
        <v>2697</v>
      </c>
      <c r="B534" s="28">
        <v>1000000</v>
      </c>
      <c r="C534" s="6" t="s">
        <v>2696</v>
      </c>
      <c r="D534" t="str">
        <f t="shared" si="24"/>
        <v>08.001.12.366.0016.2.019.3.3.90.48.00</v>
      </c>
      <c r="E534" t="str">
        <f>VLOOKUP(LEFT(A534,2),ConsolidadoLoa27_ATIVIDADES!A:I,9,0)</f>
        <v>08 - SECRETARIA DE EDUCAÇÃO</v>
      </c>
      <c r="F534" t="str">
        <f t="shared" si="25"/>
        <v>2.019</v>
      </c>
      <c r="G534" t="str">
        <f t="shared" si="26"/>
        <v>01.200.0000</v>
      </c>
    </row>
    <row r="535" spans="1:7" hidden="1" x14ac:dyDescent="0.25">
      <c r="A535" s="6" t="s">
        <v>2698</v>
      </c>
      <c r="B535" s="28">
        <v>1</v>
      </c>
      <c r="C535" s="6" t="s">
        <v>284</v>
      </c>
      <c r="D535" t="str">
        <f t="shared" si="24"/>
        <v>08.001.12.366.0016.2.019.4.4.50.39.00</v>
      </c>
      <c r="E535" t="str">
        <f>VLOOKUP(LEFT(A535,2),ConsolidadoLoa27_ATIVIDADES!A:I,9,0)</f>
        <v>08 - SECRETARIA DE EDUCAÇÃO</v>
      </c>
      <c r="F535" t="str">
        <f t="shared" si="25"/>
        <v>2.019</v>
      </c>
      <c r="G535" t="str">
        <f t="shared" si="26"/>
        <v>01.200.0000</v>
      </c>
    </row>
    <row r="536" spans="1:7" hidden="1" x14ac:dyDescent="0.25">
      <c r="A536" s="6" t="s">
        <v>2699</v>
      </c>
      <c r="B536" s="28">
        <v>0</v>
      </c>
      <c r="C536" s="6" t="s">
        <v>2700</v>
      </c>
      <c r="D536" t="str">
        <f t="shared" si="24"/>
        <v>08.001.12.367.0016.2.019.3.3.90.30.00</v>
      </c>
      <c r="E536" t="str">
        <f>VLOOKUP(LEFT(A536,2),ConsolidadoLoa27_ATIVIDADES!A:I,9,0)</f>
        <v>08 - SECRETARIA DE EDUCAÇÃO</v>
      </c>
      <c r="F536" t="str">
        <f t="shared" si="25"/>
        <v>2.019</v>
      </c>
      <c r="G536" t="str">
        <f t="shared" si="26"/>
        <v>08.110.0000</v>
      </c>
    </row>
    <row r="537" spans="1:7" hidden="1" x14ac:dyDescent="0.25">
      <c r="A537" s="6" t="s">
        <v>2701</v>
      </c>
      <c r="B537" s="28">
        <v>2439650.4</v>
      </c>
      <c r="C537" s="6" t="s">
        <v>2702</v>
      </c>
      <c r="D537" t="str">
        <f t="shared" si="24"/>
        <v>08.001.12.367.0016.2.019.3.3.90.39.00</v>
      </c>
      <c r="E537" t="str">
        <f>VLOOKUP(LEFT(A537,2),ConsolidadoLoa27_ATIVIDADES!A:I,9,0)</f>
        <v>08 - SECRETARIA DE EDUCAÇÃO</v>
      </c>
      <c r="F537" t="str">
        <f t="shared" si="25"/>
        <v>2.019</v>
      </c>
      <c r="G537" t="str">
        <f t="shared" si="26"/>
        <v>01.200.0000</v>
      </c>
    </row>
    <row r="538" spans="1:7" hidden="1" x14ac:dyDescent="0.25">
      <c r="A538" s="6" t="s">
        <v>2701</v>
      </c>
      <c r="B538" s="28">
        <v>2279807.6</v>
      </c>
      <c r="C538" s="6" t="s">
        <v>2703</v>
      </c>
      <c r="D538" t="str">
        <f t="shared" si="24"/>
        <v>08.001.12.367.0016.2.019.3.3.90.39.00</v>
      </c>
      <c r="E538" t="str">
        <f>VLOOKUP(LEFT(A538,2),ConsolidadoLoa27_ATIVIDADES!A:I,9,0)</f>
        <v>08 - SECRETARIA DE EDUCAÇÃO</v>
      </c>
      <c r="F538" t="str">
        <f t="shared" si="25"/>
        <v>2.019</v>
      </c>
      <c r="G538" t="str">
        <f t="shared" si="26"/>
        <v>01.200.0000</v>
      </c>
    </row>
    <row r="539" spans="1:7" hidden="1" x14ac:dyDescent="0.25">
      <c r="A539" s="6" t="s">
        <v>2704</v>
      </c>
      <c r="B539" s="28">
        <v>0</v>
      </c>
      <c r="C539" s="6" t="s">
        <v>2700</v>
      </c>
      <c r="D539" t="str">
        <f t="shared" si="24"/>
        <v>08.001.12.367.0016.2.019.4.4.90.52.00</v>
      </c>
      <c r="E539" t="str">
        <f>VLOOKUP(LEFT(A539,2),ConsolidadoLoa27_ATIVIDADES!A:I,9,0)</f>
        <v>08 - SECRETARIA DE EDUCAÇÃO</v>
      </c>
      <c r="F539" t="str">
        <f t="shared" si="25"/>
        <v>2.019</v>
      </c>
      <c r="G539" t="str">
        <f t="shared" si="26"/>
        <v>08.110.0000</v>
      </c>
    </row>
    <row r="540" spans="1:7" hidden="1" x14ac:dyDescent="0.25">
      <c r="A540" s="6" t="s">
        <v>2705</v>
      </c>
      <c r="B540" s="28">
        <v>656345.55171899986</v>
      </c>
      <c r="C540" s="6" t="s">
        <v>2706</v>
      </c>
      <c r="D540" t="str">
        <f t="shared" si="24"/>
        <v>09.001.04.122.0001.2.001.3.1.90.94.00</v>
      </c>
      <c r="E540" t="str">
        <f>VLOOKUP(LEFT(A540,2),ConsolidadoLoa27_ATIVIDADES!A:I,9,0)</f>
        <v>09 - SECRETARIA DA SAÚDE</v>
      </c>
      <c r="F540" t="str">
        <f t="shared" si="25"/>
        <v>2.001</v>
      </c>
      <c r="G540" t="str">
        <f t="shared" si="26"/>
        <v>01.310.0000</v>
      </c>
    </row>
    <row r="541" spans="1:7" hidden="1" x14ac:dyDescent="0.25">
      <c r="A541" s="6" t="s">
        <v>2707</v>
      </c>
      <c r="B541" s="28">
        <v>1253002.5</v>
      </c>
      <c r="C541" s="6" t="s">
        <v>2708</v>
      </c>
      <c r="D541" t="str">
        <f t="shared" si="24"/>
        <v>09.001.04.126.0002.2.007.3.3.90.39.00</v>
      </c>
      <c r="E541" t="str">
        <f>VLOOKUP(LEFT(A541,2),ConsolidadoLoa27_ATIVIDADES!A:I,9,0)</f>
        <v>09 - SECRETARIA DA SAÚDE</v>
      </c>
      <c r="F541" t="str">
        <f t="shared" si="25"/>
        <v>2.007</v>
      </c>
      <c r="G541" t="str">
        <f t="shared" si="26"/>
        <v>02.310.0000</v>
      </c>
    </row>
    <row r="542" spans="1:7" hidden="1" x14ac:dyDescent="0.25">
      <c r="A542" s="6" t="s">
        <v>2709</v>
      </c>
      <c r="B542" s="28">
        <v>7100347.5</v>
      </c>
      <c r="C542" s="6" t="s">
        <v>2708</v>
      </c>
      <c r="D542" t="str">
        <f t="shared" si="24"/>
        <v>09.001.04.126.0002.2.007.3.3.90.39.00</v>
      </c>
      <c r="E542" t="str">
        <f>VLOOKUP(LEFT(A542,2),ConsolidadoLoa27_ATIVIDADES!A:I,9,0)</f>
        <v>09 - SECRETARIA DA SAÚDE</v>
      </c>
      <c r="F542" t="str">
        <f t="shared" si="25"/>
        <v>2.007</v>
      </c>
      <c r="G542" t="str">
        <f t="shared" si="26"/>
        <v>01.310.0000</v>
      </c>
    </row>
    <row r="543" spans="1:7" hidden="1" x14ac:dyDescent="0.25">
      <c r="A543" s="6" t="s">
        <v>2710</v>
      </c>
      <c r="B543" s="28">
        <v>103910</v>
      </c>
      <c r="C543" s="6" t="s">
        <v>245</v>
      </c>
      <c r="D543" t="str">
        <f t="shared" si="24"/>
        <v>09.001.04.131.0002.2.005.3.3.90.30.00</v>
      </c>
      <c r="E543" t="str">
        <f>VLOOKUP(LEFT(A543,2),ConsolidadoLoa27_ATIVIDADES!A:I,9,0)</f>
        <v>09 - SECRETARIA DA SAÚDE</v>
      </c>
      <c r="F543" t="str">
        <f t="shared" si="25"/>
        <v>2.005</v>
      </c>
      <c r="G543" t="str">
        <f t="shared" si="26"/>
        <v>01.110.0000</v>
      </c>
    </row>
    <row r="544" spans="1:7" hidden="1" x14ac:dyDescent="0.25">
      <c r="A544" s="6" t="s">
        <v>2711</v>
      </c>
      <c r="B544" s="28">
        <v>103910</v>
      </c>
      <c r="C544" s="6" t="s">
        <v>245</v>
      </c>
      <c r="D544" t="str">
        <f t="shared" si="24"/>
        <v>09.001.04.131.0002.2.005.3.3.90.30.00</v>
      </c>
      <c r="E544" t="str">
        <f>VLOOKUP(LEFT(A544,2),ConsolidadoLoa27_ATIVIDADES!A:I,9,0)</f>
        <v>09 - SECRETARIA DA SAÚDE</v>
      </c>
      <c r="F544" t="str">
        <f t="shared" si="25"/>
        <v>2.005</v>
      </c>
      <c r="G544" t="str">
        <f t="shared" si="26"/>
        <v>01.310.0000</v>
      </c>
    </row>
    <row r="545" spans="1:7" hidden="1" x14ac:dyDescent="0.25">
      <c r="A545" s="6" t="s">
        <v>2712</v>
      </c>
      <c r="B545" s="28">
        <v>51435.45</v>
      </c>
      <c r="C545" s="6" t="s">
        <v>198</v>
      </c>
      <c r="D545" t="str">
        <f t="shared" si="24"/>
        <v>09.001.04.131.0002.2.005.3.3.90.39.00</v>
      </c>
      <c r="E545" t="str">
        <f>VLOOKUP(LEFT(A545,2),ConsolidadoLoa27_ATIVIDADES!A:I,9,0)</f>
        <v>09 - SECRETARIA DA SAÚDE</v>
      </c>
      <c r="F545" t="str">
        <f t="shared" si="25"/>
        <v>2.005</v>
      </c>
      <c r="G545" t="str">
        <f t="shared" si="26"/>
        <v>01.110.0000</v>
      </c>
    </row>
    <row r="546" spans="1:7" hidden="1" x14ac:dyDescent="0.25">
      <c r="A546" s="6" t="s">
        <v>2712</v>
      </c>
      <c r="B546" s="28">
        <v>19500</v>
      </c>
      <c r="C546" s="6" t="s">
        <v>2293</v>
      </c>
      <c r="D546" t="str">
        <f t="shared" si="24"/>
        <v>09.001.04.131.0002.2.005.3.3.90.39.00</v>
      </c>
      <c r="E546" t="str">
        <f>VLOOKUP(LEFT(A546,2),ConsolidadoLoa27_ATIVIDADES!A:I,9,0)</f>
        <v>09 - SECRETARIA DA SAÚDE</v>
      </c>
      <c r="F546" t="str">
        <f t="shared" si="25"/>
        <v>2.005</v>
      </c>
      <c r="G546" t="str">
        <f t="shared" si="26"/>
        <v>01.110.0000</v>
      </c>
    </row>
    <row r="547" spans="1:7" hidden="1" x14ac:dyDescent="0.25">
      <c r="A547" s="6" t="s">
        <v>2712</v>
      </c>
      <c r="B547" s="28">
        <v>1039.0999999999999</v>
      </c>
      <c r="C547" s="6" t="s">
        <v>196</v>
      </c>
      <c r="D547" t="str">
        <f t="shared" si="24"/>
        <v>09.001.04.131.0002.2.005.3.3.90.39.00</v>
      </c>
      <c r="E547" t="str">
        <f>VLOOKUP(LEFT(A547,2),ConsolidadoLoa27_ATIVIDADES!A:I,9,0)</f>
        <v>09 - SECRETARIA DA SAÚDE</v>
      </c>
      <c r="F547" t="str">
        <f t="shared" si="25"/>
        <v>2.005</v>
      </c>
      <c r="G547" t="str">
        <f t="shared" si="26"/>
        <v>01.110.0000</v>
      </c>
    </row>
    <row r="548" spans="1:7" hidden="1" x14ac:dyDescent="0.25">
      <c r="A548" s="6" t="s">
        <v>2713</v>
      </c>
      <c r="B548" s="28">
        <v>51435.45</v>
      </c>
      <c r="C548" s="6" t="s">
        <v>198</v>
      </c>
      <c r="D548" t="str">
        <f t="shared" si="24"/>
        <v>09.001.04.131.0002.2.005.3.3.90.39.00</v>
      </c>
      <c r="E548" t="str">
        <f>VLOOKUP(LEFT(A548,2),ConsolidadoLoa27_ATIVIDADES!A:I,9,0)</f>
        <v>09 - SECRETARIA DA SAÚDE</v>
      </c>
      <c r="F548" t="str">
        <f t="shared" si="25"/>
        <v>2.005</v>
      </c>
      <c r="G548" t="str">
        <f t="shared" si="26"/>
        <v>01.310.0000</v>
      </c>
    </row>
    <row r="549" spans="1:7" hidden="1" x14ac:dyDescent="0.25">
      <c r="A549" s="6" t="s">
        <v>2713</v>
      </c>
      <c r="B549" s="28">
        <v>19500</v>
      </c>
      <c r="C549" s="6" t="s">
        <v>2293</v>
      </c>
      <c r="D549" t="str">
        <f t="shared" si="24"/>
        <v>09.001.04.131.0002.2.005.3.3.90.39.00</v>
      </c>
      <c r="E549" t="str">
        <f>VLOOKUP(LEFT(A549,2),ConsolidadoLoa27_ATIVIDADES!A:I,9,0)</f>
        <v>09 - SECRETARIA DA SAÚDE</v>
      </c>
      <c r="F549" t="str">
        <f t="shared" si="25"/>
        <v>2.005</v>
      </c>
      <c r="G549" t="str">
        <f t="shared" si="26"/>
        <v>01.310.0000</v>
      </c>
    </row>
    <row r="550" spans="1:7" hidden="1" x14ac:dyDescent="0.25">
      <c r="A550" s="6" t="s">
        <v>2713</v>
      </c>
      <c r="B550" s="28">
        <v>1039.0999999999999</v>
      </c>
      <c r="C550" s="6" t="s">
        <v>196</v>
      </c>
      <c r="D550" t="str">
        <f t="shared" si="24"/>
        <v>09.001.04.131.0002.2.005.3.3.90.39.00</v>
      </c>
      <c r="E550" t="str">
        <f>VLOOKUP(LEFT(A550,2),ConsolidadoLoa27_ATIVIDADES!A:I,9,0)</f>
        <v>09 - SECRETARIA DA SAÚDE</v>
      </c>
      <c r="F550" t="str">
        <f t="shared" si="25"/>
        <v>2.005</v>
      </c>
      <c r="G550" t="str">
        <f t="shared" si="26"/>
        <v>01.310.0000</v>
      </c>
    </row>
    <row r="551" spans="1:7" hidden="1" x14ac:dyDescent="0.25">
      <c r="A551" s="6" t="s">
        <v>2714</v>
      </c>
      <c r="B551" s="28">
        <v>0</v>
      </c>
      <c r="C551" s="6" t="s">
        <v>847</v>
      </c>
      <c r="D551" t="str">
        <f t="shared" si="24"/>
        <v>09.001.10.122.0001.2.001.3.1.90.11.00</v>
      </c>
      <c r="E551" t="str">
        <f>VLOOKUP(LEFT(A551,2),ConsolidadoLoa27_ATIVIDADES!A:I,9,0)</f>
        <v>09 - SECRETARIA DA SAÚDE</v>
      </c>
      <c r="F551" t="str">
        <f t="shared" si="25"/>
        <v>2.001</v>
      </c>
      <c r="G551" t="str">
        <f t="shared" si="26"/>
        <v>01.110.0000</v>
      </c>
    </row>
    <row r="552" spans="1:7" hidden="1" x14ac:dyDescent="0.25">
      <c r="A552" s="6" t="s">
        <v>2715</v>
      </c>
      <c r="B552" s="28">
        <v>856630.73</v>
      </c>
      <c r="C552" s="6" t="s">
        <v>847</v>
      </c>
      <c r="D552" t="str">
        <f t="shared" si="24"/>
        <v>09.001.10.122.0001.2.001.3.1.90.11.00</v>
      </c>
      <c r="E552" t="str">
        <f>VLOOKUP(LEFT(A552,2),ConsolidadoLoa27_ATIVIDADES!A:I,9,0)</f>
        <v>09 - SECRETARIA DA SAÚDE</v>
      </c>
      <c r="F552" t="str">
        <f t="shared" si="25"/>
        <v>2.001</v>
      </c>
      <c r="G552" t="str">
        <f t="shared" si="26"/>
        <v>05.313.0000</v>
      </c>
    </row>
    <row r="553" spans="1:7" hidden="1" x14ac:dyDescent="0.25">
      <c r="A553" s="6" t="s">
        <v>2716</v>
      </c>
      <c r="B553" s="28">
        <v>350133598.18415338</v>
      </c>
      <c r="C553" s="6" t="s">
        <v>847</v>
      </c>
      <c r="D553" t="str">
        <f t="shared" si="24"/>
        <v>09.001.10.122.0001.2.001.3.1.90.11.00</v>
      </c>
      <c r="E553" t="str">
        <f>VLOOKUP(LEFT(A553,2),ConsolidadoLoa27_ATIVIDADES!A:I,9,0)</f>
        <v>09 - SECRETARIA DA SAÚDE</v>
      </c>
      <c r="F553" t="str">
        <f t="shared" si="25"/>
        <v>2.001</v>
      </c>
      <c r="G553" t="str">
        <f t="shared" si="26"/>
        <v>01.310.0000</v>
      </c>
    </row>
    <row r="554" spans="1:7" hidden="1" x14ac:dyDescent="0.25">
      <c r="A554" s="6" t="s">
        <v>2715</v>
      </c>
      <c r="B554" s="28">
        <v>15970212.02</v>
      </c>
      <c r="C554" s="6" t="s">
        <v>847</v>
      </c>
      <c r="D554" t="str">
        <f t="shared" si="24"/>
        <v>09.001.10.122.0001.2.001.3.1.90.11.00</v>
      </c>
      <c r="E554" t="str">
        <f>VLOOKUP(LEFT(A554,2),ConsolidadoLoa27_ATIVIDADES!A:I,9,0)</f>
        <v>09 - SECRETARIA DA SAÚDE</v>
      </c>
      <c r="F554" t="str">
        <f t="shared" si="25"/>
        <v>2.001</v>
      </c>
      <c r="G554" t="str">
        <f t="shared" si="26"/>
        <v>05.313.0000</v>
      </c>
    </row>
    <row r="555" spans="1:7" hidden="1" x14ac:dyDescent="0.25">
      <c r="A555" s="6" t="s">
        <v>2717</v>
      </c>
      <c r="B555" s="28">
        <v>819032.13</v>
      </c>
      <c r="C555" s="6" t="s">
        <v>847</v>
      </c>
      <c r="D555" t="str">
        <f t="shared" si="24"/>
        <v>09.001.10.122.0001.2.001.3.1.90.11.00</v>
      </c>
      <c r="E555" t="str">
        <f>VLOOKUP(LEFT(A555,2),ConsolidadoLoa27_ATIVIDADES!A:I,9,0)</f>
        <v>09 - SECRETARIA DA SAÚDE</v>
      </c>
      <c r="F555" t="str">
        <f t="shared" si="25"/>
        <v>2.001</v>
      </c>
      <c r="G555" t="str">
        <f t="shared" si="26"/>
        <v>05.370.0000</v>
      </c>
    </row>
    <row r="556" spans="1:7" hidden="1" x14ac:dyDescent="0.25">
      <c r="A556" s="6" t="s">
        <v>2718</v>
      </c>
      <c r="B556" s="28">
        <v>1.1200000000000001</v>
      </c>
      <c r="C556" s="6" t="s">
        <v>847</v>
      </c>
      <c r="D556" t="str">
        <f t="shared" si="24"/>
        <v>09.001.10.122.0001.2.001.3.1.90.13.00</v>
      </c>
      <c r="E556" t="str">
        <f>VLOOKUP(LEFT(A556,2),ConsolidadoLoa27_ATIVIDADES!A:I,9,0)</f>
        <v>09 - SECRETARIA DA SAÚDE</v>
      </c>
      <c r="F556" t="str">
        <f t="shared" si="25"/>
        <v>2.001</v>
      </c>
      <c r="G556" t="str">
        <f t="shared" si="26"/>
        <v>01.110.0000</v>
      </c>
    </row>
    <row r="557" spans="1:7" hidden="1" x14ac:dyDescent="0.25">
      <c r="A557" s="6" t="s">
        <v>2719</v>
      </c>
      <c r="B557" s="28">
        <v>6249876.4100000001</v>
      </c>
      <c r="C557" s="6" t="s">
        <v>847</v>
      </c>
      <c r="D557" t="str">
        <f t="shared" si="24"/>
        <v>09.001.10.122.0001.2.001.3.1.90.13.00</v>
      </c>
      <c r="E557" t="str">
        <f>VLOOKUP(LEFT(A557,2),ConsolidadoLoa27_ATIVIDADES!A:I,9,0)</f>
        <v>09 - SECRETARIA DA SAÚDE</v>
      </c>
      <c r="F557" t="str">
        <f t="shared" si="25"/>
        <v>2.001</v>
      </c>
      <c r="G557" t="str">
        <f t="shared" si="26"/>
        <v>01.310.0000</v>
      </c>
    </row>
    <row r="558" spans="1:7" hidden="1" x14ac:dyDescent="0.25">
      <c r="A558" s="6" t="s">
        <v>2720</v>
      </c>
      <c r="B558" s="28">
        <v>1.1200000000000001</v>
      </c>
      <c r="C558" s="12" t="s">
        <v>847</v>
      </c>
      <c r="D558" t="str">
        <f t="shared" si="24"/>
        <v>09.001.10.122.0001.2.001.3.1.91.13.00</v>
      </c>
      <c r="E558" t="str">
        <f>VLOOKUP(LEFT(A558,2),ConsolidadoLoa27_ATIVIDADES!A:I,9,0)</f>
        <v>09 - SECRETARIA DA SAÚDE</v>
      </c>
      <c r="F558" t="str">
        <f t="shared" si="25"/>
        <v>2.001</v>
      </c>
      <c r="G558" t="str">
        <f t="shared" si="26"/>
        <v>01.110.0000</v>
      </c>
    </row>
    <row r="559" spans="1:7" hidden="1" x14ac:dyDescent="0.25">
      <c r="A559" s="6" t="s">
        <v>2721</v>
      </c>
      <c r="B559" s="28">
        <v>58903252.189999998</v>
      </c>
      <c r="C559" s="12" t="s">
        <v>847</v>
      </c>
      <c r="D559" t="str">
        <f t="shared" si="24"/>
        <v>09.001.10.122.0001.2.001.3.1.91.13.00</v>
      </c>
      <c r="E559" t="str">
        <f>VLOOKUP(LEFT(A559,2),ConsolidadoLoa27_ATIVIDADES!A:I,9,0)</f>
        <v>09 - SECRETARIA DA SAÚDE</v>
      </c>
      <c r="F559" t="str">
        <f t="shared" si="25"/>
        <v>2.001</v>
      </c>
      <c r="G559" t="str">
        <f t="shared" si="26"/>
        <v>01.310.0000</v>
      </c>
    </row>
    <row r="560" spans="1:7" hidden="1" x14ac:dyDescent="0.25">
      <c r="A560" s="6" t="s">
        <v>2722</v>
      </c>
      <c r="B560" s="28">
        <v>1.1200000000000001</v>
      </c>
      <c r="C560" s="6" t="s">
        <v>2278</v>
      </c>
      <c r="D560" t="str">
        <f t="shared" si="24"/>
        <v>09.001.10.122.0001.2.001.3.3.90.46.00</v>
      </c>
      <c r="E560" t="str">
        <f>VLOOKUP(LEFT(A560,2),ConsolidadoLoa27_ATIVIDADES!A:I,9,0)</f>
        <v>09 - SECRETARIA DA SAÚDE</v>
      </c>
      <c r="F560" t="str">
        <f t="shared" si="25"/>
        <v>2.001</v>
      </c>
      <c r="G560" t="str">
        <f t="shared" si="26"/>
        <v>01.110.0000</v>
      </c>
    </row>
    <row r="561" spans="1:7" hidden="1" x14ac:dyDescent="0.25">
      <c r="A561" s="6" t="s">
        <v>2723</v>
      </c>
      <c r="B561" s="28">
        <v>47814344.869999997</v>
      </c>
      <c r="C561" s="6" t="s">
        <v>2278</v>
      </c>
      <c r="D561" t="str">
        <f t="shared" si="24"/>
        <v>09.001.10.122.0001.2.001.3.3.90.46.00</v>
      </c>
      <c r="E561" t="str">
        <f>VLOOKUP(LEFT(A561,2),ConsolidadoLoa27_ATIVIDADES!A:I,9,0)</f>
        <v>09 - SECRETARIA DA SAÚDE</v>
      </c>
      <c r="F561" t="str">
        <f t="shared" si="25"/>
        <v>2.001</v>
      </c>
      <c r="G561" t="str">
        <f t="shared" si="26"/>
        <v>01.310.0000</v>
      </c>
    </row>
    <row r="562" spans="1:7" hidden="1" x14ac:dyDescent="0.25">
      <c r="A562" s="6" t="s">
        <v>2724</v>
      </c>
      <c r="B562" s="28">
        <v>5874729.4800000004</v>
      </c>
      <c r="C562" s="6" t="s">
        <v>2280</v>
      </c>
      <c r="D562" t="str">
        <f t="shared" si="24"/>
        <v>09.001.10.122.0001.2.001.3.3.90.49.00</v>
      </c>
      <c r="E562" t="str">
        <f>VLOOKUP(LEFT(A562,2),ConsolidadoLoa27_ATIVIDADES!A:I,9,0)</f>
        <v>09 - SECRETARIA DA SAÚDE</v>
      </c>
      <c r="F562" t="str">
        <f t="shared" si="25"/>
        <v>2.001</v>
      </c>
      <c r="G562" t="str">
        <f t="shared" si="26"/>
        <v>01.110.0000</v>
      </c>
    </row>
    <row r="563" spans="1:7" hidden="1" x14ac:dyDescent="0.25">
      <c r="A563" s="6" t="s">
        <v>2725</v>
      </c>
      <c r="B563" s="28">
        <v>0</v>
      </c>
      <c r="C563" s="6" t="s">
        <v>2282</v>
      </c>
      <c r="D563" t="str">
        <f t="shared" si="24"/>
        <v>09.001.10.122.0001.2.006.3.3.90.33.00</v>
      </c>
      <c r="E563" t="str">
        <f>VLOOKUP(LEFT(A563,2),ConsolidadoLoa27_ATIVIDADES!A:I,9,0)</f>
        <v>09 - SECRETARIA DA SAÚDE</v>
      </c>
      <c r="F563" t="str">
        <f t="shared" si="25"/>
        <v>2.006</v>
      </c>
      <c r="G563" t="str">
        <f t="shared" si="26"/>
        <v>01.110.0000</v>
      </c>
    </row>
    <row r="564" spans="1:7" hidden="1" x14ac:dyDescent="0.25">
      <c r="A564" s="6" t="s">
        <v>2726</v>
      </c>
      <c r="B564" s="28">
        <v>0</v>
      </c>
      <c r="C564" s="6" t="s">
        <v>421</v>
      </c>
      <c r="D564" t="str">
        <f t="shared" si="24"/>
        <v>09.001.10.122.0001.2.006.3.3.90.39.00</v>
      </c>
      <c r="E564" t="str">
        <f>VLOOKUP(LEFT(A564,2),ConsolidadoLoa27_ATIVIDADES!A:I,9,0)</f>
        <v>09 - SECRETARIA DA SAÚDE</v>
      </c>
      <c r="F564" t="str">
        <f t="shared" si="25"/>
        <v>2.006</v>
      </c>
      <c r="G564" t="str">
        <f t="shared" si="26"/>
        <v>01.110.0000</v>
      </c>
    </row>
    <row r="565" spans="1:7" hidden="1" x14ac:dyDescent="0.25">
      <c r="A565" s="6" t="s">
        <v>2727</v>
      </c>
      <c r="B565" s="28">
        <v>92399.039999999994</v>
      </c>
      <c r="C565" s="6" t="s">
        <v>2728</v>
      </c>
      <c r="D565" t="str">
        <f t="shared" si="24"/>
        <v>09.001.10.302.0015.2.026.3.3.90.39.00</v>
      </c>
      <c r="E565" t="str">
        <f>VLOOKUP(LEFT(A565,2),ConsolidadoLoa27_ATIVIDADES!A:I,9,0)</f>
        <v>09 - SECRETARIA DA SAÚDE</v>
      </c>
      <c r="F565" t="str">
        <f t="shared" si="25"/>
        <v>2.026</v>
      </c>
      <c r="G565" t="str">
        <f t="shared" si="26"/>
        <v>01.110.0000</v>
      </c>
    </row>
    <row r="566" spans="1:7" hidden="1" x14ac:dyDescent="0.25">
      <c r="A566" s="6" t="s">
        <v>2727</v>
      </c>
      <c r="B566" s="28">
        <v>207877</v>
      </c>
      <c r="C566" s="6" t="s">
        <v>2729</v>
      </c>
      <c r="D566" t="str">
        <f t="shared" si="24"/>
        <v>09.001.10.302.0015.2.026.3.3.90.39.00</v>
      </c>
      <c r="E566" t="str">
        <f>VLOOKUP(LEFT(A566,2),ConsolidadoLoa27_ATIVIDADES!A:I,9,0)</f>
        <v>09 - SECRETARIA DA SAÚDE</v>
      </c>
      <c r="F566" t="str">
        <f t="shared" si="25"/>
        <v>2.026</v>
      </c>
      <c r="G566" t="str">
        <f t="shared" si="26"/>
        <v>01.110.0000</v>
      </c>
    </row>
    <row r="567" spans="1:7" hidden="1" x14ac:dyDescent="0.25">
      <c r="A567" s="6" t="s">
        <v>2727</v>
      </c>
      <c r="B567" s="28">
        <v>120000</v>
      </c>
      <c r="C567" s="6" t="s">
        <v>2730</v>
      </c>
      <c r="D567" t="str">
        <f t="shared" si="24"/>
        <v>09.001.10.302.0015.2.026.3.3.90.39.00</v>
      </c>
      <c r="E567" t="str">
        <f>VLOOKUP(LEFT(A567,2),ConsolidadoLoa27_ATIVIDADES!A:I,9,0)</f>
        <v>09 - SECRETARIA DA SAÚDE</v>
      </c>
      <c r="F567" t="str">
        <f t="shared" si="25"/>
        <v>2.026</v>
      </c>
      <c r="G567" t="str">
        <f t="shared" si="26"/>
        <v>01.110.0000</v>
      </c>
    </row>
    <row r="568" spans="1:7" hidden="1" x14ac:dyDescent="0.25">
      <c r="A568" s="6" t="s">
        <v>2727</v>
      </c>
      <c r="B568" s="28">
        <v>96096</v>
      </c>
      <c r="C568" s="6" t="s">
        <v>2731</v>
      </c>
      <c r="D568" t="str">
        <f t="shared" si="24"/>
        <v>09.001.10.302.0015.2.026.3.3.90.39.00</v>
      </c>
      <c r="E568" t="str">
        <f>VLOOKUP(LEFT(A568,2),ConsolidadoLoa27_ATIVIDADES!A:I,9,0)</f>
        <v>09 - SECRETARIA DA SAÚDE</v>
      </c>
      <c r="F568" t="str">
        <f t="shared" si="25"/>
        <v>2.026</v>
      </c>
      <c r="G568" t="str">
        <f t="shared" si="26"/>
        <v>01.110.0000</v>
      </c>
    </row>
    <row r="569" spans="1:7" hidden="1" x14ac:dyDescent="0.25">
      <c r="A569" s="6" t="s">
        <v>2727</v>
      </c>
      <c r="B569" s="28">
        <v>156000</v>
      </c>
      <c r="C569" s="6" t="s">
        <v>2732</v>
      </c>
      <c r="D569" t="str">
        <f t="shared" si="24"/>
        <v>09.001.10.302.0015.2.026.3.3.90.39.00</v>
      </c>
      <c r="E569" t="str">
        <f>VLOOKUP(LEFT(A569,2),ConsolidadoLoa27_ATIVIDADES!A:I,9,0)</f>
        <v>09 - SECRETARIA DA SAÚDE</v>
      </c>
      <c r="F569" t="str">
        <f t="shared" si="25"/>
        <v>2.026</v>
      </c>
      <c r="G569" t="str">
        <f t="shared" si="26"/>
        <v>01.110.0000</v>
      </c>
    </row>
    <row r="570" spans="1:7" hidden="1" x14ac:dyDescent="0.25">
      <c r="A570" s="6" t="s">
        <v>2727</v>
      </c>
      <c r="B570" s="28">
        <v>1</v>
      </c>
      <c r="C570" s="6" t="s">
        <v>2733</v>
      </c>
      <c r="D570" t="str">
        <f t="shared" si="24"/>
        <v>09.001.10.302.0015.2.026.3.3.90.39.00</v>
      </c>
      <c r="E570" t="str">
        <f>VLOOKUP(LEFT(A570,2),ConsolidadoLoa27_ATIVIDADES!A:I,9,0)</f>
        <v>09 - SECRETARIA DA SAÚDE</v>
      </c>
      <c r="F570" t="str">
        <f t="shared" si="25"/>
        <v>2.026</v>
      </c>
      <c r="G570" t="str">
        <f t="shared" si="26"/>
        <v>01.110.0000</v>
      </c>
    </row>
    <row r="571" spans="1:7" hidden="1" x14ac:dyDescent="0.25">
      <c r="A571" s="6" t="s">
        <v>2727</v>
      </c>
      <c r="B571" s="28">
        <v>163794.48000000001</v>
      </c>
      <c r="C571" s="6" t="s">
        <v>2734</v>
      </c>
      <c r="D571" t="str">
        <f t="shared" si="24"/>
        <v>09.001.10.302.0015.2.026.3.3.90.39.00</v>
      </c>
      <c r="E571" t="str">
        <f>VLOOKUP(LEFT(A571,2),ConsolidadoLoa27_ATIVIDADES!A:I,9,0)</f>
        <v>09 - SECRETARIA DA SAÚDE</v>
      </c>
      <c r="F571" t="str">
        <f t="shared" si="25"/>
        <v>2.026</v>
      </c>
      <c r="G571" t="str">
        <f t="shared" si="26"/>
        <v>01.110.0000</v>
      </c>
    </row>
    <row r="572" spans="1:7" hidden="1" x14ac:dyDescent="0.25">
      <c r="A572" s="6" t="s">
        <v>2727</v>
      </c>
      <c r="B572" s="28">
        <v>1091810.04</v>
      </c>
      <c r="C572" s="6" t="s">
        <v>2735</v>
      </c>
      <c r="D572" t="str">
        <f t="shared" si="24"/>
        <v>09.001.10.302.0015.2.026.3.3.90.39.00</v>
      </c>
      <c r="E572" t="str">
        <f>VLOOKUP(LEFT(A572,2),ConsolidadoLoa27_ATIVIDADES!A:I,9,0)</f>
        <v>09 - SECRETARIA DA SAÚDE</v>
      </c>
      <c r="F572" t="str">
        <f t="shared" si="25"/>
        <v>2.026</v>
      </c>
      <c r="G572" t="str">
        <f t="shared" si="26"/>
        <v>01.110.0000</v>
      </c>
    </row>
    <row r="573" spans="1:7" hidden="1" x14ac:dyDescent="0.25">
      <c r="A573" s="6" t="s">
        <v>2727</v>
      </c>
      <c r="B573" s="28">
        <v>113520</v>
      </c>
      <c r="C573" s="6" t="s">
        <v>2736</v>
      </c>
      <c r="D573" t="str">
        <f t="shared" si="24"/>
        <v>09.001.10.302.0015.2.026.3.3.90.39.00</v>
      </c>
      <c r="E573" t="str">
        <f>VLOOKUP(LEFT(A573,2),ConsolidadoLoa27_ATIVIDADES!A:I,9,0)</f>
        <v>09 - SECRETARIA DA SAÚDE</v>
      </c>
      <c r="F573" t="str">
        <f t="shared" si="25"/>
        <v>2.026</v>
      </c>
      <c r="G573" t="str">
        <f t="shared" si="26"/>
        <v>01.110.0000</v>
      </c>
    </row>
    <row r="574" spans="1:7" hidden="1" x14ac:dyDescent="0.25">
      <c r="A574" s="6" t="s">
        <v>2727</v>
      </c>
      <c r="B574" s="28">
        <v>71499.960000000006</v>
      </c>
      <c r="C574" s="6" t="s">
        <v>2737</v>
      </c>
      <c r="D574" t="str">
        <f t="shared" si="24"/>
        <v>09.001.10.302.0015.2.026.3.3.90.39.00</v>
      </c>
      <c r="E574" t="str">
        <f>VLOOKUP(LEFT(A574,2),ConsolidadoLoa27_ATIVIDADES!A:I,9,0)</f>
        <v>09 - SECRETARIA DA SAÚDE</v>
      </c>
      <c r="F574" t="str">
        <f t="shared" si="25"/>
        <v>2.026</v>
      </c>
      <c r="G574" t="str">
        <f t="shared" si="26"/>
        <v>01.110.0000</v>
      </c>
    </row>
    <row r="575" spans="1:7" hidden="1" x14ac:dyDescent="0.25">
      <c r="A575" s="6" t="s">
        <v>2727</v>
      </c>
      <c r="B575" s="28">
        <v>102000</v>
      </c>
      <c r="C575" s="6" t="s">
        <v>2738</v>
      </c>
      <c r="D575" t="str">
        <f t="shared" si="24"/>
        <v>09.001.10.302.0015.2.026.3.3.90.39.00</v>
      </c>
      <c r="E575" t="str">
        <f>VLOOKUP(LEFT(A575,2),ConsolidadoLoa27_ATIVIDADES!A:I,9,0)</f>
        <v>09 - SECRETARIA DA SAÚDE</v>
      </c>
      <c r="F575" t="str">
        <f t="shared" si="25"/>
        <v>2.026</v>
      </c>
      <c r="G575" t="str">
        <f t="shared" si="26"/>
        <v>01.110.0000</v>
      </c>
    </row>
    <row r="576" spans="1:7" hidden="1" x14ac:dyDescent="0.25">
      <c r="A576" s="6" t="s">
        <v>2739</v>
      </c>
      <c r="B576" s="28">
        <v>0</v>
      </c>
      <c r="C576" s="6" t="s">
        <v>847</v>
      </c>
      <c r="D576" t="str">
        <f t="shared" si="24"/>
        <v>09.001.10.304.0001.2.001.3.1.90.11.00</v>
      </c>
      <c r="E576" t="str">
        <f>VLOOKUP(LEFT(A576,2),ConsolidadoLoa27_ATIVIDADES!A:I,9,0)</f>
        <v>09 - SECRETARIA DA SAÚDE</v>
      </c>
      <c r="F576" t="str">
        <f t="shared" si="25"/>
        <v>2.001</v>
      </c>
      <c r="G576" t="str">
        <f t="shared" si="26"/>
        <v>05.303.0000</v>
      </c>
    </row>
    <row r="577" spans="1:7" hidden="1" x14ac:dyDescent="0.25">
      <c r="A577" s="6" t="s">
        <v>2740</v>
      </c>
      <c r="B577" s="28">
        <v>0</v>
      </c>
      <c r="C577" s="17" t="s">
        <v>847</v>
      </c>
      <c r="D577" t="str">
        <f t="shared" si="24"/>
        <v>09.001.10.304.0001.2.001.3.1.90.11.00</v>
      </c>
      <c r="E577" t="str">
        <f>VLOOKUP(LEFT(A577,2),ConsolidadoLoa27_ATIVIDADES!A:I,9,0)</f>
        <v>09 - SECRETARIA DA SAÚDE</v>
      </c>
      <c r="F577" t="str">
        <f t="shared" si="25"/>
        <v>2.001</v>
      </c>
      <c r="G577" t="str">
        <f t="shared" si="26"/>
        <v>05.313.0000</v>
      </c>
    </row>
    <row r="578" spans="1:7" hidden="1" x14ac:dyDescent="0.25">
      <c r="A578" s="6" t="s">
        <v>2741</v>
      </c>
      <c r="B578" s="28">
        <v>0</v>
      </c>
      <c r="C578" s="17" t="s">
        <v>847</v>
      </c>
      <c r="D578" t="str">
        <f t="shared" si="24"/>
        <v>09.001.10.304.0001.2.001.3.1.90.13.00</v>
      </c>
      <c r="E578" t="str">
        <f>VLOOKUP(LEFT(A578,2),ConsolidadoLoa27_ATIVIDADES!A:I,9,0)</f>
        <v>09 - SECRETARIA DA SAÚDE</v>
      </c>
      <c r="F578" t="str">
        <f t="shared" si="25"/>
        <v>2.001</v>
      </c>
      <c r="G578" t="str">
        <f t="shared" si="26"/>
        <v>01.310.0000</v>
      </c>
    </row>
    <row r="579" spans="1:7" hidden="1" x14ac:dyDescent="0.25">
      <c r="A579" s="6" t="s">
        <v>2742</v>
      </c>
      <c r="B579" s="28">
        <v>0</v>
      </c>
      <c r="C579" s="6" t="s">
        <v>847</v>
      </c>
      <c r="D579" t="str">
        <f t="shared" ref="D579:D642" si="27">_xlfn.CONCAT(LEFT(A579,34),".00")</f>
        <v>09.001.10.304.0001.2.001.3.1.90.13.00</v>
      </c>
      <c r="E579" t="str">
        <f>VLOOKUP(LEFT(A579,2),ConsolidadoLoa27_ATIVIDADES!A:I,9,0)</f>
        <v>09 - SECRETARIA DA SAÚDE</v>
      </c>
      <c r="F579" t="str">
        <f t="shared" ref="F579:F642" si="28">MID(A579,20,5)</f>
        <v>2.001</v>
      </c>
      <c r="G579" t="str">
        <f t="shared" ref="G579:G642" si="29">RIGHT(A579,11)</f>
        <v>05.303.0000</v>
      </c>
    </row>
    <row r="580" spans="1:7" hidden="1" x14ac:dyDescent="0.25">
      <c r="A580" s="6" t="s">
        <v>2743</v>
      </c>
      <c r="B580" s="28">
        <v>0</v>
      </c>
      <c r="C580" s="12" t="s">
        <v>847</v>
      </c>
      <c r="D580" t="str">
        <f t="shared" si="27"/>
        <v>09.001.10.304.0001.2.001.3.1.91.13.00</v>
      </c>
      <c r="E580" t="str">
        <f>VLOOKUP(LEFT(A580,2),ConsolidadoLoa27_ATIVIDADES!A:I,9,0)</f>
        <v>09 - SECRETARIA DA SAÚDE</v>
      </c>
      <c r="F580" t="str">
        <f t="shared" si="28"/>
        <v>2.001</v>
      </c>
      <c r="G580" t="str">
        <f t="shared" si="29"/>
        <v>01.310.0000</v>
      </c>
    </row>
    <row r="581" spans="1:7" hidden="1" x14ac:dyDescent="0.25">
      <c r="A581" s="6" t="s">
        <v>2744</v>
      </c>
      <c r="B581" s="28">
        <v>0</v>
      </c>
      <c r="C581" s="12" t="s">
        <v>847</v>
      </c>
      <c r="D581" t="str">
        <f t="shared" si="27"/>
        <v>09.001.10.304.0001.2.001.3.1.91.13.00</v>
      </c>
      <c r="E581" t="str">
        <f>VLOOKUP(LEFT(A581,2),ConsolidadoLoa27_ATIVIDADES!A:I,9,0)</f>
        <v>09 - SECRETARIA DA SAÚDE</v>
      </c>
      <c r="F581" t="str">
        <f t="shared" si="28"/>
        <v>2.001</v>
      </c>
      <c r="G581" t="str">
        <f t="shared" si="29"/>
        <v>05.303.0000</v>
      </c>
    </row>
    <row r="582" spans="1:7" hidden="1" x14ac:dyDescent="0.25">
      <c r="A582" s="6" t="s">
        <v>2745</v>
      </c>
      <c r="B582" s="28">
        <v>0</v>
      </c>
      <c r="C582" s="6" t="s">
        <v>2280</v>
      </c>
      <c r="D582" t="str">
        <f t="shared" si="27"/>
        <v>09.001.10.304.0001.2.001.3.3.90.49.00</v>
      </c>
      <c r="E582" t="str">
        <f>VLOOKUP(LEFT(A582,2),ConsolidadoLoa27_ATIVIDADES!A:I,9,0)</f>
        <v>09 - SECRETARIA DA SAÚDE</v>
      </c>
      <c r="F582" t="str">
        <f t="shared" si="28"/>
        <v>2.001</v>
      </c>
      <c r="G582" t="str">
        <f t="shared" si="29"/>
        <v>01.310.0000</v>
      </c>
    </row>
    <row r="583" spans="1:7" hidden="1" x14ac:dyDescent="0.25">
      <c r="A583" s="6" t="s">
        <v>2746</v>
      </c>
      <c r="B583" s="28">
        <v>0</v>
      </c>
      <c r="C583" s="6" t="s">
        <v>2280</v>
      </c>
      <c r="D583" t="str">
        <f t="shared" si="27"/>
        <v>09.001.10.304.0001.2.001.3.3.90.49.00</v>
      </c>
      <c r="E583" t="str">
        <f>VLOOKUP(LEFT(A583,2),ConsolidadoLoa27_ATIVIDADES!A:I,9,0)</f>
        <v>09 - SECRETARIA DA SAÚDE</v>
      </c>
      <c r="F583" t="str">
        <f t="shared" si="28"/>
        <v>2.001</v>
      </c>
      <c r="G583" t="str">
        <f t="shared" si="29"/>
        <v>05.303.0000</v>
      </c>
    </row>
    <row r="584" spans="1:7" hidden="1" x14ac:dyDescent="0.25">
      <c r="A584" s="6" t="s">
        <v>2747</v>
      </c>
      <c r="B584" s="28">
        <v>0</v>
      </c>
      <c r="C584" s="6" t="s">
        <v>847</v>
      </c>
      <c r="D584" t="str">
        <f t="shared" si="27"/>
        <v>09.001.10.305.0001.2.001.3.1.90.11.00</v>
      </c>
      <c r="E584" t="str">
        <f>VLOOKUP(LEFT(A584,2),ConsolidadoLoa27_ATIVIDADES!A:I,9,0)</f>
        <v>09 - SECRETARIA DA SAÚDE</v>
      </c>
      <c r="F584" t="str">
        <f t="shared" si="28"/>
        <v>2.001</v>
      </c>
      <c r="G584" t="str">
        <f t="shared" si="29"/>
        <v>01.310.0000</v>
      </c>
    </row>
    <row r="585" spans="1:7" hidden="1" x14ac:dyDescent="0.25">
      <c r="A585" s="6" t="s">
        <v>2748</v>
      </c>
      <c r="B585" s="28">
        <v>0</v>
      </c>
      <c r="C585" s="6" t="s">
        <v>847</v>
      </c>
      <c r="D585" t="str">
        <f t="shared" si="27"/>
        <v>09.001.10.305.0001.2.001.3.1.90.11.00</v>
      </c>
      <c r="E585" t="str">
        <f>VLOOKUP(LEFT(A585,2),ConsolidadoLoa27_ATIVIDADES!A:I,9,0)</f>
        <v>09 - SECRETARIA DA SAÚDE</v>
      </c>
      <c r="F585" t="str">
        <f t="shared" si="28"/>
        <v>2.001</v>
      </c>
      <c r="G585" t="str">
        <f t="shared" si="29"/>
        <v>05.313.0000</v>
      </c>
    </row>
    <row r="586" spans="1:7" hidden="1" x14ac:dyDescent="0.25">
      <c r="A586" s="6" t="s">
        <v>2749</v>
      </c>
      <c r="B586" s="28">
        <v>0</v>
      </c>
      <c r="C586" s="6" t="s">
        <v>847</v>
      </c>
      <c r="D586" t="str">
        <f t="shared" si="27"/>
        <v>09.001.10.305.0001.2.001.3.1.90.13.00</v>
      </c>
      <c r="E586" t="str">
        <f>VLOOKUP(LEFT(A586,2),ConsolidadoLoa27_ATIVIDADES!A:I,9,0)</f>
        <v>09 - SECRETARIA DA SAÚDE</v>
      </c>
      <c r="F586" t="str">
        <f t="shared" si="28"/>
        <v>2.001</v>
      </c>
      <c r="G586" t="str">
        <f t="shared" si="29"/>
        <v>01.110.0000</v>
      </c>
    </row>
    <row r="587" spans="1:7" hidden="1" x14ac:dyDescent="0.25">
      <c r="A587" s="6" t="s">
        <v>2750</v>
      </c>
      <c r="B587" s="28">
        <v>0</v>
      </c>
      <c r="C587" s="6" t="s">
        <v>847</v>
      </c>
      <c r="D587" t="str">
        <f t="shared" si="27"/>
        <v>09.001.10.305.0001.2.001.3.1.90.13.00</v>
      </c>
      <c r="E587" t="str">
        <f>VLOOKUP(LEFT(A587,2),ConsolidadoLoa27_ATIVIDADES!A:I,9,0)</f>
        <v>09 - SECRETARIA DA SAÚDE</v>
      </c>
      <c r="F587" t="str">
        <f t="shared" si="28"/>
        <v>2.001</v>
      </c>
      <c r="G587" t="str">
        <f t="shared" si="29"/>
        <v>01.310.0000</v>
      </c>
    </row>
    <row r="588" spans="1:7" hidden="1" x14ac:dyDescent="0.25">
      <c r="A588" s="6" t="s">
        <v>2751</v>
      </c>
      <c r="B588" s="28">
        <v>0</v>
      </c>
      <c r="C588" s="6" t="s">
        <v>847</v>
      </c>
      <c r="D588" t="str">
        <f t="shared" si="27"/>
        <v>09.001.10.305.0001.2.001.3.1.90.13.00</v>
      </c>
      <c r="E588" t="str">
        <f>VLOOKUP(LEFT(A588,2),ConsolidadoLoa27_ATIVIDADES!A:I,9,0)</f>
        <v>09 - SECRETARIA DA SAÚDE</v>
      </c>
      <c r="F588" t="str">
        <f t="shared" si="28"/>
        <v>2.001</v>
      </c>
      <c r="G588" t="str">
        <f t="shared" si="29"/>
        <v>05.313.0000</v>
      </c>
    </row>
    <row r="589" spans="1:7" hidden="1" x14ac:dyDescent="0.25">
      <c r="A589" s="6" t="s">
        <v>2752</v>
      </c>
      <c r="B589" s="28">
        <v>0</v>
      </c>
      <c r="C589" s="12" t="s">
        <v>847</v>
      </c>
      <c r="D589" t="str">
        <f t="shared" si="27"/>
        <v>09.001.10.305.0001.2.001.3.1.91.13.00</v>
      </c>
      <c r="E589" t="str">
        <f>VLOOKUP(LEFT(A589,2),ConsolidadoLoa27_ATIVIDADES!A:I,9,0)</f>
        <v>09 - SECRETARIA DA SAÚDE</v>
      </c>
      <c r="F589" t="str">
        <f t="shared" si="28"/>
        <v>2.001</v>
      </c>
      <c r="G589" t="str">
        <f t="shared" si="29"/>
        <v>01.310.0000</v>
      </c>
    </row>
    <row r="590" spans="1:7" hidden="1" x14ac:dyDescent="0.25">
      <c r="A590" s="6" t="s">
        <v>2753</v>
      </c>
      <c r="B590" s="28">
        <v>0</v>
      </c>
      <c r="C590" s="12" t="s">
        <v>847</v>
      </c>
      <c r="D590" t="str">
        <f t="shared" si="27"/>
        <v>09.001.10.305.0001.2.001.3.1.91.13.00</v>
      </c>
      <c r="E590" t="str">
        <f>VLOOKUP(LEFT(A590,2),ConsolidadoLoa27_ATIVIDADES!A:I,9,0)</f>
        <v>09 - SECRETARIA DA SAÚDE</v>
      </c>
      <c r="F590" t="str">
        <f t="shared" si="28"/>
        <v>2.001</v>
      </c>
      <c r="G590" t="str">
        <f t="shared" si="29"/>
        <v>05.313.0000</v>
      </c>
    </row>
    <row r="591" spans="1:7" hidden="1" x14ac:dyDescent="0.25">
      <c r="A591" s="6" t="s">
        <v>2754</v>
      </c>
      <c r="B591" s="28">
        <v>0</v>
      </c>
      <c r="C591" s="6" t="s">
        <v>2278</v>
      </c>
      <c r="D591" t="str">
        <f t="shared" si="27"/>
        <v>09.001.10.305.0001.2.001.3.3.90.46.00</v>
      </c>
      <c r="E591" t="str">
        <f>VLOOKUP(LEFT(A591,2),ConsolidadoLoa27_ATIVIDADES!A:I,9,0)</f>
        <v>09 - SECRETARIA DA SAÚDE</v>
      </c>
      <c r="F591" t="str">
        <f t="shared" si="28"/>
        <v>2.001</v>
      </c>
      <c r="G591" t="str">
        <f t="shared" si="29"/>
        <v>01.310.0000</v>
      </c>
    </row>
    <row r="592" spans="1:7" hidden="1" x14ac:dyDescent="0.25">
      <c r="A592" s="6" t="s">
        <v>2755</v>
      </c>
      <c r="B592" s="28">
        <v>0</v>
      </c>
      <c r="C592" s="6" t="s">
        <v>2280</v>
      </c>
      <c r="D592" t="str">
        <f t="shared" si="27"/>
        <v>09.001.10.305.0001.2.001.3.3.90.49.00</v>
      </c>
      <c r="E592" t="str">
        <f>VLOOKUP(LEFT(A592,2),ConsolidadoLoa27_ATIVIDADES!A:I,9,0)</f>
        <v>09 - SECRETARIA DA SAÚDE</v>
      </c>
      <c r="F592" t="str">
        <f t="shared" si="28"/>
        <v>2.001</v>
      </c>
      <c r="G592" t="str">
        <f t="shared" si="29"/>
        <v>01.110.0000</v>
      </c>
    </row>
    <row r="593" spans="1:7" hidden="1" x14ac:dyDescent="0.25">
      <c r="A593" s="6" t="s">
        <v>2756</v>
      </c>
      <c r="B593" s="28">
        <v>0</v>
      </c>
      <c r="C593" s="6" t="s">
        <v>2280</v>
      </c>
      <c r="D593" t="str">
        <f t="shared" si="27"/>
        <v>09.001.10.305.0001.2.001.3.3.90.49.00</v>
      </c>
      <c r="E593" t="str">
        <f>VLOOKUP(LEFT(A593,2),ConsolidadoLoa27_ATIVIDADES!A:I,9,0)</f>
        <v>09 - SECRETARIA DA SAÚDE</v>
      </c>
      <c r="F593" t="str">
        <f t="shared" si="28"/>
        <v>2.001</v>
      </c>
      <c r="G593" t="str">
        <f t="shared" si="29"/>
        <v>01.300.0000</v>
      </c>
    </row>
    <row r="594" spans="1:7" hidden="1" x14ac:dyDescent="0.25">
      <c r="A594" s="6" t="s">
        <v>2757</v>
      </c>
      <c r="B594" s="28">
        <v>0</v>
      </c>
      <c r="C594" s="6" t="s">
        <v>2280</v>
      </c>
      <c r="D594" t="str">
        <f t="shared" si="27"/>
        <v>09.001.10.305.0001.2.001.3.3.90.49.00</v>
      </c>
      <c r="E594" t="str">
        <f>VLOOKUP(LEFT(A594,2),ConsolidadoLoa27_ATIVIDADES!A:I,9,0)</f>
        <v>09 - SECRETARIA DA SAÚDE</v>
      </c>
      <c r="F594" t="str">
        <f t="shared" si="28"/>
        <v>2.001</v>
      </c>
      <c r="G594" t="str">
        <f t="shared" si="29"/>
        <v>01.310.0000</v>
      </c>
    </row>
    <row r="595" spans="1:7" hidden="1" x14ac:dyDescent="0.25">
      <c r="A595" s="6" t="s">
        <v>2758</v>
      </c>
      <c r="B595" s="28">
        <v>0</v>
      </c>
      <c r="C595" s="6" t="s">
        <v>2280</v>
      </c>
      <c r="D595" t="str">
        <f t="shared" si="27"/>
        <v>09.001.10.305.0001.2.001.3.3.90.49.00</v>
      </c>
      <c r="E595" t="str">
        <f>VLOOKUP(LEFT(A595,2),ConsolidadoLoa27_ATIVIDADES!A:I,9,0)</f>
        <v>09 - SECRETARIA DA SAÚDE</v>
      </c>
      <c r="F595" t="str">
        <f t="shared" si="28"/>
        <v>2.001</v>
      </c>
      <c r="G595" t="str">
        <f t="shared" si="29"/>
        <v>05.313.0000</v>
      </c>
    </row>
    <row r="596" spans="1:7" hidden="1" x14ac:dyDescent="0.25">
      <c r="A596" s="6" t="s">
        <v>2759</v>
      </c>
      <c r="B596" s="28">
        <v>1</v>
      </c>
      <c r="C596" s="6" t="s">
        <v>2760</v>
      </c>
      <c r="D596" t="str">
        <f t="shared" si="27"/>
        <v>09.006.10.302.0015.1.002.3.3.90.30.00</v>
      </c>
      <c r="E596" t="str">
        <f>VLOOKUP(LEFT(A596,2),ConsolidadoLoa27_ATIVIDADES!A:I,9,0)</f>
        <v>09 - SECRETARIA DA SAÚDE</v>
      </c>
      <c r="F596" t="str">
        <f t="shared" si="28"/>
        <v>1.002</v>
      </c>
      <c r="G596" t="str">
        <f t="shared" si="29"/>
        <v>01.110.0000</v>
      </c>
    </row>
    <row r="597" spans="1:7" hidden="1" x14ac:dyDescent="0.25">
      <c r="A597" s="6" t="s">
        <v>2761</v>
      </c>
      <c r="B597" s="28">
        <v>1</v>
      </c>
      <c r="C597" s="6" t="s">
        <v>2760</v>
      </c>
      <c r="D597" t="str">
        <f t="shared" si="27"/>
        <v>09.006.10.302.0015.1.002.3.3.90.30.00</v>
      </c>
      <c r="E597" t="str">
        <f>VLOOKUP(LEFT(A597,2),ConsolidadoLoa27_ATIVIDADES!A:I,9,0)</f>
        <v>09 - SECRETARIA DA SAÚDE</v>
      </c>
      <c r="F597" t="str">
        <f t="shared" si="28"/>
        <v>1.002</v>
      </c>
      <c r="G597" t="str">
        <f t="shared" si="29"/>
        <v>01.310.0000</v>
      </c>
    </row>
    <row r="598" spans="1:7" hidden="1" x14ac:dyDescent="0.25">
      <c r="A598" s="6" t="s">
        <v>2762</v>
      </c>
      <c r="B598" s="28">
        <v>1</v>
      </c>
      <c r="C598" s="6" t="s">
        <v>2760</v>
      </c>
      <c r="D598" t="str">
        <f t="shared" si="27"/>
        <v>09.006.10.302.0015.1.002.3.3.90.39.00</v>
      </c>
      <c r="E598" t="str">
        <f>VLOOKUP(LEFT(A598,2),ConsolidadoLoa27_ATIVIDADES!A:I,9,0)</f>
        <v>09 - SECRETARIA DA SAÚDE</v>
      </c>
      <c r="F598" t="str">
        <f t="shared" si="28"/>
        <v>1.002</v>
      </c>
      <c r="G598" t="str">
        <f t="shared" si="29"/>
        <v>01.110.0000</v>
      </c>
    </row>
    <row r="599" spans="1:7" hidden="1" x14ac:dyDescent="0.25">
      <c r="A599" s="6" t="s">
        <v>2762</v>
      </c>
      <c r="B599" s="28">
        <v>1</v>
      </c>
      <c r="C599" s="6" t="s">
        <v>2760</v>
      </c>
      <c r="D599" t="str">
        <f t="shared" si="27"/>
        <v>09.006.10.302.0015.1.002.3.3.90.39.00</v>
      </c>
      <c r="E599" t="str">
        <f>VLOOKUP(LEFT(A599,2),ConsolidadoLoa27_ATIVIDADES!A:I,9,0)</f>
        <v>09 - SECRETARIA DA SAÚDE</v>
      </c>
      <c r="F599" t="str">
        <f t="shared" si="28"/>
        <v>1.002</v>
      </c>
      <c r="G599" t="str">
        <f t="shared" si="29"/>
        <v>01.110.0000</v>
      </c>
    </row>
    <row r="600" spans="1:7" hidden="1" x14ac:dyDescent="0.25">
      <c r="A600" s="6" t="s">
        <v>2763</v>
      </c>
      <c r="B600" s="28">
        <v>1</v>
      </c>
      <c r="C600" s="6" t="s">
        <v>2760</v>
      </c>
      <c r="D600" t="str">
        <f t="shared" si="27"/>
        <v>09.006.10.302.0015.1.002.3.3.90.39.00</v>
      </c>
      <c r="E600" t="str">
        <f>VLOOKUP(LEFT(A600,2),ConsolidadoLoa27_ATIVIDADES!A:I,9,0)</f>
        <v>09 - SECRETARIA DA SAÚDE</v>
      </c>
      <c r="F600" t="str">
        <f t="shared" si="28"/>
        <v>1.002</v>
      </c>
      <c r="G600" t="str">
        <f t="shared" si="29"/>
        <v>01.310.0000</v>
      </c>
    </row>
    <row r="601" spans="1:7" hidden="1" x14ac:dyDescent="0.25">
      <c r="A601" s="6" t="s">
        <v>2763</v>
      </c>
      <c r="B601" s="28">
        <v>1</v>
      </c>
      <c r="C601" s="6" t="s">
        <v>2760</v>
      </c>
      <c r="D601" t="str">
        <f t="shared" si="27"/>
        <v>09.006.10.302.0015.1.002.3.3.90.39.00</v>
      </c>
      <c r="E601" t="str">
        <f>VLOOKUP(LEFT(A601,2),ConsolidadoLoa27_ATIVIDADES!A:I,9,0)</f>
        <v>09 - SECRETARIA DA SAÚDE</v>
      </c>
      <c r="F601" t="str">
        <f t="shared" si="28"/>
        <v>1.002</v>
      </c>
      <c r="G601" t="str">
        <f t="shared" si="29"/>
        <v>01.310.0000</v>
      </c>
    </row>
    <row r="602" spans="1:7" hidden="1" x14ac:dyDescent="0.25">
      <c r="A602" s="6" t="s">
        <v>2764</v>
      </c>
      <c r="B602" s="28">
        <v>1</v>
      </c>
      <c r="C602" s="6" t="s">
        <v>2760</v>
      </c>
      <c r="D602" t="str">
        <f t="shared" si="27"/>
        <v>09.006.10.302.0015.1.002.4.4.90.51.00</v>
      </c>
      <c r="E602" t="str">
        <f>VLOOKUP(LEFT(A602,2),ConsolidadoLoa27_ATIVIDADES!A:I,9,0)</f>
        <v>09 - SECRETARIA DA SAÚDE</v>
      </c>
      <c r="F602" t="str">
        <f t="shared" si="28"/>
        <v>1.002</v>
      </c>
      <c r="G602" t="str">
        <f t="shared" si="29"/>
        <v>01.110.0000</v>
      </c>
    </row>
    <row r="603" spans="1:7" hidden="1" x14ac:dyDescent="0.25">
      <c r="A603" s="6" t="s">
        <v>2765</v>
      </c>
      <c r="B603" s="28">
        <v>1</v>
      </c>
      <c r="C603" s="6" t="s">
        <v>2760</v>
      </c>
      <c r="D603" t="str">
        <f t="shared" si="27"/>
        <v>09.006.10.302.0015.1.002.4.4.90.51.00</v>
      </c>
      <c r="E603" t="str">
        <f>VLOOKUP(LEFT(A603,2),ConsolidadoLoa27_ATIVIDADES!A:I,9,0)</f>
        <v>09 - SECRETARIA DA SAÚDE</v>
      </c>
      <c r="F603" t="str">
        <f t="shared" si="28"/>
        <v>1.002</v>
      </c>
      <c r="G603" t="str">
        <f t="shared" si="29"/>
        <v>01.310.0000</v>
      </c>
    </row>
    <row r="604" spans="1:7" hidden="1" x14ac:dyDescent="0.25">
      <c r="A604" s="6" t="s">
        <v>2766</v>
      </c>
      <c r="B604" s="28">
        <v>1</v>
      </c>
      <c r="C604" s="6" t="s">
        <v>2760</v>
      </c>
      <c r="D604" t="str">
        <f t="shared" si="27"/>
        <v>09.006.10.302.0015.1.002.4.4.90.52.00</v>
      </c>
      <c r="E604" t="str">
        <f>VLOOKUP(LEFT(A604,2),ConsolidadoLoa27_ATIVIDADES!A:I,9,0)</f>
        <v>09 - SECRETARIA DA SAÚDE</v>
      </c>
      <c r="F604" t="str">
        <f t="shared" si="28"/>
        <v>1.002</v>
      </c>
      <c r="G604" t="str">
        <f t="shared" si="29"/>
        <v>01.110.0000</v>
      </c>
    </row>
    <row r="605" spans="1:7" hidden="1" x14ac:dyDescent="0.25">
      <c r="A605" s="6" t="s">
        <v>2767</v>
      </c>
      <c r="B605" s="28">
        <v>1</v>
      </c>
      <c r="C605" s="6" t="s">
        <v>2760</v>
      </c>
      <c r="D605" t="str">
        <f t="shared" si="27"/>
        <v>09.006.10.302.0015.1.002.4.4.90.52.00</v>
      </c>
      <c r="E605" t="str">
        <f>VLOOKUP(LEFT(A605,2),ConsolidadoLoa27_ATIVIDADES!A:I,9,0)</f>
        <v>09 - SECRETARIA DA SAÚDE</v>
      </c>
      <c r="F605" t="str">
        <f t="shared" si="28"/>
        <v>1.002</v>
      </c>
      <c r="G605" t="str">
        <f t="shared" si="29"/>
        <v>01.310.0000</v>
      </c>
    </row>
    <row r="606" spans="1:7" hidden="1" x14ac:dyDescent="0.25">
      <c r="A606" s="6" t="s">
        <v>2768</v>
      </c>
      <c r="B606" s="28">
        <v>4675.95</v>
      </c>
      <c r="C606" s="6" t="s">
        <v>2288</v>
      </c>
      <c r="D606" t="str">
        <f t="shared" si="27"/>
        <v>09.006.10.302.0015.2.014.3.3.90.30.00</v>
      </c>
      <c r="E606" t="str">
        <f>VLOOKUP(LEFT(A606,2),ConsolidadoLoa27_ATIVIDADES!A:I,9,0)</f>
        <v>09 - SECRETARIA DA SAÚDE</v>
      </c>
      <c r="F606" t="str">
        <f t="shared" si="28"/>
        <v>2.014</v>
      </c>
      <c r="G606" t="str">
        <f t="shared" si="29"/>
        <v>01.110.0000</v>
      </c>
    </row>
    <row r="607" spans="1:7" hidden="1" x14ac:dyDescent="0.25">
      <c r="A607" s="6" t="s">
        <v>2768</v>
      </c>
      <c r="B607" s="28">
        <v>466251.4437</v>
      </c>
      <c r="C607" s="6" t="s">
        <v>2295</v>
      </c>
      <c r="D607" t="str">
        <f t="shared" si="27"/>
        <v>09.006.10.302.0015.2.014.3.3.90.30.00</v>
      </c>
      <c r="E607" t="str">
        <f>VLOOKUP(LEFT(A607,2),ConsolidadoLoa27_ATIVIDADES!A:I,9,0)</f>
        <v>09 - SECRETARIA DA SAÚDE</v>
      </c>
      <c r="F607" t="str">
        <f t="shared" si="28"/>
        <v>2.014</v>
      </c>
      <c r="G607" t="str">
        <f t="shared" si="29"/>
        <v>01.110.0000</v>
      </c>
    </row>
    <row r="608" spans="1:7" hidden="1" x14ac:dyDescent="0.25">
      <c r="A608" s="6" t="s">
        <v>2768</v>
      </c>
      <c r="B608" s="28">
        <v>1195405.5999999999</v>
      </c>
      <c r="C608" s="6" t="s">
        <v>2769</v>
      </c>
      <c r="D608" t="str">
        <f t="shared" si="27"/>
        <v>09.006.10.302.0015.2.014.3.3.90.30.00</v>
      </c>
      <c r="E608" t="str">
        <f>VLOOKUP(LEFT(A608,2),ConsolidadoLoa27_ATIVIDADES!A:I,9,0)</f>
        <v>09 - SECRETARIA DA SAÚDE</v>
      </c>
      <c r="F608" t="str">
        <f t="shared" si="28"/>
        <v>2.014</v>
      </c>
      <c r="G608" t="str">
        <f t="shared" si="29"/>
        <v>01.110.0000</v>
      </c>
    </row>
    <row r="609" spans="1:7" hidden="1" x14ac:dyDescent="0.25">
      <c r="A609" s="6" t="s">
        <v>2768</v>
      </c>
      <c r="B609" s="28">
        <v>1083662.1000000001</v>
      </c>
      <c r="C609" s="6" t="s">
        <v>2770</v>
      </c>
      <c r="D609" t="str">
        <f t="shared" si="27"/>
        <v>09.006.10.302.0015.2.014.3.3.90.30.00</v>
      </c>
      <c r="E609" t="str">
        <f>VLOOKUP(LEFT(A609,2),ConsolidadoLoa27_ATIVIDADES!A:I,9,0)</f>
        <v>09 - SECRETARIA DA SAÚDE</v>
      </c>
      <c r="F609" t="str">
        <f t="shared" si="28"/>
        <v>2.014</v>
      </c>
      <c r="G609" t="str">
        <f t="shared" si="29"/>
        <v>01.110.0000</v>
      </c>
    </row>
    <row r="610" spans="1:7" hidden="1" x14ac:dyDescent="0.25">
      <c r="A610" s="6" t="s">
        <v>2771</v>
      </c>
      <c r="B610" s="28">
        <v>18291.277300000002</v>
      </c>
      <c r="C610" s="6" t="s">
        <v>2295</v>
      </c>
      <c r="D610" t="str">
        <f t="shared" si="27"/>
        <v>09.006.10.302.0015.2.014.3.3.90.30.00</v>
      </c>
      <c r="E610" t="str">
        <f>VLOOKUP(LEFT(A610,2),ConsolidadoLoa27_ATIVIDADES!A:I,9,0)</f>
        <v>09 - SECRETARIA DA SAÚDE</v>
      </c>
      <c r="F610" t="str">
        <f t="shared" si="28"/>
        <v>2.014</v>
      </c>
      <c r="G610" t="str">
        <f t="shared" si="29"/>
        <v>01.310.0000</v>
      </c>
    </row>
    <row r="611" spans="1:7" hidden="1" x14ac:dyDescent="0.25">
      <c r="A611" s="6" t="s">
        <v>2771</v>
      </c>
      <c r="B611" s="28">
        <v>3093030.65</v>
      </c>
      <c r="C611" s="6" t="s">
        <v>2769</v>
      </c>
      <c r="D611" t="str">
        <f t="shared" si="27"/>
        <v>09.006.10.302.0015.2.014.3.3.90.30.00</v>
      </c>
      <c r="E611" t="str">
        <f>VLOOKUP(LEFT(A611,2),ConsolidadoLoa27_ATIVIDADES!A:I,9,0)</f>
        <v>09 - SECRETARIA DA SAÚDE</v>
      </c>
      <c r="F611" t="str">
        <f t="shared" si="28"/>
        <v>2.014</v>
      </c>
      <c r="G611" t="str">
        <f t="shared" si="29"/>
        <v>01.310.0000</v>
      </c>
    </row>
    <row r="612" spans="1:7" hidden="1" x14ac:dyDescent="0.25">
      <c r="A612" s="6" t="s">
        <v>2772</v>
      </c>
      <c r="B612" s="28">
        <v>350244.42</v>
      </c>
      <c r="C612" s="6" t="s">
        <v>2769</v>
      </c>
      <c r="D612" t="str">
        <f t="shared" si="27"/>
        <v>09.006.10.302.0015.2.014.3.3.90.30.00</v>
      </c>
      <c r="E612" t="str">
        <f>VLOOKUP(LEFT(A612,2),ConsolidadoLoa27_ATIVIDADES!A:I,9,0)</f>
        <v>09 - SECRETARIA DA SAÚDE</v>
      </c>
      <c r="F612" t="str">
        <f t="shared" si="28"/>
        <v>2.014</v>
      </c>
      <c r="G612" t="str">
        <f t="shared" si="29"/>
        <v>05.301.0000</v>
      </c>
    </row>
    <row r="613" spans="1:7" hidden="1" x14ac:dyDescent="0.25">
      <c r="A613" s="6" t="s">
        <v>2773</v>
      </c>
      <c r="B613" s="28">
        <v>512782</v>
      </c>
      <c r="C613" s="6" t="s">
        <v>2774</v>
      </c>
      <c r="D613" t="str">
        <f t="shared" si="27"/>
        <v>09.006.10.302.0015.2.014.3.3.90.39.00</v>
      </c>
      <c r="E613" t="str">
        <f>VLOOKUP(LEFT(A613,2),ConsolidadoLoa27_ATIVIDADES!A:I,9,0)</f>
        <v>09 - SECRETARIA DA SAÚDE</v>
      </c>
      <c r="F613" t="str">
        <f t="shared" si="28"/>
        <v>2.014</v>
      </c>
      <c r="G613" t="str">
        <f t="shared" si="29"/>
        <v>01.110.0000</v>
      </c>
    </row>
    <row r="614" spans="1:7" hidden="1" x14ac:dyDescent="0.25">
      <c r="A614" s="6" t="s">
        <v>2773</v>
      </c>
      <c r="B614" s="28">
        <v>509495</v>
      </c>
      <c r="C614" s="6" t="s">
        <v>2775</v>
      </c>
      <c r="D614" t="str">
        <f t="shared" si="27"/>
        <v>09.006.10.302.0015.2.014.3.3.90.39.00</v>
      </c>
      <c r="E614" t="str">
        <f>VLOOKUP(LEFT(A614,2),ConsolidadoLoa27_ATIVIDADES!A:I,9,0)</f>
        <v>09 - SECRETARIA DA SAÚDE</v>
      </c>
      <c r="F614" t="str">
        <f t="shared" si="28"/>
        <v>2.014</v>
      </c>
      <c r="G614" t="str">
        <f t="shared" si="29"/>
        <v>01.110.0000</v>
      </c>
    </row>
    <row r="615" spans="1:7" hidden="1" x14ac:dyDescent="0.25">
      <c r="A615" s="6" t="s">
        <v>2773</v>
      </c>
      <c r="B615" s="28">
        <v>931506.26</v>
      </c>
      <c r="C615" s="6" t="s">
        <v>2776</v>
      </c>
      <c r="D615" t="str">
        <f t="shared" si="27"/>
        <v>09.006.10.302.0015.2.014.3.3.90.39.00</v>
      </c>
      <c r="E615" t="str">
        <f>VLOOKUP(LEFT(A615,2),ConsolidadoLoa27_ATIVIDADES!A:I,9,0)</f>
        <v>09 - SECRETARIA DA SAÚDE</v>
      </c>
      <c r="F615" t="str">
        <f t="shared" si="28"/>
        <v>2.014</v>
      </c>
      <c r="G615" t="str">
        <f t="shared" si="29"/>
        <v>01.110.0000</v>
      </c>
    </row>
    <row r="616" spans="1:7" hidden="1" x14ac:dyDescent="0.25">
      <c r="A616" s="6" t="s">
        <v>2773</v>
      </c>
      <c r="B616" s="28">
        <v>1561674.12</v>
      </c>
      <c r="C616" s="6" t="s">
        <v>2777</v>
      </c>
      <c r="D616" t="str">
        <f t="shared" si="27"/>
        <v>09.006.10.302.0015.2.014.3.3.90.39.00</v>
      </c>
      <c r="E616" t="str">
        <f>VLOOKUP(LEFT(A616,2),ConsolidadoLoa27_ATIVIDADES!A:I,9,0)</f>
        <v>09 - SECRETARIA DA SAÚDE</v>
      </c>
      <c r="F616" t="str">
        <f t="shared" si="28"/>
        <v>2.014</v>
      </c>
      <c r="G616" t="str">
        <f t="shared" si="29"/>
        <v>01.110.0000</v>
      </c>
    </row>
    <row r="617" spans="1:7" hidden="1" x14ac:dyDescent="0.25">
      <c r="A617" s="6" t="s">
        <v>2773</v>
      </c>
      <c r="B617" s="28">
        <v>1</v>
      </c>
      <c r="C617" s="6" t="s">
        <v>2778</v>
      </c>
      <c r="D617" t="str">
        <f t="shared" si="27"/>
        <v>09.006.10.302.0015.2.014.3.3.90.39.00</v>
      </c>
      <c r="E617" t="str">
        <f>VLOOKUP(LEFT(A617,2),ConsolidadoLoa27_ATIVIDADES!A:I,9,0)</f>
        <v>09 - SECRETARIA DA SAÚDE</v>
      </c>
      <c r="F617" t="str">
        <f t="shared" si="28"/>
        <v>2.014</v>
      </c>
      <c r="G617" t="str">
        <f t="shared" si="29"/>
        <v>01.110.0000</v>
      </c>
    </row>
    <row r="618" spans="1:7" hidden="1" x14ac:dyDescent="0.25">
      <c r="A618" s="6" t="s">
        <v>2773</v>
      </c>
      <c r="B618" s="28">
        <v>3233125.71</v>
      </c>
      <c r="C618" s="6" t="s">
        <v>2779</v>
      </c>
      <c r="D618" t="str">
        <f t="shared" si="27"/>
        <v>09.006.10.302.0015.2.014.3.3.90.39.00</v>
      </c>
      <c r="E618" t="str">
        <f>VLOOKUP(LEFT(A618,2),ConsolidadoLoa27_ATIVIDADES!A:I,9,0)</f>
        <v>09 - SECRETARIA DA SAÚDE</v>
      </c>
      <c r="F618" t="str">
        <f t="shared" si="28"/>
        <v>2.014</v>
      </c>
      <c r="G618" t="str">
        <f t="shared" si="29"/>
        <v>01.110.0000</v>
      </c>
    </row>
    <row r="619" spans="1:7" hidden="1" x14ac:dyDescent="0.25">
      <c r="A619" s="6" t="s">
        <v>2773</v>
      </c>
      <c r="B619" s="28">
        <v>4416548</v>
      </c>
      <c r="C619" s="6" t="s">
        <v>2780</v>
      </c>
      <c r="D619" t="str">
        <f t="shared" si="27"/>
        <v>09.006.10.302.0015.2.014.3.3.90.39.00</v>
      </c>
      <c r="E619" t="str">
        <f>VLOOKUP(LEFT(A619,2),ConsolidadoLoa27_ATIVIDADES!A:I,9,0)</f>
        <v>09 - SECRETARIA DA SAÚDE</v>
      </c>
      <c r="F619" t="str">
        <f t="shared" si="28"/>
        <v>2.014</v>
      </c>
      <c r="G619" t="str">
        <f t="shared" si="29"/>
        <v>01.110.0000</v>
      </c>
    </row>
    <row r="620" spans="1:7" hidden="1" x14ac:dyDescent="0.25">
      <c r="A620" s="6" t="s">
        <v>2773</v>
      </c>
      <c r="B620" s="28">
        <v>4075557.48</v>
      </c>
      <c r="C620" s="6" t="s">
        <v>2781</v>
      </c>
      <c r="D620" t="str">
        <f t="shared" si="27"/>
        <v>09.006.10.302.0015.2.014.3.3.90.39.00</v>
      </c>
      <c r="E620" t="str">
        <f>VLOOKUP(LEFT(A620,2),ConsolidadoLoa27_ATIVIDADES!A:I,9,0)</f>
        <v>09 - SECRETARIA DA SAÚDE</v>
      </c>
      <c r="F620" t="str">
        <f t="shared" si="28"/>
        <v>2.014</v>
      </c>
      <c r="G620" t="str">
        <f t="shared" si="29"/>
        <v>01.110.0000</v>
      </c>
    </row>
    <row r="621" spans="1:7" hidden="1" x14ac:dyDescent="0.25">
      <c r="A621" s="6" t="s">
        <v>2782</v>
      </c>
      <c r="B621" s="28">
        <v>1</v>
      </c>
      <c r="C621" s="6" t="s">
        <v>2777</v>
      </c>
      <c r="D621" t="str">
        <f t="shared" si="27"/>
        <v>09.006.10.302.0015.2.014.3.3.90.39.00</v>
      </c>
      <c r="E621" t="str">
        <f>VLOOKUP(LEFT(A621,2),ConsolidadoLoa27_ATIVIDADES!A:I,9,0)</f>
        <v>09 - SECRETARIA DA SAÚDE</v>
      </c>
      <c r="F621" t="str">
        <f t="shared" si="28"/>
        <v>2.014</v>
      </c>
      <c r="G621" t="str">
        <f t="shared" si="29"/>
        <v>01.310.0000</v>
      </c>
    </row>
    <row r="622" spans="1:7" hidden="1" x14ac:dyDescent="0.25">
      <c r="A622" s="6" t="s">
        <v>2782</v>
      </c>
      <c r="B622" s="28">
        <v>8226359</v>
      </c>
      <c r="C622" s="6" t="s">
        <v>2783</v>
      </c>
      <c r="D622" t="str">
        <f t="shared" si="27"/>
        <v>09.006.10.302.0015.2.014.3.3.90.39.00</v>
      </c>
      <c r="E622" t="str">
        <f>VLOOKUP(LEFT(A622,2),ConsolidadoLoa27_ATIVIDADES!A:I,9,0)</f>
        <v>09 - SECRETARIA DA SAÚDE</v>
      </c>
      <c r="F622" t="str">
        <f t="shared" si="28"/>
        <v>2.014</v>
      </c>
      <c r="G622" t="str">
        <f t="shared" si="29"/>
        <v>01.310.0000</v>
      </c>
    </row>
    <row r="623" spans="1:7" hidden="1" x14ac:dyDescent="0.25">
      <c r="A623" s="6" t="s">
        <v>2784</v>
      </c>
      <c r="B623" s="28">
        <v>1453315</v>
      </c>
      <c r="C623" s="6" t="s">
        <v>2774</v>
      </c>
      <c r="D623" t="str">
        <f t="shared" si="27"/>
        <v>09.006.10.302.0015.2.014.3.3.90.39.00</v>
      </c>
      <c r="E623" t="str">
        <f>VLOOKUP(LEFT(A623,2),ConsolidadoLoa27_ATIVIDADES!A:I,9,0)</f>
        <v>09 - SECRETARIA DA SAÚDE</v>
      </c>
      <c r="F623" t="str">
        <f t="shared" si="28"/>
        <v>2.014</v>
      </c>
      <c r="G623" t="str">
        <f t="shared" si="29"/>
        <v>05.301.0000</v>
      </c>
    </row>
    <row r="624" spans="1:7" hidden="1" x14ac:dyDescent="0.25">
      <c r="A624" s="6" t="s">
        <v>2784</v>
      </c>
      <c r="B624" s="28">
        <v>3139487</v>
      </c>
      <c r="C624" s="6" t="s">
        <v>2785</v>
      </c>
      <c r="D624" t="str">
        <f t="shared" si="27"/>
        <v>09.006.10.302.0015.2.014.3.3.90.39.00</v>
      </c>
      <c r="E624" t="str">
        <f>VLOOKUP(LEFT(A624,2),ConsolidadoLoa27_ATIVIDADES!A:I,9,0)</f>
        <v>09 - SECRETARIA DA SAÚDE</v>
      </c>
      <c r="F624" t="str">
        <f t="shared" si="28"/>
        <v>2.014</v>
      </c>
      <c r="G624" t="str">
        <f t="shared" si="29"/>
        <v>05.301.0000</v>
      </c>
    </row>
    <row r="625" spans="1:7" hidden="1" x14ac:dyDescent="0.25">
      <c r="A625" s="6" t="s">
        <v>2786</v>
      </c>
      <c r="B625" s="28">
        <v>1554520</v>
      </c>
      <c r="C625" s="6" t="s">
        <v>2706</v>
      </c>
      <c r="D625" t="str">
        <f t="shared" si="27"/>
        <v>09.006.10.302.0015.2.014.3.3.90.93.00</v>
      </c>
      <c r="E625" t="str">
        <f>VLOOKUP(LEFT(A625,2),ConsolidadoLoa27_ATIVIDADES!A:I,9,0)</f>
        <v>09 - SECRETARIA DA SAÚDE</v>
      </c>
      <c r="F625" t="str">
        <f t="shared" si="28"/>
        <v>2.014</v>
      </c>
      <c r="G625" t="str">
        <f t="shared" si="29"/>
        <v>01.310.0000</v>
      </c>
    </row>
    <row r="626" spans="1:7" hidden="1" x14ac:dyDescent="0.25">
      <c r="A626" s="6" t="s">
        <v>2787</v>
      </c>
      <c r="B626" s="28">
        <v>1</v>
      </c>
      <c r="C626" s="6" t="s">
        <v>2788</v>
      </c>
      <c r="D626" t="str">
        <f t="shared" si="27"/>
        <v>09.008.10.301.0015.1.002.3.3.90.30.00</v>
      </c>
      <c r="E626" t="str">
        <f>VLOOKUP(LEFT(A626,2),ConsolidadoLoa27_ATIVIDADES!A:I,9,0)</f>
        <v>09 - SECRETARIA DA SAÚDE</v>
      </c>
      <c r="F626" t="str">
        <f t="shared" si="28"/>
        <v>1.002</v>
      </c>
      <c r="G626" t="str">
        <f t="shared" si="29"/>
        <v>01.110.0000</v>
      </c>
    </row>
    <row r="627" spans="1:7" hidden="1" x14ac:dyDescent="0.25">
      <c r="A627" s="6" t="s">
        <v>2789</v>
      </c>
      <c r="B627" s="28">
        <v>1</v>
      </c>
      <c r="C627" s="6" t="s">
        <v>2788</v>
      </c>
      <c r="D627" t="str">
        <f t="shared" si="27"/>
        <v>09.008.10.301.0015.1.002.3.3.90.30.00</v>
      </c>
      <c r="E627" t="str">
        <f>VLOOKUP(LEFT(A627,2),ConsolidadoLoa27_ATIVIDADES!A:I,9,0)</f>
        <v>09 - SECRETARIA DA SAÚDE</v>
      </c>
      <c r="F627" t="str">
        <f t="shared" si="28"/>
        <v>1.002</v>
      </c>
      <c r="G627" t="str">
        <f t="shared" si="29"/>
        <v>01.310.0000</v>
      </c>
    </row>
    <row r="628" spans="1:7" hidden="1" x14ac:dyDescent="0.25">
      <c r="A628" s="6" t="s">
        <v>2790</v>
      </c>
      <c r="B628" s="28">
        <v>1</v>
      </c>
      <c r="C628" s="6" t="s">
        <v>2788</v>
      </c>
      <c r="D628" t="str">
        <f t="shared" si="27"/>
        <v>09.008.10.301.0015.1.002.3.3.90.39.00</v>
      </c>
      <c r="E628" t="str">
        <f>VLOOKUP(LEFT(A628,2),ConsolidadoLoa27_ATIVIDADES!A:I,9,0)</f>
        <v>09 - SECRETARIA DA SAÚDE</v>
      </c>
      <c r="F628" t="str">
        <f t="shared" si="28"/>
        <v>1.002</v>
      </c>
      <c r="G628" t="str">
        <f t="shared" si="29"/>
        <v>01.110.0000</v>
      </c>
    </row>
    <row r="629" spans="1:7" hidden="1" x14ac:dyDescent="0.25">
      <c r="A629" s="6" t="s">
        <v>2790</v>
      </c>
      <c r="B629" s="28">
        <v>1</v>
      </c>
      <c r="C629" s="6" t="s">
        <v>2788</v>
      </c>
      <c r="D629" t="str">
        <f t="shared" si="27"/>
        <v>09.008.10.301.0015.1.002.3.3.90.39.00</v>
      </c>
      <c r="E629" t="str">
        <f>VLOOKUP(LEFT(A629,2),ConsolidadoLoa27_ATIVIDADES!A:I,9,0)</f>
        <v>09 - SECRETARIA DA SAÚDE</v>
      </c>
      <c r="F629" t="str">
        <f t="shared" si="28"/>
        <v>1.002</v>
      </c>
      <c r="G629" t="str">
        <f t="shared" si="29"/>
        <v>01.110.0000</v>
      </c>
    </row>
    <row r="630" spans="1:7" hidden="1" x14ac:dyDescent="0.25">
      <c r="A630" s="6" t="s">
        <v>2791</v>
      </c>
      <c r="B630" s="28">
        <v>1</v>
      </c>
      <c r="C630" s="6" t="s">
        <v>2788</v>
      </c>
      <c r="D630" t="str">
        <f t="shared" si="27"/>
        <v>09.008.10.301.0015.1.002.3.3.90.39.00</v>
      </c>
      <c r="E630" t="str">
        <f>VLOOKUP(LEFT(A630,2),ConsolidadoLoa27_ATIVIDADES!A:I,9,0)</f>
        <v>09 - SECRETARIA DA SAÚDE</v>
      </c>
      <c r="F630" t="str">
        <f t="shared" si="28"/>
        <v>1.002</v>
      </c>
      <c r="G630" t="str">
        <f t="shared" si="29"/>
        <v>01.310.0000</v>
      </c>
    </row>
    <row r="631" spans="1:7" hidden="1" x14ac:dyDescent="0.25">
      <c r="A631" s="6" t="s">
        <v>2791</v>
      </c>
      <c r="B631" s="28">
        <v>1</v>
      </c>
      <c r="C631" s="6" t="s">
        <v>2788</v>
      </c>
      <c r="D631" t="str">
        <f t="shared" si="27"/>
        <v>09.008.10.301.0015.1.002.3.3.90.39.00</v>
      </c>
      <c r="E631" t="str">
        <f>VLOOKUP(LEFT(A631,2),ConsolidadoLoa27_ATIVIDADES!A:I,9,0)</f>
        <v>09 - SECRETARIA DA SAÚDE</v>
      </c>
      <c r="F631" t="str">
        <f t="shared" si="28"/>
        <v>1.002</v>
      </c>
      <c r="G631" t="str">
        <f t="shared" si="29"/>
        <v>01.310.0000</v>
      </c>
    </row>
    <row r="632" spans="1:7" hidden="1" x14ac:dyDescent="0.25">
      <c r="A632" s="6" t="s">
        <v>2792</v>
      </c>
      <c r="B632" s="28">
        <v>0</v>
      </c>
      <c r="C632" s="6" t="s">
        <v>2793</v>
      </c>
      <c r="D632" t="str">
        <f t="shared" si="27"/>
        <v>09.008.10.301.0015.1.002.3.3.90.39.00</v>
      </c>
      <c r="E632" t="str">
        <f>VLOOKUP(LEFT(A632,2),ConsolidadoLoa27_ATIVIDADES!A:I,9,0)</f>
        <v>09 - SECRETARIA DA SAÚDE</v>
      </c>
      <c r="F632" t="str">
        <f t="shared" si="28"/>
        <v>1.002</v>
      </c>
      <c r="G632" t="str">
        <f t="shared" si="29"/>
        <v>08.310.0000</v>
      </c>
    </row>
    <row r="633" spans="1:7" hidden="1" x14ac:dyDescent="0.25">
      <c r="A633" s="6" t="s">
        <v>2794</v>
      </c>
      <c r="B633" s="28">
        <v>1</v>
      </c>
      <c r="C633" s="6" t="s">
        <v>2788</v>
      </c>
      <c r="D633" t="str">
        <f t="shared" si="27"/>
        <v>09.008.10.301.0015.1.002.4.4.90.51.00</v>
      </c>
      <c r="E633" t="str">
        <f>VLOOKUP(LEFT(A633,2),ConsolidadoLoa27_ATIVIDADES!A:I,9,0)</f>
        <v>09 - SECRETARIA DA SAÚDE</v>
      </c>
      <c r="F633" t="str">
        <f t="shared" si="28"/>
        <v>1.002</v>
      </c>
      <c r="G633" t="str">
        <f t="shared" si="29"/>
        <v>01.110.0000</v>
      </c>
    </row>
    <row r="634" spans="1:7" hidden="1" x14ac:dyDescent="0.25">
      <c r="A634" s="6" t="s">
        <v>2795</v>
      </c>
      <c r="B634" s="28">
        <v>1</v>
      </c>
      <c r="C634" s="6" t="s">
        <v>2788</v>
      </c>
      <c r="D634" t="str">
        <f t="shared" si="27"/>
        <v>09.008.10.301.0015.1.002.4.4.90.51.00</v>
      </c>
      <c r="E634" t="str">
        <f>VLOOKUP(LEFT(A634,2),ConsolidadoLoa27_ATIVIDADES!A:I,9,0)</f>
        <v>09 - SECRETARIA DA SAÚDE</v>
      </c>
      <c r="F634" t="str">
        <f t="shared" si="28"/>
        <v>1.002</v>
      </c>
      <c r="G634" t="str">
        <f t="shared" si="29"/>
        <v>01.310.0000</v>
      </c>
    </row>
    <row r="635" spans="1:7" hidden="1" x14ac:dyDescent="0.25">
      <c r="A635" s="6" t="s">
        <v>2796</v>
      </c>
      <c r="B635" s="28">
        <v>1</v>
      </c>
      <c r="C635" s="6" t="s">
        <v>2788</v>
      </c>
      <c r="D635" t="str">
        <f t="shared" si="27"/>
        <v>09.008.10.301.0015.1.002.4.4.90.52.00</v>
      </c>
      <c r="E635" t="str">
        <f>VLOOKUP(LEFT(A635,2),ConsolidadoLoa27_ATIVIDADES!A:I,9,0)</f>
        <v>09 - SECRETARIA DA SAÚDE</v>
      </c>
      <c r="F635" t="str">
        <f t="shared" si="28"/>
        <v>1.002</v>
      </c>
      <c r="G635" t="str">
        <f t="shared" si="29"/>
        <v>01.110.0000</v>
      </c>
    </row>
    <row r="636" spans="1:7" hidden="1" x14ac:dyDescent="0.25">
      <c r="A636" s="6" t="s">
        <v>2797</v>
      </c>
      <c r="B636" s="28">
        <v>1</v>
      </c>
      <c r="C636" s="6" t="s">
        <v>2788</v>
      </c>
      <c r="D636" t="str">
        <f t="shared" si="27"/>
        <v>09.008.10.301.0015.1.002.4.4.90.52.00</v>
      </c>
      <c r="E636" t="str">
        <f>VLOOKUP(LEFT(A636,2),ConsolidadoLoa27_ATIVIDADES!A:I,9,0)</f>
        <v>09 - SECRETARIA DA SAÚDE</v>
      </c>
      <c r="F636" t="str">
        <f t="shared" si="28"/>
        <v>1.002</v>
      </c>
      <c r="G636" t="str">
        <f t="shared" si="29"/>
        <v>01.310.0000</v>
      </c>
    </row>
    <row r="637" spans="1:7" hidden="1" x14ac:dyDescent="0.25">
      <c r="A637" s="6" t="s">
        <v>2798</v>
      </c>
      <c r="B637" s="28">
        <v>0</v>
      </c>
      <c r="C637" s="6" t="s">
        <v>2793</v>
      </c>
      <c r="D637" t="str">
        <f t="shared" si="27"/>
        <v>09.008.10.301.0015.1.002.4.4.90.52.00</v>
      </c>
      <c r="E637" t="str">
        <f>VLOOKUP(LEFT(A637,2),ConsolidadoLoa27_ATIVIDADES!A:I,9,0)</f>
        <v>09 - SECRETARIA DA SAÚDE</v>
      </c>
      <c r="F637" t="str">
        <f t="shared" si="28"/>
        <v>1.002</v>
      </c>
      <c r="G637" t="str">
        <f t="shared" si="29"/>
        <v>08.310.0000</v>
      </c>
    </row>
    <row r="638" spans="1:7" hidden="1" x14ac:dyDescent="0.25">
      <c r="A638" s="6" t="s">
        <v>2799</v>
      </c>
      <c r="B638" s="28">
        <v>1</v>
      </c>
      <c r="C638" s="6" t="s">
        <v>2800</v>
      </c>
      <c r="D638" t="str">
        <f t="shared" si="27"/>
        <v>09.008.10.301.0015.1.003.4.4.90.51.00</v>
      </c>
      <c r="E638" t="str">
        <f>VLOOKUP(LEFT(A638,2),ConsolidadoLoa27_ATIVIDADES!A:I,9,0)</f>
        <v>09 - SECRETARIA DA SAÚDE</v>
      </c>
      <c r="F638" t="str">
        <f t="shared" si="28"/>
        <v>1.003</v>
      </c>
      <c r="G638" t="str">
        <f t="shared" si="29"/>
        <v>01.110.0000</v>
      </c>
    </row>
    <row r="639" spans="1:7" hidden="1" x14ac:dyDescent="0.25">
      <c r="A639" s="6" t="s">
        <v>2801</v>
      </c>
      <c r="B639" s="28">
        <v>1</v>
      </c>
      <c r="C639" s="6" t="s">
        <v>2800</v>
      </c>
      <c r="D639" t="str">
        <f t="shared" si="27"/>
        <v>09.008.10.301.0015.1.003.4.4.90.51.00</v>
      </c>
      <c r="E639" t="str">
        <f>VLOOKUP(LEFT(A639,2),ConsolidadoLoa27_ATIVIDADES!A:I,9,0)</f>
        <v>09 - SECRETARIA DA SAÚDE</v>
      </c>
      <c r="F639" t="str">
        <f t="shared" si="28"/>
        <v>1.003</v>
      </c>
      <c r="G639" t="str">
        <f t="shared" si="29"/>
        <v>01.310.0000</v>
      </c>
    </row>
    <row r="640" spans="1:7" hidden="1" x14ac:dyDescent="0.25">
      <c r="A640" s="6" t="s">
        <v>2802</v>
      </c>
      <c r="B640" s="28">
        <v>0</v>
      </c>
      <c r="C640" s="6" t="s">
        <v>2803</v>
      </c>
      <c r="D640" t="str">
        <f t="shared" si="27"/>
        <v>09.008.10.301.0015.2.012.3.3.50.39.00</v>
      </c>
      <c r="E640" t="str">
        <f>VLOOKUP(LEFT(A640,2),ConsolidadoLoa27_ATIVIDADES!A:I,9,0)</f>
        <v>09 - SECRETARIA DA SAÚDE</v>
      </c>
      <c r="F640" t="str">
        <f t="shared" si="28"/>
        <v>2.012</v>
      </c>
      <c r="G640" t="str">
        <f t="shared" si="29"/>
        <v>08.310.0000</v>
      </c>
    </row>
    <row r="641" spans="1:7" hidden="1" x14ac:dyDescent="0.25">
      <c r="A641" s="6" t="s">
        <v>2802</v>
      </c>
      <c r="B641" s="28">
        <v>0</v>
      </c>
      <c r="C641" s="6" t="s">
        <v>2804</v>
      </c>
      <c r="D641" t="str">
        <f t="shared" si="27"/>
        <v>09.008.10.301.0015.2.012.3.3.50.39.00</v>
      </c>
      <c r="E641" t="str">
        <f>VLOOKUP(LEFT(A641,2),ConsolidadoLoa27_ATIVIDADES!A:I,9,0)</f>
        <v>09 - SECRETARIA DA SAÚDE</v>
      </c>
      <c r="F641" t="str">
        <f t="shared" si="28"/>
        <v>2.012</v>
      </c>
      <c r="G641" t="str">
        <f t="shared" si="29"/>
        <v>08.310.0000</v>
      </c>
    </row>
    <row r="642" spans="1:7" hidden="1" x14ac:dyDescent="0.25">
      <c r="A642" s="6" t="s">
        <v>2805</v>
      </c>
      <c r="B642" s="28">
        <v>3174481.12</v>
      </c>
      <c r="C642" s="6" t="s">
        <v>394</v>
      </c>
      <c r="D642" t="str">
        <f t="shared" si="27"/>
        <v>09.008.10.301.0015.2.012.3.3.90.30.00</v>
      </c>
      <c r="E642" t="str">
        <f>VLOOKUP(LEFT(A642,2),ConsolidadoLoa27_ATIVIDADES!A:I,9,0)</f>
        <v>09 - SECRETARIA DA SAÚDE</v>
      </c>
      <c r="F642" t="str">
        <f t="shared" si="28"/>
        <v>2.012</v>
      </c>
      <c r="G642" t="str">
        <f t="shared" si="29"/>
        <v>01.110.0000</v>
      </c>
    </row>
    <row r="643" spans="1:7" hidden="1" x14ac:dyDescent="0.25">
      <c r="A643" s="6" t="s">
        <v>2805</v>
      </c>
      <c r="B643" s="28">
        <v>150000</v>
      </c>
      <c r="C643" s="6" t="s">
        <v>2295</v>
      </c>
      <c r="D643" t="str">
        <f t="shared" ref="D643:D706" si="30">_xlfn.CONCAT(LEFT(A643,34),".00")</f>
        <v>09.008.10.301.0015.2.012.3.3.90.30.00</v>
      </c>
      <c r="E643" t="str">
        <f>VLOOKUP(LEFT(A643,2),ConsolidadoLoa27_ATIVIDADES!A:I,9,0)</f>
        <v>09 - SECRETARIA DA SAÚDE</v>
      </c>
      <c r="F643" t="str">
        <f t="shared" ref="F643:F706" si="31">MID(A643,20,5)</f>
        <v>2.012</v>
      </c>
      <c r="G643" t="str">
        <f t="shared" ref="G643:G706" si="32">RIGHT(A643,11)</f>
        <v>01.110.0000</v>
      </c>
    </row>
    <row r="644" spans="1:7" hidden="1" x14ac:dyDescent="0.25">
      <c r="A644" s="6" t="s">
        <v>2806</v>
      </c>
      <c r="B644" s="28">
        <v>629325</v>
      </c>
      <c r="C644" s="6" t="s">
        <v>2295</v>
      </c>
      <c r="D644" t="str">
        <f t="shared" si="30"/>
        <v>09.008.10.301.0015.2.012.3.3.90.30.00</v>
      </c>
      <c r="E644" t="str">
        <f>VLOOKUP(LEFT(A644,2),ConsolidadoLoa27_ATIVIDADES!A:I,9,0)</f>
        <v>09 - SECRETARIA DA SAÚDE</v>
      </c>
      <c r="F644" t="str">
        <f t="shared" si="31"/>
        <v>2.012</v>
      </c>
      <c r="G644" t="str">
        <f t="shared" si="32"/>
        <v>01.310.0000</v>
      </c>
    </row>
    <row r="645" spans="1:7" hidden="1" x14ac:dyDescent="0.25">
      <c r="A645" s="6" t="s">
        <v>2807</v>
      </c>
      <c r="B645" s="28">
        <v>0</v>
      </c>
      <c r="C645" s="6" t="s">
        <v>2808</v>
      </c>
      <c r="D645" t="str">
        <f t="shared" si="30"/>
        <v>09.008.10.301.0015.2.012.3.3.90.30.00</v>
      </c>
      <c r="E645" t="str">
        <f>VLOOKUP(LEFT(A645,2),ConsolidadoLoa27_ATIVIDADES!A:I,9,0)</f>
        <v>09 - SECRETARIA DA SAÚDE</v>
      </c>
      <c r="F645" t="str">
        <f t="shared" si="31"/>
        <v>2.012</v>
      </c>
      <c r="G645" t="str">
        <f t="shared" si="32"/>
        <v>08.310.0000</v>
      </c>
    </row>
    <row r="646" spans="1:7" hidden="1" x14ac:dyDescent="0.25">
      <c r="A646" s="6" t="s">
        <v>2809</v>
      </c>
      <c r="B646" s="28">
        <v>974069.30000000075</v>
      </c>
      <c r="C646" s="6" t="s">
        <v>404</v>
      </c>
      <c r="D646" t="str">
        <f t="shared" si="30"/>
        <v>09.008.10.301.0015.2.012.3.3.90.32.00</v>
      </c>
      <c r="E646" t="str">
        <f>VLOOKUP(LEFT(A646,2),ConsolidadoLoa27_ATIVIDADES!A:I,9,0)</f>
        <v>09 - SECRETARIA DA SAÚDE</v>
      </c>
      <c r="F646" t="str">
        <f t="shared" si="31"/>
        <v>2.012</v>
      </c>
      <c r="G646" t="str">
        <f t="shared" si="32"/>
        <v>01.110.0000</v>
      </c>
    </row>
    <row r="647" spans="1:7" hidden="1" x14ac:dyDescent="0.25">
      <c r="A647" s="6" t="s">
        <v>2810</v>
      </c>
      <c r="B647" s="28">
        <v>2620905.2000000002</v>
      </c>
      <c r="C647" s="6" t="s">
        <v>404</v>
      </c>
      <c r="D647" t="str">
        <f t="shared" si="30"/>
        <v>09.008.10.301.0015.2.012.3.3.90.32.00</v>
      </c>
      <c r="E647" t="str">
        <f>VLOOKUP(LEFT(A647,2),ConsolidadoLoa27_ATIVIDADES!A:I,9,0)</f>
        <v>09 - SECRETARIA DA SAÚDE</v>
      </c>
      <c r="F647" t="str">
        <f t="shared" si="31"/>
        <v>2.012</v>
      </c>
      <c r="G647" t="str">
        <f t="shared" si="32"/>
        <v>01.310.0000</v>
      </c>
    </row>
    <row r="648" spans="1:7" hidden="1" x14ac:dyDescent="0.25">
      <c r="A648" s="6" t="s">
        <v>2811</v>
      </c>
      <c r="B648" s="28">
        <v>6062186.6500000004</v>
      </c>
      <c r="C648" s="6" t="s">
        <v>2774</v>
      </c>
      <c r="D648" t="str">
        <f t="shared" si="30"/>
        <v>09.008.10.301.0015.2.012.3.3.90.39.00</v>
      </c>
      <c r="E648" t="str">
        <f>VLOOKUP(LEFT(A648,2),ConsolidadoLoa27_ATIVIDADES!A:I,9,0)</f>
        <v>09 - SECRETARIA DA SAÚDE</v>
      </c>
      <c r="F648" t="str">
        <f t="shared" si="31"/>
        <v>2.012</v>
      </c>
      <c r="G648" t="str">
        <f t="shared" si="32"/>
        <v>01.110.0000</v>
      </c>
    </row>
    <row r="649" spans="1:7" hidden="1" x14ac:dyDescent="0.25">
      <c r="A649" s="6" t="s">
        <v>2811</v>
      </c>
      <c r="B649" s="28">
        <v>7532065.71</v>
      </c>
      <c r="C649" s="6" t="s">
        <v>2776</v>
      </c>
      <c r="D649" t="str">
        <f t="shared" si="30"/>
        <v>09.008.10.301.0015.2.012.3.3.90.39.00</v>
      </c>
      <c r="E649" t="str">
        <f>VLOOKUP(LEFT(A649,2),ConsolidadoLoa27_ATIVIDADES!A:I,9,0)</f>
        <v>09 - SECRETARIA DA SAÚDE</v>
      </c>
      <c r="F649" t="str">
        <f t="shared" si="31"/>
        <v>2.012</v>
      </c>
      <c r="G649" t="str">
        <f t="shared" si="32"/>
        <v>01.110.0000</v>
      </c>
    </row>
    <row r="650" spans="1:7" hidden="1" x14ac:dyDescent="0.25">
      <c r="A650" s="6" t="s">
        <v>2811</v>
      </c>
      <c r="B650" s="28">
        <v>68128</v>
      </c>
      <c r="C650" s="6" t="s">
        <v>2785</v>
      </c>
      <c r="D650" t="str">
        <f t="shared" si="30"/>
        <v>09.008.10.301.0015.2.012.3.3.90.39.00</v>
      </c>
      <c r="E650" t="str">
        <f>VLOOKUP(LEFT(A650,2),ConsolidadoLoa27_ATIVIDADES!A:I,9,0)</f>
        <v>09 - SECRETARIA DA SAÚDE</v>
      </c>
      <c r="F650" t="str">
        <f t="shared" si="31"/>
        <v>2.012</v>
      </c>
      <c r="G650" t="str">
        <f t="shared" si="32"/>
        <v>01.110.0000</v>
      </c>
    </row>
    <row r="651" spans="1:7" hidden="1" x14ac:dyDescent="0.25">
      <c r="A651" s="6" t="s">
        <v>2811</v>
      </c>
      <c r="B651" s="28">
        <v>47174.79</v>
      </c>
      <c r="C651" s="6" t="s">
        <v>2779</v>
      </c>
      <c r="D651" t="str">
        <f t="shared" si="30"/>
        <v>09.008.10.301.0015.2.012.3.3.90.39.00</v>
      </c>
      <c r="E651" t="str">
        <f>VLOOKUP(LEFT(A651,2),ConsolidadoLoa27_ATIVIDADES!A:I,9,0)</f>
        <v>09 - SECRETARIA DA SAÚDE</v>
      </c>
      <c r="F651" t="str">
        <f t="shared" si="31"/>
        <v>2.012</v>
      </c>
      <c r="G651" t="str">
        <f t="shared" si="32"/>
        <v>01.110.0000</v>
      </c>
    </row>
    <row r="652" spans="1:7" hidden="1" x14ac:dyDescent="0.25">
      <c r="A652" s="6" t="s">
        <v>2811</v>
      </c>
      <c r="B652" s="28">
        <v>230853</v>
      </c>
      <c r="C652" s="6" t="s">
        <v>2812</v>
      </c>
      <c r="D652" t="str">
        <f t="shared" si="30"/>
        <v>09.008.10.301.0015.2.012.3.3.90.39.00</v>
      </c>
      <c r="E652" t="str">
        <f>VLOOKUP(LEFT(A652,2),ConsolidadoLoa27_ATIVIDADES!A:I,9,0)</f>
        <v>09 - SECRETARIA DA SAÚDE</v>
      </c>
      <c r="F652" t="str">
        <f t="shared" si="31"/>
        <v>2.012</v>
      </c>
      <c r="G652" t="str">
        <f t="shared" si="32"/>
        <v>01.110.0000</v>
      </c>
    </row>
    <row r="653" spans="1:7" hidden="1" x14ac:dyDescent="0.25">
      <c r="A653" s="6" t="s">
        <v>2811</v>
      </c>
      <c r="B653" s="28">
        <v>51953.960899999998</v>
      </c>
      <c r="C653" s="6" t="s">
        <v>388</v>
      </c>
      <c r="D653" t="str">
        <f t="shared" si="30"/>
        <v>09.008.10.301.0015.2.012.3.3.90.39.00</v>
      </c>
      <c r="E653" t="str">
        <f>VLOOKUP(LEFT(A653,2),ConsolidadoLoa27_ATIVIDADES!A:I,9,0)</f>
        <v>09 - SECRETARIA DA SAÚDE</v>
      </c>
      <c r="F653" t="str">
        <f t="shared" si="31"/>
        <v>2.012</v>
      </c>
      <c r="G653" t="str">
        <f t="shared" si="32"/>
        <v>01.110.0000</v>
      </c>
    </row>
    <row r="654" spans="1:7" hidden="1" x14ac:dyDescent="0.25">
      <c r="A654" s="6" t="s">
        <v>2811</v>
      </c>
      <c r="B654" s="28">
        <v>779323.96089999995</v>
      </c>
      <c r="C654" s="6" t="s">
        <v>388</v>
      </c>
      <c r="D654" t="str">
        <f t="shared" si="30"/>
        <v>09.008.10.301.0015.2.012.3.3.90.39.00</v>
      </c>
      <c r="E654" t="str">
        <f>VLOOKUP(LEFT(A654,2),ConsolidadoLoa27_ATIVIDADES!A:I,9,0)</f>
        <v>09 - SECRETARIA DA SAÚDE</v>
      </c>
      <c r="F654" t="str">
        <f t="shared" si="31"/>
        <v>2.012</v>
      </c>
      <c r="G654" t="str">
        <f t="shared" si="32"/>
        <v>01.110.0000</v>
      </c>
    </row>
    <row r="655" spans="1:7" hidden="1" x14ac:dyDescent="0.25">
      <c r="A655" s="6" t="s">
        <v>2811</v>
      </c>
      <c r="B655" s="28">
        <v>1</v>
      </c>
      <c r="C655" s="6" t="s">
        <v>424</v>
      </c>
      <c r="D655" t="str">
        <f t="shared" si="30"/>
        <v>09.008.10.301.0015.2.012.3.3.90.39.00</v>
      </c>
      <c r="E655" t="str">
        <f>VLOOKUP(LEFT(A655,2),ConsolidadoLoa27_ATIVIDADES!A:I,9,0)</f>
        <v>09 - SECRETARIA DA SAÚDE</v>
      </c>
      <c r="F655" t="str">
        <f t="shared" si="31"/>
        <v>2.012</v>
      </c>
      <c r="G655" t="str">
        <f t="shared" si="32"/>
        <v>01.110.0000</v>
      </c>
    </row>
    <row r="656" spans="1:7" hidden="1" x14ac:dyDescent="0.25">
      <c r="A656" s="6" t="s">
        <v>2811</v>
      </c>
      <c r="B656" s="28">
        <v>969250</v>
      </c>
      <c r="C656" s="6" t="s">
        <v>2813</v>
      </c>
      <c r="D656" t="str">
        <f t="shared" si="30"/>
        <v>09.008.10.301.0015.2.012.3.3.90.39.00</v>
      </c>
      <c r="E656" t="str">
        <f>VLOOKUP(LEFT(A656,2),ConsolidadoLoa27_ATIVIDADES!A:I,9,0)</f>
        <v>09 - SECRETARIA DA SAÚDE</v>
      </c>
      <c r="F656" t="str">
        <f t="shared" si="31"/>
        <v>2.012</v>
      </c>
      <c r="G656" t="str">
        <f t="shared" si="32"/>
        <v>01.110.0000</v>
      </c>
    </row>
    <row r="657" spans="1:7" hidden="1" x14ac:dyDescent="0.25">
      <c r="A657" s="6" t="s">
        <v>2811</v>
      </c>
      <c r="B657" s="28">
        <v>2936525.35</v>
      </c>
      <c r="C657" s="6" t="s">
        <v>2781</v>
      </c>
      <c r="D657" t="str">
        <f t="shared" si="30"/>
        <v>09.008.10.301.0015.2.012.3.3.90.39.00</v>
      </c>
      <c r="E657" t="str">
        <f>VLOOKUP(LEFT(A657,2),ConsolidadoLoa27_ATIVIDADES!A:I,9,0)</f>
        <v>09 - SECRETARIA DA SAÚDE</v>
      </c>
      <c r="F657" t="str">
        <f t="shared" si="31"/>
        <v>2.012</v>
      </c>
      <c r="G657" t="str">
        <f t="shared" si="32"/>
        <v>01.110.0000</v>
      </c>
    </row>
    <row r="658" spans="1:7" hidden="1" x14ac:dyDescent="0.25">
      <c r="A658" s="6" t="s">
        <v>2814</v>
      </c>
      <c r="B658" s="28">
        <v>1</v>
      </c>
      <c r="C658" s="6" t="s">
        <v>388</v>
      </c>
      <c r="D658" t="str">
        <f t="shared" si="30"/>
        <v>09.008.10.301.0015.2.012.3.3.90.39.00</v>
      </c>
      <c r="E658" t="str">
        <f>VLOOKUP(LEFT(A658,2),ConsolidadoLoa27_ATIVIDADES!A:I,9,0)</f>
        <v>09 - SECRETARIA DA SAÚDE</v>
      </c>
      <c r="F658" t="str">
        <f t="shared" si="31"/>
        <v>2.012</v>
      </c>
      <c r="G658" t="str">
        <f t="shared" si="32"/>
        <v>01.310.0000</v>
      </c>
    </row>
    <row r="659" spans="1:7" hidden="1" x14ac:dyDescent="0.25">
      <c r="A659" s="6" t="s">
        <v>2814</v>
      </c>
      <c r="B659" s="28">
        <v>1</v>
      </c>
      <c r="C659" s="6" t="s">
        <v>388</v>
      </c>
      <c r="D659" t="str">
        <f t="shared" si="30"/>
        <v>09.008.10.301.0015.2.012.3.3.90.39.00</v>
      </c>
      <c r="E659" t="str">
        <f>VLOOKUP(LEFT(A659,2),ConsolidadoLoa27_ATIVIDADES!A:I,9,0)</f>
        <v>09 - SECRETARIA DA SAÚDE</v>
      </c>
      <c r="F659" t="str">
        <f t="shared" si="31"/>
        <v>2.012</v>
      </c>
      <c r="G659" t="str">
        <f t="shared" si="32"/>
        <v>01.310.0000</v>
      </c>
    </row>
    <row r="660" spans="1:7" hidden="1" x14ac:dyDescent="0.25">
      <c r="A660" s="6" t="s">
        <v>2815</v>
      </c>
      <c r="B660" s="28">
        <v>2750115.8</v>
      </c>
      <c r="C660" s="6" t="s">
        <v>2783</v>
      </c>
      <c r="D660" t="str">
        <f t="shared" si="30"/>
        <v>09.008.10.301.0015.2.012.3.3.90.39.00</v>
      </c>
      <c r="E660" t="str">
        <f>VLOOKUP(LEFT(A660,2),ConsolidadoLoa27_ATIVIDADES!A:I,9,0)</f>
        <v>09 - SECRETARIA DA SAÚDE</v>
      </c>
      <c r="F660" t="str">
        <f t="shared" si="31"/>
        <v>2.012</v>
      </c>
      <c r="G660" t="str">
        <f t="shared" si="32"/>
        <v>02.310.0000</v>
      </c>
    </row>
    <row r="661" spans="1:7" hidden="1" x14ac:dyDescent="0.25">
      <c r="A661" s="6" t="s">
        <v>2814</v>
      </c>
      <c r="B661" s="28">
        <v>12694463.52</v>
      </c>
      <c r="C661" s="6" t="s">
        <v>2783</v>
      </c>
      <c r="D661" t="str">
        <f t="shared" si="30"/>
        <v>09.008.10.301.0015.2.012.3.3.90.39.00</v>
      </c>
      <c r="E661" t="str">
        <f>VLOOKUP(LEFT(A661,2),ConsolidadoLoa27_ATIVIDADES!A:I,9,0)</f>
        <v>09 - SECRETARIA DA SAÚDE</v>
      </c>
      <c r="F661" t="str">
        <f t="shared" si="31"/>
        <v>2.012</v>
      </c>
      <c r="G661" t="str">
        <f t="shared" si="32"/>
        <v>01.310.0000</v>
      </c>
    </row>
    <row r="662" spans="1:7" hidden="1" x14ac:dyDescent="0.25">
      <c r="A662" s="6" t="s">
        <v>2816</v>
      </c>
      <c r="B662" s="28">
        <v>5807767</v>
      </c>
      <c r="C662" s="6" t="s">
        <v>2774</v>
      </c>
      <c r="D662" t="str">
        <f t="shared" si="30"/>
        <v>09.008.10.301.0015.2.012.3.3.90.39.00</v>
      </c>
      <c r="E662" t="str">
        <f>VLOOKUP(LEFT(A662,2),ConsolidadoLoa27_ATIVIDADES!A:I,9,0)</f>
        <v>09 - SECRETARIA DA SAÚDE</v>
      </c>
      <c r="F662" t="str">
        <f t="shared" si="31"/>
        <v>2.012</v>
      </c>
      <c r="G662" t="str">
        <f t="shared" si="32"/>
        <v>05.301.0000</v>
      </c>
    </row>
    <row r="663" spans="1:7" hidden="1" x14ac:dyDescent="0.25">
      <c r="A663" s="6" t="s">
        <v>2816</v>
      </c>
      <c r="B663" s="28">
        <v>3492232</v>
      </c>
      <c r="C663" s="6" t="s">
        <v>2774</v>
      </c>
      <c r="D663" t="str">
        <f t="shared" si="30"/>
        <v>09.008.10.301.0015.2.012.3.3.90.39.00</v>
      </c>
      <c r="E663" t="str">
        <f>VLOOKUP(LEFT(A663,2),ConsolidadoLoa27_ATIVIDADES!A:I,9,0)</f>
        <v>09 - SECRETARIA DA SAÚDE</v>
      </c>
      <c r="F663" t="str">
        <f t="shared" si="31"/>
        <v>2.012</v>
      </c>
      <c r="G663" t="str">
        <f t="shared" si="32"/>
        <v>05.301.0000</v>
      </c>
    </row>
    <row r="664" spans="1:7" hidden="1" x14ac:dyDescent="0.25">
      <c r="A664" s="6" t="s">
        <v>2816</v>
      </c>
      <c r="B664" s="28">
        <v>5599420.2800000003</v>
      </c>
      <c r="C664" s="6" t="s">
        <v>424</v>
      </c>
      <c r="D664" t="str">
        <f t="shared" si="30"/>
        <v>09.008.10.301.0015.2.012.3.3.90.39.00</v>
      </c>
      <c r="E664" t="str">
        <f>VLOOKUP(LEFT(A664,2),ConsolidadoLoa27_ATIVIDADES!A:I,9,0)</f>
        <v>09 - SECRETARIA DA SAÚDE</v>
      </c>
      <c r="F664" t="str">
        <f t="shared" si="31"/>
        <v>2.012</v>
      </c>
      <c r="G664" t="str">
        <f t="shared" si="32"/>
        <v>05.301.0000</v>
      </c>
    </row>
    <row r="665" spans="1:7" hidden="1" x14ac:dyDescent="0.25">
      <c r="A665" s="6" t="s">
        <v>2817</v>
      </c>
      <c r="B665" s="28">
        <v>0</v>
      </c>
      <c r="C665" s="6" t="s">
        <v>2803</v>
      </c>
      <c r="D665" t="str">
        <f t="shared" si="30"/>
        <v>09.008.10.301.0015.2.012.4.4.50.52.00</v>
      </c>
      <c r="E665" t="str">
        <f>VLOOKUP(LEFT(A665,2),ConsolidadoLoa27_ATIVIDADES!A:I,9,0)</f>
        <v>09 - SECRETARIA DA SAÚDE</v>
      </c>
      <c r="F665" t="str">
        <f t="shared" si="31"/>
        <v>2.012</v>
      </c>
      <c r="G665" t="str">
        <f t="shared" si="32"/>
        <v>08.310.0000</v>
      </c>
    </row>
    <row r="666" spans="1:7" hidden="1" x14ac:dyDescent="0.25">
      <c r="A666" s="6" t="s">
        <v>2818</v>
      </c>
      <c r="B666" s="28">
        <v>1</v>
      </c>
      <c r="C666" s="6" t="s">
        <v>2819</v>
      </c>
      <c r="D666" t="str">
        <f t="shared" si="30"/>
        <v>09.009.10.302.0015.1.002.3.3.90.30.00</v>
      </c>
      <c r="E666" t="str">
        <f>VLOOKUP(LEFT(A666,2),ConsolidadoLoa27_ATIVIDADES!A:I,9,0)</f>
        <v>09 - SECRETARIA DA SAÚDE</v>
      </c>
      <c r="F666" t="str">
        <f t="shared" si="31"/>
        <v>1.002</v>
      </c>
      <c r="G666" t="str">
        <f t="shared" si="32"/>
        <v>01.110.0000</v>
      </c>
    </row>
    <row r="667" spans="1:7" hidden="1" x14ac:dyDescent="0.25">
      <c r="A667" s="6" t="s">
        <v>2820</v>
      </c>
      <c r="B667" s="28">
        <v>1</v>
      </c>
      <c r="C667" s="6" t="s">
        <v>2819</v>
      </c>
      <c r="D667" t="str">
        <f t="shared" si="30"/>
        <v>09.009.10.302.0015.1.002.3.3.90.30.00</v>
      </c>
      <c r="E667" t="str">
        <f>VLOOKUP(LEFT(A667,2),ConsolidadoLoa27_ATIVIDADES!A:I,9,0)</f>
        <v>09 - SECRETARIA DA SAÚDE</v>
      </c>
      <c r="F667" t="str">
        <f t="shared" si="31"/>
        <v>1.002</v>
      </c>
      <c r="G667" t="str">
        <f t="shared" si="32"/>
        <v>01.310.0000</v>
      </c>
    </row>
    <row r="668" spans="1:7" hidden="1" x14ac:dyDescent="0.25">
      <c r="A668" s="6" t="s">
        <v>2821</v>
      </c>
      <c r="B668" s="28">
        <v>1</v>
      </c>
      <c r="C668" s="6" t="s">
        <v>2819</v>
      </c>
      <c r="D668" t="str">
        <f t="shared" si="30"/>
        <v>09.009.10.302.0015.1.002.3.3.90.39.00</v>
      </c>
      <c r="E668" t="str">
        <f>VLOOKUP(LEFT(A668,2),ConsolidadoLoa27_ATIVIDADES!A:I,9,0)</f>
        <v>09 - SECRETARIA DA SAÚDE</v>
      </c>
      <c r="F668" t="str">
        <f t="shared" si="31"/>
        <v>1.002</v>
      </c>
      <c r="G668" t="str">
        <f t="shared" si="32"/>
        <v>01.110.0000</v>
      </c>
    </row>
    <row r="669" spans="1:7" hidden="1" x14ac:dyDescent="0.25">
      <c r="A669" s="6" t="s">
        <v>2821</v>
      </c>
      <c r="B669" s="28">
        <v>1</v>
      </c>
      <c r="C669" s="6" t="s">
        <v>2819</v>
      </c>
      <c r="D669" t="str">
        <f t="shared" si="30"/>
        <v>09.009.10.302.0015.1.002.3.3.90.39.00</v>
      </c>
      <c r="E669" t="str">
        <f>VLOOKUP(LEFT(A669,2),ConsolidadoLoa27_ATIVIDADES!A:I,9,0)</f>
        <v>09 - SECRETARIA DA SAÚDE</v>
      </c>
      <c r="F669" t="str">
        <f t="shared" si="31"/>
        <v>1.002</v>
      </c>
      <c r="G669" t="str">
        <f t="shared" si="32"/>
        <v>01.110.0000</v>
      </c>
    </row>
    <row r="670" spans="1:7" hidden="1" x14ac:dyDescent="0.25">
      <c r="A670" s="6" t="s">
        <v>2822</v>
      </c>
      <c r="B670" s="28">
        <v>1</v>
      </c>
      <c r="C670" s="6" t="s">
        <v>2819</v>
      </c>
      <c r="D670" t="str">
        <f t="shared" si="30"/>
        <v>09.009.10.302.0015.1.002.3.3.90.39.00</v>
      </c>
      <c r="E670" t="str">
        <f>VLOOKUP(LEFT(A670,2),ConsolidadoLoa27_ATIVIDADES!A:I,9,0)</f>
        <v>09 - SECRETARIA DA SAÚDE</v>
      </c>
      <c r="F670" t="str">
        <f t="shared" si="31"/>
        <v>1.002</v>
      </c>
      <c r="G670" t="str">
        <f t="shared" si="32"/>
        <v>01.310.0000</v>
      </c>
    </row>
    <row r="671" spans="1:7" hidden="1" x14ac:dyDescent="0.25">
      <c r="A671" s="6" t="s">
        <v>2822</v>
      </c>
      <c r="B671" s="28">
        <v>1</v>
      </c>
      <c r="C671" s="6" t="s">
        <v>2819</v>
      </c>
      <c r="D671" t="str">
        <f t="shared" si="30"/>
        <v>09.009.10.302.0015.1.002.3.3.90.39.00</v>
      </c>
      <c r="E671" t="str">
        <f>VLOOKUP(LEFT(A671,2),ConsolidadoLoa27_ATIVIDADES!A:I,9,0)</f>
        <v>09 - SECRETARIA DA SAÚDE</v>
      </c>
      <c r="F671" t="str">
        <f t="shared" si="31"/>
        <v>1.002</v>
      </c>
      <c r="G671" t="str">
        <f t="shared" si="32"/>
        <v>01.310.0000</v>
      </c>
    </row>
    <row r="672" spans="1:7" hidden="1" x14ac:dyDescent="0.25">
      <c r="A672" s="6" t="s">
        <v>2823</v>
      </c>
      <c r="B672" s="28">
        <v>1</v>
      </c>
      <c r="C672" s="6" t="s">
        <v>2819</v>
      </c>
      <c r="D672" t="str">
        <f t="shared" si="30"/>
        <v>09.009.10.302.0015.1.002.4.4.90.51.00</v>
      </c>
      <c r="E672" t="str">
        <f>VLOOKUP(LEFT(A672,2),ConsolidadoLoa27_ATIVIDADES!A:I,9,0)</f>
        <v>09 - SECRETARIA DA SAÚDE</v>
      </c>
      <c r="F672" t="str">
        <f t="shared" si="31"/>
        <v>1.002</v>
      </c>
      <c r="G672" t="str">
        <f t="shared" si="32"/>
        <v>01.110.0000</v>
      </c>
    </row>
    <row r="673" spans="1:7" hidden="1" x14ac:dyDescent="0.25">
      <c r="A673" s="6" t="s">
        <v>2824</v>
      </c>
      <c r="B673" s="28">
        <v>1</v>
      </c>
      <c r="C673" s="6" t="s">
        <v>2819</v>
      </c>
      <c r="D673" t="str">
        <f t="shared" si="30"/>
        <v>09.009.10.302.0015.1.002.4.4.90.51.00</v>
      </c>
      <c r="E673" t="str">
        <f>VLOOKUP(LEFT(A673,2),ConsolidadoLoa27_ATIVIDADES!A:I,9,0)</f>
        <v>09 - SECRETARIA DA SAÚDE</v>
      </c>
      <c r="F673" t="str">
        <f t="shared" si="31"/>
        <v>1.002</v>
      </c>
      <c r="G673" t="str">
        <f t="shared" si="32"/>
        <v>01.310.0000</v>
      </c>
    </row>
    <row r="674" spans="1:7" hidden="1" x14ac:dyDescent="0.25">
      <c r="A674" s="6" t="s">
        <v>2825</v>
      </c>
      <c r="B674" s="28">
        <v>1</v>
      </c>
      <c r="C674" s="6" t="s">
        <v>2819</v>
      </c>
      <c r="D674" t="str">
        <f t="shared" si="30"/>
        <v>09.009.10.302.0015.1.002.4.4.90.52.00</v>
      </c>
      <c r="E674" t="str">
        <f>VLOOKUP(LEFT(A674,2),ConsolidadoLoa27_ATIVIDADES!A:I,9,0)</f>
        <v>09 - SECRETARIA DA SAÚDE</v>
      </c>
      <c r="F674" t="str">
        <f t="shared" si="31"/>
        <v>1.002</v>
      </c>
      <c r="G674" t="str">
        <f t="shared" si="32"/>
        <v>01.110.0000</v>
      </c>
    </row>
    <row r="675" spans="1:7" hidden="1" x14ac:dyDescent="0.25">
      <c r="A675" s="6" t="s">
        <v>2826</v>
      </c>
      <c r="B675" s="28">
        <v>1</v>
      </c>
      <c r="C675" s="6" t="s">
        <v>2819</v>
      </c>
      <c r="D675" t="str">
        <f t="shared" si="30"/>
        <v>09.009.10.302.0015.1.002.4.4.90.52.00</v>
      </c>
      <c r="E675" t="str">
        <f>VLOOKUP(LEFT(A675,2),ConsolidadoLoa27_ATIVIDADES!A:I,9,0)</f>
        <v>09 - SECRETARIA DA SAÚDE</v>
      </c>
      <c r="F675" t="str">
        <f t="shared" si="31"/>
        <v>1.002</v>
      </c>
      <c r="G675" t="str">
        <f t="shared" si="32"/>
        <v>01.310.0000</v>
      </c>
    </row>
    <row r="676" spans="1:7" hidden="1" x14ac:dyDescent="0.25">
      <c r="A676" s="6" t="s">
        <v>2827</v>
      </c>
      <c r="B676" s="28">
        <v>1</v>
      </c>
      <c r="C676" s="6" t="s">
        <v>2828</v>
      </c>
      <c r="D676" t="str">
        <f t="shared" si="30"/>
        <v>09.009.10.302.0015.1.003.4.4.90.51.00</v>
      </c>
      <c r="E676" t="str">
        <f>VLOOKUP(LEFT(A676,2),ConsolidadoLoa27_ATIVIDADES!A:I,9,0)</f>
        <v>09 - SECRETARIA DA SAÚDE</v>
      </c>
      <c r="F676" t="str">
        <f t="shared" si="31"/>
        <v>1.003</v>
      </c>
      <c r="G676" t="str">
        <f t="shared" si="32"/>
        <v>01.110.0000</v>
      </c>
    </row>
    <row r="677" spans="1:7" hidden="1" x14ac:dyDescent="0.25">
      <c r="A677" s="6" t="s">
        <v>2829</v>
      </c>
      <c r="B677" s="28">
        <v>1</v>
      </c>
      <c r="C677" s="6" t="s">
        <v>2828</v>
      </c>
      <c r="D677" t="str">
        <f t="shared" si="30"/>
        <v>09.009.10.302.0015.1.003.4.4.90.51.00</v>
      </c>
      <c r="E677" t="str">
        <f>VLOOKUP(LEFT(A677,2),ConsolidadoLoa27_ATIVIDADES!A:I,9,0)</f>
        <v>09 - SECRETARIA DA SAÚDE</v>
      </c>
      <c r="F677" t="str">
        <f t="shared" si="31"/>
        <v>1.003</v>
      </c>
      <c r="G677" t="str">
        <f t="shared" si="32"/>
        <v>01.310.0000</v>
      </c>
    </row>
    <row r="678" spans="1:7" hidden="1" x14ac:dyDescent="0.25">
      <c r="A678" s="6" t="s">
        <v>2830</v>
      </c>
      <c r="B678" s="28">
        <v>1</v>
      </c>
      <c r="C678" s="20" t="s">
        <v>2831</v>
      </c>
      <c r="D678" t="str">
        <f t="shared" si="30"/>
        <v>09.009.10.302.0015.1.003.4.4.90.51.00</v>
      </c>
      <c r="E678" t="str">
        <f>VLOOKUP(LEFT(A678,2),ConsolidadoLoa27_ATIVIDADES!A:I,9,0)</f>
        <v>09 - SECRETARIA DA SAÚDE</v>
      </c>
      <c r="F678" t="str">
        <f t="shared" si="31"/>
        <v>1.003</v>
      </c>
      <c r="G678" t="str">
        <f t="shared" si="32"/>
        <v>05.302.0000</v>
      </c>
    </row>
    <row r="679" spans="1:7" hidden="1" x14ac:dyDescent="0.25">
      <c r="A679" s="6" t="s">
        <v>2832</v>
      </c>
      <c r="B679" s="28">
        <v>600000</v>
      </c>
      <c r="C679" s="6" t="s">
        <v>2833</v>
      </c>
      <c r="D679" t="str">
        <f t="shared" si="30"/>
        <v>09.009.10.302.0015.2.013.3.3.50.39.00</v>
      </c>
      <c r="E679" t="str">
        <f>VLOOKUP(LEFT(A679,2),ConsolidadoLoa27_ATIVIDADES!A:I,9,0)</f>
        <v>09 - SECRETARIA DA SAÚDE</v>
      </c>
      <c r="F679" t="str">
        <f t="shared" si="31"/>
        <v>2.013</v>
      </c>
      <c r="G679" t="str">
        <f t="shared" si="32"/>
        <v>01.110.0000</v>
      </c>
    </row>
    <row r="680" spans="1:7" hidden="1" x14ac:dyDescent="0.25">
      <c r="A680" s="6" t="s">
        <v>2834</v>
      </c>
      <c r="B680" s="28">
        <v>294003</v>
      </c>
      <c r="C680" s="6" t="s">
        <v>2835</v>
      </c>
      <c r="D680" t="str">
        <f t="shared" si="30"/>
        <v>09.009.10.302.0015.2.013.3.3.50.39.00</v>
      </c>
      <c r="E680" t="str">
        <f>VLOOKUP(LEFT(A680,2),ConsolidadoLoa27_ATIVIDADES!A:I,9,0)</f>
        <v>09 - SECRETARIA DA SAÚDE</v>
      </c>
      <c r="F680" t="str">
        <f t="shared" si="31"/>
        <v>2.013</v>
      </c>
      <c r="G680" t="str">
        <f t="shared" si="32"/>
        <v>05.302.0000</v>
      </c>
    </row>
    <row r="681" spans="1:7" hidden="1" x14ac:dyDescent="0.25">
      <c r="A681" s="6" t="s">
        <v>2834</v>
      </c>
      <c r="B681" s="28">
        <v>5798144</v>
      </c>
      <c r="C681" s="6" t="s">
        <v>2833</v>
      </c>
      <c r="D681" t="str">
        <f t="shared" si="30"/>
        <v>09.009.10.302.0015.2.013.3.3.50.39.00</v>
      </c>
      <c r="E681" t="str">
        <f>VLOOKUP(LEFT(A681,2),ConsolidadoLoa27_ATIVIDADES!A:I,9,0)</f>
        <v>09 - SECRETARIA DA SAÚDE</v>
      </c>
      <c r="F681" t="str">
        <f t="shared" si="31"/>
        <v>2.013</v>
      </c>
      <c r="G681" t="str">
        <f t="shared" si="32"/>
        <v>05.302.0000</v>
      </c>
    </row>
    <row r="682" spans="1:7" hidden="1" x14ac:dyDescent="0.25">
      <c r="A682" s="6" t="s">
        <v>2834</v>
      </c>
      <c r="B682" s="28">
        <v>4199199</v>
      </c>
      <c r="C682" s="6" t="s">
        <v>2836</v>
      </c>
      <c r="D682" t="str">
        <f t="shared" si="30"/>
        <v>09.009.10.302.0015.2.013.3.3.50.39.00</v>
      </c>
      <c r="E682" t="str">
        <f>VLOOKUP(LEFT(A682,2),ConsolidadoLoa27_ATIVIDADES!A:I,9,0)</f>
        <v>09 - SECRETARIA DA SAÚDE</v>
      </c>
      <c r="F682" t="str">
        <f t="shared" si="31"/>
        <v>2.013</v>
      </c>
      <c r="G682" t="str">
        <f t="shared" si="32"/>
        <v>05.302.0000</v>
      </c>
    </row>
    <row r="683" spans="1:7" hidden="1" x14ac:dyDescent="0.25">
      <c r="A683" s="6" t="s">
        <v>2837</v>
      </c>
      <c r="B683" s="28">
        <v>0</v>
      </c>
      <c r="C683" s="6" t="s">
        <v>2838</v>
      </c>
      <c r="D683" t="str">
        <f t="shared" si="30"/>
        <v>09.009.10.302.0015.2.013.3.3.50.39.00</v>
      </c>
      <c r="E683" t="str">
        <f>VLOOKUP(LEFT(A683,2),ConsolidadoLoa27_ATIVIDADES!A:I,9,0)</f>
        <v>09 - SECRETARIA DA SAÚDE</v>
      </c>
      <c r="F683" t="str">
        <f t="shared" si="31"/>
        <v>2.013</v>
      </c>
      <c r="G683" t="str">
        <f t="shared" si="32"/>
        <v>08.310.0000</v>
      </c>
    </row>
    <row r="684" spans="1:7" hidden="1" x14ac:dyDescent="0.25">
      <c r="A684" s="6" t="s">
        <v>2837</v>
      </c>
      <c r="B684" s="28">
        <v>0</v>
      </c>
      <c r="C684" s="6" t="s">
        <v>2839</v>
      </c>
      <c r="D684" t="str">
        <f t="shared" si="30"/>
        <v>09.009.10.302.0015.2.013.3.3.50.39.00</v>
      </c>
      <c r="E684" t="str">
        <f>VLOOKUP(LEFT(A684,2),ConsolidadoLoa27_ATIVIDADES!A:I,9,0)</f>
        <v>09 - SECRETARIA DA SAÚDE</v>
      </c>
      <c r="F684" t="str">
        <f t="shared" si="31"/>
        <v>2.013</v>
      </c>
      <c r="G684" t="str">
        <f t="shared" si="32"/>
        <v>08.310.0000</v>
      </c>
    </row>
    <row r="685" spans="1:7" hidden="1" x14ac:dyDescent="0.25">
      <c r="A685" s="6" t="s">
        <v>2837</v>
      </c>
      <c r="B685" s="28">
        <v>0</v>
      </c>
      <c r="C685" s="6" t="s">
        <v>2840</v>
      </c>
      <c r="D685" t="str">
        <f t="shared" si="30"/>
        <v>09.009.10.302.0015.2.013.3.3.50.39.00</v>
      </c>
      <c r="E685" t="str">
        <f>VLOOKUP(LEFT(A685,2),ConsolidadoLoa27_ATIVIDADES!A:I,9,0)</f>
        <v>09 - SECRETARIA DA SAÚDE</v>
      </c>
      <c r="F685" t="str">
        <f t="shared" si="31"/>
        <v>2.013</v>
      </c>
      <c r="G685" t="str">
        <f t="shared" si="32"/>
        <v>08.310.0000</v>
      </c>
    </row>
    <row r="686" spans="1:7" hidden="1" x14ac:dyDescent="0.25">
      <c r="A686" s="6" t="s">
        <v>2837</v>
      </c>
      <c r="B686" s="28">
        <v>0</v>
      </c>
      <c r="C686" s="6" t="s">
        <v>2841</v>
      </c>
      <c r="D686" t="str">
        <f t="shared" si="30"/>
        <v>09.009.10.302.0015.2.013.3.3.50.39.00</v>
      </c>
      <c r="E686" t="str">
        <f>VLOOKUP(LEFT(A686,2),ConsolidadoLoa27_ATIVIDADES!A:I,9,0)</f>
        <v>09 - SECRETARIA DA SAÚDE</v>
      </c>
      <c r="F686" t="str">
        <f t="shared" si="31"/>
        <v>2.013</v>
      </c>
      <c r="G686" t="str">
        <f t="shared" si="32"/>
        <v>08.310.0000</v>
      </c>
    </row>
    <row r="687" spans="1:7" hidden="1" x14ac:dyDescent="0.25">
      <c r="A687" s="6" t="s">
        <v>2837</v>
      </c>
      <c r="B687" s="28">
        <v>0</v>
      </c>
      <c r="C687" s="6" t="s">
        <v>2842</v>
      </c>
      <c r="D687" t="str">
        <f t="shared" si="30"/>
        <v>09.009.10.302.0015.2.013.3.3.50.39.00</v>
      </c>
      <c r="E687" t="str">
        <f>VLOOKUP(LEFT(A687,2),ConsolidadoLoa27_ATIVIDADES!A:I,9,0)</f>
        <v>09 - SECRETARIA DA SAÚDE</v>
      </c>
      <c r="F687" t="str">
        <f t="shared" si="31"/>
        <v>2.013</v>
      </c>
      <c r="G687" t="str">
        <f t="shared" si="32"/>
        <v>08.310.0000</v>
      </c>
    </row>
    <row r="688" spans="1:7" hidden="1" x14ac:dyDescent="0.25">
      <c r="A688" s="6" t="s">
        <v>2837</v>
      </c>
      <c r="B688" s="28">
        <v>0</v>
      </c>
      <c r="C688" s="6" t="s">
        <v>2843</v>
      </c>
      <c r="D688" t="str">
        <f t="shared" si="30"/>
        <v>09.009.10.302.0015.2.013.3.3.50.39.00</v>
      </c>
      <c r="E688" t="str">
        <f>VLOOKUP(LEFT(A688,2),ConsolidadoLoa27_ATIVIDADES!A:I,9,0)</f>
        <v>09 - SECRETARIA DA SAÚDE</v>
      </c>
      <c r="F688" t="str">
        <f t="shared" si="31"/>
        <v>2.013</v>
      </c>
      <c r="G688" t="str">
        <f t="shared" si="32"/>
        <v>08.310.0000</v>
      </c>
    </row>
    <row r="689" spans="1:7" hidden="1" x14ac:dyDescent="0.25">
      <c r="A689" s="6" t="s">
        <v>2837</v>
      </c>
      <c r="B689" s="28">
        <v>0</v>
      </c>
      <c r="C689" s="6" t="s">
        <v>2844</v>
      </c>
      <c r="D689" t="str">
        <f t="shared" si="30"/>
        <v>09.009.10.302.0015.2.013.3.3.50.39.00</v>
      </c>
      <c r="E689" t="str">
        <f>VLOOKUP(LEFT(A689,2),ConsolidadoLoa27_ATIVIDADES!A:I,9,0)</f>
        <v>09 - SECRETARIA DA SAÚDE</v>
      </c>
      <c r="F689" t="str">
        <f t="shared" si="31"/>
        <v>2.013</v>
      </c>
      <c r="G689" t="str">
        <f t="shared" si="32"/>
        <v>08.310.0000</v>
      </c>
    </row>
    <row r="690" spans="1:7" hidden="1" x14ac:dyDescent="0.25">
      <c r="A690" s="6" t="s">
        <v>2837</v>
      </c>
      <c r="B690" s="28">
        <v>0</v>
      </c>
      <c r="C690" s="6" t="s">
        <v>2845</v>
      </c>
      <c r="D690" t="str">
        <f t="shared" si="30"/>
        <v>09.009.10.302.0015.2.013.3.3.50.39.00</v>
      </c>
      <c r="E690" t="str">
        <f>VLOOKUP(LEFT(A690,2),ConsolidadoLoa27_ATIVIDADES!A:I,9,0)</f>
        <v>09 - SECRETARIA DA SAÚDE</v>
      </c>
      <c r="F690" t="str">
        <f t="shared" si="31"/>
        <v>2.013</v>
      </c>
      <c r="G690" t="str">
        <f t="shared" si="32"/>
        <v>08.310.0000</v>
      </c>
    </row>
    <row r="691" spans="1:7" hidden="1" x14ac:dyDescent="0.25">
      <c r="A691" s="6" t="s">
        <v>2837</v>
      </c>
      <c r="B691" s="28">
        <v>0</v>
      </c>
      <c r="C691" s="6" t="s">
        <v>2846</v>
      </c>
      <c r="D691" t="str">
        <f t="shared" si="30"/>
        <v>09.009.10.302.0015.2.013.3.3.50.39.00</v>
      </c>
      <c r="E691" t="str">
        <f>VLOOKUP(LEFT(A691,2),ConsolidadoLoa27_ATIVIDADES!A:I,9,0)</f>
        <v>09 - SECRETARIA DA SAÚDE</v>
      </c>
      <c r="F691" t="str">
        <f t="shared" si="31"/>
        <v>2.013</v>
      </c>
      <c r="G691" t="str">
        <f t="shared" si="32"/>
        <v>08.310.0000</v>
      </c>
    </row>
    <row r="692" spans="1:7" hidden="1" x14ac:dyDescent="0.25">
      <c r="A692" s="6" t="s">
        <v>2837</v>
      </c>
      <c r="B692" s="28">
        <v>0</v>
      </c>
      <c r="C692" s="6" t="s">
        <v>2847</v>
      </c>
      <c r="D692" t="str">
        <f t="shared" si="30"/>
        <v>09.009.10.302.0015.2.013.3.3.50.39.00</v>
      </c>
      <c r="E692" t="str">
        <f>VLOOKUP(LEFT(A692,2),ConsolidadoLoa27_ATIVIDADES!A:I,9,0)</f>
        <v>09 - SECRETARIA DA SAÚDE</v>
      </c>
      <c r="F692" t="str">
        <f t="shared" si="31"/>
        <v>2.013</v>
      </c>
      <c r="G692" t="str">
        <f t="shared" si="32"/>
        <v>08.310.0000</v>
      </c>
    </row>
    <row r="693" spans="1:7" hidden="1" x14ac:dyDescent="0.25">
      <c r="A693" s="6" t="s">
        <v>2848</v>
      </c>
      <c r="B693" s="28">
        <v>56459.540063999979</v>
      </c>
      <c r="C693" s="6" t="s">
        <v>2849</v>
      </c>
      <c r="D693" t="str">
        <f t="shared" si="30"/>
        <v>09.009.10.302.0015.2.013.3.3.90.30.00</v>
      </c>
      <c r="E693" t="str">
        <f>VLOOKUP(LEFT(A693,2),ConsolidadoLoa27_ATIVIDADES!A:I,9,0)</f>
        <v>09 - SECRETARIA DA SAÚDE</v>
      </c>
      <c r="F693" t="str">
        <f t="shared" si="31"/>
        <v>2.013</v>
      </c>
      <c r="G693" t="str">
        <f t="shared" si="32"/>
        <v>01.110.0000</v>
      </c>
    </row>
    <row r="694" spans="1:7" hidden="1" x14ac:dyDescent="0.25">
      <c r="A694" s="6" t="s">
        <v>2848</v>
      </c>
      <c r="B694" s="28">
        <v>207818.96090000001</v>
      </c>
      <c r="C694" s="6" t="s">
        <v>387</v>
      </c>
      <c r="D694" t="str">
        <f t="shared" si="30"/>
        <v>09.009.10.302.0015.2.013.3.3.90.30.00</v>
      </c>
      <c r="E694" t="str">
        <f>VLOOKUP(LEFT(A694,2),ConsolidadoLoa27_ATIVIDADES!A:I,9,0)</f>
        <v>09 - SECRETARIA DA SAÚDE</v>
      </c>
      <c r="F694" t="str">
        <f t="shared" si="31"/>
        <v>2.013</v>
      </c>
      <c r="G694" t="str">
        <f t="shared" si="32"/>
        <v>01.110.0000</v>
      </c>
    </row>
    <row r="695" spans="1:7" hidden="1" x14ac:dyDescent="0.25">
      <c r="A695" s="6" t="s">
        <v>2848</v>
      </c>
      <c r="B695" s="28">
        <v>471039.55000000005</v>
      </c>
      <c r="C695" s="6" t="s">
        <v>2769</v>
      </c>
      <c r="D695" t="str">
        <f t="shared" si="30"/>
        <v>09.009.10.302.0015.2.013.3.3.90.30.00</v>
      </c>
      <c r="E695" t="str">
        <f>VLOOKUP(LEFT(A695,2),ConsolidadoLoa27_ATIVIDADES!A:I,9,0)</f>
        <v>09 - SECRETARIA DA SAÚDE</v>
      </c>
      <c r="F695" t="str">
        <f t="shared" si="31"/>
        <v>2.013</v>
      </c>
      <c r="G695" t="str">
        <f t="shared" si="32"/>
        <v>01.110.0000</v>
      </c>
    </row>
    <row r="696" spans="1:7" hidden="1" x14ac:dyDescent="0.25">
      <c r="A696" s="6" t="s">
        <v>2850</v>
      </c>
      <c r="B696" s="28">
        <v>284209.43650000001</v>
      </c>
      <c r="C696" s="6" t="s">
        <v>2295</v>
      </c>
      <c r="D696" t="str">
        <f t="shared" si="30"/>
        <v>09.009.10.302.0015.2.013.3.3.90.30.00</v>
      </c>
      <c r="E696" t="str">
        <f>VLOOKUP(LEFT(A696,2),ConsolidadoLoa27_ATIVIDADES!A:I,9,0)</f>
        <v>09 - SECRETARIA DA SAÚDE</v>
      </c>
      <c r="F696" t="str">
        <f t="shared" si="31"/>
        <v>2.013</v>
      </c>
      <c r="G696" t="str">
        <f t="shared" si="32"/>
        <v>01.310.0000</v>
      </c>
    </row>
    <row r="697" spans="1:7" hidden="1" x14ac:dyDescent="0.25">
      <c r="A697" s="6" t="s">
        <v>2850</v>
      </c>
      <c r="B697" s="28">
        <v>1</v>
      </c>
      <c r="C697" s="6" t="s">
        <v>387</v>
      </c>
      <c r="D697" t="str">
        <f t="shared" si="30"/>
        <v>09.009.10.302.0015.2.013.3.3.90.30.00</v>
      </c>
      <c r="E697" t="str">
        <f>VLOOKUP(LEFT(A697,2),ConsolidadoLoa27_ATIVIDADES!A:I,9,0)</f>
        <v>09 - SECRETARIA DA SAÚDE</v>
      </c>
      <c r="F697" t="str">
        <f t="shared" si="31"/>
        <v>2.013</v>
      </c>
      <c r="G697" t="str">
        <f t="shared" si="32"/>
        <v>01.310.0000</v>
      </c>
    </row>
    <row r="698" spans="1:7" hidden="1" x14ac:dyDescent="0.25">
      <c r="A698" s="6" t="s">
        <v>2851</v>
      </c>
      <c r="B698" s="28">
        <v>27586.0268</v>
      </c>
      <c r="C698" s="6" t="s">
        <v>2288</v>
      </c>
      <c r="D698" t="str">
        <f t="shared" si="30"/>
        <v>09.009.10.302.0015.2.013.3.3.90.30.00</v>
      </c>
      <c r="E698" t="str">
        <f>VLOOKUP(LEFT(A698,2),ConsolidadoLoa27_ATIVIDADES!A:I,9,0)</f>
        <v>09 - SECRETARIA DA SAÚDE</v>
      </c>
      <c r="F698" t="str">
        <f t="shared" si="31"/>
        <v>2.013</v>
      </c>
      <c r="G698" t="str">
        <f t="shared" si="32"/>
        <v>02.310.0000</v>
      </c>
    </row>
    <row r="699" spans="1:7" hidden="1" x14ac:dyDescent="0.25">
      <c r="A699" s="6" t="s">
        <v>2852</v>
      </c>
      <c r="B699" s="28">
        <v>100000</v>
      </c>
      <c r="C699" s="6" t="s">
        <v>410</v>
      </c>
      <c r="D699" t="str">
        <f t="shared" si="30"/>
        <v>09.009.10.302.0015.2.013.3.3.90.30.00</v>
      </c>
      <c r="E699" t="str">
        <f>VLOOKUP(LEFT(A699,2),ConsolidadoLoa27_ATIVIDADES!A:I,9,0)</f>
        <v>09 - SECRETARIA DA SAÚDE</v>
      </c>
      <c r="F699" t="str">
        <f t="shared" si="31"/>
        <v>2.013</v>
      </c>
      <c r="G699" t="str">
        <f t="shared" si="32"/>
        <v>05.302.0000</v>
      </c>
    </row>
    <row r="700" spans="1:7" hidden="1" x14ac:dyDescent="0.25">
      <c r="A700" s="6" t="s">
        <v>2852</v>
      </c>
      <c r="B700" s="28">
        <v>3173905.55</v>
      </c>
      <c r="C700" s="6" t="s">
        <v>2769</v>
      </c>
      <c r="D700" t="str">
        <f t="shared" si="30"/>
        <v>09.009.10.302.0015.2.013.3.3.90.30.00</v>
      </c>
      <c r="E700" t="str">
        <f>VLOOKUP(LEFT(A700,2),ConsolidadoLoa27_ATIVIDADES!A:I,9,0)</f>
        <v>09 - SECRETARIA DA SAÚDE</v>
      </c>
      <c r="F700" t="str">
        <f t="shared" si="31"/>
        <v>2.013</v>
      </c>
      <c r="G700" t="str">
        <f t="shared" si="32"/>
        <v>05.302.0000</v>
      </c>
    </row>
    <row r="701" spans="1:7" hidden="1" x14ac:dyDescent="0.25">
      <c r="A701" s="6" t="s">
        <v>2853</v>
      </c>
      <c r="B701" s="28">
        <v>0</v>
      </c>
      <c r="C701" s="6" t="s">
        <v>2854</v>
      </c>
      <c r="D701" t="str">
        <f t="shared" si="30"/>
        <v>09.009.10.302.0015.2.013.3.3.90.30.00</v>
      </c>
      <c r="E701" t="str">
        <f>VLOOKUP(LEFT(A701,2),ConsolidadoLoa27_ATIVIDADES!A:I,9,0)</f>
        <v>09 - SECRETARIA DA SAÚDE</v>
      </c>
      <c r="F701" t="str">
        <f t="shared" si="31"/>
        <v>2.013</v>
      </c>
      <c r="G701" t="str">
        <f t="shared" si="32"/>
        <v>08.310.0000</v>
      </c>
    </row>
    <row r="702" spans="1:7" hidden="1" x14ac:dyDescent="0.25">
      <c r="A702" s="6" t="s">
        <v>2853</v>
      </c>
      <c r="B702" s="28">
        <v>0</v>
      </c>
      <c r="C702" s="6" t="s">
        <v>2855</v>
      </c>
      <c r="D702" t="str">
        <f t="shared" si="30"/>
        <v>09.009.10.302.0015.2.013.3.3.90.30.00</v>
      </c>
      <c r="E702" t="str">
        <f>VLOOKUP(LEFT(A702,2),ConsolidadoLoa27_ATIVIDADES!A:I,9,0)</f>
        <v>09 - SECRETARIA DA SAÚDE</v>
      </c>
      <c r="F702" t="str">
        <f t="shared" si="31"/>
        <v>2.013</v>
      </c>
      <c r="G702" t="str">
        <f t="shared" si="32"/>
        <v>08.310.0000</v>
      </c>
    </row>
    <row r="703" spans="1:7" hidden="1" x14ac:dyDescent="0.25">
      <c r="A703" s="6" t="s">
        <v>2856</v>
      </c>
      <c r="B703" s="28">
        <v>2646096.5900000003</v>
      </c>
      <c r="C703" s="6" t="s">
        <v>2774</v>
      </c>
      <c r="D703" t="str">
        <f t="shared" si="30"/>
        <v>09.009.10.302.0015.2.013.3.3.90.39.00</v>
      </c>
      <c r="E703" t="str">
        <f>VLOOKUP(LEFT(A703,2),ConsolidadoLoa27_ATIVIDADES!A:I,9,0)</f>
        <v>09 - SECRETARIA DA SAÚDE</v>
      </c>
      <c r="F703" t="str">
        <f t="shared" si="31"/>
        <v>2.013</v>
      </c>
      <c r="G703" t="str">
        <f t="shared" si="32"/>
        <v>01.110.0000</v>
      </c>
    </row>
    <row r="704" spans="1:7" hidden="1" x14ac:dyDescent="0.25">
      <c r="A704" s="6" t="s">
        <v>2857</v>
      </c>
      <c r="B704" s="28">
        <v>4057402.6</v>
      </c>
      <c r="C704" s="6" t="s">
        <v>2774</v>
      </c>
      <c r="D704" t="str">
        <f t="shared" si="30"/>
        <v>09.009.10.302.0015.2.013.3.3.90.39.00</v>
      </c>
      <c r="E704" t="str">
        <f>VLOOKUP(LEFT(A704,2),ConsolidadoLoa27_ATIVIDADES!A:I,9,0)</f>
        <v>09 - SECRETARIA DA SAÚDE</v>
      </c>
      <c r="F704" t="str">
        <f t="shared" si="31"/>
        <v>2.013</v>
      </c>
      <c r="G704" t="str">
        <f t="shared" si="32"/>
        <v>05.303.0000</v>
      </c>
    </row>
    <row r="705" spans="1:7" hidden="1" x14ac:dyDescent="0.25">
      <c r="A705" s="6" t="s">
        <v>2856</v>
      </c>
      <c r="B705" s="28">
        <v>3390156.67</v>
      </c>
      <c r="C705" s="6" t="s">
        <v>2776</v>
      </c>
      <c r="D705" t="str">
        <f t="shared" si="30"/>
        <v>09.009.10.302.0015.2.013.3.3.90.39.00</v>
      </c>
      <c r="E705" t="str">
        <f>VLOOKUP(LEFT(A705,2),ConsolidadoLoa27_ATIVIDADES!A:I,9,0)</f>
        <v>09 - SECRETARIA DA SAÚDE</v>
      </c>
      <c r="F705" t="str">
        <f t="shared" si="31"/>
        <v>2.013</v>
      </c>
      <c r="G705" t="str">
        <f t="shared" si="32"/>
        <v>01.110.0000</v>
      </c>
    </row>
    <row r="706" spans="1:7" hidden="1" x14ac:dyDescent="0.25">
      <c r="A706" s="6" t="s">
        <v>2856</v>
      </c>
      <c r="B706" s="28">
        <v>59668</v>
      </c>
      <c r="C706" s="6" t="s">
        <v>2785</v>
      </c>
      <c r="D706" t="str">
        <f t="shared" si="30"/>
        <v>09.009.10.302.0015.2.013.3.3.90.39.00</v>
      </c>
      <c r="E706" t="str">
        <f>VLOOKUP(LEFT(A706,2),ConsolidadoLoa27_ATIVIDADES!A:I,9,0)</f>
        <v>09 - SECRETARIA DA SAÚDE</v>
      </c>
      <c r="F706" t="str">
        <f t="shared" si="31"/>
        <v>2.013</v>
      </c>
      <c r="G706" t="str">
        <f t="shared" si="32"/>
        <v>01.110.0000</v>
      </c>
    </row>
    <row r="707" spans="1:7" hidden="1" x14ac:dyDescent="0.25">
      <c r="A707" s="6" t="s">
        <v>2856</v>
      </c>
      <c r="B707" s="28">
        <v>97033.25</v>
      </c>
      <c r="C707" s="6" t="s">
        <v>2779</v>
      </c>
      <c r="D707" t="str">
        <f t="shared" ref="D707:D770" si="33">_xlfn.CONCAT(LEFT(A707,34),".00")</f>
        <v>09.009.10.302.0015.2.013.3.3.90.39.00</v>
      </c>
      <c r="E707" t="str">
        <f>VLOOKUP(LEFT(A707,2),ConsolidadoLoa27_ATIVIDADES!A:I,9,0)</f>
        <v>09 - SECRETARIA DA SAÚDE</v>
      </c>
      <c r="F707" t="str">
        <f t="shared" ref="F707:F770" si="34">MID(A707,20,5)</f>
        <v>2.013</v>
      </c>
      <c r="G707" t="str">
        <f t="shared" ref="G707:G770" si="35">RIGHT(A707,11)</f>
        <v>01.110.0000</v>
      </c>
    </row>
    <row r="708" spans="1:7" hidden="1" x14ac:dyDescent="0.25">
      <c r="A708" s="6" t="s">
        <v>2856</v>
      </c>
      <c r="B708" s="28">
        <v>1952154.49</v>
      </c>
      <c r="C708" s="6" t="s">
        <v>2858</v>
      </c>
      <c r="D708" t="str">
        <f t="shared" si="33"/>
        <v>09.009.10.302.0015.2.013.3.3.90.39.00</v>
      </c>
      <c r="E708" t="str">
        <f>VLOOKUP(LEFT(A708,2),ConsolidadoLoa27_ATIVIDADES!A:I,9,0)</f>
        <v>09 - SECRETARIA DA SAÚDE</v>
      </c>
      <c r="F708" t="str">
        <f t="shared" si="34"/>
        <v>2.013</v>
      </c>
      <c r="G708" t="str">
        <f t="shared" si="35"/>
        <v>01.110.0000</v>
      </c>
    </row>
    <row r="709" spans="1:7" hidden="1" x14ac:dyDescent="0.25">
      <c r="A709" s="6" t="s">
        <v>2856</v>
      </c>
      <c r="B709" s="28">
        <v>189335.73065699998</v>
      </c>
      <c r="C709" s="6" t="s">
        <v>412</v>
      </c>
      <c r="D709" t="str">
        <f t="shared" si="33"/>
        <v>09.009.10.302.0015.2.013.3.3.90.39.00</v>
      </c>
      <c r="E709" t="str">
        <f>VLOOKUP(LEFT(A709,2),ConsolidadoLoa27_ATIVIDADES!A:I,9,0)</f>
        <v>09 - SECRETARIA DA SAÚDE</v>
      </c>
      <c r="F709" t="str">
        <f t="shared" si="34"/>
        <v>2.013</v>
      </c>
      <c r="G709" t="str">
        <f t="shared" si="35"/>
        <v>01.110.0000</v>
      </c>
    </row>
    <row r="710" spans="1:7" hidden="1" x14ac:dyDescent="0.25">
      <c r="A710" s="6" t="s">
        <v>2856</v>
      </c>
      <c r="B710" s="28">
        <v>415638.96090000001</v>
      </c>
      <c r="C710" s="6" t="s">
        <v>388</v>
      </c>
      <c r="D710" t="str">
        <f t="shared" si="33"/>
        <v>09.009.10.302.0015.2.013.3.3.90.39.00</v>
      </c>
      <c r="E710" t="str">
        <f>VLOOKUP(LEFT(A710,2),ConsolidadoLoa27_ATIVIDADES!A:I,9,0)</f>
        <v>09 - SECRETARIA DA SAÚDE</v>
      </c>
      <c r="F710" t="str">
        <f t="shared" si="34"/>
        <v>2.013</v>
      </c>
      <c r="G710" t="str">
        <f t="shared" si="35"/>
        <v>01.110.0000</v>
      </c>
    </row>
    <row r="711" spans="1:7" hidden="1" x14ac:dyDescent="0.25">
      <c r="A711" s="6" t="s">
        <v>2856</v>
      </c>
      <c r="B711" s="28">
        <v>1975567.37</v>
      </c>
      <c r="C711" s="6" t="s">
        <v>2781</v>
      </c>
      <c r="D711" t="str">
        <f t="shared" si="33"/>
        <v>09.009.10.302.0015.2.013.3.3.90.39.00</v>
      </c>
      <c r="E711" t="str">
        <f>VLOOKUP(LEFT(A711,2),ConsolidadoLoa27_ATIVIDADES!A:I,9,0)</f>
        <v>09 - SECRETARIA DA SAÚDE</v>
      </c>
      <c r="F711" t="str">
        <f t="shared" si="34"/>
        <v>2.013</v>
      </c>
      <c r="G711" t="str">
        <f t="shared" si="35"/>
        <v>01.110.0000</v>
      </c>
    </row>
    <row r="712" spans="1:7" hidden="1" x14ac:dyDescent="0.25">
      <c r="A712" s="6" t="s">
        <v>2859</v>
      </c>
      <c r="B712" s="28">
        <v>1</v>
      </c>
      <c r="C712" s="6" t="s">
        <v>2785</v>
      </c>
      <c r="D712" t="str">
        <f t="shared" si="33"/>
        <v>09.009.10.302.0015.2.013.3.3.90.39.00</v>
      </c>
      <c r="E712" t="str">
        <f>VLOOKUP(LEFT(A712,2),ConsolidadoLoa27_ATIVIDADES!A:I,9,0)</f>
        <v>09 - SECRETARIA DA SAÚDE</v>
      </c>
      <c r="F712" t="str">
        <f t="shared" si="34"/>
        <v>2.013</v>
      </c>
      <c r="G712" t="str">
        <f t="shared" si="35"/>
        <v>01.310.0000</v>
      </c>
    </row>
    <row r="713" spans="1:7" hidden="1" x14ac:dyDescent="0.25">
      <c r="A713" s="6" t="s">
        <v>2859</v>
      </c>
      <c r="B713" s="28">
        <v>1</v>
      </c>
      <c r="C713" s="6" t="s">
        <v>388</v>
      </c>
      <c r="D713" t="str">
        <f t="shared" si="33"/>
        <v>09.009.10.302.0015.2.013.3.3.90.39.00</v>
      </c>
      <c r="E713" t="str">
        <f>VLOOKUP(LEFT(A713,2),ConsolidadoLoa27_ATIVIDADES!A:I,9,0)</f>
        <v>09 - SECRETARIA DA SAÚDE</v>
      </c>
      <c r="F713" t="str">
        <f t="shared" si="34"/>
        <v>2.013</v>
      </c>
      <c r="G713" t="str">
        <f t="shared" si="35"/>
        <v>01.310.0000</v>
      </c>
    </row>
    <row r="714" spans="1:7" hidden="1" x14ac:dyDescent="0.25">
      <c r="A714" s="6" t="s">
        <v>2860</v>
      </c>
      <c r="B714" s="28">
        <v>1777110.8</v>
      </c>
      <c r="C714" s="6" t="s">
        <v>2783</v>
      </c>
      <c r="D714" t="str">
        <f t="shared" si="33"/>
        <v>09.009.10.302.0015.2.013.3.3.90.39.00</v>
      </c>
      <c r="E714" t="str">
        <f>VLOOKUP(LEFT(A714,2),ConsolidadoLoa27_ATIVIDADES!A:I,9,0)</f>
        <v>09 - SECRETARIA DA SAÚDE</v>
      </c>
      <c r="F714" t="str">
        <f t="shared" si="34"/>
        <v>2.013</v>
      </c>
      <c r="G714" t="str">
        <f t="shared" si="35"/>
        <v>02.310.0000</v>
      </c>
    </row>
    <row r="715" spans="1:7" hidden="1" x14ac:dyDescent="0.25">
      <c r="A715" s="6" t="s">
        <v>2859</v>
      </c>
      <c r="B715" s="28">
        <v>5683010.9199999999</v>
      </c>
      <c r="C715" s="6" t="s">
        <v>2783</v>
      </c>
      <c r="D715" t="str">
        <f t="shared" si="33"/>
        <v>09.009.10.302.0015.2.013.3.3.90.39.00</v>
      </c>
      <c r="E715" t="str">
        <f>VLOOKUP(LEFT(A715,2),ConsolidadoLoa27_ATIVIDADES!A:I,9,0)</f>
        <v>09 - SECRETARIA DA SAÚDE</v>
      </c>
      <c r="F715" t="str">
        <f t="shared" si="34"/>
        <v>2.013</v>
      </c>
      <c r="G715" t="str">
        <f t="shared" si="35"/>
        <v>01.310.0000</v>
      </c>
    </row>
    <row r="716" spans="1:7" hidden="1" x14ac:dyDescent="0.25">
      <c r="A716" s="6" t="s">
        <v>2861</v>
      </c>
      <c r="B716" s="28">
        <v>0</v>
      </c>
      <c r="C716" s="6" t="s">
        <v>2862</v>
      </c>
      <c r="D716" t="str">
        <f t="shared" si="33"/>
        <v>09.009.10.302.0015.2.013.3.3.90.39.00</v>
      </c>
      <c r="E716" t="str">
        <f>VLOOKUP(LEFT(A716,2),ConsolidadoLoa27_ATIVIDADES!A:I,9,0)</f>
        <v>09 - SECRETARIA DA SAÚDE</v>
      </c>
      <c r="F716" t="str">
        <f t="shared" si="34"/>
        <v>2.013</v>
      </c>
      <c r="G716" t="str">
        <f t="shared" si="35"/>
        <v>08.310.0000</v>
      </c>
    </row>
    <row r="717" spans="1:7" hidden="1" x14ac:dyDescent="0.25">
      <c r="A717" s="6" t="s">
        <v>2861</v>
      </c>
      <c r="B717" s="28">
        <v>0</v>
      </c>
      <c r="C717" s="6" t="s">
        <v>2863</v>
      </c>
      <c r="D717" t="str">
        <f t="shared" si="33"/>
        <v>09.009.10.302.0015.2.013.3.3.90.39.00</v>
      </c>
      <c r="E717" t="str">
        <f>VLOOKUP(LEFT(A717,2),ConsolidadoLoa27_ATIVIDADES!A:I,9,0)</f>
        <v>09 - SECRETARIA DA SAÚDE</v>
      </c>
      <c r="F717" t="str">
        <f t="shared" si="34"/>
        <v>2.013</v>
      </c>
      <c r="G717" t="str">
        <f t="shared" si="35"/>
        <v>08.310.0000</v>
      </c>
    </row>
    <row r="718" spans="1:7" hidden="1" x14ac:dyDescent="0.25">
      <c r="A718" s="6" t="s">
        <v>2864</v>
      </c>
      <c r="B718" s="28">
        <v>0</v>
      </c>
      <c r="C718" s="6" t="s">
        <v>2854</v>
      </c>
      <c r="D718" t="str">
        <f t="shared" si="33"/>
        <v>09.009.10.302.0015.2.013.3.3.90.40.00</v>
      </c>
      <c r="E718" t="str">
        <f>VLOOKUP(LEFT(A718,2),ConsolidadoLoa27_ATIVIDADES!A:I,9,0)</f>
        <v>09 - SECRETARIA DA SAÚDE</v>
      </c>
      <c r="F718" t="str">
        <f t="shared" si="34"/>
        <v>2.013</v>
      </c>
      <c r="G718" t="str">
        <f t="shared" si="35"/>
        <v>08.310.0000</v>
      </c>
    </row>
    <row r="719" spans="1:7" hidden="1" x14ac:dyDescent="0.25">
      <c r="A719" s="6" t="s">
        <v>2865</v>
      </c>
      <c r="B719" s="28">
        <v>726001</v>
      </c>
      <c r="C719" s="6" t="s">
        <v>2706</v>
      </c>
      <c r="D719" t="str">
        <f t="shared" si="33"/>
        <v>09.009.10.302.0015.2.013.3.3.90.93.00</v>
      </c>
      <c r="E719" t="str">
        <f>VLOOKUP(LEFT(A719,2),ConsolidadoLoa27_ATIVIDADES!A:I,9,0)</f>
        <v>09 - SECRETARIA DA SAÚDE</v>
      </c>
      <c r="F719" t="str">
        <f t="shared" si="34"/>
        <v>2.013</v>
      </c>
      <c r="G719" t="str">
        <f t="shared" si="35"/>
        <v>01.310.0000</v>
      </c>
    </row>
    <row r="720" spans="1:7" hidden="1" x14ac:dyDescent="0.25">
      <c r="A720" s="6" t="s">
        <v>2866</v>
      </c>
      <c r="B720" s="28">
        <v>0</v>
      </c>
      <c r="C720" s="6" t="s">
        <v>2839</v>
      </c>
      <c r="D720" t="str">
        <f t="shared" si="33"/>
        <v>09.009.10.302.0015.2.013.4.4.50.51.00</v>
      </c>
      <c r="E720" t="str">
        <f>VLOOKUP(LEFT(A720,2),ConsolidadoLoa27_ATIVIDADES!A:I,9,0)</f>
        <v>09 - SECRETARIA DA SAÚDE</v>
      </c>
      <c r="F720" t="str">
        <f t="shared" si="34"/>
        <v>2.013</v>
      </c>
      <c r="G720" t="str">
        <f t="shared" si="35"/>
        <v>08.310.0000</v>
      </c>
    </row>
    <row r="721" spans="1:7" hidden="1" x14ac:dyDescent="0.25">
      <c r="A721" s="6" t="s">
        <v>2867</v>
      </c>
      <c r="B721" s="28">
        <v>519548.96090000001</v>
      </c>
      <c r="C721" s="6" t="s">
        <v>2500</v>
      </c>
      <c r="D721" t="str">
        <f t="shared" si="33"/>
        <v>09.009.10.302.0015.2.013.4.4.50.52.00</v>
      </c>
      <c r="E721" t="str">
        <f>VLOOKUP(LEFT(A721,2),ConsolidadoLoa27_ATIVIDADES!A:I,9,0)</f>
        <v>09 - SECRETARIA DA SAÚDE</v>
      </c>
      <c r="F721" t="str">
        <f t="shared" si="34"/>
        <v>2.013</v>
      </c>
      <c r="G721" t="str">
        <f t="shared" si="35"/>
        <v>01.110.0000</v>
      </c>
    </row>
    <row r="722" spans="1:7" hidden="1" x14ac:dyDescent="0.25">
      <c r="A722" s="6" t="s">
        <v>2868</v>
      </c>
      <c r="B722" s="28">
        <v>1</v>
      </c>
      <c r="C722" s="6" t="s">
        <v>2500</v>
      </c>
      <c r="D722" t="str">
        <f t="shared" si="33"/>
        <v>09.009.10.302.0015.2.013.4.4.50.52.00</v>
      </c>
      <c r="E722" t="str">
        <f>VLOOKUP(LEFT(A722,2),ConsolidadoLoa27_ATIVIDADES!A:I,9,0)</f>
        <v>09 - SECRETARIA DA SAÚDE</v>
      </c>
      <c r="F722" t="str">
        <f t="shared" si="34"/>
        <v>2.013</v>
      </c>
      <c r="G722" t="str">
        <f t="shared" si="35"/>
        <v>01.310.0000</v>
      </c>
    </row>
    <row r="723" spans="1:7" hidden="1" x14ac:dyDescent="0.25">
      <c r="A723" s="6" t="s">
        <v>2869</v>
      </c>
      <c r="B723" s="28">
        <v>0</v>
      </c>
      <c r="C723" s="6" t="s">
        <v>2839</v>
      </c>
      <c r="D723" t="str">
        <f t="shared" si="33"/>
        <v>09.009.10.302.0015.2.013.4.4.50.52.00</v>
      </c>
      <c r="E723" t="str">
        <f>VLOOKUP(LEFT(A723,2),ConsolidadoLoa27_ATIVIDADES!A:I,9,0)</f>
        <v>09 - SECRETARIA DA SAÚDE</v>
      </c>
      <c r="F723" t="str">
        <f t="shared" si="34"/>
        <v>2.013</v>
      </c>
      <c r="G723" t="str">
        <f t="shared" si="35"/>
        <v>08.310.0000</v>
      </c>
    </row>
    <row r="724" spans="1:7" hidden="1" x14ac:dyDescent="0.25">
      <c r="A724" s="6" t="s">
        <v>2869</v>
      </c>
      <c r="B724" s="28">
        <v>0</v>
      </c>
      <c r="C724" s="6" t="s">
        <v>2840</v>
      </c>
      <c r="D724" t="str">
        <f t="shared" si="33"/>
        <v>09.009.10.302.0015.2.013.4.4.50.52.00</v>
      </c>
      <c r="E724" t="str">
        <f>VLOOKUP(LEFT(A724,2),ConsolidadoLoa27_ATIVIDADES!A:I,9,0)</f>
        <v>09 - SECRETARIA DA SAÚDE</v>
      </c>
      <c r="F724" t="str">
        <f t="shared" si="34"/>
        <v>2.013</v>
      </c>
      <c r="G724" t="str">
        <f t="shared" si="35"/>
        <v>08.310.0000</v>
      </c>
    </row>
    <row r="725" spans="1:7" hidden="1" x14ac:dyDescent="0.25">
      <c r="A725" s="6" t="s">
        <v>2869</v>
      </c>
      <c r="B725" s="28">
        <v>0</v>
      </c>
      <c r="C725" s="6" t="s">
        <v>2870</v>
      </c>
      <c r="D725" t="str">
        <f t="shared" si="33"/>
        <v>09.009.10.302.0015.2.013.4.4.50.52.00</v>
      </c>
      <c r="E725" t="str">
        <f>VLOOKUP(LEFT(A725,2),ConsolidadoLoa27_ATIVIDADES!A:I,9,0)</f>
        <v>09 - SECRETARIA DA SAÚDE</v>
      </c>
      <c r="F725" t="str">
        <f t="shared" si="34"/>
        <v>2.013</v>
      </c>
      <c r="G725" t="str">
        <f t="shared" si="35"/>
        <v>08.310.0000</v>
      </c>
    </row>
    <row r="726" spans="1:7" hidden="1" x14ac:dyDescent="0.25">
      <c r="A726" s="6" t="s">
        <v>2869</v>
      </c>
      <c r="B726" s="28">
        <v>0</v>
      </c>
      <c r="C726" s="6" t="s">
        <v>2871</v>
      </c>
      <c r="D726" t="str">
        <f t="shared" si="33"/>
        <v>09.009.10.302.0015.2.013.4.4.50.52.00</v>
      </c>
      <c r="E726" t="str">
        <f>VLOOKUP(LEFT(A726,2),ConsolidadoLoa27_ATIVIDADES!A:I,9,0)</f>
        <v>09 - SECRETARIA DA SAÚDE</v>
      </c>
      <c r="F726" t="str">
        <f t="shared" si="34"/>
        <v>2.013</v>
      </c>
      <c r="G726" t="str">
        <f t="shared" si="35"/>
        <v>08.310.0000</v>
      </c>
    </row>
    <row r="727" spans="1:7" hidden="1" x14ac:dyDescent="0.25">
      <c r="A727" s="6" t="s">
        <v>2869</v>
      </c>
      <c r="B727" s="28">
        <v>0</v>
      </c>
      <c r="C727" s="6" t="s">
        <v>2872</v>
      </c>
      <c r="D727" t="str">
        <f t="shared" si="33"/>
        <v>09.009.10.302.0015.2.013.4.4.50.52.00</v>
      </c>
      <c r="E727" t="str">
        <f>VLOOKUP(LEFT(A727,2),ConsolidadoLoa27_ATIVIDADES!A:I,9,0)</f>
        <v>09 - SECRETARIA DA SAÚDE</v>
      </c>
      <c r="F727" t="str">
        <f t="shared" si="34"/>
        <v>2.013</v>
      </c>
      <c r="G727" t="str">
        <f t="shared" si="35"/>
        <v>08.310.0000</v>
      </c>
    </row>
    <row r="728" spans="1:7" hidden="1" x14ac:dyDescent="0.25">
      <c r="A728" s="6" t="s">
        <v>2869</v>
      </c>
      <c r="B728" s="28">
        <v>0</v>
      </c>
      <c r="C728" s="6" t="s">
        <v>2873</v>
      </c>
      <c r="D728" t="str">
        <f t="shared" si="33"/>
        <v>09.009.10.302.0015.2.013.4.4.50.52.00</v>
      </c>
      <c r="E728" t="str">
        <f>VLOOKUP(LEFT(A728,2),ConsolidadoLoa27_ATIVIDADES!A:I,9,0)</f>
        <v>09 - SECRETARIA DA SAÚDE</v>
      </c>
      <c r="F728" t="str">
        <f t="shared" si="34"/>
        <v>2.013</v>
      </c>
      <c r="G728" t="str">
        <f t="shared" si="35"/>
        <v>08.310.0000</v>
      </c>
    </row>
    <row r="729" spans="1:7" hidden="1" x14ac:dyDescent="0.25">
      <c r="A729" s="6" t="s">
        <v>2869</v>
      </c>
      <c r="B729" s="28">
        <v>0</v>
      </c>
      <c r="C729" s="6" t="s">
        <v>2874</v>
      </c>
      <c r="D729" t="str">
        <f t="shared" si="33"/>
        <v>09.009.10.302.0015.2.013.4.4.50.52.00</v>
      </c>
      <c r="E729" t="str">
        <f>VLOOKUP(LEFT(A729,2),ConsolidadoLoa27_ATIVIDADES!A:I,9,0)</f>
        <v>09 - SECRETARIA DA SAÚDE</v>
      </c>
      <c r="F729" t="str">
        <f t="shared" si="34"/>
        <v>2.013</v>
      </c>
      <c r="G729" t="str">
        <f t="shared" si="35"/>
        <v>08.310.0000</v>
      </c>
    </row>
    <row r="730" spans="1:7" hidden="1" x14ac:dyDescent="0.25">
      <c r="A730" s="6" t="s">
        <v>2869</v>
      </c>
      <c r="B730" s="28">
        <v>0</v>
      </c>
      <c r="C730" s="6" t="s">
        <v>2875</v>
      </c>
      <c r="D730" t="str">
        <f t="shared" si="33"/>
        <v>09.009.10.302.0015.2.013.4.4.50.52.00</v>
      </c>
      <c r="E730" t="str">
        <f>VLOOKUP(LEFT(A730,2),ConsolidadoLoa27_ATIVIDADES!A:I,9,0)</f>
        <v>09 - SECRETARIA DA SAÚDE</v>
      </c>
      <c r="F730" t="str">
        <f t="shared" si="34"/>
        <v>2.013</v>
      </c>
      <c r="G730" t="str">
        <f t="shared" si="35"/>
        <v>08.310.0000</v>
      </c>
    </row>
    <row r="731" spans="1:7" hidden="1" x14ac:dyDescent="0.25">
      <c r="A731" s="6" t="s">
        <v>2869</v>
      </c>
      <c r="B731" s="28">
        <v>0</v>
      </c>
      <c r="C731" s="6" t="s">
        <v>2846</v>
      </c>
      <c r="D731" t="str">
        <f t="shared" si="33"/>
        <v>09.009.10.302.0015.2.013.4.4.50.52.00</v>
      </c>
      <c r="E731" t="str">
        <f>VLOOKUP(LEFT(A731,2),ConsolidadoLoa27_ATIVIDADES!A:I,9,0)</f>
        <v>09 - SECRETARIA DA SAÚDE</v>
      </c>
      <c r="F731" t="str">
        <f t="shared" si="34"/>
        <v>2.013</v>
      </c>
      <c r="G731" t="str">
        <f t="shared" si="35"/>
        <v>08.310.0000</v>
      </c>
    </row>
    <row r="732" spans="1:7" hidden="1" x14ac:dyDescent="0.25">
      <c r="A732" s="6" t="s">
        <v>2869</v>
      </c>
      <c r="B732" s="28">
        <v>0</v>
      </c>
      <c r="C732" s="6" t="s">
        <v>2847</v>
      </c>
      <c r="D732" t="str">
        <f t="shared" si="33"/>
        <v>09.009.10.302.0015.2.013.4.4.50.52.00</v>
      </c>
      <c r="E732" t="str">
        <f>VLOOKUP(LEFT(A732,2),ConsolidadoLoa27_ATIVIDADES!A:I,9,0)</f>
        <v>09 - SECRETARIA DA SAÚDE</v>
      </c>
      <c r="F732" t="str">
        <f t="shared" si="34"/>
        <v>2.013</v>
      </c>
      <c r="G732" t="str">
        <f t="shared" si="35"/>
        <v>08.310.0000</v>
      </c>
    </row>
    <row r="733" spans="1:7" hidden="1" x14ac:dyDescent="0.25">
      <c r="A733" s="6" t="s">
        <v>2869</v>
      </c>
      <c r="B733" s="28">
        <v>0</v>
      </c>
      <c r="C733" s="6" t="s">
        <v>2876</v>
      </c>
      <c r="D733" t="str">
        <f t="shared" si="33"/>
        <v>09.009.10.302.0015.2.013.4.4.50.52.00</v>
      </c>
      <c r="E733" t="str">
        <f>VLOOKUP(LEFT(A733,2),ConsolidadoLoa27_ATIVIDADES!A:I,9,0)</f>
        <v>09 - SECRETARIA DA SAÚDE</v>
      </c>
      <c r="F733" t="str">
        <f t="shared" si="34"/>
        <v>2.013</v>
      </c>
      <c r="G733" t="str">
        <f t="shared" si="35"/>
        <v>08.310.0000</v>
      </c>
    </row>
    <row r="734" spans="1:7" hidden="1" x14ac:dyDescent="0.25">
      <c r="A734" s="6" t="s">
        <v>2877</v>
      </c>
      <c r="B734" s="28">
        <v>0</v>
      </c>
      <c r="C734" s="6" t="s">
        <v>2854</v>
      </c>
      <c r="D734" t="str">
        <f t="shared" si="33"/>
        <v>09.009.10.302.0015.2.013.4.4.90.52.00</v>
      </c>
      <c r="E734" t="str">
        <f>VLOOKUP(LEFT(A734,2),ConsolidadoLoa27_ATIVIDADES!A:I,9,0)</f>
        <v>09 - SECRETARIA DA SAÚDE</v>
      </c>
      <c r="F734" t="str">
        <f t="shared" si="34"/>
        <v>2.013</v>
      </c>
      <c r="G734" t="str">
        <f t="shared" si="35"/>
        <v>08.310.0000</v>
      </c>
    </row>
    <row r="735" spans="1:7" hidden="1" x14ac:dyDescent="0.25">
      <c r="A735" s="6" t="s">
        <v>2877</v>
      </c>
      <c r="B735" s="28">
        <v>0</v>
      </c>
      <c r="C735" s="6" t="s">
        <v>2855</v>
      </c>
      <c r="D735" t="str">
        <f t="shared" si="33"/>
        <v>09.009.10.302.0015.2.013.4.4.90.52.00</v>
      </c>
      <c r="E735" t="str">
        <f>VLOOKUP(LEFT(A735,2),ConsolidadoLoa27_ATIVIDADES!A:I,9,0)</f>
        <v>09 - SECRETARIA DA SAÚDE</v>
      </c>
      <c r="F735" t="str">
        <f t="shared" si="34"/>
        <v>2.013</v>
      </c>
      <c r="G735" t="str">
        <f t="shared" si="35"/>
        <v>08.310.0000</v>
      </c>
    </row>
    <row r="736" spans="1:7" hidden="1" x14ac:dyDescent="0.25">
      <c r="A736" s="6" t="s">
        <v>2877</v>
      </c>
      <c r="B736" s="28">
        <v>0</v>
      </c>
      <c r="C736" s="6" t="s">
        <v>2878</v>
      </c>
      <c r="D736" t="str">
        <f t="shared" si="33"/>
        <v>09.009.10.302.0015.2.013.4.4.90.52.00</v>
      </c>
      <c r="E736" t="str">
        <f>VLOOKUP(LEFT(A736,2),ConsolidadoLoa27_ATIVIDADES!A:I,9,0)</f>
        <v>09 - SECRETARIA DA SAÚDE</v>
      </c>
      <c r="F736" t="str">
        <f t="shared" si="34"/>
        <v>2.013</v>
      </c>
      <c r="G736" t="str">
        <f t="shared" si="35"/>
        <v>08.310.0000</v>
      </c>
    </row>
    <row r="737" spans="1:7" hidden="1" x14ac:dyDescent="0.25">
      <c r="A737" s="6" t="s">
        <v>2879</v>
      </c>
      <c r="B737" s="28">
        <v>242122.91000000015</v>
      </c>
      <c r="C737" s="6" t="s">
        <v>2880</v>
      </c>
      <c r="D737" t="str">
        <f t="shared" si="33"/>
        <v>09.009.10.302.0015.2.023.3.3.50.85.00</v>
      </c>
      <c r="E737" t="str">
        <f>VLOOKUP(LEFT(A737,2),ConsolidadoLoa27_ATIVIDADES!A:I,9,0)</f>
        <v>09 - SECRETARIA DA SAÚDE</v>
      </c>
      <c r="F737" t="str">
        <f t="shared" si="34"/>
        <v>2.023</v>
      </c>
      <c r="G737" t="str">
        <f t="shared" si="35"/>
        <v>01.110.0000</v>
      </c>
    </row>
    <row r="738" spans="1:7" hidden="1" x14ac:dyDescent="0.25">
      <c r="A738" s="6" t="s">
        <v>2879</v>
      </c>
      <c r="B738" s="28">
        <v>765954.85</v>
      </c>
      <c r="C738" s="6" t="s">
        <v>2881</v>
      </c>
      <c r="D738" t="str">
        <f t="shared" si="33"/>
        <v>09.009.10.302.0015.2.023.3.3.50.85.00</v>
      </c>
      <c r="E738" t="str">
        <f>VLOOKUP(LEFT(A738,2),ConsolidadoLoa27_ATIVIDADES!A:I,9,0)</f>
        <v>09 - SECRETARIA DA SAÚDE</v>
      </c>
      <c r="F738" t="str">
        <f t="shared" si="34"/>
        <v>2.023</v>
      </c>
      <c r="G738" t="str">
        <f t="shared" si="35"/>
        <v>01.110.0000</v>
      </c>
    </row>
    <row r="739" spans="1:7" hidden="1" x14ac:dyDescent="0.25">
      <c r="A739" s="6" t="s">
        <v>2882</v>
      </c>
      <c r="B739" s="28">
        <v>2588286.4</v>
      </c>
      <c r="C739" s="6" t="s">
        <v>2881</v>
      </c>
      <c r="D739" t="str">
        <f t="shared" si="33"/>
        <v>09.009.10.302.0015.2.023.3.3.50.85.00</v>
      </c>
      <c r="E739" t="str">
        <f>VLOOKUP(LEFT(A739,2),ConsolidadoLoa27_ATIVIDADES!A:I,9,0)</f>
        <v>09 - SECRETARIA DA SAÚDE</v>
      </c>
      <c r="F739" t="str">
        <f t="shared" si="34"/>
        <v>2.023</v>
      </c>
      <c r="G739" t="str">
        <f t="shared" si="35"/>
        <v>01.310.0000</v>
      </c>
    </row>
    <row r="740" spans="1:7" hidden="1" x14ac:dyDescent="0.25">
      <c r="A740" s="6" t="s">
        <v>2883</v>
      </c>
      <c r="B740" s="28">
        <v>10966750</v>
      </c>
      <c r="C740" s="6" t="s">
        <v>2880</v>
      </c>
      <c r="D740" t="str">
        <f t="shared" si="33"/>
        <v>09.009.10.302.0015.2.023.3.3.50.85.00</v>
      </c>
      <c r="E740" t="str">
        <f>VLOOKUP(LEFT(A740,2),ConsolidadoLoa27_ATIVIDADES!A:I,9,0)</f>
        <v>09 - SECRETARIA DA SAÚDE</v>
      </c>
      <c r="F740" t="str">
        <f t="shared" si="34"/>
        <v>2.023</v>
      </c>
      <c r="G740" t="str">
        <f t="shared" si="35"/>
        <v>02.310.0000</v>
      </c>
    </row>
    <row r="741" spans="1:7" hidden="1" x14ac:dyDescent="0.25">
      <c r="A741" s="6" t="s">
        <v>2884</v>
      </c>
      <c r="B741" s="28">
        <v>1</v>
      </c>
      <c r="C741" s="6" t="s">
        <v>2885</v>
      </c>
      <c r="D741" t="str">
        <f t="shared" si="33"/>
        <v>09.010.10.302.0015.1.002.3.3.90.30.00</v>
      </c>
      <c r="E741" t="str">
        <f>VLOOKUP(LEFT(A741,2),ConsolidadoLoa27_ATIVIDADES!A:I,9,0)</f>
        <v>09 - SECRETARIA DA SAÚDE</v>
      </c>
      <c r="F741" t="str">
        <f t="shared" si="34"/>
        <v>1.002</v>
      </c>
      <c r="G741" t="str">
        <f t="shared" si="35"/>
        <v>01.110.0000</v>
      </c>
    </row>
    <row r="742" spans="1:7" hidden="1" x14ac:dyDescent="0.25">
      <c r="A742" s="6" t="s">
        <v>2886</v>
      </c>
      <c r="B742" s="28">
        <v>1</v>
      </c>
      <c r="C742" s="6" t="s">
        <v>2885</v>
      </c>
      <c r="D742" t="str">
        <f t="shared" si="33"/>
        <v>09.010.10.302.0015.1.002.3.3.90.30.00</v>
      </c>
      <c r="E742" t="str">
        <f>VLOOKUP(LEFT(A742,2),ConsolidadoLoa27_ATIVIDADES!A:I,9,0)</f>
        <v>09 - SECRETARIA DA SAÚDE</v>
      </c>
      <c r="F742" t="str">
        <f t="shared" si="34"/>
        <v>1.002</v>
      </c>
      <c r="G742" t="str">
        <f t="shared" si="35"/>
        <v>01.310.0000</v>
      </c>
    </row>
    <row r="743" spans="1:7" hidden="1" x14ac:dyDescent="0.25">
      <c r="A743" s="6" t="s">
        <v>2887</v>
      </c>
      <c r="B743" s="28">
        <v>1</v>
      </c>
      <c r="C743" s="6" t="s">
        <v>2885</v>
      </c>
      <c r="D743" t="str">
        <f t="shared" si="33"/>
        <v>09.010.10.302.0015.1.002.3.3.90.39.00</v>
      </c>
      <c r="E743" t="str">
        <f>VLOOKUP(LEFT(A743,2),ConsolidadoLoa27_ATIVIDADES!A:I,9,0)</f>
        <v>09 - SECRETARIA DA SAÚDE</v>
      </c>
      <c r="F743" t="str">
        <f t="shared" si="34"/>
        <v>1.002</v>
      </c>
      <c r="G743" t="str">
        <f t="shared" si="35"/>
        <v>01.110.0000</v>
      </c>
    </row>
    <row r="744" spans="1:7" hidden="1" x14ac:dyDescent="0.25">
      <c r="A744" s="6" t="s">
        <v>2887</v>
      </c>
      <c r="B744" s="28">
        <v>1</v>
      </c>
      <c r="C744" s="6" t="s">
        <v>2885</v>
      </c>
      <c r="D744" t="str">
        <f t="shared" si="33"/>
        <v>09.010.10.302.0015.1.002.3.3.90.39.00</v>
      </c>
      <c r="E744" t="str">
        <f>VLOOKUP(LEFT(A744,2),ConsolidadoLoa27_ATIVIDADES!A:I,9,0)</f>
        <v>09 - SECRETARIA DA SAÚDE</v>
      </c>
      <c r="F744" t="str">
        <f t="shared" si="34"/>
        <v>1.002</v>
      </c>
      <c r="G744" t="str">
        <f t="shared" si="35"/>
        <v>01.110.0000</v>
      </c>
    </row>
    <row r="745" spans="1:7" hidden="1" x14ac:dyDescent="0.25">
      <c r="A745" s="6" t="s">
        <v>2888</v>
      </c>
      <c r="B745" s="28">
        <v>1</v>
      </c>
      <c r="C745" s="6" t="s">
        <v>2885</v>
      </c>
      <c r="D745" t="str">
        <f t="shared" si="33"/>
        <v>09.010.10.302.0015.1.002.3.3.90.39.00</v>
      </c>
      <c r="E745" t="str">
        <f>VLOOKUP(LEFT(A745,2),ConsolidadoLoa27_ATIVIDADES!A:I,9,0)</f>
        <v>09 - SECRETARIA DA SAÚDE</v>
      </c>
      <c r="F745" t="str">
        <f t="shared" si="34"/>
        <v>1.002</v>
      </c>
      <c r="G745" t="str">
        <f t="shared" si="35"/>
        <v>01.310.0000</v>
      </c>
    </row>
    <row r="746" spans="1:7" hidden="1" x14ac:dyDescent="0.25">
      <c r="A746" s="6" t="s">
        <v>2888</v>
      </c>
      <c r="B746" s="28">
        <v>1</v>
      </c>
      <c r="C746" s="6" t="s">
        <v>2885</v>
      </c>
      <c r="D746" t="str">
        <f t="shared" si="33"/>
        <v>09.010.10.302.0015.1.002.3.3.90.39.00</v>
      </c>
      <c r="E746" t="str">
        <f>VLOOKUP(LEFT(A746,2),ConsolidadoLoa27_ATIVIDADES!A:I,9,0)</f>
        <v>09 - SECRETARIA DA SAÚDE</v>
      </c>
      <c r="F746" t="str">
        <f t="shared" si="34"/>
        <v>1.002</v>
      </c>
      <c r="G746" t="str">
        <f t="shared" si="35"/>
        <v>01.310.0000</v>
      </c>
    </row>
    <row r="747" spans="1:7" hidden="1" x14ac:dyDescent="0.25">
      <c r="A747" s="6" t="s">
        <v>2889</v>
      </c>
      <c r="B747" s="28">
        <v>1</v>
      </c>
      <c r="C747" s="6" t="s">
        <v>2885</v>
      </c>
      <c r="D747" t="str">
        <f t="shared" si="33"/>
        <v>09.010.10.302.0015.1.002.4.4.90.51.00</v>
      </c>
      <c r="E747" t="str">
        <f>VLOOKUP(LEFT(A747,2),ConsolidadoLoa27_ATIVIDADES!A:I,9,0)</f>
        <v>09 - SECRETARIA DA SAÚDE</v>
      </c>
      <c r="F747" t="str">
        <f t="shared" si="34"/>
        <v>1.002</v>
      </c>
      <c r="G747" t="str">
        <f t="shared" si="35"/>
        <v>01.110.0000</v>
      </c>
    </row>
    <row r="748" spans="1:7" hidden="1" x14ac:dyDescent="0.25">
      <c r="A748" s="6" t="s">
        <v>2890</v>
      </c>
      <c r="B748" s="28">
        <v>1</v>
      </c>
      <c r="C748" s="6" t="s">
        <v>2885</v>
      </c>
      <c r="D748" t="str">
        <f t="shared" si="33"/>
        <v>09.010.10.302.0015.1.002.4.4.90.51.00</v>
      </c>
      <c r="E748" t="str">
        <f>VLOOKUP(LEFT(A748,2),ConsolidadoLoa27_ATIVIDADES!A:I,9,0)</f>
        <v>09 - SECRETARIA DA SAÚDE</v>
      </c>
      <c r="F748" t="str">
        <f t="shared" si="34"/>
        <v>1.002</v>
      </c>
      <c r="G748" t="str">
        <f t="shared" si="35"/>
        <v>01.310.0000</v>
      </c>
    </row>
    <row r="749" spans="1:7" hidden="1" x14ac:dyDescent="0.25">
      <c r="A749" s="6" t="s">
        <v>2891</v>
      </c>
      <c r="B749" s="28">
        <v>1</v>
      </c>
      <c r="C749" s="6" t="s">
        <v>2885</v>
      </c>
      <c r="D749" t="str">
        <f t="shared" si="33"/>
        <v>09.010.10.302.0015.1.002.4.4.90.52.00</v>
      </c>
      <c r="E749" t="str">
        <f>VLOOKUP(LEFT(A749,2),ConsolidadoLoa27_ATIVIDADES!A:I,9,0)</f>
        <v>09 - SECRETARIA DA SAÚDE</v>
      </c>
      <c r="F749" t="str">
        <f t="shared" si="34"/>
        <v>1.002</v>
      </c>
      <c r="G749" t="str">
        <f t="shared" si="35"/>
        <v>01.110.0000</v>
      </c>
    </row>
    <row r="750" spans="1:7" hidden="1" x14ac:dyDescent="0.25">
      <c r="A750" s="6" t="s">
        <v>2892</v>
      </c>
      <c r="B750" s="28">
        <v>1</v>
      </c>
      <c r="C750" s="6" t="s">
        <v>2885</v>
      </c>
      <c r="D750" t="str">
        <f t="shared" si="33"/>
        <v>09.010.10.302.0015.1.002.4.4.90.52.00</v>
      </c>
      <c r="E750" t="str">
        <f>VLOOKUP(LEFT(A750,2),ConsolidadoLoa27_ATIVIDADES!A:I,9,0)</f>
        <v>09 - SECRETARIA DA SAÚDE</v>
      </c>
      <c r="F750" t="str">
        <f t="shared" si="34"/>
        <v>1.002</v>
      </c>
      <c r="G750" t="str">
        <f t="shared" si="35"/>
        <v>01.310.0000</v>
      </c>
    </row>
    <row r="751" spans="1:7" hidden="1" x14ac:dyDescent="0.25">
      <c r="A751" s="6" t="s">
        <v>2893</v>
      </c>
      <c r="B751" s="28">
        <v>1</v>
      </c>
      <c r="C751" s="6" t="s">
        <v>2769</v>
      </c>
      <c r="D751" t="str">
        <f t="shared" si="33"/>
        <v>09.010.10.302.0015.2.014.3.3.90.30.00</v>
      </c>
      <c r="E751" t="str">
        <f>VLOOKUP(LEFT(A751,2),ConsolidadoLoa27_ATIVIDADES!A:I,9,0)</f>
        <v>09 - SECRETARIA DA SAÚDE</v>
      </c>
      <c r="F751" t="str">
        <f t="shared" si="34"/>
        <v>2.014</v>
      </c>
      <c r="G751" t="str">
        <f t="shared" si="35"/>
        <v>01.110.0000</v>
      </c>
    </row>
    <row r="752" spans="1:7" hidden="1" x14ac:dyDescent="0.25">
      <c r="A752" s="6" t="s">
        <v>2893</v>
      </c>
      <c r="B752" s="28">
        <v>1537131.1400000001</v>
      </c>
      <c r="C752" s="6" t="s">
        <v>2770</v>
      </c>
      <c r="D752" t="str">
        <f t="shared" si="33"/>
        <v>09.010.10.302.0015.2.014.3.3.90.30.00</v>
      </c>
      <c r="E752" t="str">
        <f>VLOOKUP(LEFT(A752,2),ConsolidadoLoa27_ATIVIDADES!A:I,9,0)</f>
        <v>09 - SECRETARIA DA SAÚDE</v>
      </c>
      <c r="F752" t="str">
        <f t="shared" si="34"/>
        <v>2.014</v>
      </c>
      <c r="G752" t="str">
        <f t="shared" si="35"/>
        <v>01.110.0000</v>
      </c>
    </row>
    <row r="753" spans="1:7" hidden="1" x14ac:dyDescent="0.25">
      <c r="A753" s="6" t="s">
        <v>2894</v>
      </c>
      <c r="B753" s="28">
        <v>75325.398100000006</v>
      </c>
      <c r="C753" s="6" t="s">
        <v>2288</v>
      </c>
      <c r="D753" t="str">
        <f t="shared" si="33"/>
        <v>09.010.10.302.0015.2.014.3.3.90.30.00</v>
      </c>
      <c r="E753" t="str">
        <f>VLOOKUP(LEFT(A753,2),ConsolidadoLoa27_ATIVIDADES!A:I,9,0)</f>
        <v>09 - SECRETARIA DA SAÚDE</v>
      </c>
      <c r="F753" t="str">
        <f t="shared" si="34"/>
        <v>2.014</v>
      </c>
      <c r="G753" t="str">
        <f t="shared" si="35"/>
        <v>01.310.0000</v>
      </c>
    </row>
    <row r="754" spans="1:7" hidden="1" x14ac:dyDescent="0.25">
      <c r="A754" s="6" t="s">
        <v>2894</v>
      </c>
      <c r="B754" s="28">
        <v>311730</v>
      </c>
      <c r="C754" s="6" t="s">
        <v>2323</v>
      </c>
      <c r="D754" t="str">
        <f t="shared" si="33"/>
        <v>09.010.10.302.0015.2.014.3.3.90.30.00</v>
      </c>
      <c r="E754" t="str">
        <f>VLOOKUP(LEFT(A754,2),ConsolidadoLoa27_ATIVIDADES!A:I,9,0)</f>
        <v>09 - SECRETARIA DA SAÚDE</v>
      </c>
      <c r="F754" t="str">
        <f t="shared" si="34"/>
        <v>2.014</v>
      </c>
      <c r="G754" t="str">
        <f t="shared" si="35"/>
        <v>01.310.0000</v>
      </c>
    </row>
    <row r="755" spans="1:7" hidden="1" x14ac:dyDescent="0.25">
      <c r="A755" s="6" t="s">
        <v>2894</v>
      </c>
      <c r="B755" s="28">
        <v>294782.27899999998</v>
      </c>
      <c r="C755" s="6" t="s">
        <v>2295</v>
      </c>
      <c r="D755" t="str">
        <f t="shared" si="33"/>
        <v>09.010.10.302.0015.2.014.3.3.90.30.00</v>
      </c>
      <c r="E755" t="str">
        <f>VLOOKUP(LEFT(A755,2),ConsolidadoLoa27_ATIVIDADES!A:I,9,0)</f>
        <v>09 - SECRETARIA DA SAÚDE</v>
      </c>
      <c r="F755" t="str">
        <f t="shared" si="34"/>
        <v>2.014</v>
      </c>
      <c r="G755" t="str">
        <f t="shared" si="35"/>
        <v>01.310.0000</v>
      </c>
    </row>
    <row r="756" spans="1:7" hidden="1" x14ac:dyDescent="0.25">
      <c r="A756" s="6" t="s">
        <v>2894</v>
      </c>
      <c r="B756" s="28">
        <v>1558.65</v>
      </c>
      <c r="C756" s="6" t="s">
        <v>387</v>
      </c>
      <c r="D756" t="str">
        <f t="shared" si="33"/>
        <v>09.010.10.302.0015.2.014.3.3.90.30.00</v>
      </c>
      <c r="E756" t="str">
        <f>VLOOKUP(LEFT(A756,2),ConsolidadoLoa27_ATIVIDADES!A:I,9,0)</f>
        <v>09 - SECRETARIA DA SAÚDE</v>
      </c>
      <c r="F756" t="str">
        <f t="shared" si="34"/>
        <v>2.014</v>
      </c>
      <c r="G756" t="str">
        <f t="shared" si="35"/>
        <v>01.310.0000</v>
      </c>
    </row>
    <row r="757" spans="1:7" hidden="1" x14ac:dyDescent="0.25">
      <c r="A757" s="6" t="s">
        <v>2895</v>
      </c>
      <c r="B757" s="28">
        <v>902704.54</v>
      </c>
      <c r="C757" s="6" t="s">
        <v>2769</v>
      </c>
      <c r="D757" t="str">
        <f t="shared" si="33"/>
        <v>09.010.10.302.0015.2.014.3.3.90.30.00</v>
      </c>
      <c r="E757" t="str">
        <f>VLOOKUP(LEFT(A757,2),ConsolidadoLoa27_ATIVIDADES!A:I,9,0)</f>
        <v>09 - SECRETARIA DA SAÚDE</v>
      </c>
      <c r="F757" t="str">
        <f t="shared" si="34"/>
        <v>2.014</v>
      </c>
      <c r="G757" t="str">
        <f t="shared" si="35"/>
        <v>05.301.0000</v>
      </c>
    </row>
    <row r="758" spans="1:7" hidden="1" x14ac:dyDescent="0.25">
      <c r="A758" s="6" t="s">
        <v>2896</v>
      </c>
      <c r="B758" s="28">
        <v>8061006.4399999995</v>
      </c>
      <c r="C758" s="6" t="s">
        <v>2769</v>
      </c>
      <c r="D758" t="str">
        <f t="shared" si="33"/>
        <v>09.010.10.302.0015.2.014.3.3.90.30.00</v>
      </c>
      <c r="E758" t="str">
        <f>VLOOKUP(LEFT(A758,2),ConsolidadoLoa27_ATIVIDADES!A:I,9,0)</f>
        <v>09 - SECRETARIA DA SAÚDE</v>
      </c>
      <c r="F758" t="str">
        <f t="shared" si="34"/>
        <v>2.014</v>
      </c>
      <c r="G758" t="str">
        <f t="shared" si="35"/>
        <v>05.302.0000</v>
      </c>
    </row>
    <row r="759" spans="1:7" hidden="1" x14ac:dyDescent="0.25">
      <c r="A759" s="6" t="s">
        <v>2897</v>
      </c>
      <c r="B759" s="28">
        <v>3130290.79</v>
      </c>
      <c r="C759" s="6" t="s">
        <v>2774</v>
      </c>
      <c r="D759" t="str">
        <f t="shared" si="33"/>
        <v>09.010.10.302.0015.2.014.3.3.90.39.00</v>
      </c>
      <c r="E759" t="str">
        <f>VLOOKUP(LEFT(A759,2),ConsolidadoLoa27_ATIVIDADES!A:I,9,0)</f>
        <v>09 - SECRETARIA DA SAÚDE</v>
      </c>
      <c r="F759" t="str">
        <f t="shared" si="34"/>
        <v>2.014</v>
      </c>
      <c r="G759" t="str">
        <f t="shared" si="35"/>
        <v>01.110.0000</v>
      </c>
    </row>
    <row r="760" spans="1:7" hidden="1" x14ac:dyDescent="0.25">
      <c r="A760" s="6" t="s">
        <v>2897</v>
      </c>
      <c r="B760" s="28">
        <v>3466360.41</v>
      </c>
      <c r="C760" s="6" t="s">
        <v>2776</v>
      </c>
      <c r="D760" t="str">
        <f t="shared" si="33"/>
        <v>09.010.10.302.0015.2.014.3.3.90.39.00</v>
      </c>
      <c r="E760" t="str">
        <f>VLOOKUP(LEFT(A760,2),ConsolidadoLoa27_ATIVIDADES!A:I,9,0)</f>
        <v>09 - SECRETARIA DA SAÚDE</v>
      </c>
      <c r="F760" t="str">
        <f t="shared" si="34"/>
        <v>2.014</v>
      </c>
      <c r="G760" t="str">
        <f t="shared" si="35"/>
        <v>01.110.0000</v>
      </c>
    </row>
    <row r="761" spans="1:7" hidden="1" x14ac:dyDescent="0.25">
      <c r="A761" s="6" t="s">
        <v>2897</v>
      </c>
      <c r="B761" s="28">
        <v>2357250.25</v>
      </c>
      <c r="C761" s="6" t="s">
        <v>2779</v>
      </c>
      <c r="D761" t="str">
        <f t="shared" si="33"/>
        <v>09.010.10.302.0015.2.014.3.3.90.39.00</v>
      </c>
      <c r="E761" t="str">
        <f>VLOOKUP(LEFT(A761,2),ConsolidadoLoa27_ATIVIDADES!A:I,9,0)</f>
        <v>09 - SECRETARIA DA SAÚDE</v>
      </c>
      <c r="F761" t="str">
        <f t="shared" si="34"/>
        <v>2.014</v>
      </c>
      <c r="G761" t="str">
        <f t="shared" si="35"/>
        <v>01.110.0000</v>
      </c>
    </row>
    <row r="762" spans="1:7" hidden="1" x14ac:dyDescent="0.25">
      <c r="A762" s="6" t="s">
        <v>2897</v>
      </c>
      <c r="B762" s="28">
        <v>7988842.2699999996</v>
      </c>
      <c r="C762" s="6" t="s">
        <v>2858</v>
      </c>
      <c r="D762" t="str">
        <f t="shared" si="33"/>
        <v>09.010.10.302.0015.2.014.3.3.90.39.00</v>
      </c>
      <c r="E762" t="str">
        <f>VLOOKUP(LEFT(A762,2),ConsolidadoLoa27_ATIVIDADES!A:I,9,0)</f>
        <v>09 - SECRETARIA DA SAÚDE</v>
      </c>
      <c r="F762" t="str">
        <f t="shared" si="34"/>
        <v>2.014</v>
      </c>
      <c r="G762" t="str">
        <f t="shared" si="35"/>
        <v>01.110.0000</v>
      </c>
    </row>
    <row r="763" spans="1:7" hidden="1" x14ac:dyDescent="0.25">
      <c r="A763" s="6" t="s">
        <v>2897</v>
      </c>
      <c r="B763" s="28">
        <v>0</v>
      </c>
      <c r="C763" s="6" t="s">
        <v>2898</v>
      </c>
      <c r="D763" t="str">
        <f t="shared" si="33"/>
        <v>09.010.10.302.0015.2.014.3.3.90.39.00</v>
      </c>
      <c r="E763" t="str">
        <f>VLOOKUP(LEFT(A763,2),ConsolidadoLoa27_ATIVIDADES!A:I,9,0)</f>
        <v>09 - SECRETARIA DA SAÚDE</v>
      </c>
      <c r="F763" t="str">
        <f t="shared" si="34"/>
        <v>2.014</v>
      </c>
      <c r="G763" t="str">
        <f t="shared" si="35"/>
        <v>01.110.0000</v>
      </c>
    </row>
    <row r="764" spans="1:7" hidden="1" x14ac:dyDescent="0.25">
      <c r="A764" s="6" t="s">
        <v>2897</v>
      </c>
      <c r="B764" s="28">
        <v>786726.24</v>
      </c>
      <c r="C764" s="6" t="s">
        <v>2899</v>
      </c>
      <c r="D764" t="str">
        <f t="shared" si="33"/>
        <v>09.010.10.302.0015.2.014.3.3.90.39.00</v>
      </c>
      <c r="E764" t="str">
        <f>VLOOKUP(LEFT(A764,2),ConsolidadoLoa27_ATIVIDADES!A:I,9,0)</f>
        <v>09 - SECRETARIA DA SAÚDE</v>
      </c>
      <c r="F764" t="str">
        <f t="shared" si="34"/>
        <v>2.014</v>
      </c>
      <c r="G764" t="str">
        <f t="shared" si="35"/>
        <v>01.110.0000</v>
      </c>
    </row>
    <row r="765" spans="1:7" hidden="1" x14ac:dyDescent="0.25">
      <c r="A765" s="6" t="s">
        <v>2897</v>
      </c>
      <c r="B765" s="28">
        <v>12475659.799999999</v>
      </c>
      <c r="C765" s="6" t="s">
        <v>2900</v>
      </c>
      <c r="D765" t="str">
        <f t="shared" si="33"/>
        <v>09.010.10.302.0015.2.014.3.3.90.39.00</v>
      </c>
      <c r="E765" t="str">
        <f>VLOOKUP(LEFT(A765,2),ConsolidadoLoa27_ATIVIDADES!A:I,9,0)</f>
        <v>09 - SECRETARIA DA SAÚDE</v>
      </c>
      <c r="F765" t="str">
        <f t="shared" si="34"/>
        <v>2.014</v>
      </c>
      <c r="G765" t="str">
        <f t="shared" si="35"/>
        <v>01.110.0000</v>
      </c>
    </row>
    <row r="766" spans="1:7" hidden="1" x14ac:dyDescent="0.25">
      <c r="A766" s="6" t="s">
        <v>2897</v>
      </c>
      <c r="B766" s="28">
        <v>71334.770000000019</v>
      </c>
      <c r="C766" s="6" t="s">
        <v>2901</v>
      </c>
      <c r="D766" t="str">
        <f t="shared" si="33"/>
        <v>09.010.10.302.0015.2.014.3.3.90.39.00</v>
      </c>
      <c r="E766" t="str">
        <f>VLOOKUP(LEFT(A766,2),ConsolidadoLoa27_ATIVIDADES!A:I,9,0)</f>
        <v>09 - SECRETARIA DA SAÚDE</v>
      </c>
      <c r="F766" t="str">
        <f t="shared" si="34"/>
        <v>2.014</v>
      </c>
      <c r="G766" t="str">
        <f t="shared" si="35"/>
        <v>01.110.0000</v>
      </c>
    </row>
    <row r="767" spans="1:7" hidden="1" x14ac:dyDescent="0.25">
      <c r="A767" s="6" t="s">
        <v>2897</v>
      </c>
      <c r="B767" s="28">
        <v>176399</v>
      </c>
      <c r="C767" s="6" t="s">
        <v>417</v>
      </c>
      <c r="D767" t="str">
        <f t="shared" si="33"/>
        <v>09.010.10.302.0015.2.014.3.3.90.39.00</v>
      </c>
      <c r="E767" t="str">
        <f>VLOOKUP(LEFT(A767,2),ConsolidadoLoa27_ATIVIDADES!A:I,9,0)</f>
        <v>09 - SECRETARIA DA SAÚDE</v>
      </c>
      <c r="F767" t="str">
        <f t="shared" si="34"/>
        <v>2.014</v>
      </c>
      <c r="G767" t="str">
        <f t="shared" si="35"/>
        <v>01.110.0000</v>
      </c>
    </row>
    <row r="768" spans="1:7" hidden="1" x14ac:dyDescent="0.25">
      <c r="A768" s="6" t="s">
        <v>2897</v>
      </c>
      <c r="B768" s="28">
        <v>1039098.9609000001</v>
      </c>
      <c r="C768" s="6" t="s">
        <v>388</v>
      </c>
      <c r="D768" t="str">
        <f t="shared" si="33"/>
        <v>09.010.10.302.0015.2.014.3.3.90.39.00</v>
      </c>
      <c r="E768" t="str">
        <f>VLOOKUP(LEFT(A768,2),ConsolidadoLoa27_ATIVIDADES!A:I,9,0)</f>
        <v>09 - SECRETARIA DA SAÚDE</v>
      </c>
      <c r="F768" t="str">
        <f t="shared" si="34"/>
        <v>2.014</v>
      </c>
      <c r="G768" t="str">
        <f t="shared" si="35"/>
        <v>01.110.0000</v>
      </c>
    </row>
    <row r="769" spans="1:7" hidden="1" x14ac:dyDescent="0.25">
      <c r="A769" s="6" t="s">
        <v>2897</v>
      </c>
      <c r="B769" s="28">
        <v>3859519.08</v>
      </c>
      <c r="C769" s="6" t="s">
        <v>2781</v>
      </c>
      <c r="D769" t="str">
        <f t="shared" si="33"/>
        <v>09.010.10.302.0015.2.014.3.3.90.39.00</v>
      </c>
      <c r="E769" t="str">
        <f>VLOOKUP(LEFT(A769,2),ConsolidadoLoa27_ATIVIDADES!A:I,9,0)</f>
        <v>09 - SECRETARIA DA SAÚDE</v>
      </c>
      <c r="F769" t="str">
        <f t="shared" si="34"/>
        <v>2.014</v>
      </c>
      <c r="G769" t="str">
        <f t="shared" si="35"/>
        <v>01.110.0000</v>
      </c>
    </row>
    <row r="770" spans="1:7" hidden="1" x14ac:dyDescent="0.25">
      <c r="A770" s="6" t="s">
        <v>2897</v>
      </c>
      <c r="B770" s="28">
        <v>1759584.6099999994</v>
      </c>
      <c r="C770" s="6" t="s">
        <v>2783</v>
      </c>
      <c r="D770" t="str">
        <f t="shared" si="33"/>
        <v>09.010.10.302.0015.2.014.3.3.90.39.00</v>
      </c>
      <c r="E770" t="str">
        <f>VLOOKUP(LEFT(A770,2),ConsolidadoLoa27_ATIVIDADES!A:I,9,0)</f>
        <v>09 - SECRETARIA DA SAÚDE</v>
      </c>
      <c r="F770" t="str">
        <f t="shared" si="34"/>
        <v>2.014</v>
      </c>
      <c r="G770" t="str">
        <f t="shared" si="35"/>
        <v>01.110.0000</v>
      </c>
    </row>
    <row r="771" spans="1:7" hidden="1" x14ac:dyDescent="0.25">
      <c r="A771" s="6" t="s">
        <v>2897</v>
      </c>
      <c r="B771" s="28">
        <v>1</v>
      </c>
      <c r="C771" s="6" t="s">
        <v>2902</v>
      </c>
      <c r="D771" t="str">
        <f t="shared" ref="D771:D834" si="36">_xlfn.CONCAT(LEFT(A771,34),".00")</f>
        <v>09.010.10.302.0015.2.014.3.3.90.39.00</v>
      </c>
      <c r="E771" t="str">
        <f>VLOOKUP(LEFT(A771,2),ConsolidadoLoa27_ATIVIDADES!A:I,9,0)</f>
        <v>09 - SECRETARIA DA SAÚDE</v>
      </c>
      <c r="F771" t="str">
        <f t="shared" ref="F771:F834" si="37">MID(A771,20,5)</f>
        <v>2.014</v>
      </c>
      <c r="G771" t="str">
        <f t="shared" ref="G771:G834" si="38">RIGHT(A771,11)</f>
        <v>01.110.0000</v>
      </c>
    </row>
    <row r="772" spans="1:7" hidden="1" x14ac:dyDescent="0.25">
      <c r="A772" s="6" t="s">
        <v>2903</v>
      </c>
      <c r="B772" s="28">
        <v>1</v>
      </c>
      <c r="C772" s="6" t="s">
        <v>2858</v>
      </c>
      <c r="D772" t="str">
        <f t="shared" si="36"/>
        <v>09.010.10.302.0015.2.014.3.3.90.39.00</v>
      </c>
      <c r="E772" t="str">
        <f>VLOOKUP(LEFT(A772,2),ConsolidadoLoa27_ATIVIDADES!A:I,9,0)</f>
        <v>09 - SECRETARIA DA SAÚDE</v>
      </c>
      <c r="F772" t="str">
        <f t="shared" si="37"/>
        <v>2.014</v>
      </c>
      <c r="G772" t="str">
        <f t="shared" si="38"/>
        <v>01.310.0000</v>
      </c>
    </row>
    <row r="773" spans="1:7" hidden="1" x14ac:dyDescent="0.25">
      <c r="A773" s="6" t="s">
        <v>2903</v>
      </c>
      <c r="B773" s="28">
        <v>203666</v>
      </c>
      <c r="C773" s="6" t="s">
        <v>2898</v>
      </c>
      <c r="D773" t="str">
        <f t="shared" si="36"/>
        <v>09.010.10.302.0015.2.014.3.3.90.39.00</v>
      </c>
      <c r="E773" t="str">
        <f>VLOOKUP(LEFT(A773,2),ConsolidadoLoa27_ATIVIDADES!A:I,9,0)</f>
        <v>09 - SECRETARIA DA SAÚDE</v>
      </c>
      <c r="F773" t="str">
        <f t="shared" si="37"/>
        <v>2.014</v>
      </c>
      <c r="G773" t="str">
        <f t="shared" si="38"/>
        <v>01.310.0000</v>
      </c>
    </row>
    <row r="774" spans="1:7" hidden="1" x14ac:dyDescent="0.25">
      <c r="A774" s="6" t="s">
        <v>2903</v>
      </c>
      <c r="B774" s="28">
        <v>1</v>
      </c>
      <c r="C774" s="6" t="s">
        <v>2899</v>
      </c>
      <c r="D774" t="str">
        <f t="shared" si="36"/>
        <v>09.010.10.302.0015.2.014.3.3.90.39.00</v>
      </c>
      <c r="E774" t="str">
        <f>VLOOKUP(LEFT(A774,2),ConsolidadoLoa27_ATIVIDADES!A:I,9,0)</f>
        <v>09 - SECRETARIA DA SAÚDE</v>
      </c>
      <c r="F774" t="str">
        <f t="shared" si="37"/>
        <v>2.014</v>
      </c>
      <c r="G774" t="str">
        <f t="shared" si="38"/>
        <v>01.310.0000</v>
      </c>
    </row>
    <row r="775" spans="1:7" hidden="1" x14ac:dyDescent="0.25">
      <c r="A775" s="6" t="s">
        <v>2903</v>
      </c>
      <c r="B775" s="28">
        <v>1</v>
      </c>
      <c r="C775" s="6" t="s">
        <v>417</v>
      </c>
      <c r="D775" t="str">
        <f t="shared" si="36"/>
        <v>09.010.10.302.0015.2.014.3.3.90.39.00</v>
      </c>
      <c r="E775" t="str">
        <f>VLOOKUP(LEFT(A775,2),ConsolidadoLoa27_ATIVIDADES!A:I,9,0)</f>
        <v>09 - SECRETARIA DA SAÚDE</v>
      </c>
      <c r="F775" t="str">
        <f t="shared" si="37"/>
        <v>2.014</v>
      </c>
      <c r="G775" t="str">
        <f t="shared" si="38"/>
        <v>01.310.0000</v>
      </c>
    </row>
    <row r="776" spans="1:7" hidden="1" x14ac:dyDescent="0.25">
      <c r="A776" s="6" t="s">
        <v>2903</v>
      </c>
      <c r="B776" s="28">
        <v>1</v>
      </c>
      <c r="C776" s="6" t="s">
        <v>388</v>
      </c>
      <c r="D776" t="str">
        <f t="shared" si="36"/>
        <v>09.010.10.302.0015.2.014.3.3.90.39.00</v>
      </c>
      <c r="E776" t="str">
        <f>VLOOKUP(LEFT(A776,2),ConsolidadoLoa27_ATIVIDADES!A:I,9,0)</f>
        <v>09 - SECRETARIA DA SAÚDE</v>
      </c>
      <c r="F776" t="str">
        <f t="shared" si="37"/>
        <v>2.014</v>
      </c>
      <c r="G776" t="str">
        <f t="shared" si="38"/>
        <v>01.310.0000</v>
      </c>
    </row>
    <row r="777" spans="1:7" hidden="1" x14ac:dyDescent="0.25">
      <c r="A777" s="6" t="s">
        <v>2903</v>
      </c>
      <c r="B777" s="28">
        <v>622209.30000000005</v>
      </c>
      <c r="C777" s="6" t="s">
        <v>2769</v>
      </c>
      <c r="D777" t="str">
        <f t="shared" si="36"/>
        <v>09.010.10.302.0015.2.014.3.3.90.39.00</v>
      </c>
      <c r="E777" t="str">
        <f>VLOOKUP(LEFT(A777,2),ConsolidadoLoa27_ATIVIDADES!A:I,9,0)</f>
        <v>09 - SECRETARIA DA SAÚDE</v>
      </c>
      <c r="F777" t="str">
        <f t="shared" si="37"/>
        <v>2.014</v>
      </c>
      <c r="G777" t="str">
        <f t="shared" si="38"/>
        <v>01.310.0000</v>
      </c>
    </row>
    <row r="778" spans="1:7" hidden="1" x14ac:dyDescent="0.25">
      <c r="A778" s="6" t="s">
        <v>2903</v>
      </c>
      <c r="B778" s="28">
        <v>5151409.5999999996</v>
      </c>
      <c r="C778" s="6" t="s">
        <v>2783</v>
      </c>
      <c r="D778" t="str">
        <f t="shared" si="36"/>
        <v>09.010.10.302.0015.2.014.3.3.90.39.00</v>
      </c>
      <c r="E778" t="str">
        <f>VLOOKUP(LEFT(A778,2),ConsolidadoLoa27_ATIVIDADES!A:I,9,0)</f>
        <v>09 - SECRETARIA DA SAÚDE</v>
      </c>
      <c r="F778" t="str">
        <f t="shared" si="37"/>
        <v>2.014</v>
      </c>
      <c r="G778" t="str">
        <f t="shared" si="38"/>
        <v>01.310.0000</v>
      </c>
    </row>
    <row r="779" spans="1:7" hidden="1" x14ac:dyDescent="0.25">
      <c r="A779" s="6" t="s">
        <v>2904</v>
      </c>
      <c r="B779" s="28">
        <v>598894</v>
      </c>
      <c r="C779" s="6" t="s">
        <v>2898</v>
      </c>
      <c r="D779" t="str">
        <f t="shared" si="36"/>
        <v>09.010.10.302.0015.2.014.3.3.90.39.00</v>
      </c>
      <c r="E779" t="str">
        <f>VLOOKUP(LEFT(A779,2),ConsolidadoLoa27_ATIVIDADES!A:I,9,0)</f>
        <v>09 - SECRETARIA DA SAÚDE</v>
      </c>
      <c r="F779" t="str">
        <f t="shared" si="37"/>
        <v>2.014</v>
      </c>
      <c r="G779" t="str">
        <f t="shared" si="38"/>
        <v>02.310.0000</v>
      </c>
    </row>
    <row r="780" spans="1:7" hidden="1" x14ac:dyDescent="0.25">
      <c r="A780" s="6" t="s">
        <v>2904</v>
      </c>
      <c r="B780" s="28">
        <v>1</v>
      </c>
      <c r="C780" s="6" t="s">
        <v>2783</v>
      </c>
      <c r="D780" t="str">
        <f t="shared" si="36"/>
        <v>09.010.10.302.0015.2.014.3.3.90.39.00</v>
      </c>
      <c r="E780" t="str">
        <f>VLOOKUP(LEFT(A780,2),ConsolidadoLoa27_ATIVIDADES!A:I,9,0)</f>
        <v>09 - SECRETARIA DA SAÚDE</v>
      </c>
      <c r="F780" t="str">
        <f t="shared" si="37"/>
        <v>2.014</v>
      </c>
      <c r="G780" t="str">
        <f t="shared" si="38"/>
        <v>02.310.0000</v>
      </c>
    </row>
    <row r="781" spans="1:7" hidden="1" x14ac:dyDescent="0.25">
      <c r="A781" s="6" t="s">
        <v>2905</v>
      </c>
      <c r="B781" s="28">
        <v>11742029.6</v>
      </c>
      <c r="C781" s="6" t="s">
        <v>2783</v>
      </c>
      <c r="D781" t="str">
        <f t="shared" si="36"/>
        <v>09.010.10.302.0015.2.014.3.3.90.39.00</v>
      </c>
      <c r="E781" t="str">
        <f>VLOOKUP(LEFT(A781,2),ConsolidadoLoa27_ATIVIDADES!A:I,9,0)</f>
        <v>09 - SECRETARIA DA SAÚDE</v>
      </c>
      <c r="F781" t="str">
        <f t="shared" si="37"/>
        <v>2.014</v>
      </c>
      <c r="G781" t="str">
        <f t="shared" si="38"/>
        <v>05.301.0000</v>
      </c>
    </row>
    <row r="782" spans="1:7" hidden="1" x14ac:dyDescent="0.25">
      <c r="A782" s="6" t="s">
        <v>2906</v>
      </c>
      <c r="B782" s="28">
        <v>769174</v>
      </c>
      <c r="C782" s="6" t="s">
        <v>2774</v>
      </c>
      <c r="D782" t="str">
        <f t="shared" si="36"/>
        <v>09.010.10.302.0015.2.014.3.3.90.39.00</v>
      </c>
      <c r="E782" t="str">
        <f>VLOOKUP(LEFT(A782,2),ConsolidadoLoa27_ATIVIDADES!A:I,9,0)</f>
        <v>09 - SECRETARIA DA SAÚDE</v>
      </c>
      <c r="F782" t="str">
        <f t="shared" si="37"/>
        <v>2.014</v>
      </c>
      <c r="G782" t="str">
        <f t="shared" si="38"/>
        <v>05.302.0000</v>
      </c>
    </row>
    <row r="783" spans="1:7" hidden="1" x14ac:dyDescent="0.25">
      <c r="A783" s="6" t="s">
        <v>2907</v>
      </c>
      <c r="B783" s="28">
        <v>0</v>
      </c>
      <c r="C783" s="6" t="s">
        <v>2908</v>
      </c>
      <c r="D783" t="str">
        <f t="shared" si="36"/>
        <v>09.010.10.302.0015.2.014.3.3.90.39.00</v>
      </c>
      <c r="E783" t="str">
        <f>VLOOKUP(LEFT(A783,2),ConsolidadoLoa27_ATIVIDADES!A:I,9,0)</f>
        <v>09 - SECRETARIA DA SAÚDE</v>
      </c>
      <c r="F783" t="str">
        <f t="shared" si="37"/>
        <v>2.014</v>
      </c>
      <c r="G783" t="str">
        <f t="shared" si="38"/>
        <v>08.310.0000</v>
      </c>
    </row>
    <row r="784" spans="1:7" hidden="1" x14ac:dyDescent="0.25">
      <c r="A784" s="6" t="s">
        <v>2909</v>
      </c>
      <c r="B784" s="28">
        <v>63412458.319999993</v>
      </c>
      <c r="C784" s="6" t="s">
        <v>2910</v>
      </c>
      <c r="D784" t="str">
        <f t="shared" si="36"/>
        <v>09.010.10.302.0015.2.023.3.3.50.85.00</v>
      </c>
      <c r="E784" t="str">
        <f>VLOOKUP(LEFT(A784,2),ConsolidadoLoa27_ATIVIDADES!A:I,9,0)</f>
        <v>09 - SECRETARIA DA SAÚDE</v>
      </c>
      <c r="F784" t="str">
        <f t="shared" si="37"/>
        <v>2.023</v>
      </c>
      <c r="G784" t="str">
        <f t="shared" si="38"/>
        <v>01.110.0000</v>
      </c>
    </row>
    <row r="785" spans="1:7" hidden="1" x14ac:dyDescent="0.25">
      <c r="A785" s="6" t="s">
        <v>2909</v>
      </c>
      <c r="B785" s="28">
        <v>171606396.84999999</v>
      </c>
      <c r="C785" s="6" t="s">
        <v>2911</v>
      </c>
      <c r="D785" t="str">
        <f t="shared" si="36"/>
        <v>09.010.10.302.0015.2.023.3.3.50.85.00</v>
      </c>
      <c r="E785" t="str">
        <f>VLOOKUP(LEFT(A785,2),ConsolidadoLoa27_ATIVIDADES!A:I,9,0)</f>
        <v>09 - SECRETARIA DA SAÚDE</v>
      </c>
      <c r="F785" t="str">
        <f t="shared" si="37"/>
        <v>2.023</v>
      </c>
      <c r="G785" t="str">
        <f t="shared" si="38"/>
        <v>01.110.0000</v>
      </c>
    </row>
    <row r="786" spans="1:7" hidden="1" x14ac:dyDescent="0.25">
      <c r="A786" s="6" t="s">
        <v>2909</v>
      </c>
      <c r="B786" s="28">
        <v>8198684.2700000014</v>
      </c>
      <c r="C786" s="6" t="s">
        <v>2912</v>
      </c>
      <c r="D786" t="str">
        <f t="shared" si="36"/>
        <v>09.010.10.302.0015.2.023.3.3.50.85.00</v>
      </c>
      <c r="E786" t="str">
        <f>VLOOKUP(LEFT(A786,2),ConsolidadoLoa27_ATIVIDADES!A:I,9,0)</f>
        <v>09 - SECRETARIA DA SAÚDE</v>
      </c>
      <c r="F786" t="str">
        <f t="shared" si="37"/>
        <v>2.023</v>
      </c>
      <c r="G786" t="str">
        <f t="shared" si="38"/>
        <v>01.110.0000</v>
      </c>
    </row>
    <row r="787" spans="1:7" hidden="1" x14ac:dyDescent="0.25">
      <c r="A787" s="6" t="s">
        <v>2909</v>
      </c>
      <c r="B787" s="28">
        <v>1291335.0600000024</v>
      </c>
      <c r="C787" s="6" t="s">
        <v>2913</v>
      </c>
      <c r="D787" t="str">
        <f t="shared" si="36"/>
        <v>09.010.10.302.0015.2.023.3.3.50.85.00</v>
      </c>
      <c r="E787" t="str">
        <f>VLOOKUP(LEFT(A787,2),ConsolidadoLoa27_ATIVIDADES!A:I,9,0)</f>
        <v>09 - SECRETARIA DA SAÚDE</v>
      </c>
      <c r="F787" t="str">
        <f t="shared" si="37"/>
        <v>2.023</v>
      </c>
      <c r="G787" t="str">
        <f t="shared" si="38"/>
        <v>01.110.0000</v>
      </c>
    </row>
    <row r="788" spans="1:7" hidden="1" x14ac:dyDescent="0.25">
      <c r="A788" s="6" t="s">
        <v>2909</v>
      </c>
      <c r="B788" s="28">
        <v>22099307.969999999</v>
      </c>
      <c r="C788" s="6" t="s">
        <v>2914</v>
      </c>
      <c r="D788" t="str">
        <f t="shared" si="36"/>
        <v>09.010.10.302.0015.2.023.3.3.50.85.00</v>
      </c>
      <c r="E788" t="str">
        <f>VLOOKUP(LEFT(A788,2),ConsolidadoLoa27_ATIVIDADES!A:I,9,0)</f>
        <v>09 - SECRETARIA DA SAÚDE</v>
      </c>
      <c r="F788" t="str">
        <f t="shared" si="37"/>
        <v>2.023</v>
      </c>
      <c r="G788" t="str">
        <f t="shared" si="38"/>
        <v>01.110.0000</v>
      </c>
    </row>
    <row r="789" spans="1:7" hidden="1" x14ac:dyDescent="0.25">
      <c r="A789" s="6" t="s">
        <v>2909</v>
      </c>
      <c r="B789" s="28">
        <v>24505284.829999998</v>
      </c>
      <c r="C789" s="6" t="s">
        <v>2915</v>
      </c>
      <c r="D789" t="str">
        <f t="shared" si="36"/>
        <v>09.010.10.302.0015.2.023.3.3.50.85.00</v>
      </c>
      <c r="E789" t="str">
        <f>VLOOKUP(LEFT(A789,2),ConsolidadoLoa27_ATIVIDADES!A:I,9,0)</f>
        <v>09 - SECRETARIA DA SAÚDE</v>
      </c>
      <c r="F789" t="str">
        <f t="shared" si="37"/>
        <v>2.023</v>
      </c>
      <c r="G789" t="str">
        <f t="shared" si="38"/>
        <v>01.110.0000</v>
      </c>
    </row>
    <row r="790" spans="1:7" hidden="1" x14ac:dyDescent="0.25">
      <c r="A790" s="6" t="s">
        <v>2909</v>
      </c>
      <c r="B790" s="28">
        <v>24036124.629999999</v>
      </c>
      <c r="C790" s="6" t="s">
        <v>2916</v>
      </c>
      <c r="D790" t="str">
        <f t="shared" si="36"/>
        <v>09.010.10.302.0015.2.023.3.3.50.85.00</v>
      </c>
      <c r="E790" t="str">
        <f>VLOOKUP(LEFT(A790,2),ConsolidadoLoa27_ATIVIDADES!A:I,9,0)</f>
        <v>09 - SECRETARIA DA SAÚDE</v>
      </c>
      <c r="F790" t="str">
        <f t="shared" si="37"/>
        <v>2.023</v>
      </c>
      <c r="G790" t="str">
        <f t="shared" si="38"/>
        <v>01.110.0000</v>
      </c>
    </row>
    <row r="791" spans="1:7" hidden="1" x14ac:dyDescent="0.25">
      <c r="A791" s="6" t="s">
        <v>2917</v>
      </c>
      <c r="B791" s="28">
        <v>4000000</v>
      </c>
      <c r="C791" s="6" t="s">
        <v>2910</v>
      </c>
      <c r="D791" t="str">
        <f t="shared" si="36"/>
        <v>09.010.10.302.0015.2.023.3.3.50.85.00</v>
      </c>
      <c r="E791" t="str">
        <f>VLOOKUP(LEFT(A791,2),ConsolidadoLoa27_ATIVIDADES!A:I,9,0)</f>
        <v>09 - SECRETARIA DA SAÚDE</v>
      </c>
      <c r="F791" t="str">
        <f t="shared" si="37"/>
        <v>2.023</v>
      </c>
      <c r="G791" t="str">
        <f t="shared" si="38"/>
        <v>01.310.0000</v>
      </c>
    </row>
    <row r="792" spans="1:7" hidden="1" x14ac:dyDescent="0.25">
      <c r="A792" s="6" t="s">
        <v>2917</v>
      </c>
      <c r="B792" s="28">
        <v>21523082.759999998</v>
      </c>
      <c r="C792" s="6" t="s">
        <v>2912</v>
      </c>
      <c r="D792" t="str">
        <f t="shared" si="36"/>
        <v>09.010.10.302.0015.2.023.3.3.50.85.00</v>
      </c>
      <c r="E792" t="str">
        <f>VLOOKUP(LEFT(A792,2),ConsolidadoLoa27_ATIVIDADES!A:I,9,0)</f>
        <v>09 - SECRETARIA DA SAÚDE</v>
      </c>
      <c r="F792" t="str">
        <f t="shared" si="37"/>
        <v>2.023</v>
      </c>
      <c r="G792" t="str">
        <f t="shared" si="38"/>
        <v>01.310.0000</v>
      </c>
    </row>
    <row r="793" spans="1:7" hidden="1" x14ac:dyDescent="0.25">
      <c r="A793" s="6" t="s">
        <v>2917</v>
      </c>
      <c r="B793" s="28">
        <v>9156257</v>
      </c>
      <c r="C793" s="6" t="s">
        <v>2913</v>
      </c>
      <c r="D793" t="str">
        <f t="shared" si="36"/>
        <v>09.010.10.302.0015.2.023.3.3.50.85.00</v>
      </c>
      <c r="E793" t="str">
        <f>VLOOKUP(LEFT(A793,2),ConsolidadoLoa27_ATIVIDADES!A:I,9,0)</f>
        <v>09 - SECRETARIA DA SAÚDE</v>
      </c>
      <c r="F793" t="str">
        <f t="shared" si="37"/>
        <v>2.023</v>
      </c>
      <c r="G793" t="str">
        <f t="shared" si="38"/>
        <v>01.310.0000</v>
      </c>
    </row>
    <row r="794" spans="1:7" hidden="1" x14ac:dyDescent="0.25">
      <c r="A794" s="6" t="s">
        <v>2918</v>
      </c>
      <c r="B794" s="28">
        <v>7793128</v>
      </c>
      <c r="C794" s="6" t="s">
        <v>2912</v>
      </c>
      <c r="D794" t="str">
        <f t="shared" si="36"/>
        <v>09.010.10.302.0015.2.023.3.3.50.85.00</v>
      </c>
      <c r="E794" t="str">
        <f>VLOOKUP(LEFT(A794,2),ConsolidadoLoa27_ATIVIDADES!A:I,9,0)</f>
        <v>09 - SECRETARIA DA SAÚDE</v>
      </c>
      <c r="F794" t="str">
        <f t="shared" si="37"/>
        <v>2.023</v>
      </c>
      <c r="G794" t="str">
        <f t="shared" si="38"/>
        <v>05.302.0000</v>
      </c>
    </row>
    <row r="795" spans="1:7" hidden="1" x14ac:dyDescent="0.25">
      <c r="A795" s="6" t="s">
        <v>2918</v>
      </c>
      <c r="B795" s="28">
        <v>27871995.32</v>
      </c>
      <c r="C795" s="6" t="s">
        <v>2913</v>
      </c>
      <c r="D795" t="str">
        <f t="shared" si="36"/>
        <v>09.010.10.302.0015.2.023.3.3.50.85.00</v>
      </c>
      <c r="E795" t="str">
        <f>VLOOKUP(LEFT(A795,2),ConsolidadoLoa27_ATIVIDADES!A:I,9,0)</f>
        <v>09 - SECRETARIA DA SAÚDE</v>
      </c>
      <c r="F795" t="str">
        <f t="shared" si="37"/>
        <v>2.023</v>
      </c>
      <c r="G795" t="str">
        <f t="shared" si="38"/>
        <v>05.302.0000</v>
      </c>
    </row>
    <row r="796" spans="1:7" hidden="1" x14ac:dyDescent="0.25">
      <c r="A796" s="6" t="s">
        <v>2918</v>
      </c>
      <c r="B796" s="28">
        <v>14061406.25</v>
      </c>
      <c r="C796" s="6" t="s">
        <v>2914</v>
      </c>
      <c r="D796" t="str">
        <f t="shared" si="36"/>
        <v>09.010.10.302.0015.2.023.3.3.50.85.00</v>
      </c>
      <c r="E796" t="str">
        <f>VLOOKUP(LEFT(A796,2),ConsolidadoLoa27_ATIVIDADES!A:I,9,0)</f>
        <v>09 - SECRETARIA DA SAÚDE</v>
      </c>
      <c r="F796" t="str">
        <f t="shared" si="37"/>
        <v>2.023</v>
      </c>
      <c r="G796" t="str">
        <f t="shared" si="38"/>
        <v>05.302.0000</v>
      </c>
    </row>
    <row r="797" spans="1:7" hidden="1" x14ac:dyDescent="0.25">
      <c r="A797" s="6" t="s">
        <v>2918</v>
      </c>
      <c r="B797" s="28">
        <v>4699443</v>
      </c>
      <c r="C797" s="6" t="s">
        <v>2915</v>
      </c>
      <c r="D797" t="str">
        <f t="shared" si="36"/>
        <v>09.010.10.302.0015.2.023.3.3.50.85.00</v>
      </c>
      <c r="E797" t="str">
        <f>VLOOKUP(LEFT(A797,2),ConsolidadoLoa27_ATIVIDADES!A:I,9,0)</f>
        <v>09 - SECRETARIA DA SAÚDE</v>
      </c>
      <c r="F797" t="str">
        <f t="shared" si="37"/>
        <v>2.023</v>
      </c>
      <c r="G797" t="str">
        <f t="shared" si="38"/>
        <v>05.302.0000</v>
      </c>
    </row>
    <row r="798" spans="1:7" hidden="1" x14ac:dyDescent="0.25">
      <c r="A798" s="6" t="s">
        <v>2918</v>
      </c>
      <c r="B798" s="28">
        <v>4479765</v>
      </c>
      <c r="C798" s="6" t="s">
        <v>2916</v>
      </c>
      <c r="D798" t="str">
        <f t="shared" si="36"/>
        <v>09.010.10.302.0015.2.023.3.3.50.85.00</v>
      </c>
      <c r="E798" t="str">
        <f>VLOOKUP(LEFT(A798,2),ConsolidadoLoa27_ATIVIDADES!A:I,9,0)</f>
        <v>09 - SECRETARIA DA SAÚDE</v>
      </c>
      <c r="F798" t="str">
        <f t="shared" si="37"/>
        <v>2.023</v>
      </c>
      <c r="G798" t="str">
        <f t="shared" si="38"/>
        <v>05.302.0000</v>
      </c>
    </row>
    <row r="799" spans="1:7" hidden="1" x14ac:dyDescent="0.25">
      <c r="A799" s="6" t="s">
        <v>2919</v>
      </c>
      <c r="B799" s="28">
        <v>0</v>
      </c>
      <c r="C799" s="6" t="s">
        <v>2920</v>
      </c>
      <c r="D799" t="str">
        <f t="shared" si="36"/>
        <v>09.010.10.302.0015.2.023.3.3.50.85.00</v>
      </c>
      <c r="E799" t="str">
        <f>VLOOKUP(LEFT(A799,2),ConsolidadoLoa27_ATIVIDADES!A:I,9,0)</f>
        <v>09 - SECRETARIA DA SAÚDE</v>
      </c>
      <c r="F799" t="str">
        <f t="shared" si="37"/>
        <v>2.023</v>
      </c>
      <c r="G799" t="str">
        <f t="shared" si="38"/>
        <v>08.310.0000</v>
      </c>
    </row>
    <row r="800" spans="1:7" hidden="1" x14ac:dyDescent="0.25">
      <c r="A800" s="6" t="s">
        <v>2921</v>
      </c>
      <c r="B800" s="28">
        <v>417960</v>
      </c>
      <c r="C800" s="6" t="s">
        <v>408</v>
      </c>
      <c r="D800" t="str">
        <f t="shared" si="36"/>
        <v>09.012.10.303.0014.2.011.3.3.90.30.00</v>
      </c>
      <c r="E800" t="str">
        <f>VLOOKUP(LEFT(A800,2),ConsolidadoLoa27_ATIVIDADES!A:I,9,0)</f>
        <v>09 - SECRETARIA DA SAÚDE</v>
      </c>
      <c r="F800" t="str">
        <f t="shared" si="37"/>
        <v>2.011</v>
      </c>
      <c r="G800" t="str">
        <f t="shared" si="38"/>
        <v>01.110.0000</v>
      </c>
    </row>
    <row r="801" spans="1:7" hidden="1" x14ac:dyDescent="0.25">
      <c r="A801" s="6" t="s">
        <v>2921</v>
      </c>
      <c r="B801" s="28">
        <v>128037.76999999955</v>
      </c>
      <c r="C801" s="6" t="s">
        <v>406</v>
      </c>
      <c r="D801" t="str">
        <f t="shared" si="36"/>
        <v>09.012.10.303.0014.2.011.3.3.90.30.00</v>
      </c>
      <c r="E801" t="str">
        <f>VLOOKUP(LEFT(A801,2),ConsolidadoLoa27_ATIVIDADES!A:I,9,0)</f>
        <v>09 - SECRETARIA DA SAÚDE</v>
      </c>
      <c r="F801" t="str">
        <f t="shared" si="37"/>
        <v>2.011</v>
      </c>
      <c r="G801" t="str">
        <f t="shared" si="38"/>
        <v>01.110.0000</v>
      </c>
    </row>
    <row r="802" spans="1:7" hidden="1" x14ac:dyDescent="0.25">
      <c r="A802" s="6" t="s">
        <v>2921</v>
      </c>
      <c r="B802" s="28">
        <v>3370595.1724</v>
      </c>
      <c r="C802" s="6" t="s">
        <v>2922</v>
      </c>
      <c r="D802" t="str">
        <f t="shared" si="36"/>
        <v>09.012.10.303.0014.2.011.3.3.90.30.00</v>
      </c>
      <c r="E802" t="str">
        <f>VLOOKUP(LEFT(A802,2),ConsolidadoLoa27_ATIVIDADES!A:I,9,0)</f>
        <v>09 - SECRETARIA DA SAÚDE</v>
      </c>
      <c r="F802" t="str">
        <f t="shared" si="37"/>
        <v>2.011</v>
      </c>
      <c r="G802" t="str">
        <f t="shared" si="38"/>
        <v>01.110.0000</v>
      </c>
    </row>
    <row r="803" spans="1:7" hidden="1" x14ac:dyDescent="0.25">
      <c r="A803" s="6" t="s">
        <v>2921</v>
      </c>
      <c r="B803" s="28">
        <v>179096.39</v>
      </c>
      <c r="C803" s="6" t="s">
        <v>407</v>
      </c>
      <c r="D803" t="str">
        <f t="shared" si="36"/>
        <v>09.012.10.303.0014.2.011.3.3.90.30.00</v>
      </c>
      <c r="E803" t="str">
        <f>VLOOKUP(LEFT(A803,2),ConsolidadoLoa27_ATIVIDADES!A:I,9,0)</f>
        <v>09 - SECRETARIA DA SAÚDE</v>
      </c>
      <c r="F803" t="str">
        <f t="shared" si="37"/>
        <v>2.011</v>
      </c>
      <c r="G803" t="str">
        <f t="shared" si="38"/>
        <v>01.110.0000</v>
      </c>
    </row>
    <row r="804" spans="1:7" hidden="1" x14ac:dyDescent="0.25">
      <c r="A804" s="6" t="s">
        <v>2921</v>
      </c>
      <c r="B804" s="28">
        <v>1</v>
      </c>
      <c r="C804" s="6" t="s">
        <v>403</v>
      </c>
      <c r="D804" t="str">
        <f t="shared" si="36"/>
        <v>09.012.10.303.0014.2.011.3.3.90.30.00</v>
      </c>
      <c r="E804" t="str">
        <f>VLOOKUP(LEFT(A804,2),ConsolidadoLoa27_ATIVIDADES!A:I,9,0)</f>
        <v>09 - SECRETARIA DA SAÚDE</v>
      </c>
      <c r="F804" t="str">
        <f t="shared" si="37"/>
        <v>2.011</v>
      </c>
      <c r="G804" t="str">
        <f t="shared" si="38"/>
        <v>01.110.0000</v>
      </c>
    </row>
    <row r="805" spans="1:7" hidden="1" x14ac:dyDescent="0.25">
      <c r="A805" s="6" t="s">
        <v>2921</v>
      </c>
      <c r="B805" s="28">
        <v>247999</v>
      </c>
      <c r="C805" s="6" t="s">
        <v>400</v>
      </c>
      <c r="D805" t="str">
        <f t="shared" si="36"/>
        <v>09.012.10.303.0014.2.011.3.3.90.30.00</v>
      </c>
      <c r="E805" t="str">
        <f>VLOOKUP(LEFT(A805,2),ConsolidadoLoa27_ATIVIDADES!A:I,9,0)</f>
        <v>09 - SECRETARIA DA SAÚDE</v>
      </c>
      <c r="F805" t="str">
        <f t="shared" si="37"/>
        <v>2.011</v>
      </c>
      <c r="G805" t="str">
        <f t="shared" si="38"/>
        <v>01.110.0000</v>
      </c>
    </row>
    <row r="806" spans="1:7" hidden="1" x14ac:dyDescent="0.25">
      <c r="A806" s="6" t="s">
        <v>2923</v>
      </c>
      <c r="B806" s="28">
        <v>11638402.469999999</v>
      </c>
      <c r="C806" s="6" t="s">
        <v>406</v>
      </c>
      <c r="D806" t="str">
        <f t="shared" si="36"/>
        <v>09.012.10.303.0014.2.011.3.3.90.30.00</v>
      </c>
      <c r="E806" t="str">
        <f>VLOOKUP(LEFT(A806,2),ConsolidadoLoa27_ATIVIDADES!A:I,9,0)</f>
        <v>09 - SECRETARIA DA SAÚDE</v>
      </c>
      <c r="F806" t="str">
        <f t="shared" si="37"/>
        <v>2.011</v>
      </c>
      <c r="G806" t="str">
        <f t="shared" si="38"/>
        <v>01.310.0000</v>
      </c>
    </row>
    <row r="807" spans="1:7" hidden="1" x14ac:dyDescent="0.25">
      <c r="A807" s="6" t="s">
        <v>2923</v>
      </c>
      <c r="B807" s="28">
        <v>1</v>
      </c>
      <c r="C807" s="6" t="s">
        <v>403</v>
      </c>
      <c r="D807" t="str">
        <f t="shared" si="36"/>
        <v>09.012.10.303.0014.2.011.3.3.90.30.00</v>
      </c>
      <c r="E807" t="str">
        <f>VLOOKUP(LEFT(A807,2),ConsolidadoLoa27_ATIVIDADES!A:I,9,0)</f>
        <v>09 - SECRETARIA DA SAÚDE</v>
      </c>
      <c r="F807" t="str">
        <f t="shared" si="37"/>
        <v>2.011</v>
      </c>
      <c r="G807" t="str">
        <f t="shared" si="38"/>
        <v>01.310.0000</v>
      </c>
    </row>
    <row r="808" spans="1:7" hidden="1" x14ac:dyDescent="0.25">
      <c r="A808" s="6" t="s">
        <v>2923</v>
      </c>
      <c r="B808" s="28">
        <v>1</v>
      </c>
      <c r="C808" s="6" t="s">
        <v>400</v>
      </c>
      <c r="D808" t="str">
        <f t="shared" si="36"/>
        <v>09.012.10.303.0014.2.011.3.3.90.30.00</v>
      </c>
      <c r="E808" t="str">
        <f>VLOOKUP(LEFT(A808,2),ConsolidadoLoa27_ATIVIDADES!A:I,9,0)</f>
        <v>09 - SECRETARIA DA SAÚDE</v>
      </c>
      <c r="F808" t="str">
        <f t="shared" si="37"/>
        <v>2.011</v>
      </c>
      <c r="G808" t="str">
        <f t="shared" si="38"/>
        <v>01.310.0000</v>
      </c>
    </row>
    <row r="809" spans="1:7" hidden="1" x14ac:dyDescent="0.25">
      <c r="A809" s="6" t="s">
        <v>2924</v>
      </c>
      <c r="B809" s="28">
        <v>236000</v>
      </c>
      <c r="C809" s="6" t="s">
        <v>2925</v>
      </c>
      <c r="D809" t="str">
        <f t="shared" si="36"/>
        <v>09.012.10.303.0014.2.011.3.3.90.30.00</v>
      </c>
      <c r="E809" t="str">
        <f>VLOOKUP(LEFT(A809,2),ConsolidadoLoa27_ATIVIDADES!A:I,9,0)</f>
        <v>09 - SECRETARIA DA SAÚDE</v>
      </c>
      <c r="F809" t="str">
        <f t="shared" si="37"/>
        <v>2.011</v>
      </c>
      <c r="G809" t="str">
        <f t="shared" si="38"/>
        <v>02.300.0000</v>
      </c>
    </row>
    <row r="810" spans="1:7" hidden="1" x14ac:dyDescent="0.25">
      <c r="A810" s="6" t="s">
        <v>2924</v>
      </c>
      <c r="B810" s="28">
        <v>150200</v>
      </c>
      <c r="C810" s="6" t="s">
        <v>406</v>
      </c>
      <c r="D810" t="str">
        <f t="shared" si="36"/>
        <v>09.012.10.303.0014.2.011.3.3.90.30.00</v>
      </c>
      <c r="E810" t="str">
        <f>VLOOKUP(LEFT(A810,2),ConsolidadoLoa27_ATIVIDADES!A:I,9,0)</f>
        <v>09 - SECRETARIA DA SAÚDE</v>
      </c>
      <c r="F810" t="str">
        <f t="shared" si="37"/>
        <v>2.011</v>
      </c>
      <c r="G810" t="str">
        <f t="shared" si="38"/>
        <v>02.300.0000</v>
      </c>
    </row>
    <row r="811" spans="1:7" hidden="1" x14ac:dyDescent="0.25">
      <c r="A811" s="6" t="s">
        <v>2924</v>
      </c>
      <c r="B811" s="28">
        <v>2186741</v>
      </c>
      <c r="C811" s="6" t="s">
        <v>406</v>
      </c>
      <c r="D811" t="str">
        <f t="shared" si="36"/>
        <v>09.012.10.303.0014.2.011.3.3.90.30.00</v>
      </c>
      <c r="E811" t="str">
        <f>VLOOKUP(LEFT(A811,2),ConsolidadoLoa27_ATIVIDADES!A:I,9,0)</f>
        <v>09 - SECRETARIA DA SAÚDE</v>
      </c>
      <c r="F811" t="str">
        <f t="shared" si="37"/>
        <v>2.011</v>
      </c>
      <c r="G811" t="str">
        <f t="shared" si="38"/>
        <v>02.300.0000</v>
      </c>
    </row>
    <row r="812" spans="1:7" hidden="1" x14ac:dyDescent="0.25">
      <c r="A812" s="6" t="s">
        <v>2924</v>
      </c>
      <c r="B812" s="28">
        <v>1185153.6099999999</v>
      </c>
      <c r="C812" s="6" t="s">
        <v>407</v>
      </c>
      <c r="D812" t="str">
        <f t="shared" si="36"/>
        <v>09.012.10.303.0014.2.011.3.3.90.30.00</v>
      </c>
      <c r="E812" t="str">
        <f>VLOOKUP(LEFT(A812,2),ConsolidadoLoa27_ATIVIDADES!A:I,9,0)</f>
        <v>09 - SECRETARIA DA SAÚDE</v>
      </c>
      <c r="F812" t="str">
        <f t="shared" si="37"/>
        <v>2.011</v>
      </c>
      <c r="G812" t="str">
        <f t="shared" si="38"/>
        <v>02.300.0000</v>
      </c>
    </row>
    <row r="813" spans="1:7" hidden="1" x14ac:dyDescent="0.25">
      <c r="A813" s="6" t="s">
        <v>2926</v>
      </c>
      <c r="B813" s="28">
        <v>5957211.8599999994</v>
      </c>
      <c r="C813" s="6" t="s">
        <v>406</v>
      </c>
      <c r="D813" t="str">
        <f t="shared" si="36"/>
        <v>09.012.10.303.0014.2.011.3.3.90.30.00</v>
      </c>
      <c r="E813" t="str">
        <f>VLOOKUP(LEFT(A813,2),ConsolidadoLoa27_ATIVIDADES!A:I,9,0)</f>
        <v>09 - SECRETARIA DA SAÚDE</v>
      </c>
      <c r="F813" t="str">
        <f t="shared" si="37"/>
        <v>2.011</v>
      </c>
      <c r="G813" t="str">
        <f t="shared" si="38"/>
        <v>02.310.0000</v>
      </c>
    </row>
    <row r="814" spans="1:7" hidden="1" x14ac:dyDescent="0.25">
      <c r="A814" s="6" t="s">
        <v>2927</v>
      </c>
      <c r="B814" s="28">
        <v>1</v>
      </c>
      <c r="C814" s="6" t="s">
        <v>2925</v>
      </c>
      <c r="D814" t="str">
        <f t="shared" si="36"/>
        <v>09.012.10.303.0014.2.011.3.3.90.30.00</v>
      </c>
      <c r="E814" t="str">
        <f>VLOOKUP(LEFT(A814,2),ConsolidadoLoa27_ATIVIDADES!A:I,9,0)</f>
        <v>09 - SECRETARIA DA SAÚDE</v>
      </c>
      <c r="F814" t="str">
        <f t="shared" si="37"/>
        <v>2.011</v>
      </c>
      <c r="G814" t="str">
        <f t="shared" si="38"/>
        <v>05.304.0000</v>
      </c>
    </row>
    <row r="815" spans="1:7" hidden="1" x14ac:dyDescent="0.25">
      <c r="A815" s="6" t="s">
        <v>2927</v>
      </c>
      <c r="B815" s="28">
        <v>1824904.8276</v>
      </c>
      <c r="C815" s="6" t="s">
        <v>2922</v>
      </c>
      <c r="D815" t="str">
        <f t="shared" si="36"/>
        <v>09.012.10.303.0014.2.011.3.3.90.30.00</v>
      </c>
      <c r="E815" t="str">
        <f>VLOOKUP(LEFT(A815,2),ConsolidadoLoa27_ATIVIDADES!A:I,9,0)</f>
        <v>09 - SECRETARIA DA SAÚDE</v>
      </c>
      <c r="F815" t="str">
        <f t="shared" si="37"/>
        <v>2.011</v>
      </c>
      <c r="G815" t="str">
        <f t="shared" si="38"/>
        <v>05.304.0000</v>
      </c>
    </row>
    <row r="816" spans="1:7" hidden="1" x14ac:dyDescent="0.25">
      <c r="A816" s="6" t="s">
        <v>2928</v>
      </c>
      <c r="B816" s="28">
        <v>0</v>
      </c>
      <c r="C816" s="6" t="s">
        <v>2929</v>
      </c>
      <c r="D816" t="str">
        <f t="shared" si="36"/>
        <v>09.012.10.303.0014.2.011.3.3.90.30.00</v>
      </c>
      <c r="E816" t="str">
        <f>VLOOKUP(LEFT(A816,2),ConsolidadoLoa27_ATIVIDADES!A:I,9,0)</f>
        <v>09 - SECRETARIA DA SAÚDE</v>
      </c>
      <c r="F816" t="str">
        <f t="shared" si="37"/>
        <v>2.011</v>
      </c>
      <c r="G816" t="str">
        <f t="shared" si="38"/>
        <v>08.310.0000</v>
      </c>
    </row>
    <row r="817" spans="1:7" hidden="1" x14ac:dyDescent="0.25">
      <c r="A817" s="6" t="s">
        <v>2928</v>
      </c>
      <c r="B817" s="28">
        <v>0</v>
      </c>
      <c r="C817" s="6" t="s">
        <v>2930</v>
      </c>
      <c r="D817" t="str">
        <f t="shared" si="36"/>
        <v>09.012.10.303.0014.2.011.3.3.90.30.00</v>
      </c>
      <c r="E817" t="str">
        <f>VLOOKUP(LEFT(A817,2),ConsolidadoLoa27_ATIVIDADES!A:I,9,0)</f>
        <v>09 - SECRETARIA DA SAÚDE</v>
      </c>
      <c r="F817" t="str">
        <f t="shared" si="37"/>
        <v>2.011</v>
      </c>
      <c r="G817" t="str">
        <f t="shared" si="38"/>
        <v>08.310.0000</v>
      </c>
    </row>
    <row r="818" spans="1:7" hidden="1" x14ac:dyDescent="0.25">
      <c r="A818" s="6" t="s">
        <v>2931</v>
      </c>
      <c r="B818" s="28">
        <v>11000000</v>
      </c>
      <c r="C818" s="6" t="s">
        <v>404</v>
      </c>
      <c r="D818" t="str">
        <f t="shared" si="36"/>
        <v>09.012.10.303.0014.2.011.3.3.90.32.00</v>
      </c>
      <c r="E818" t="str">
        <f>VLOOKUP(LEFT(A818,2),ConsolidadoLoa27_ATIVIDADES!A:I,9,0)</f>
        <v>09 - SECRETARIA DA SAÚDE</v>
      </c>
      <c r="F818" t="str">
        <f t="shared" si="37"/>
        <v>2.011</v>
      </c>
      <c r="G818" t="str">
        <f t="shared" si="38"/>
        <v>01.110.0000</v>
      </c>
    </row>
    <row r="819" spans="1:7" hidden="1" x14ac:dyDescent="0.25">
      <c r="A819" s="6" t="s">
        <v>2931</v>
      </c>
      <c r="B819" s="28">
        <v>2107929.0499999998</v>
      </c>
      <c r="C819" s="6" t="s">
        <v>403</v>
      </c>
      <c r="D819" t="str">
        <f t="shared" si="36"/>
        <v>09.012.10.303.0014.2.011.3.3.90.32.00</v>
      </c>
      <c r="E819" t="str">
        <f>VLOOKUP(LEFT(A819,2),ConsolidadoLoa27_ATIVIDADES!A:I,9,0)</f>
        <v>09 - SECRETARIA DA SAÚDE</v>
      </c>
      <c r="F819" t="str">
        <f t="shared" si="37"/>
        <v>2.011</v>
      </c>
      <c r="G819" t="str">
        <f t="shared" si="38"/>
        <v>01.110.0000</v>
      </c>
    </row>
    <row r="820" spans="1:7" hidden="1" x14ac:dyDescent="0.25">
      <c r="A820" s="6" t="s">
        <v>2932</v>
      </c>
      <c r="B820" s="28">
        <v>1</v>
      </c>
      <c r="C820" s="6" t="s">
        <v>403</v>
      </c>
      <c r="D820" t="str">
        <f t="shared" si="36"/>
        <v>09.012.10.303.0014.2.011.3.3.90.32.00</v>
      </c>
      <c r="E820" t="str">
        <f>VLOOKUP(LEFT(A820,2),ConsolidadoLoa27_ATIVIDADES!A:I,9,0)</f>
        <v>09 - SECRETARIA DA SAÚDE</v>
      </c>
      <c r="F820" t="str">
        <f t="shared" si="37"/>
        <v>2.011</v>
      </c>
      <c r="G820" t="str">
        <f t="shared" si="38"/>
        <v>01.310.0000</v>
      </c>
    </row>
    <row r="821" spans="1:7" hidden="1" x14ac:dyDescent="0.25">
      <c r="A821" s="6" t="s">
        <v>2933</v>
      </c>
      <c r="B821" s="28">
        <v>0</v>
      </c>
      <c r="C821" s="6" t="s">
        <v>2929</v>
      </c>
      <c r="D821" t="str">
        <f t="shared" si="36"/>
        <v>09.012.10.303.0014.2.011.3.3.90.32.00</v>
      </c>
      <c r="E821" t="str">
        <f>VLOOKUP(LEFT(A821,2),ConsolidadoLoa27_ATIVIDADES!A:I,9,0)</f>
        <v>09 - SECRETARIA DA SAÚDE</v>
      </c>
      <c r="F821" t="str">
        <f t="shared" si="37"/>
        <v>2.011</v>
      </c>
      <c r="G821" t="str">
        <f t="shared" si="38"/>
        <v>08.310.0000</v>
      </c>
    </row>
    <row r="822" spans="1:7" hidden="1" x14ac:dyDescent="0.25">
      <c r="A822" s="6" t="s">
        <v>2934</v>
      </c>
      <c r="B822" s="28">
        <v>4608994.45</v>
      </c>
      <c r="C822" s="6" t="s">
        <v>403</v>
      </c>
      <c r="D822" t="str">
        <f t="shared" si="36"/>
        <v>09.012.10.303.0014.2.011.3.3.90.32.00</v>
      </c>
      <c r="E822" t="str">
        <f>VLOOKUP(LEFT(A822,2),ConsolidadoLoa27_ATIVIDADES!A:I,9,0)</f>
        <v>09 - SECRETARIA DA SAÚDE</v>
      </c>
      <c r="F822" t="str">
        <f t="shared" si="37"/>
        <v>2.011</v>
      </c>
      <c r="G822" t="str">
        <f t="shared" si="38"/>
        <v>05.304.0000</v>
      </c>
    </row>
    <row r="823" spans="1:7" hidden="1" x14ac:dyDescent="0.25">
      <c r="A823" s="6" t="s">
        <v>2935</v>
      </c>
      <c r="B823" s="28">
        <v>1</v>
      </c>
      <c r="C823" s="6" t="s">
        <v>406</v>
      </c>
      <c r="D823" t="str">
        <f t="shared" si="36"/>
        <v>09.012.10.303.0014.2.011.3.3.90.39.00</v>
      </c>
      <c r="E823" t="str">
        <f>VLOOKUP(LEFT(A823,2),ConsolidadoLoa27_ATIVIDADES!A:I,9,0)</f>
        <v>09 - SECRETARIA DA SAÚDE</v>
      </c>
      <c r="F823" t="str">
        <f t="shared" si="37"/>
        <v>2.011</v>
      </c>
      <c r="G823" t="str">
        <f t="shared" si="38"/>
        <v>01.110.0000</v>
      </c>
    </row>
    <row r="824" spans="1:7" hidden="1" x14ac:dyDescent="0.25">
      <c r="A824" s="6" t="s">
        <v>2935</v>
      </c>
      <c r="B824" s="28">
        <v>366368.99530000001</v>
      </c>
      <c r="C824" s="6" t="s">
        <v>412</v>
      </c>
      <c r="D824" t="str">
        <f t="shared" si="36"/>
        <v>09.012.10.303.0014.2.011.3.3.90.39.00</v>
      </c>
      <c r="E824" t="str">
        <f>VLOOKUP(LEFT(A824,2),ConsolidadoLoa27_ATIVIDADES!A:I,9,0)</f>
        <v>09 - SECRETARIA DA SAÚDE</v>
      </c>
      <c r="F824" t="str">
        <f t="shared" si="37"/>
        <v>2.011</v>
      </c>
      <c r="G824" t="str">
        <f t="shared" si="38"/>
        <v>01.110.0000</v>
      </c>
    </row>
    <row r="825" spans="1:7" hidden="1" x14ac:dyDescent="0.25">
      <c r="A825" s="6" t="s">
        <v>2935</v>
      </c>
      <c r="B825" s="28">
        <v>2002.3457000000001</v>
      </c>
      <c r="C825" s="6" t="s">
        <v>100</v>
      </c>
      <c r="D825" t="str">
        <f t="shared" si="36"/>
        <v>09.012.10.303.0014.2.011.3.3.90.39.00</v>
      </c>
      <c r="E825" t="str">
        <f>VLOOKUP(LEFT(A825,2),ConsolidadoLoa27_ATIVIDADES!A:I,9,0)</f>
        <v>09 - SECRETARIA DA SAÚDE</v>
      </c>
      <c r="F825" t="str">
        <f t="shared" si="37"/>
        <v>2.011</v>
      </c>
      <c r="G825" t="str">
        <f t="shared" si="38"/>
        <v>01.110.0000</v>
      </c>
    </row>
    <row r="826" spans="1:7" hidden="1" x14ac:dyDescent="0.25">
      <c r="A826" s="6" t="s">
        <v>2936</v>
      </c>
      <c r="B826" s="28">
        <v>89340.778900000005</v>
      </c>
      <c r="C826" s="6" t="s">
        <v>100</v>
      </c>
      <c r="D826" t="str">
        <f t="shared" si="36"/>
        <v>09.012.10.303.0014.2.011.3.3.90.39.00</v>
      </c>
      <c r="E826" t="str">
        <f>VLOOKUP(LEFT(A826,2),ConsolidadoLoa27_ATIVIDADES!A:I,9,0)</f>
        <v>09 - SECRETARIA DA SAÚDE</v>
      </c>
      <c r="F826" t="str">
        <f t="shared" si="37"/>
        <v>2.011</v>
      </c>
      <c r="G826" t="str">
        <f t="shared" si="38"/>
        <v>01.310.0000</v>
      </c>
    </row>
    <row r="827" spans="1:7" hidden="1" x14ac:dyDescent="0.25">
      <c r="A827" s="6" t="s">
        <v>2937</v>
      </c>
      <c r="B827" s="28">
        <v>103910</v>
      </c>
      <c r="C827" s="6" t="s">
        <v>419</v>
      </c>
      <c r="D827" t="str">
        <f t="shared" si="36"/>
        <v>09.012.10.303.0014.2.011.4.4.90.52.00</v>
      </c>
      <c r="E827" t="str">
        <f>VLOOKUP(LEFT(A827,2),ConsolidadoLoa27_ATIVIDADES!A:I,9,0)</f>
        <v>09 - SECRETARIA DA SAÚDE</v>
      </c>
      <c r="F827" t="str">
        <f t="shared" si="37"/>
        <v>2.011</v>
      </c>
      <c r="G827" t="str">
        <f t="shared" si="38"/>
        <v>01.110.0000</v>
      </c>
    </row>
    <row r="828" spans="1:7" hidden="1" x14ac:dyDescent="0.25">
      <c r="A828" s="6" t="s">
        <v>2938</v>
      </c>
      <c r="B828" s="28">
        <v>1134281.6200000001</v>
      </c>
      <c r="C828" s="6" t="s">
        <v>2925</v>
      </c>
      <c r="D828" t="str">
        <f t="shared" si="36"/>
        <v>09.012.10.303.0015.2.011.3.3.90.30.00</v>
      </c>
      <c r="E828" t="str">
        <f>VLOOKUP(LEFT(A828,2),ConsolidadoLoa27_ATIVIDADES!A:I,9,0)</f>
        <v>09 - SECRETARIA DA SAÚDE</v>
      </c>
      <c r="F828" t="str">
        <f t="shared" si="37"/>
        <v>2.011</v>
      </c>
      <c r="G828" t="str">
        <f t="shared" si="38"/>
        <v>01.110.0000</v>
      </c>
    </row>
    <row r="829" spans="1:7" hidden="1" x14ac:dyDescent="0.25">
      <c r="A829" s="6" t="s">
        <v>2938</v>
      </c>
      <c r="B829" s="28">
        <v>174276.2</v>
      </c>
      <c r="C829" s="6" t="s">
        <v>2939</v>
      </c>
      <c r="D829" t="str">
        <f t="shared" si="36"/>
        <v>09.012.10.303.0015.2.011.3.3.90.30.00</v>
      </c>
      <c r="E829" t="str">
        <f>VLOOKUP(LEFT(A829,2),ConsolidadoLoa27_ATIVIDADES!A:I,9,0)</f>
        <v>09 - SECRETARIA DA SAÚDE</v>
      </c>
      <c r="F829" t="str">
        <f t="shared" si="37"/>
        <v>2.011</v>
      </c>
      <c r="G829" t="str">
        <f t="shared" si="38"/>
        <v>01.110.0000</v>
      </c>
    </row>
    <row r="830" spans="1:7" hidden="1" x14ac:dyDescent="0.25">
      <c r="A830" s="6" t="s">
        <v>2940</v>
      </c>
      <c r="B830" s="28">
        <v>5970562</v>
      </c>
      <c r="C830" s="6" t="s">
        <v>2925</v>
      </c>
      <c r="D830" t="str">
        <f t="shared" si="36"/>
        <v>09.012.10.303.0015.2.011.3.3.90.30.00</v>
      </c>
      <c r="E830" t="str">
        <f>VLOOKUP(LEFT(A830,2),ConsolidadoLoa27_ATIVIDADES!A:I,9,0)</f>
        <v>09 - SECRETARIA DA SAÚDE</v>
      </c>
      <c r="F830" t="str">
        <f t="shared" si="37"/>
        <v>2.011</v>
      </c>
      <c r="G830" t="str">
        <f t="shared" si="38"/>
        <v>01.310.0000</v>
      </c>
    </row>
    <row r="831" spans="1:7" hidden="1" x14ac:dyDescent="0.25">
      <c r="A831" s="6" t="s">
        <v>2941</v>
      </c>
      <c r="B831" s="28">
        <v>1</v>
      </c>
      <c r="C831" s="6" t="s">
        <v>2271</v>
      </c>
      <c r="D831" t="str">
        <f t="shared" si="36"/>
        <v>09.015.04.121.0004.1.001.3.3.90.35.00</v>
      </c>
      <c r="E831" t="str">
        <f>VLOOKUP(LEFT(A831,2),ConsolidadoLoa27_ATIVIDADES!A:I,9,0)</f>
        <v>09 - SECRETARIA DA SAÚDE</v>
      </c>
      <c r="F831" t="str">
        <f t="shared" si="37"/>
        <v>1.001</v>
      </c>
      <c r="G831" t="str">
        <f t="shared" si="38"/>
        <v>01.110.0000</v>
      </c>
    </row>
    <row r="832" spans="1:7" hidden="1" x14ac:dyDescent="0.25">
      <c r="A832" s="6" t="s">
        <v>2942</v>
      </c>
      <c r="B832" s="28">
        <v>1</v>
      </c>
      <c r="C832" s="6" t="s">
        <v>318</v>
      </c>
      <c r="D832" t="str">
        <f t="shared" si="36"/>
        <v>09.015.04.128.0002.2.003.3.3.90.36.00</v>
      </c>
      <c r="E832" t="str">
        <f>VLOOKUP(LEFT(A832,2),ConsolidadoLoa27_ATIVIDADES!A:I,9,0)</f>
        <v>09 - SECRETARIA DA SAÚDE</v>
      </c>
      <c r="F832" t="str">
        <f t="shared" si="37"/>
        <v>2.003</v>
      </c>
      <c r="G832" t="str">
        <f t="shared" si="38"/>
        <v>01.110.0000</v>
      </c>
    </row>
    <row r="833" spans="1:7" hidden="1" x14ac:dyDescent="0.25">
      <c r="A833" s="6" t="s">
        <v>2943</v>
      </c>
      <c r="B833" s="28">
        <v>1</v>
      </c>
      <c r="C833" s="6" t="s">
        <v>318</v>
      </c>
      <c r="D833" t="str">
        <f t="shared" si="36"/>
        <v>09.015.04.128.0002.2.003.3.3.90.36.00</v>
      </c>
      <c r="E833" t="str">
        <f>VLOOKUP(LEFT(A833,2),ConsolidadoLoa27_ATIVIDADES!A:I,9,0)</f>
        <v>09 - SECRETARIA DA SAÚDE</v>
      </c>
      <c r="F833" t="str">
        <f t="shared" si="37"/>
        <v>2.003</v>
      </c>
      <c r="G833" t="str">
        <f t="shared" si="38"/>
        <v>01.310.0000</v>
      </c>
    </row>
    <row r="834" spans="1:7" hidden="1" x14ac:dyDescent="0.25">
      <c r="A834" s="6" t="s">
        <v>2944</v>
      </c>
      <c r="B834" s="28">
        <v>1</v>
      </c>
      <c r="C834" s="6" t="s">
        <v>318</v>
      </c>
      <c r="D834" t="str">
        <f t="shared" si="36"/>
        <v>09.015.04.128.0002.2.003.3.3.90.39.00</v>
      </c>
      <c r="E834" t="str">
        <f>VLOOKUP(LEFT(A834,2),ConsolidadoLoa27_ATIVIDADES!A:I,9,0)</f>
        <v>09 - SECRETARIA DA SAÚDE</v>
      </c>
      <c r="F834" t="str">
        <f t="shared" si="37"/>
        <v>2.003</v>
      </c>
      <c r="G834" t="str">
        <f t="shared" si="38"/>
        <v>01.110.0000</v>
      </c>
    </row>
    <row r="835" spans="1:7" hidden="1" x14ac:dyDescent="0.25">
      <c r="A835" s="6" t="s">
        <v>2945</v>
      </c>
      <c r="B835" s="28">
        <v>1</v>
      </c>
      <c r="C835" s="6" t="s">
        <v>318</v>
      </c>
      <c r="D835" t="str">
        <f t="shared" ref="D835:D898" si="39">_xlfn.CONCAT(LEFT(A835,34),".00")</f>
        <v>09.015.04.128.0002.2.003.3.3.90.39.00</v>
      </c>
      <c r="E835" t="str">
        <f>VLOOKUP(LEFT(A835,2),ConsolidadoLoa27_ATIVIDADES!A:I,9,0)</f>
        <v>09 - SECRETARIA DA SAÚDE</v>
      </c>
      <c r="F835" t="str">
        <f t="shared" ref="F835:F898" si="40">MID(A835,20,5)</f>
        <v>2.003</v>
      </c>
      <c r="G835" t="str">
        <f t="shared" ref="G835:G898" si="41">RIGHT(A835,11)</f>
        <v>01.310.0000</v>
      </c>
    </row>
    <row r="836" spans="1:7" hidden="1" x14ac:dyDescent="0.25">
      <c r="A836" s="6" t="s">
        <v>2946</v>
      </c>
      <c r="B836" s="28">
        <v>1</v>
      </c>
      <c r="C836" s="6" t="s">
        <v>2947</v>
      </c>
      <c r="D836" t="str">
        <f t="shared" si="39"/>
        <v>09.015.10.122.0014.1.002.3.3.90.30.00</v>
      </c>
      <c r="E836" t="str">
        <f>VLOOKUP(LEFT(A836,2),ConsolidadoLoa27_ATIVIDADES!A:I,9,0)</f>
        <v>09 - SECRETARIA DA SAÚDE</v>
      </c>
      <c r="F836" t="str">
        <f t="shared" si="40"/>
        <v>1.002</v>
      </c>
      <c r="G836" t="str">
        <f t="shared" si="41"/>
        <v>01.110.0000</v>
      </c>
    </row>
    <row r="837" spans="1:7" hidden="1" x14ac:dyDescent="0.25">
      <c r="A837" s="6" t="s">
        <v>2948</v>
      </c>
      <c r="B837" s="28">
        <v>1</v>
      </c>
      <c r="C837" s="6" t="s">
        <v>2947</v>
      </c>
      <c r="D837" t="str">
        <f t="shared" si="39"/>
        <v>09.015.10.122.0014.1.002.3.3.90.30.00</v>
      </c>
      <c r="E837" t="str">
        <f>VLOOKUP(LEFT(A837,2),ConsolidadoLoa27_ATIVIDADES!A:I,9,0)</f>
        <v>09 - SECRETARIA DA SAÚDE</v>
      </c>
      <c r="F837" t="str">
        <f t="shared" si="40"/>
        <v>1.002</v>
      </c>
      <c r="G837" t="str">
        <f t="shared" si="41"/>
        <v>01.310.0000</v>
      </c>
    </row>
    <row r="838" spans="1:7" hidden="1" x14ac:dyDescent="0.25">
      <c r="A838" s="6" t="s">
        <v>2949</v>
      </c>
      <c r="B838" s="28">
        <v>1</v>
      </c>
      <c r="C838" s="6" t="s">
        <v>2947</v>
      </c>
      <c r="D838" t="str">
        <f t="shared" si="39"/>
        <v>09.015.10.122.0014.1.002.3.3.90.39.00</v>
      </c>
      <c r="E838" t="str">
        <f>VLOOKUP(LEFT(A838,2),ConsolidadoLoa27_ATIVIDADES!A:I,9,0)</f>
        <v>09 - SECRETARIA DA SAÚDE</v>
      </c>
      <c r="F838" t="str">
        <f t="shared" si="40"/>
        <v>1.002</v>
      </c>
      <c r="G838" t="str">
        <f t="shared" si="41"/>
        <v>01.110.0000</v>
      </c>
    </row>
    <row r="839" spans="1:7" hidden="1" x14ac:dyDescent="0.25">
      <c r="A839" s="6" t="s">
        <v>2949</v>
      </c>
      <c r="B839" s="28">
        <v>1</v>
      </c>
      <c r="C839" s="6" t="s">
        <v>2947</v>
      </c>
      <c r="D839" t="str">
        <f t="shared" si="39"/>
        <v>09.015.10.122.0014.1.002.3.3.90.39.00</v>
      </c>
      <c r="E839" t="str">
        <f>VLOOKUP(LEFT(A839,2),ConsolidadoLoa27_ATIVIDADES!A:I,9,0)</f>
        <v>09 - SECRETARIA DA SAÚDE</v>
      </c>
      <c r="F839" t="str">
        <f t="shared" si="40"/>
        <v>1.002</v>
      </c>
      <c r="G839" t="str">
        <f t="shared" si="41"/>
        <v>01.110.0000</v>
      </c>
    </row>
    <row r="840" spans="1:7" hidden="1" x14ac:dyDescent="0.25">
      <c r="A840" s="6" t="s">
        <v>2950</v>
      </c>
      <c r="B840" s="28">
        <v>1</v>
      </c>
      <c r="C840" s="6" t="s">
        <v>2947</v>
      </c>
      <c r="D840" t="str">
        <f t="shared" si="39"/>
        <v>09.015.10.122.0014.1.002.3.3.90.39.00</v>
      </c>
      <c r="E840" t="str">
        <f>VLOOKUP(LEFT(A840,2),ConsolidadoLoa27_ATIVIDADES!A:I,9,0)</f>
        <v>09 - SECRETARIA DA SAÚDE</v>
      </c>
      <c r="F840" t="str">
        <f t="shared" si="40"/>
        <v>1.002</v>
      </c>
      <c r="G840" t="str">
        <f t="shared" si="41"/>
        <v>01.310.0000</v>
      </c>
    </row>
    <row r="841" spans="1:7" hidden="1" x14ac:dyDescent="0.25">
      <c r="A841" s="6" t="s">
        <v>2950</v>
      </c>
      <c r="B841" s="28">
        <v>1</v>
      </c>
      <c r="C841" s="6" t="s">
        <v>2947</v>
      </c>
      <c r="D841" t="str">
        <f t="shared" si="39"/>
        <v>09.015.10.122.0014.1.002.3.3.90.39.00</v>
      </c>
      <c r="E841" t="str">
        <f>VLOOKUP(LEFT(A841,2),ConsolidadoLoa27_ATIVIDADES!A:I,9,0)</f>
        <v>09 - SECRETARIA DA SAÚDE</v>
      </c>
      <c r="F841" t="str">
        <f t="shared" si="40"/>
        <v>1.002</v>
      </c>
      <c r="G841" t="str">
        <f t="shared" si="41"/>
        <v>01.310.0000</v>
      </c>
    </row>
    <row r="842" spans="1:7" hidden="1" x14ac:dyDescent="0.25">
      <c r="A842" s="6" t="s">
        <v>2951</v>
      </c>
      <c r="B842" s="28">
        <v>1</v>
      </c>
      <c r="C842" s="6" t="s">
        <v>2947</v>
      </c>
      <c r="D842" t="str">
        <f t="shared" si="39"/>
        <v>09.015.10.122.0014.1.002.4.4.90.51.00</v>
      </c>
      <c r="E842" t="str">
        <f>VLOOKUP(LEFT(A842,2),ConsolidadoLoa27_ATIVIDADES!A:I,9,0)</f>
        <v>09 - SECRETARIA DA SAÚDE</v>
      </c>
      <c r="F842" t="str">
        <f t="shared" si="40"/>
        <v>1.002</v>
      </c>
      <c r="G842" t="str">
        <f t="shared" si="41"/>
        <v>01.110.0000</v>
      </c>
    </row>
    <row r="843" spans="1:7" hidden="1" x14ac:dyDescent="0.25">
      <c r="A843" s="6" t="s">
        <v>2952</v>
      </c>
      <c r="B843" s="28">
        <v>1</v>
      </c>
      <c r="C843" s="6" t="s">
        <v>2947</v>
      </c>
      <c r="D843" t="str">
        <f t="shared" si="39"/>
        <v>09.015.10.122.0014.1.002.4.4.90.51.00</v>
      </c>
      <c r="E843" t="str">
        <f>VLOOKUP(LEFT(A843,2),ConsolidadoLoa27_ATIVIDADES!A:I,9,0)</f>
        <v>09 - SECRETARIA DA SAÚDE</v>
      </c>
      <c r="F843" t="str">
        <f t="shared" si="40"/>
        <v>1.002</v>
      </c>
      <c r="G843" t="str">
        <f t="shared" si="41"/>
        <v>01.310.0000</v>
      </c>
    </row>
    <row r="844" spans="1:7" hidden="1" x14ac:dyDescent="0.25">
      <c r="A844" s="6" t="s">
        <v>2953</v>
      </c>
      <c r="B844" s="28">
        <v>1</v>
      </c>
      <c r="C844" s="6" t="s">
        <v>2947</v>
      </c>
      <c r="D844" t="str">
        <f t="shared" si="39"/>
        <v>09.015.10.122.0014.1.002.4.4.90.52.00</v>
      </c>
      <c r="E844" t="str">
        <f>VLOOKUP(LEFT(A844,2),ConsolidadoLoa27_ATIVIDADES!A:I,9,0)</f>
        <v>09 - SECRETARIA DA SAÚDE</v>
      </c>
      <c r="F844" t="str">
        <f t="shared" si="40"/>
        <v>1.002</v>
      </c>
      <c r="G844" t="str">
        <f t="shared" si="41"/>
        <v>01.110.0000</v>
      </c>
    </row>
    <row r="845" spans="1:7" hidden="1" x14ac:dyDescent="0.25">
      <c r="A845" s="6" t="s">
        <v>2954</v>
      </c>
      <c r="B845" s="28">
        <v>1</v>
      </c>
      <c r="C845" s="6" t="s">
        <v>2947</v>
      </c>
      <c r="D845" t="str">
        <f t="shared" si="39"/>
        <v>09.015.10.122.0014.1.002.4.4.90.52.00</v>
      </c>
      <c r="E845" t="str">
        <f>VLOOKUP(LEFT(A845,2),ConsolidadoLoa27_ATIVIDADES!A:I,9,0)</f>
        <v>09 - SECRETARIA DA SAÚDE</v>
      </c>
      <c r="F845" t="str">
        <f t="shared" si="40"/>
        <v>1.002</v>
      </c>
      <c r="G845" t="str">
        <f t="shared" si="41"/>
        <v>01.310.0000</v>
      </c>
    </row>
    <row r="846" spans="1:7" hidden="1" x14ac:dyDescent="0.25">
      <c r="A846" s="6" t="s">
        <v>2955</v>
      </c>
      <c r="B846" s="28">
        <v>10391</v>
      </c>
      <c r="C846" s="6" t="s">
        <v>2956</v>
      </c>
      <c r="D846" t="str">
        <f t="shared" si="39"/>
        <v>09.015.10.122.0014.2.011.3.3.90.30.00</v>
      </c>
      <c r="E846" t="str">
        <f>VLOOKUP(LEFT(A846,2),ConsolidadoLoa27_ATIVIDADES!A:I,9,0)</f>
        <v>09 - SECRETARIA DA SAÚDE</v>
      </c>
      <c r="F846" t="str">
        <f t="shared" si="40"/>
        <v>2.011</v>
      </c>
      <c r="G846" t="str">
        <f t="shared" si="41"/>
        <v>01.110.0000</v>
      </c>
    </row>
    <row r="847" spans="1:7" hidden="1" x14ac:dyDescent="0.25">
      <c r="A847" s="6" t="s">
        <v>2955</v>
      </c>
      <c r="B847" s="28">
        <v>10391</v>
      </c>
      <c r="C847" s="6" t="s">
        <v>2288</v>
      </c>
      <c r="D847" t="str">
        <f t="shared" si="39"/>
        <v>09.015.10.122.0014.2.011.3.3.90.30.00</v>
      </c>
      <c r="E847" t="str">
        <f>VLOOKUP(LEFT(A847,2),ConsolidadoLoa27_ATIVIDADES!A:I,9,0)</f>
        <v>09 - SECRETARIA DA SAÚDE</v>
      </c>
      <c r="F847" t="str">
        <f t="shared" si="40"/>
        <v>2.011</v>
      </c>
      <c r="G847" t="str">
        <f t="shared" si="41"/>
        <v>01.110.0000</v>
      </c>
    </row>
    <row r="848" spans="1:7" hidden="1" x14ac:dyDescent="0.25">
      <c r="A848" s="6" t="s">
        <v>2955</v>
      </c>
      <c r="B848" s="28">
        <v>242460.6</v>
      </c>
      <c r="C848" s="14" t="s">
        <v>401</v>
      </c>
      <c r="D848" t="str">
        <f t="shared" si="39"/>
        <v>09.015.10.122.0014.2.011.3.3.90.30.00</v>
      </c>
      <c r="E848" t="str">
        <f>VLOOKUP(LEFT(A848,2),ConsolidadoLoa27_ATIVIDADES!A:I,9,0)</f>
        <v>09 - SECRETARIA DA SAÚDE</v>
      </c>
      <c r="F848" t="str">
        <f t="shared" si="40"/>
        <v>2.011</v>
      </c>
      <c r="G848" t="str">
        <f t="shared" si="41"/>
        <v>01.110.0000</v>
      </c>
    </row>
    <row r="849" spans="1:7" hidden="1" x14ac:dyDescent="0.25">
      <c r="A849" s="6" t="s">
        <v>2955</v>
      </c>
      <c r="B849" s="28">
        <v>2</v>
      </c>
      <c r="C849" s="6" t="s">
        <v>402</v>
      </c>
      <c r="D849" t="str">
        <f t="shared" si="39"/>
        <v>09.015.10.122.0014.2.011.3.3.90.30.00</v>
      </c>
      <c r="E849" t="str">
        <f>VLOOKUP(LEFT(A849,2),ConsolidadoLoa27_ATIVIDADES!A:I,9,0)</f>
        <v>09 - SECRETARIA DA SAÚDE</v>
      </c>
      <c r="F849" t="str">
        <f t="shared" si="40"/>
        <v>2.011</v>
      </c>
      <c r="G849" t="str">
        <f t="shared" si="41"/>
        <v>01.110.0000</v>
      </c>
    </row>
    <row r="850" spans="1:7" hidden="1" x14ac:dyDescent="0.25">
      <c r="A850" s="6" t="s">
        <v>2955</v>
      </c>
      <c r="B850" s="28">
        <v>10391</v>
      </c>
      <c r="C850" s="6" t="s">
        <v>2295</v>
      </c>
      <c r="D850" t="str">
        <f t="shared" si="39"/>
        <v>09.015.10.122.0014.2.011.3.3.90.30.00</v>
      </c>
      <c r="E850" t="str">
        <f>VLOOKUP(LEFT(A850,2),ConsolidadoLoa27_ATIVIDADES!A:I,9,0)</f>
        <v>09 - SECRETARIA DA SAÚDE</v>
      </c>
      <c r="F850" t="str">
        <f t="shared" si="40"/>
        <v>2.011</v>
      </c>
      <c r="G850" t="str">
        <f t="shared" si="41"/>
        <v>01.110.0000</v>
      </c>
    </row>
    <row r="851" spans="1:7" hidden="1" x14ac:dyDescent="0.25">
      <c r="A851" s="6" t="s">
        <v>2955</v>
      </c>
      <c r="B851" s="28">
        <v>10680</v>
      </c>
      <c r="C851" s="14" t="s">
        <v>394</v>
      </c>
      <c r="D851" t="str">
        <f t="shared" si="39"/>
        <v>09.015.10.122.0014.2.011.3.3.90.30.00</v>
      </c>
      <c r="E851" t="str">
        <f>VLOOKUP(LEFT(A851,2),ConsolidadoLoa27_ATIVIDADES!A:I,9,0)</f>
        <v>09 - SECRETARIA DA SAÚDE</v>
      </c>
      <c r="F851" t="str">
        <f t="shared" si="40"/>
        <v>2.011</v>
      </c>
      <c r="G851" t="str">
        <f t="shared" si="41"/>
        <v>01.110.0000</v>
      </c>
    </row>
    <row r="852" spans="1:7" hidden="1" x14ac:dyDescent="0.25">
      <c r="A852" s="6" t="s">
        <v>2955</v>
      </c>
      <c r="B852" s="28">
        <v>156140</v>
      </c>
      <c r="C852" s="6" t="s">
        <v>428</v>
      </c>
      <c r="D852" t="str">
        <f t="shared" si="39"/>
        <v>09.015.10.122.0014.2.011.3.3.90.30.00</v>
      </c>
      <c r="E852" t="str">
        <f>VLOOKUP(LEFT(A852,2),ConsolidadoLoa27_ATIVIDADES!A:I,9,0)</f>
        <v>09 - SECRETARIA DA SAÚDE</v>
      </c>
      <c r="F852" t="str">
        <f t="shared" si="40"/>
        <v>2.011</v>
      </c>
      <c r="G852" t="str">
        <f t="shared" si="41"/>
        <v>01.110.0000</v>
      </c>
    </row>
    <row r="853" spans="1:7" hidden="1" x14ac:dyDescent="0.25">
      <c r="A853" s="6" t="s">
        <v>2955</v>
      </c>
      <c r="B853" s="28">
        <v>488377</v>
      </c>
      <c r="C853" s="14" t="s">
        <v>107</v>
      </c>
      <c r="D853" t="str">
        <f t="shared" si="39"/>
        <v>09.015.10.122.0014.2.011.3.3.90.30.00</v>
      </c>
      <c r="E853" t="str">
        <f>VLOOKUP(LEFT(A853,2),ConsolidadoLoa27_ATIVIDADES!A:I,9,0)</f>
        <v>09 - SECRETARIA DA SAÚDE</v>
      </c>
      <c r="F853" t="str">
        <f t="shared" si="40"/>
        <v>2.011</v>
      </c>
      <c r="G853" t="str">
        <f t="shared" si="41"/>
        <v>01.110.0000</v>
      </c>
    </row>
    <row r="854" spans="1:7" hidden="1" x14ac:dyDescent="0.25">
      <c r="A854" s="6" t="s">
        <v>2955</v>
      </c>
      <c r="B854" s="28">
        <v>1205356</v>
      </c>
      <c r="C854" s="6" t="s">
        <v>2289</v>
      </c>
      <c r="D854" t="str">
        <f t="shared" si="39"/>
        <v>09.015.10.122.0014.2.011.3.3.90.30.00</v>
      </c>
      <c r="E854" t="str">
        <f>VLOOKUP(LEFT(A854,2),ConsolidadoLoa27_ATIVIDADES!A:I,9,0)</f>
        <v>09 - SECRETARIA DA SAÚDE</v>
      </c>
      <c r="F854" t="str">
        <f t="shared" si="40"/>
        <v>2.011</v>
      </c>
      <c r="G854" t="str">
        <f t="shared" si="41"/>
        <v>01.110.0000</v>
      </c>
    </row>
    <row r="855" spans="1:7" hidden="1" x14ac:dyDescent="0.25">
      <c r="A855" s="6" t="s">
        <v>2955</v>
      </c>
      <c r="B855" s="28">
        <v>150390.79999999999</v>
      </c>
      <c r="C855" s="6" t="s">
        <v>411</v>
      </c>
      <c r="D855" t="str">
        <f t="shared" si="39"/>
        <v>09.015.10.122.0014.2.011.3.3.90.30.00</v>
      </c>
      <c r="E855" t="str">
        <f>VLOOKUP(LEFT(A855,2),ConsolidadoLoa27_ATIVIDADES!A:I,9,0)</f>
        <v>09 - SECRETARIA DA SAÚDE</v>
      </c>
      <c r="F855" t="str">
        <f t="shared" si="40"/>
        <v>2.011</v>
      </c>
      <c r="G855" t="str">
        <f t="shared" si="41"/>
        <v>01.110.0000</v>
      </c>
    </row>
    <row r="856" spans="1:7" hidden="1" x14ac:dyDescent="0.25">
      <c r="A856" s="6" t="s">
        <v>2957</v>
      </c>
      <c r="B856" s="28">
        <v>30612.9251</v>
      </c>
      <c r="C856" s="6" t="s">
        <v>2288</v>
      </c>
      <c r="D856" t="str">
        <f t="shared" si="39"/>
        <v>09.015.10.122.0014.2.011.3.3.90.30.00</v>
      </c>
      <c r="E856" t="str">
        <f>VLOOKUP(LEFT(A856,2),ConsolidadoLoa27_ATIVIDADES!A:I,9,0)</f>
        <v>09 - SECRETARIA DA SAÚDE</v>
      </c>
      <c r="F856" t="str">
        <f t="shared" si="40"/>
        <v>2.011</v>
      </c>
      <c r="G856" t="str">
        <f t="shared" si="41"/>
        <v>01.310.0000</v>
      </c>
    </row>
    <row r="857" spans="1:7" hidden="1" x14ac:dyDescent="0.25">
      <c r="A857" s="6" t="s">
        <v>2957</v>
      </c>
      <c r="B857" s="28">
        <v>969842.4</v>
      </c>
      <c r="C857" s="14" t="s">
        <v>401</v>
      </c>
      <c r="D857" t="str">
        <f t="shared" si="39"/>
        <v>09.015.10.122.0014.2.011.3.3.90.30.00</v>
      </c>
      <c r="E857" t="str">
        <f>VLOOKUP(LEFT(A857,2),ConsolidadoLoa27_ATIVIDADES!A:I,9,0)</f>
        <v>09 - SECRETARIA DA SAÚDE</v>
      </c>
      <c r="F857" t="str">
        <f t="shared" si="40"/>
        <v>2.011</v>
      </c>
      <c r="G857" t="str">
        <f t="shared" si="41"/>
        <v>01.310.0000</v>
      </c>
    </row>
    <row r="858" spans="1:7" hidden="1" x14ac:dyDescent="0.25">
      <c r="A858" s="6" t="s">
        <v>2957</v>
      </c>
      <c r="B858" s="28">
        <v>2262332</v>
      </c>
      <c r="C858" s="6" t="s">
        <v>402</v>
      </c>
      <c r="D858" t="str">
        <f t="shared" si="39"/>
        <v>09.015.10.122.0014.2.011.3.3.90.30.00</v>
      </c>
      <c r="E858" t="str">
        <f>VLOOKUP(LEFT(A858,2),ConsolidadoLoa27_ATIVIDADES!A:I,9,0)</f>
        <v>09 - SECRETARIA DA SAÚDE</v>
      </c>
      <c r="F858" t="str">
        <f t="shared" si="40"/>
        <v>2.011</v>
      </c>
      <c r="G858" t="str">
        <f t="shared" si="41"/>
        <v>01.310.0000</v>
      </c>
    </row>
    <row r="859" spans="1:7" hidden="1" x14ac:dyDescent="0.25">
      <c r="A859" s="6" t="s">
        <v>2957</v>
      </c>
      <c r="B859" s="28">
        <v>95873.600600000005</v>
      </c>
      <c r="C859" s="6" t="s">
        <v>2295</v>
      </c>
      <c r="D859" t="str">
        <f t="shared" si="39"/>
        <v>09.015.10.122.0014.2.011.3.3.90.30.00</v>
      </c>
      <c r="E859" t="str">
        <f>VLOOKUP(LEFT(A859,2),ConsolidadoLoa27_ATIVIDADES!A:I,9,0)</f>
        <v>09 - SECRETARIA DA SAÚDE</v>
      </c>
      <c r="F859" t="str">
        <f t="shared" si="40"/>
        <v>2.011</v>
      </c>
      <c r="G859" t="str">
        <f t="shared" si="41"/>
        <v>01.310.0000</v>
      </c>
    </row>
    <row r="860" spans="1:7" hidden="1" x14ac:dyDescent="0.25">
      <c r="A860" s="6" t="s">
        <v>2957</v>
      </c>
      <c r="B860" s="28">
        <v>1</v>
      </c>
      <c r="C860" s="14" t="s">
        <v>107</v>
      </c>
      <c r="D860" t="str">
        <f t="shared" si="39"/>
        <v>09.015.10.122.0014.2.011.3.3.90.30.00</v>
      </c>
      <c r="E860" t="str">
        <f>VLOOKUP(LEFT(A860,2),ConsolidadoLoa27_ATIVIDADES!A:I,9,0)</f>
        <v>09 - SECRETARIA DA SAÚDE</v>
      </c>
      <c r="F860" t="str">
        <f t="shared" si="40"/>
        <v>2.011</v>
      </c>
      <c r="G860" t="str">
        <f t="shared" si="41"/>
        <v>01.310.0000</v>
      </c>
    </row>
    <row r="861" spans="1:7" hidden="1" x14ac:dyDescent="0.25">
      <c r="A861" s="6" t="s">
        <v>2957</v>
      </c>
      <c r="B861" s="28">
        <v>1</v>
      </c>
      <c r="C861" s="6" t="s">
        <v>2289</v>
      </c>
      <c r="D861" t="str">
        <f t="shared" si="39"/>
        <v>09.015.10.122.0014.2.011.3.3.90.30.00</v>
      </c>
      <c r="E861" t="str">
        <f>VLOOKUP(LEFT(A861,2),ConsolidadoLoa27_ATIVIDADES!A:I,9,0)</f>
        <v>09 - SECRETARIA DA SAÚDE</v>
      </c>
      <c r="F861" t="str">
        <f t="shared" si="40"/>
        <v>2.011</v>
      </c>
      <c r="G861" t="str">
        <f t="shared" si="41"/>
        <v>01.310.0000</v>
      </c>
    </row>
    <row r="862" spans="1:7" hidden="1" x14ac:dyDescent="0.25">
      <c r="A862" s="6" t="s">
        <v>2957</v>
      </c>
      <c r="B862" s="28">
        <v>587369.16090000002</v>
      </c>
      <c r="C862" s="6" t="s">
        <v>411</v>
      </c>
      <c r="D862" t="str">
        <f t="shared" si="39"/>
        <v>09.015.10.122.0014.2.011.3.3.90.30.00</v>
      </c>
      <c r="E862" t="str">
        <f>VLOOKUP(LEFT(A862,2),ConsolidadoLoa27_ATIVIDADES!A:I,9,0)</f>
        <v>09 - SECRETARIA DA SAÚDE</v>
      </c>
      <c r="F862" t="str">
        <f t="shared" si="40"/>
        <v>2.011</v>
      </c>
      <c r="G862" t="str">
        <f t="shared" si="41"/>
        <v>01.310.0000</v>
      </c>
    </row>
    <row r="863" spans="1:7" hidden="1" x14ac:dyDescent="0.25">
      <c r="A863" s="6" t="s">
        <v>2958</v>
      </c>
      <c r="B863" s="28">
        <v>59181</v>
      </c>
      <c r="C863" s="6" t="s">
        <v>2959</v>
      </c>
      <c r="D863" t="str">
        <f t="shared" si="39"/>
        <v>09.015.10.122.0014.2.011.3.3.90.30.00</v>
      </c>
      <c r="E863" t="str">
        <f>VLOOKUP(LEFT(A863,2),ConsolidadoLoa27_ATIVIDADES!A:I,9,0)</f>
        <v>09 - SECRETARIA DA SAÚDE</v>
      </c>
      <c r="F863" t="str">
        <f t="shared" si="40"/>
        <v>2.011</v>
      </c>
      <c r="G863" t="str">
        <f t="shared" si="41"/>
        <v>02.310.0000</v>
      </c>
    </row>
    <row r="864" spans="1:7" hidden="1" x14ac:dyDescent="0.25">
      <c r="A864" s="6" t="s">
        <v>2960</v>
      </c>
      <c r="B864" s="28">
        <v>28097.263999999999</v>
      </c>
      <c r="C864" s="6" t="s">
        <v>2956</v>
      </c>
      <c r="D864" t="str">
        <f t="shared" si="39"/>
        <v>09.015.10.122.0014.2.011.3.3.90.30.00</v>
      </c>
      <c r="E864" t="str">
        <f>VLOOKUP(LEFT(A864,2),ConsolidadoLoa27_ATIVIDADES!A:I,9,0)</f>
        <v>09 - SECRETARIA DA SAÚDE</v>
      </c>
      <c r="F864" t="str">
        <f t="shared" si="40"/>
        <v>2.011</v>
      </c>
      <c r="G864" t="str">
        <f t="shared" si="41"/>
        <v>05.301.0000</v>
      </c>
    </row>
    <row r="865" spans="1:7" hidden="1" x14ac:dyDescent="0.25">
      <c r="A865" s="6" t="s">
        <v>2960</v>
      </c>
      <c r="B865" s="28">
        <v>975194.31090000004</v>
      </c>
      <c r="C865" s="6" t="s">
        <v>2288</v>
      </c>
      <c r="D865" t="str">
        <f t="shared" si="39"/>
        <v>09.015.10.122.0014.2.011.3.3.90.30.00</v>
      </c>
      <c r="E865" t="str">
        <f>VLOOKUP(LEFT(A865,2),ConsolidadoLoa27_ATIVIDADES!A:I,9,0)</f>
        <v>09 - SECRETARIA DA SAÚDE</v>
      </c>
      <c r="F865" t="str">
        <f t="shared" si="40"/>
        <v>2.011</v>
      </c>
      <c r="G865" t="str">
        <f t="shared" si="41"/>
        <v>05.301.0000</v>
      </c>
    </row>
    <row r="866" spans="1:7" hidden="1" x14ac:dyDescent="0.25">
      <c r="A866" s="6" t="s">
        <v>2960</v>
      </c>
      <c r="B866" s="28">
        <v>161823.19940000001</v>
      </c>
      <c r="C866" s="6" t="s">
        <v>2295</v>
      </c>
      <c r="D866" t="str">
        <f t="shared" si="39"/>
        <v>09.015.10.122.0014.2.011.3.3.90.30.00</v>
      </c>
      <c r="E866" t="str">
        <f>VLOOKUP(LEFT(A866,2),ConsolidadoLoa27_ATIVIDADES!A:I,9,0)</f>
        <v>09 - SECRETARIA DA SAÚDE</v>
      </c>
      <c r="F866" t="str">
        <f t="shared" si="40"/>
        <v>2.011</v>
      </c>
      <c r="G866" t="str">
        <f t="shared" si="41"/>
        <v>05.301.0000</v>
      </c>
    </row>
    <row r="867" spans="1:7" hidden="1" x14ac:dyDescent="0.25">
      <c r="A867" s="6" t="s">
        <v>2960</v>
      </c>
      <c r="B867" s="28">
        <v>5195.5</v>
      </c>
      <c r="C867" s="14" t="s">
        <v>107</v>
      </c>
      <c r="D867" t="str">
        <f t="shared" si="39"/>
        <v>09.015.10.122.0014.2.011.3.3.90.30.00</v>
      </c>
      <c r="E867" t="str">
        <f>VLOOKUP(LEFT(A867,2),ConsolidadoLoa27_ATIVIDADES!A:I,9,0)</f>
        <v>09 - SECRETARIA DA SAÚDE</v>
      </c>
      <c r="F867" t="str">
        <f t="shared" si="40"/>
        <v>2.011</v>
      </c>
      <c r="G867" t="str">
        <f t="shared" si="41"/>
        <v>05.301.0000</v>
      </c>
    </row>
    <row r="868" spans="1:7" hidden="1" x14ac:dyDescent="0.25">
      <c r="A868" s="6" t="s">
        <v>2960</v>
      </c>
      <c r="B868" s="28">
        <v>2078.1999999999998</v>
      </c>
      <c r="C868" s="6" t="s">
        <v>2289</v>
      </c>
      <c r="D868" t="str">
        <f t="shared" si="39"/>
        <v>09.015.10.122.0014.2.011.3.3.90.30.00</v>
      </c>
      <c r="E868" t="str">
        <f>VLOOKUP(LEFT(A868,2),ConsolidadoLoa27_ATIVIDADES!A:I,9,0)</f>
        <v>09 - SECRETARIA DA SAÚDE</v>
      </c>
      <c r="F868" t="str">
        <f t="shared" si="40"/>
        <v>2.011</v>
      </c>
      <c r="G868" t="str">
        <f t="shared" si="41"/>
        <v>05.301.0000</v>
      </c>
    </row>
    <row r="869" spans="1:7" hidden="1" x14ac:dyDescent="0.25">
      <c r="A869" s="6" t="s">
        <v>2961</v>
      </c>
      <c r="B869" s="28">
        <v>152099</v>
      </c>
      <c r="C869" s="6" t="s">
        <v>389</v>
      </c>
      <c r="D869" t="str">
        <f t="shared" si="39"/>
        <v>09.015.10.122.0014.2.011.3.3.90.32.00</v>
      </c>
      <c r="E869" t="str">
        <f>VLOOKUP(LEFT(A869,2),ConsolidadoLoa27_ATIVIDADES!A:I,9,0)</f>
        <v>09 - SECRETARIA DA SAÚDE</v>
      </c>
      <c r="F869" t="str">
        <f t="shared" si="40"/>
        <v>2.011</v>
      </c>
      <c r="G869" t="str">
        <f t="shared" si="41"/>
        <v>05.301.0000</v>
      </c>
    </row>
    <row r="870" spans="1:7" hidden="1" x14ac:dyDescent="0.25">
      <c r="A870" s="6" t="s">
        <v>2962</v>
      </c>
      <c r="B870" s="28">
        <v>120707.76</v>
      </c>
      <c r="C870" s="6" t="s">
        <v>2858</v>
      </c>
      <c r="D870" t="str">
        <f t="shared" si="39"/>
        <v>09.015.10.122.0014.2.011.3.3.90.39.00</v>
      </c>
      <c r="E870" t="str">
        <f>VLOOKUP(LEFT(A870,2),ConsolidadoLoa27_ATIVIDADES!A:I,9,0)</f>
        <v>09 - SECRETARIA DA SAÚDE</v>
      </c>
      <c r="F870" t="str">
        <f t="shared" si="40"/>
        <v>2.011</v>
      </c>
      <c r="G870" t="str">
        <f t="shared" si="41"/>
        <v>01.110.0000</v>
      </c>
    </row>
    <row r="871" spans="1:7" hidden="1" x14ac:dyDescent="0.25">
      <c r="A871" s="6" t="s">
        <v>2962</v>
      </c>
      <c r="B871" s="28">
        <v>20000</v>
      </c>
      <c r="C871" s="14" t="s">
        <v>95</v>
      </c>
      <c r="D871" t="str">
        <f t="shared" si="39"/>
        <v>09.015.10.122.0014.2.011.3.3.90.39.00</v>
      </c>
      <c r="E871" t="str">
        <f>VLOOKUP(LEFT(A871,2),ConsolidadoLoa27_ATIVIDADES!A:I,9,0)</f>
        <v>09 - SECRETARIA DA SAÚDE</v>
      </c>
      <c r="F871" t="str">
        <f t="shared" si="40"/>
        <v>2.011</v>
      </c>
      <c r="G871" t="str">
        <f t="shared" si="41"/>
        <v>01.110.0000</v>
      </c>
    </row>
    <row r="872" spans="1:7" hidden="1" x14ac:dyDescent="0.25">
      <c r="A872" s="6" t="s">
        <v>2962</v>
      </c>
      <c r="B872" s="28">
        <v>1420332</v>
      </c>
      <c r="C872" s="6" t="s">
        <v>2959</v>
      </c>
      <c r="D872" t="str">
        <f t="shared" si="39"/>
        <v>09.015.10.122.0014.2.011.3.3.90.39.00</v>
      </c>
      <c r="E872" t="str">
        <f>VLOOKUP(LEFT(A872,2),ConsolidadoLoa27_ATIVIDADES!A:I,9,0)</f>
        <v>09 - SECRETARIA DA SAÚDE</v>
      </c>
      <c r="F872" t="str">
        <f t="shared" si="40"/>
        <v>2.011</v>
      </c>
      <c r="G872" t="str">
        <f t="shared" si="41"/>
        <v>01.110.0000</v>
      </c>
    </row>
    <row r="873" spans="1:7" hidden="1" x14ac:dyDescent="0.25">
      <c r="A873" s="6" t="s">
        <v>2962</v>
      </c>
      <c r="B873" s="28">
        <v>519548.96090000001</v>
      </c>
      <c r="C873" s="14" t="s">
        <v>107</v>
      </c>
      <c r="D873" t="str">
        <f t="shared" si="39"/>
        <v>09.015.10.122.0014.2.011.3.3.90.39.00</v>
      </c>
      <c r="E873" t="str">
        <f>VLOOKUP(LEFT(A873,2),ConsolidadoLoa27_ATIVIDADES!A:I,9,0)</f>
        <v>09 - SECRETARIA DA SAÚDE</v>
      </c>
      <c r="F873" t="str">
        <f t="shared" si="40"/>
        <v>2.011</v>
      </c>
      <c r="G873" t="str">
        <f t="shared" si="41"/>
        <v>01.110.0000</v>
      </c>
    </row>
    <row r="874" spans="1:7" hidden="1" x14ac:dyDescent="0.25">
      <c r="A874" s="6" t="s">
        <v>2962</v>
      </c>
      <c r="B874" s="28">
        <v>249382.96090000001</v>
      </c>
      <c r="C874" s="14" t="s">
        <v>388</v>
      </c>
      <c r="D874" t="str">
        <f t="shared" si="39"/>
        <v>09.015.10.122.0014.2.011.3.3.90.39.00</v>
      </c>
      <c r="E874" t="str">
        <f>VLOOKUP(LEFT(A874,2),ConsolidadoLoa27_ATIVIDADES!A:I,9,0)</f>
        <v>09 - SECRETARIA DA SAÚDE</v>
      </c>
      <c r="F874" t="str">
        <f t="shared" si="40"/>
        <v>2.011</v>
      </c>
      <c r="G874" t="str">
        <f t="shared" si="41"/>
        <v>01.110.0000</v>
      </c>
    </row>
    <row r="875" spans="1:7" hidden="1" x14ac:dyDescent="0.25">
      <c r="A875" s="6" t="s">
        <v>2962</v>
      </c>
      <c r="B875" s="28">
        <v>249382.96090000001</v>
      </c>
      <c r="C875" s="14" t="s">
        <v>388</v>
      </c>
      <c r="D875" t="str">
        <f t="shared" si="39"/>
        <v>09.015.10.122.0014.2.011.3.3.90.39.00</v>
      </c>
      <c r="E875" t="str">
        <f>VLOOKUP(LEFT(A875,2),ConsolidadoLoa27_ATIVIDADES!A:I,9,0)</f>
        <v>09 - SECRETARIA DA SAÚDE</v>
      </c>
      <c r="F875" t="str">
        <f t="shared" si="40"/>
        <v>2.011</v>
      </c>
      <c r="G875" t="str">
        <f t="shared" si="41"/>
        <v>01.110.0000</v>
      </c>
    </row>
    <row r="876" spans="1:7" hidden="1" x14ac:dyDescent="0.25">
      <c r="A876" s="6" t="s">
        <v>2962</v>
      </c>
      <c r="B876" s="28">
        <v>118588.23999999999</v>
      </c>
      <c r="C876" s="6" t="s">
        <v>2963</v>
      </c>
      <c r="D876" t="str">
        <f t="shared" si="39"/>
        <v>09.015.10.122.0014.2.011.3.3.90.39.00</v>
      </c>
      <c r="E876" t="str">
        <f>VLOOKUP(LEFT(A876,2),ConsolidadoLoa27_ATIVIDADES!A:I,9,0)</f>
        <v>09 - SECRETARIA DA SAÚDE</v>
      </c>
      <c r="F876" t="str">
        <f t="shared" si="40"/>
        <v>2.011</v>
      </c>
      <c r="G876" t="str">
        <f t="shared" si="41"/>
        <v>01.110.0000</v>
      </c>
    </row>
    <row r="877" spans="1:7" hidden="1" x14ac:dyDescent="0.25">
      <c r="A877" s="6" t="s">
        <v>2962</v>
      </c>
      <c r="B877" s="28">
        <v>475974.10000000009</v>
      </c>
      <c r="C877" s="6" t="s">
        <v>2781</v>
      </c>
      <c r="D877" t="str">
        <f t="shared" si="39"/>
        <v>09.015.10.122.0014.2.011.3.3.90.39.00</v>
      </c>
      <c r="E877" t="str">
        <f>VLOOKUP(LEFT(A877,2),ConsolidadoLoa27_ATIVIDADES!A:I,9,0)</f>
        <v>09 - SECRETARIA DA SAÚDE</v>
      </c>
      <c r="F877" t="str">
        <f t="shared" si="40"/>
        <v>2.011</v>
      </c>
      <c r="G877" t="str">
        <f t="shared" si="41"/>
        <v>01.110.0000</v>
      </c>
    </row>
    <row r="878" spans="1:7" hidden="1" x14ac:dyDescent="0.25">
      <c r="A878" s="6" t="s">
        <v>2964</v>
      </c>
      <c r="B878" s="28">
        <v>1163716.1299999999</v>
      </c>
      <c r="C878" s="6" t="s">
        <v>2781</v>
      </c>
      <c r="D878" t="str">
        <f t="shared" si="39"/>
        <v>09.015.10.122.0014.2.011.3.3.90.39.00</v>
      </c>
      <c r="E878" t="str">
        <f>VLOOKUP(LEFT(A878,2),ConsolidadoLoa27_ATIVIDADES!A:I,9,0)</f>
        <v>09 - SECRETARIA DA SAÚDE</v>
      </c>
      <c r="F878" t="str">
        <f t="shared" si="40"/>
        <v>2.011</v>
      </c>
      <c r="G878" t="str">
        <f t="shared" si="41"/>
        <v>05.310.0000</v>
      </c>
    </row>
    <row r="879" spans="1:7" hidden="1" x14ac:dyDescent="0.25">
      <c r="A879" s="6" t="s">
        <v>2962</v>
      </c>
      <c r="B879" s="28">
        <v>1771439</v>
      </c>
      <c r="C879" s="6" t="s">
        <v>106</v>
      </c>
      <c r="D879" t="str">
        <f t="shared" si="39"/>
        <v>09.015.10.122.0014.2.011.3.3.90.39.00</v>
      </c>
      <c r="E879" t="str">
        <f>VLOOKUP(LEFT(A879,2),ConsolidadoLoa27_ATIVIDADES!A:I,9,0)</f>
        <v>09 - SECRETARIA DA SAÚDE</v>
      </c>
      <c r="F879" t="str">
        <f t="shared" si="40"/>
        <v>2.011</v>
      </c>
      <c r="G879" t="str">
        <f t="shared" si="41"/>
        <v>01.110.0000</v>
      </c>
    </row>
    <row r="880" spans="1:7" hidden="1" x14ac:dyDescent="0.25">
      <c r="A880" s="6" t="s">
        <v>2962</v>
      </c>
      <c r="B880" s="28">
        <v>2002.3457000000001</v>
      </c>
      <c r="C880" s="6" t="s">
        <v>100</v>
      </c>
      <c r="D880" t="str">
        <f t="shared" si="39"/>
        <v>09.015.10.122.0014.2.011.3.3.90.39.00</v>
      </c>
      <c r="E880" t="str">
        <f>VLOOKUP(LEFT(A880,2),ConsolidadoLoa27_ATIVIDADES!A:I,9,0)</f>
        <v>09 - SECRETARIA DA SAÚDE</v>
      </c>
      <c r="F880" t="str">
        <f t="shared" si="40"/>
        <v>2.011</v>
      </c>
      <c r="G880" t="str">
        <f t="shared" si="41"/>
        <v>01.110.0000</v>
      </c>
    </row>
    <row r="881" spans="1:7" hidden="1" x14ac:dyDescent="0.25">
      <c r="A881" s="6" t="s">
        <v>2965</v>
      </c>
      <c r="B881" s="28">
        <v>1</v>
      </c>
      <c r="C881" s="14" t="s">
        <v>107</v>
      </c>
      <c r="D881" t="str">
        <f t="shared" si="39"/>
        <v>09.015.10.122.0014.2.011.3.3.90.39.00</v>
      </c>
      <c r="E881" t="str">
        <f>VLOOKUP(LEFT(A881,2),ConsolidadoLoa27_ATIVIDADES!A:I,9,0)</f>
        <v>09 - SECRETARIA DA SAÚDE</v>
      </c>
      <c r="F881" t="str">
        <f t="shared" si="40"/>
        <v>2.011</v>
      </c>
      <c r="G881" t="str">
        <f t="shared" si="41"/>
        <v>01.310.0000</v>
      </c>
    </row>
    <row r="882" spans="1:7" hidden="1" x14ac:dyDescent="0.25">
      <c r="A882" s="6" t="s">
        <v>2965</v>
      </c>
      <c r="B882" s="28">
        <v>1</v>
      </c>
      <c r="C882" s="14" t="s">
        <v>388</v>
      </c>
      <c r="D882" t="str">
        <f t="shared" si="39"/>
        <v>09.015.10.122.0014.2.011.3.3.90.39.00</v>
      </c>
      <c r="E882" t="str">
        <f>VLOOKUP(LEFT(A882,2),ConsolidadoLoa27_ATIVIDADES!A:I,9,0)</f>
        <v>09 - SECRETARIA DA SAÚDE</v>
      </c>
      <c r="F882" t="str">
        <f t="shared" si="40"/>
        <v>2.011</v>
      </c>
      <c r="G882" t="str">
        <f t="shared" si="41"/>
        <v>01.310.0000</v>
      </c>
    </row>
    <row r="883" spans="1:7" hidden="1" x14ac:dyDescent="0.25">
      <c r="A883" s="6" t="s">
        <v>2965</v>
      </c>
      <c r="B883" s="28">
        <v>1</v>
      </c>
      <c r="C883" s="6" t="s">
        <v>2966</v>
      </c>
      <c r="D883" t="str">
        <f t="shared" si="39"/>
        <v>09.015.10.122.0014.2.011.3.3.90.39.00</v>
      </c>
      <c r="E883" t="str">
        <f>VLOOKUP(LEFT(A883,2),ConsolidadoLoa27_ATIVIDADES!A:I,9,0)</f>
        <v>09 - SECRETARIA DA SAÚDE</v>
      </c>
      <c r="F883" t="str">
        <f t="shared" si="40"/>
        <v>2.011</v>
      </c>
      <c r="G883" t="str">
        <f t="shared" si="41"/>
        <v>01.310.0000</v>
      </c>
    </row>
    <row r="884" spans="1:7" hidden="1" x14ac:dyDescent="0.25">
      <c r="A884" s="6" t="s">
        <v>2965</v>
      </c>
      <c r="B884" s="28">
        <v>1</v>
      </c>
      <c r="C884" s="6" t="s">
        <v>106</v>
      </c>
      <c r="D884" t="str">
        <f t="shared" si="39"/>
        <v>09.015.10.122.0014.2.011.3.3.90.39.00</v>
      </c>
      <c r="E884" t="str">
        <f>VLOOKUP(LEFT(A884,2),ConsolidadoLoa27_ATIVIDADES!A:I,9,0)</f>
        <v>09 - SECRETARIA DA SAÚDE</v>
      </c>
      <c r="F884" t="str">
        <f t="shared" si="40"/>
        <v>2.011</v>
      </c>
      <c r="G884" t="str">
        <f t="shared" si="41"/>
        <v>01.310.0000</v>
      </c>
    </row>
    <row r="885" spans="1:7" hidden="1" x14ac:dyDescent="0.25">
      <c r="A885" s="6" t="s">
        <v>2967</v>
      </c>
      <c r="B885" s="28">
        <v>1</v>
      </c>
      <c r="C885" s="6" t="s">
        <v>389</v>
      </c>
      <c r="D885" t="str">
        <f t="shared" si="39"/>
        <v>09.015.10.122.0014.2.011.3.3.90.39.00</v>
      </c>
      <c r="E885" t="str">
        <f>VLOOKUP(LEFT(A885,2),ConsolidadoLoa27_ATIVIDADES!A:I,9,0)</f>
        <v>09 - SECRETARIA DA SAÚDE</v>
      </c>
      <c r="F885" t="str">
        <f t="shared" si="40"/>
        <v>2.011</v>
      </c>
      <c r="G885" t="str">
        <f t="shared" si="41"/>
        <v>05.301.0000</v>
      </c>
    </row>
    <row r="886" spans="1:7" hidden="1" x14ac:dyDescent="0.25">
      <c r="A886" s="6" t="s">
        <v>2968</v>
      </c>
      <c r="B886" s="28">
        <v>1039098.9609000001</v>
      </c>
      <c r="C886" s="6" t="s">
        <v>2706</v>
      </c>
      <c r="D886" t="str">
        <f t="shared" si="39"/>
        <v>09.015.10.122.0014.2.011.3.3.90.93.00</v>
      </c>
      <c r="E886" t="str">
        <f>VLOOKUP(LEFT(A886,2),ConsolidadoLoa27_ATIVIDADES!A:I,9,0)</f>
        <v>09 - SECRETARIA DA SAÚDE</v>
      </c>
      <c r="F886" t="str">
        <f t="shared" si="40"/>
        <v>2.011</v>
      </c>
      <c r="G886" t="str">
        <f t="shared" si="41"/>
        <v>01.110.0000</v>
      </c>
    </row>
    <row r="887" spans="1:7" hidden="1" x14ac:dyDescent="0.25">
      <c r="A887" s="6" t="s">
        <v>2969</v>
      </c>
      <c r="B887" s="28">
        <v>1</v>
      </c>
      <c r="C887" s="6" t="s">
        <v>2706</v>
      </c>
      <c r="D887" t="str">
        <f t="shared" si="39"/>
        <v>09.015.10.122.0014.2.011.3.3.90.93.00</v>
      </c>
      <c r="E887" t="str">
        <f>VLOOKUP(LEFT(A887,2),ConsolidadoLoa27_ATIVIDADES!A:I,9,0)</f>
        <v>09 - SECRETARIA DA SAÚDE</v>
      </c>
      <c r="F887" t="str">
        <f t="shared" si="40"/>
        <v>2.011</v>
      </c>
      <c r="G887" t="str">
        <f t="shared" si="41"/>
        <v>01.310.0000</v>
      </c>
    </row>
    <row r="888" spans="1:7" hidden="1" x14ac:dyDescent="0.25">
      <c r="A888" s="6" t="s">
        <v>2970</v>
      </c>
      <c r="B888" s="28">
        <v>432364.10667999979</v>
      </c>
      <c r="C888" s="6" t="s">
        <v>2971</v>
      </c>
      <c r="D888" t="str">
        <f t="shared" si="39"/>
        <v>09.015.10.128.0014.2.008.3.3.90.48.00</v>
      </c>
      <c r="E888" t="str">
        <f>VLOOKUP(LEFT(A888,2),ConsolidadoLoa27_ATIVIDADES!A:I,9,0)</f>
        <v>09 - SECRETARIA DA SAÚDE</v>
      </c>
      <c r="F888" t="str">
        <f t="shared" si="40"/>
        <v>2.008</v>
      </c>
      <c r="G888" t="str">
        <f t="shared" si="41"/>
        <v>01.110.0000</v>
      </c>
    </row>
    <row r="889" spans="1:7" hidden="1" x14ac:dyDescent="0.25">
      <c r="A889" s="6" t="s">
        <v>2972</v>
      </c>
      <c r="B889" s="28">
        <v>0</v>
      </c>
      <c r="C889" s="6" t="s">
        <v>2973</v>
      </c>
      <c r="D889" t="str">
        <f t="shared" si="39"/>
        <v>11.001.04.121.0004.1.001.3.3.90.39.00</v>
      </c>
      <c r="E889" t="str">
        <f>VLOOKUP(LEFT(A889,2),ConsolidadoLoa27_ATIVIDADES!A:I,9,0)</f>
        <v>11 - SECRETARIA DE SERVIÇOS E OBRAS</v>
      </c>
      <c r="F889" t="str">
        <f t="shared" si="40"/>
        <v>1.001</v>
      </c>
      <c r="G889" t="str">
        <f t="shared" si="41"/>
        <v>01.110.0000</v>
      </c>
    </row>
    <row r="890" spans="1:7" hidden="1" x14ac:dyDescent="0.25">
      <c r="A890" s="6" t="s">
        <v>2972</v>
      </c>
      <c r="B890" s="28">
        <v>0</v>
      </c>
      <c r="C890" s="6" t="s">
        <v>2974</v>
      </c>
      <c r="D890" t="str">
        <f t="shared" si="39"/>
        <v>11.001.04.121.0004.1.001.3.3.90.39.00</v>
      </c>
      <c r="E890" t="str">
        <f>VLOOKUP(LEFT(A890,2),ConsolidadoLoa27_ATIVIDADES!A:I,9,0)</f>
        <v>11 - SECRETARIA DE SERVIÇOS E OBRAS</v>
      </c>
      <c r="F890" t="str">
        <f t="shared" si="40"/>
        <v>1.001</v>
      </c>
      <c r="G890" t="str">
        <f t="shared" si="41"/>
        <v>01.110.0000</v>
      </c>
    </row>
    <row r="891" spans="1:7" hidden="1" x14ac:dyDescent="0.25">
      <c r="A891" s="6" t="s">
        <v>2975</v>
      </c>
      <c r="B891" s="28">
        <v>1690</v>
      </c>
      <c r="C891" s="6" t="s">
        <v>2976</v>
      </c>
      <c r="D891" t="str">
        <f t="shared" si="39"/>
        <v>11.001.04.121.0004.1.001.3.3.90.40.00</v>
      </c>
      <c r="E891" t="str">
        <f>VLOOKUP(LEFT(A891,2),ConsolidadoLoa27_ATIVIDADES!A:I,9,0)</f>
        <v>11 - SECRETARIA DE SERVIÇOS E OBRAS</v>
      </c>
      <c r="F891" t="str">
        <f t="shared" si="40"/>
        <v>1.001</v>
      </c>
      <c r="G891" t="str">
        <f t="shared" si="41"/>
        <v>01.110.0000</v>
      </c>
    </row>
    <row r="892" spans="1:7" hidden="1" x14ac:dyDescent="0.25">
      <c r="A892" s="6" t="s">
        <v>2975</v>
      </c>
      <c r="B892" s="28">
        <v>3000</v>
      </c>
      <c r="C892" s="6" t="s">
        <v>2974</v>
      </c>
      <c r="D892" t="str">
        <f t="shared" si="39"/>
        <v>11.001.04.121.0004.1.001.3.3.90.40.00</v>
      </c>
      <c r="E892" t="str">
        <f>VLOOKUP(LEFT(A892,2),ConsolidadoLoa27_ATIVIDADES!A:I,9,0)</f>
        <v>11 - SECRETARIA DE SERVIÇOS E OBRAS</v>
      </c>
      <c r="F892" t="str">
        <f t="shared" si="40"/>
        <v>1.001</v>
      </c>
      <c r="G892" t="str">
        <f t="shared" si="41"/>
        <v>01.110.0000</v>
      </c>
    </row>
    <row r="893" spans="1:7" hidden="1" x14ac:dyDescent="0.25">
      <c r="A893" s="6" t="s">
        <v>2977</v>
      </c>
      <c r="B893" s="28">
        <v>25807024.859999999</v>
      </c>
      <c r="C893" s="6" t="s">
        <v>847</v>
      </c>
      <c r="D893" t="str">
        <f t="shared" si="39"/>
        <v>11.001.04.122.0001.2.001.3.1.90.11.00</v>
      </c>
      <c r="E893" t="str">
        <f>VLOOKUP(LEFT(A893,2),ConsolidadoLoa27_ATIVIDADES!A:I,9,0)</f>
        <v>11 - SECRETARIA DE SERVIÇOS E OBRAS</v>
      </c>
      <c r="F893" t="str">
        <f t="shared" si="40"/>
        <v>2.001</v>
      </c>
      <c r="G893" t="str">
        <f t="shared" si="41"/>
        <v>01.110.0000</v>
      </c>
    </row>
    <row r="894" spans="1:7" hidden="1" x14ac:dyDescent="0.25">
      <c r="A894" s="6" t="s">
        <v>2978</v>
      </c>
      <c r="B894" s="28">
        <v>1811535.26</v>
      </c>
      <c r="C894" s="6" t="s">
        <v>847</v>
      </c>
      <c r="D894" t="str">
        <f t="shared" si="39"/>
        <v>11.001.04.122.0001.2.001.3.1.90.13.00</v>
      </c>
      <c r="E894" t="str">
        <f>VLOOKUP(LEFT(A894,2),ConsolidadoLoa27_ATIVIDADES!A:I,9,0)</f>
        <v>11 - SECRETARIA DE SERVIÇOS E OBRAS</v>
      </c>
      <c r="F894" t="str">
        <f t="shared" si="40"/>
        <v>2.001</v>
      </c>
      <c r="G894" t="str">
        <f t="shared" si="41"/>
        <v>01.110.0000</v>
      </c>
    </row>
    <row r="895" spans="1:7" hidden="1" x14ac:dyDescent="0.25">
      <c r="A895" s="6" t="s">
        <v>2979</v>
      </c>
      <c r="B895" s="28">
        <v>3163361.7</v>
      </c>
      <c r="C895" s="12" t="s">
        <v>847</v>
      </c>
      <c r="D895" t="str">
        <f t="shared" si="39"/>
        <v>11.001.04.122.0001.2.001.3.1.91.13.00</v>
      </c>
      <c r="E895" t="str">
        <f>VLOOKUP(LEFT(A895,2),ConsolidadoLoa27_ATIVIDADES!A:I,9,0)</f>
        <v>11 - SECRETARIA DE SERVIÇOS E OBRAS</v>
      </c>
      <c r="F895" t="str">
        <f t="shared" si="40"/>
        <v>2.001</v>
      </c>
      <c r="G895" t="str">
        <f t="shared" si="41"/>
        <v>01.110.0000</v>
      </c>
    </row>
    <row r="896" spans="1:7" hidden="1" x14ac:dyDescent="0.25">
      <c r="A896" s="6" t="s">
        <v>2980</v>
      </c>
      <c r="B896" s="28">
        <v>10.119999999999999</v>
      </c>
      <c r="C896" s="6" t="s">
        <v>2278</v>
      </c>
      <c r="D896" t="str">
        <f t="shared" si="39"/>
        <v>11.001.04.122.0001.2.001.3.3.90.46.00</v>
      </c>
      <c r="E896" t="str">
        <f>VLOOKUP(LEFT(A896,2),ConsolidadoLoa27_ATIVIDADES!A:I,9,0)</f>
        <v>11 - SECRETARIA DE SERVIÇOS E OBRAS</v>
      </c>
      <c r="F896" t="str">
        <f t="shared" si="40"/>
        <v>2.001</v>
      </c>
      <c r="G896" t="str">
        <f t="shared" si="41"/>
        <v>01.110.0000</v>
      </c>
    </row>
    <row r="897" spans="1:7" hidden="1" x14ac:dyDescent="0.25">
      <c r="A897" s="6" t="s">
        <v>2981</v>
      </c>
      <c r="B897" s="28">
        <v>523801.67</v>
      </c>
      <c r="C897" s="6" t="s">
        <v>2280</v>
      </c>
      <c r="D897" t="str">
        <f t="shared" si="39"/>
        <v>11.001.04.122.0001.2.001.3.3.90.49.00</v>
      </c>
      <c r="E897" t="str">
        <f>VLOOKUP(LEFT(A897,2),ConsolidadoLoa27_ATIVIDADES!A:I,9,0)</f>
        <v>11 - SECRETARIA DE SERVIÇOS E OBRAS</v>
      </c>
      <c r="F897" t="str">
        <f t="shared" si="40"/>
        <v>2.001</v>
      </c>
      <c r="G897" t="str">
        <f t="shared" si="41"/>
        <v>01.110.0000</v>
      </c>
    </row>
    <row r="898" spans="1:7" hidden="1" x14ac:dyDescent="0.25">
      <c r="A898" s="6" t="s">
        <v>2982</v>
      </c>
      <c r="B898" s="28">
        <v>1</v>
      </c>
      <c r="C898" s="6" t="s">
        <v>2983</v>
      </c>
      <c r="D898" t="str">
        <f t="shared" si="39"/>
        <v>11.001.04.122.0011.1.002.3.3.90.39.00</v>
      </c>
      <c r="E898" t="str">
        <f>VLOOKUP(LEFT(A898,2),ConsolidadoLoa27_ATIVIDADES!A:I,9,0)</f>
        <v>11 - SECRETARIA DE SERVIÇOS E OBRAS</v>
      </c>
      <c r="F898" t="str">
        <f t="shared" si="40"/>
        <v>1.002</v>
      </c>
      <c r="G898" t="str">
        <f t="shared" si="41"/>
        <v>01.110.0000</v>
      </c>
    </row>
    <row r="899" spans="1:7" hidden="1" x14ac:dyDescent="0.25">
      <c r="A899" s="6" t="s">
        <v>2982</v>
      </c>
      <c r="B899" s="28">
        <v>4731237.6900000004</v>
      </c>
      <c r="C899" s="6" t="s">
        <v>2984</v>
      </c>
      <c r="D899" t="str">
        <f t="shared" ref="D899:D962" si="42">_xlfn.CONCAT(LEFT(A899,34),".00")</f>
        <v>11.001.04.122.0011.1.002.3.3.90.39.00</v>
      </c>
      <c r="E899" t="str">
        <f>VLOOKUP(LEFT(A899,2),ConsolidadoLoa27_ATIVIDADES!A:I,9,0)</f>
        <v>11 - SECRETARIA DE SERVIÇOS E OBRAS</v>
      </c>
      <c r="F899" t="str">
        <f t="shared" ref="F899:F962" si="43">MID(A899,20,5)</f>
        <v>1.002</v>
      </c>
      <c r="G899" t="str">
        <f t="shared" ref="G899:G962" si="44">RIGHT(A899,11)</f>
        <v>01.110.0000</v>
      </c>
    </row>
    <row r="900" spans="1:7" hidden="1" x14ac:dyDescent="0.25">
      <c r="A900" s="6" t="s">
        <v>2985</v>
      </c>
      <c r="B900" s="28">
        <v>0</v>
      </c>
      <c r="C900" s="6" t="s">
        <v>2986</v>
      </c>
      <c r="D900" t="str">
        <f t="shared" si="42"/>
        <v>11.001.04.122.0011.1.002.3.3.90.39.00</v>
      </c>
      <c r="E900" t="str">
        <f>VLOOKUP(LEFT(A900,2),ConsolidadoLoa27_ATIVIDADES!A:I,9,0)</f>
        <v>11 - SECRETARIA DE SERVIÇOS E OBRAS</v>
      </c>
      <c r="F900" t="str">
        <f t="shared" si="43"/>
        <v>1.002</v>
      </c>
      <c r="G900" t="str">
        <f t="shared" si="44"/>
        <v>08.110.0000</v>
      </c>
    </row>
    <row r="901" spans="1:7" hidden="1" x14ac:dyDescent="0.25">
      <c r="A901" s="6" t="s">
        <v>2985</v>
      </c>
      <c r="B901" s="28">
        <v>0</v>
      </c>
      <c r="C901" s="6" t="s">
        <v>2987</v>
      </c>
      <c r="D901" t="str">
        <f t="shared" si="42"/>
        <v>11.001.04.122.0011.1.002.3.3.90.39.00</v>
      </c>
      <c r="E901" t="str">
        <f>VLOOKUP(LEFT(A901,2),ConsolidadoLoa27_ATIVIDADES!A:I,9,0)</f>
        <v>11 - SECRETARIA DE SERVIÇOS E OBRAS</v>
      </c>
      <c r="F901" t="str">
        <f t="shared" si="43"/>
        <v>1.002</v>
      </c>
      <c r="G901" t="str">
        <f t="shared" si="44"/>
        <v>08.110.0000</v>
      </c>
    </row>
    <row r="902" spans="1:7" hidden="1" x14ac:dyDescent="0.25">
      <c r="A902" s="6" t="s">
        <v>2988</v>
      </c>
      <c r="B902" s="28">
        <v>0</v>
      </c>
      <c r="C902" s="6" t="s">
        <v>2989</v>
      </c>
      <c r="D902" t="str">
        <f t="shared" si="42"/>
        <v>11.001.04.122.0011.1.003.4.4.90.51.00</v>
      </c>
      <c r="E902" t="str">
        <f>VLOOKUP(LEFT(A902,2),ConsolidadoLoa27_ATIVIDADES!A:I,9,0)</f>
        <v>11 - SECRETARIA DE SERVIÇOS E OBRAS</v>
      </c>
      <c r="F902" t="str">
        <f t="shared" si="43"/>
        <v>1.003</v>
      </c>
      <c r="G902" t="str">
        <f t="shared" si="44"/>
        <v>01.110.0000</v>
      </c>
    </row>
    <row r="903" spans="1:7" hidden="1" x14ac:dyDescent="0.25">
      <c r="A903" s="6" t="s">
        <v>2990</v>
      </c>
      <c r="B903" s="28">
        <v>385317.12000000104</v>
      </c>
      <c r="C903" s="6" t="s">
        <v>2989</v>
      </c>
      <c r="D903" t="str">
        <f t="shared" si="42"/>
        <v>11.014.04.122.0011.1.003.4.4.90.51.00</v>
      </c>
      <c r="E903" t="str">
        <f>VLOOKUP(LEFT(A903,2),ConsolidadoLoa27_ATIVIDADES!A:I,9,0)</f>
        <v>11 - SECRETARIA DE SERVIÇOS E OBRAS</v>
      </c>
      <c r="F903" t="str">
        <f t="shared" si="43"/>
        <v>1.003</v>
      </c>
      <c r="G903" t="str">
        <f t="shared" si="44"/>
        <v>03.100.1102</v>
      </c>
    </row>
    <row r="904" spans="1:7" hidden="1" x14ac:dyDescent="0.25">
      <c r="A904" s="6" t="s">
        <v>2991</v>
      </c>
      <c r="B904" s="28">
        <v>2918756.5062500001</v>
      </c>
      <c r="C904" s="6" t="s">
        <v>2318</v>
      </c>
      <c r="D904" t="str">
        <f t="shared" si="42"/>
        <v>11.001.04.122.0011.2.011.3.3.90.30.00</v>
      </c>
      <c r="E904" t="str">
        <f>VLOOKUP(LEFT(A904,2),ConsolidadoLoa27_ATIVIDADES!A:I,9,0)</f>
        <v>11 - SECRETARIA DE SERVIÇOS E OBRAS</v>
      </c>
      <c r="F904" t="str">
        <f t="shared" si="43"/>
        <v>2.011</v>
      </c>
      <c r="G904" t="str">
        <f t="shared" si="44"/>
        <v>01.110.0000</v>
      </c>
    </row>
    <row r="905" spans="1:7" hidden="1" x14ac:dyDescent="0.25">
      <c r="A905" s="6" t="s">
        <v>2991</v>
      </c>
      <c r="B905" s="28">
        <v>9243.5218700000114</v>
      </c>
      <c r="C905" s="6" t="s">
        <v>2288</v>
      </c>
      <c r="D905" t="str">
        <f t="shared" si="42"/>
        <v>11.001.04.122.0011.2.011.3.3.90.30.00</v>
      </c>
      <c r="E905" t="str">
        <f>VLOOKUP(LEFT(A905,2),ConsolidadoLoa27_ATIVIDADES!A:I,9,0)</f>
        <v>11 - SECRETARIA DE SERVIÇOS E OBRAS</v>
      </c>
      <c r="F905" t="str">
        <f t="shared" si="43"/>
        <v>2.011</v>
      </c>
      <c r="G905" t="str">
        <f t="shared" si="44"/>
        <v>01.110.0000</v>
      </c>
    </row>
    <row r="906" spans="1:7" hidden="1" x14ac:dyDescent="0.25">
      <c r="A906" s="6" t="s">
        <v>2991</v>
      </c>
      <c r="B906" s="28">
        <v>0</v>
      </c>
      <c r="C906" s="6" t="s">
        <v>2323</v>
      </c>
      <c r="D906" t="str">
        <f t="shared" si="42"/>
        <v>11.001.04.122.0011.2.011.3.3.90.30.00</v>
      </c>
      <c r="E906" t="str">
        <f>VLOOKUP(LEFT(A906,2),ConsolidadoLoa27_ATIVIDADES!A:I,9,0)</f>
        <v>11 - SECRETARIA DE SERVIÇOS E OBRAS</v>
      </c>
      <c r="F906" t="str">
        <f t="shared" si="43"/>
        <v>2.011</v>
      </c>
      <c r="G906" t="str">
        <f t="shared" si="44"/>
        <v>01.110.0000</v>
      </c>
    </row>
    <row r="907" spans="1:7" hidden="1" x14ac:dyDescent="0.25">
      <c r="A907" s="6" t="s">
        <v>2991</v>
      </c>
      <c r="B907" s="28">
        <v>47346.071949999998</v>
      </c>
      <c r="C907" s="6" t="s">
        <v>2295</v>
      </c>
      <c r="D907" t="str">
        <f t="shared" si="42"/>
        <v>11.001.04.122.0011.2.011.3.3.90.30.00</v>
      </c>
      <c r="E907" t="str">
        <f>VLOOKUP(LEFT(A907,2),ConsolidadoLoa27_ATIVIDADES!A:I,9,0)</f>
        <v>11 - SECRETARIA DE SERVIÇOS E OBRAS</v>
      </c>
      <c r="F907" t="str">
        <f t="shared" si="43"/>
        <v>2.011</v>
      </c>
      <c r="G907" t="str">
        <f t="shared" si="44"/>
        <v>01.110.0000</v>
      </c>
    </row>
    <row r="908" spans="1:7" hidden="1" x14ac:dyDescent="0.25">
      <c r="A908" s="6" t="s">
        <v>2991</v>
      </c>
      <c r="B908" s="28">
        <v>0</v>
      </c>
      <c r="C908" s="14" t="s">
        <v>107</v>
      </c>
      <c r="D908" t="str">
        <f t="shared" si="42"/>
        <v>11.001.04.122.0011.2.011.3.3.90.30.00</v>
      </c>
      <c r="E908" t="str">
        <f>VLOOKUP(LEFT(A908,2),ConsolidadoLoa27_ATIVIDADES!A:I,9,0)</f>
        <v>11 - SECRETARIA DE SERVIÇOS E OBRAS</v>
      </c>
      <c r="F908" t="str">
        <f t="shared" si="43"/>
        <v>2.011</v>
      </c>
      <c r="G908" t="str">
        <f t="shared" si="44"/>
        <v>01.110.0000</v>
      </c>
    </row>
    <row r="909" spans="1:7" hidden="1" x14ac:dyDescent="0.25">
      <c r="A909" s="6" t="s">
        <v>2991</v>
      </c>
      <c r="B909" s="28">
        <v>15586.5</v>
      </c>
      <c r="C909" s="6" t="s">
        <v>2289</v>
      </c>
      <c r="D909" t="str">
        <f t="shared" si="42"/>
        <v>11.001.04.122.0011.2.011.3.3.90.30.00</v>
      </c>
      <c r="E909" t="str">
        <f>VLOOKUP(LEFT(A909,2),ConsolidadoLoa27_ATIVIDADES!A:I,9,0)</f>
        <v>11 - SECRETARIA DE SERVIÇOS E OBRAS</v>
      </c>
      <c r="F909" t="str">
        <f t="shared" si="43"/>
        <v>2.011</v>
      </c>
      <c r="G909" t="str">
        <f t="shared" si="44"/>
        <v>01.110.0000</v>
      </c>
    </row>
    <row r="910" spans="1:7" hidden="1" x14ac:dyDescent="0.25">
      <c r="A910" s="6" t="s">
        <v>2991</v>
      </c>
      <c r="B910" s="28">
        <v>0</v>
      </c>
      <c r="C910" s="6" t="s">
        <v>104</v>
      </c>
      <c r="D910" t="str">
        <f t="shared" si="42"/>
        <v>11.001.04.122.0011.2.011.3.3.90.30.00</v>
      </c>
      <c r="E910" t="str">
        <f>VLOOKUP(LEFT(A910,2),ConsolidadoLoa27_ATIVIDADES!A:I,9,0)</f>
        <v>11 - SECRETARIA DE SERVIÇOS E OBRAS</v>
      </c>
      <c r="F910" t="str">
        <f t="shared" si="43"/>
        <v>2.011</v>
      </c>
      <c r="G910" t="str">
        <f t="shared" si="44"/>
        <v>01.110.0000</v>
      </c>
    </row>
    <row r="911" spans="1:7" hidden="1" x14ac:dyDescent="0.25">
      <c r="A911" s="6" t="s">
        <v>2992</v>
      </c>
      <c r="B911" s="28">
        <v>135083</v>
      </c>
      <c r="C911" s="6" t="s">
        <v>2993</v>
      </c>
      <c r="D911" t="str">
        <f t="shared" si="42"/>
        <v>11.001.04.122.0011.2.011.3.3.90.39.00</v>
      </c>
      <c r="E911" t="str">
        <f>VLOOKUP(LEFT(A911,2),ConsolidadoLoa27_ATIVIDADES!A:I,9,0)</f>
        <v>11 - SECRETARIA DE SERVIÇOS E OBRAS</v>
      </c>
      <c r="F911" t="str">
        <f t="shared" si="43"/>
        <v>2.011</v>
      </c>
      <c r="G911" t="str">
        <f t="shared" si="44"/>
        <v>01.110.0000</v>
      </c>
    </row>
    <row r="912" spans="1:7" hidden="1" x14ac:dyDescent="0.25">
      <c r="A912" s="6" t="s">
        <v>2992</v>
      </c>
      <c r="B912" s="28">
        <v>17760288</v>
      </c>
      <c r="C912" s="6" t="s">
        <v>2994</v>
      </c>
      <c r="D912" t="str">
        <f t="shared" si="42"/>
        <v>11.001.04.122.0011.2.011.3.3.90.39.00</v>
      </c>
      <c r="E912" t="str">
        <f>VLOOKUP(LEFT(A912,2),ConsolidadoLoa27_ATIVIDADES!A:I,9,0)</f>
        <v>11 - SECRETARIA DE SERVIÇOS E OBRAS</v>
      </c>
      <c r="F912" t="str">
        <f t="shared" si="43"/>
        <v>2.011</v>
      </c>
      <c r="G912" t="str">
        <f t="shared" si="44"/>
        <v>01.110.0000</v>
      </c>
    </row>
    <row r="913" spans="1:7" hidden="1" x14ac:dyDescent="0.25">
      <c r="A913" s="6" t="s">
        <v>2992</v>
      </c>
      <c r="B913" s="28">
        <v>283812.5</v>
      </c>
      <c r="C913" s="6" t="s">
        <v>2995</v>
      </c>
      <c r="D913" t="str">
        <f t="shared" si="42"/>
        <v>11.001.04.122.0011.2.011.3.3.90.39.00</v>
      </c>
      <c r="E913" t="str">
        <f>VLOOKUP(LEFT(A913,2),ConsolidadoLoa27_ATIVIDADES!A:I,9,0)</f>
        <v>11 - SECRETARIA DE SERVIÇOS E OBRAS</v>
      </c>
      <c r="F913" t="str">
        <f t="shared" si="43"/>
        <v>2.011</v>
      </c>
      <c r="G913" t="str">
        <f t="shared" si="44"/>
        <v>01.110.0000</v>
      </c>
    </row>
    <row r="914" spans="1:7" hidden="1" x14ac:dyDescent="0.25">
      <c r="A914" s="6" t="s">
        <v>2992</v>
      </c>
      <c r="B914" s="28">
        <v>124692</v>
      </c>
      <c r="C914" s="14" t="s">
        <v>107</v>
      </c>
      <c r="D914" t="str">
        <f t="shared" si="42"/>
        <v>11.001.04.122.0011.2.011.3.3.90.39.00</v>
      </c>
      <c r="E914" t="str">
        <f>VLOOKUP(LEFT(A914,2),ConsolidadoLoa27_ATIVIDADES!A:I,9,0)</f>
        <v>11 - SECRETARIA DE SERVIÇOS E OBRAS</v>
      </c>
      <c r="F914" t="str">
        <f t="shared" si="43"/>
        <v>2.011</v>
      </c>
      <c r="G914" t="str">
        <f t="shared" si="44"/>
        <v>01.110.0000</v>
      </c>
    </row>
    <row r="915" spans="1:7" hidden="1" x14ac:dyDescent="0.25">
      <c r="A915" s="6" t="s">
        <v>2992</v>
      </c>
      <c r="B915" s="28">
        <v>2500000</v>
      </c>
      <c r="C915" s="6" t="s">
        <v>388</v>
      </c>
      <c r="D915" t="str">
        <f t="shared" si="42"/>
        <v>11.001.04.122.0011.2.011.3.3.90.39.00</v>
      </c>
      <c r="E915" t="str">
        <f>VLOOKUP(LEFT(A915,2),ConsolidadoLoa27_ATIVIDADES!A:I,9,0)</f>
        <v>11 - SECRETARIA DE SERVIÇOS E OBRAS</v>
      </c>
      <c r="F915" t="str">
        <f t="shared" si="43"/>
        <v>2.011</v>
      </c>
      <c r="G915" t="str">
        <f t="shared" si="44"/>
        <v>01.110.0000</v>
      </c>
    </row>
    <row r="916" spans="1:7" hidden="1" x14ac:dyDescent="0.25">
      <c r="A916" s="6" t="s">
        <v>2992</v>
      </c>
      <c r="B916" s="28">
        <v>10391</v>
      </c>
      <c r="C916" s="6" t="s">
        <v>106</v>
      </c>
      <c r="D916" t="str">
        <f t="shared" si="42"/>
        <v>11.001.04.122.0011.2.011.3.3.90.39.00</v>
      </c>
      <c r="E916" t="str">
        <f>VLOOKUP(LEFT(A916,2),ConsolidadoLoa27_ATIVIDADES!A:I,9,0)</f>
        <v>11 - SECRETARIA DE SERVIÇOS E OBRAS</v>
      </c>
      <c r="F916" t="str">
        <f t="shared" si="43"/>
        <v>2.011</v>
      </c>
      <c r="G916" t="str">
        <f t="shared" si="44"/>
        <v>01.110.0000</v>
      </c>
    </row>
    <row r="917" spans="1:7" hidden="1" x14ac:dyDescent="0.25">
      <c r="A917" s="6" t="s">
        <v>2992</v>
      </c>
      <c r="B917" s="28">
        <v>10391</v>
      </c>
      <c r="C917" s="6" t="s">
        <v>100</v>
      </c>
      <c r="D917" t="str">
        <f t="shared" si="42"/>
        <v>11.001.04.122.0011.2.011.3.3.90.39.00</v>
      </c>
      <c r="E917" t="str">
        <f>VLOOKUP(LEFT(A917,2),ConsolidadoLoa27_ATIVIDADES!A:I,9,0)</f>
        <v>11 - SECRETARIA DE SERVIÇOS E OBRAS</v>
      </c>
      <c r="F917" t="str">
        <f t="shared" si="43"/>
        <v>2.011</v>
      </c>
      <c r="G917" t="str">
        <f t="shared" si="44"/>
        <v>01.110.0000</v>
      </c>
    </row>
    <row r="918" spans="1:7" hidden="1" x14ac:dyDescent="0.25">
      <c r="A918" s="6" t="s">
        <v>2996</v>
      </c>
      <c r="B918" s="28">
        <v>1007313</v>
      </c>
      <c r="C918" s="6" t="s">
        <v>2994</v>
      </c>
      <c r="D918" t="str">
        <f t="shared" si="42"/>
        <v>11.001.04.122.0011.2.011.3.3.90.39.00</v>
      </c>
      <c r="E918" t="str">
        <f>VLOOKUP(LEFT(A918,2),ConsolidadoLoa27_ATIVIDADES!A:I,9,0)</f>
        <v>11 - SECRETARIA DE SERVIÇOS E OBRAS</v>
      </c>
      <c r="F918" t="str">
        <f t="shared" si="43"/>
        <v>2.011</v>
      </c>
      <c r="G918" t="str">
        <f t="shared" si="44"/>
        <v>05.100.0000</v>
      </c>
    </row>
    <row r="919" spans="1:7" hidden="1" x14ac:dyDescent="0.25">
      <c r="A919" s="6" t="s">
        <v>2997</v>
      </c>
      <c r="B919" s="28">
        <v>0</v>
      </c>
      <c r="C919" s="6" t="s">
        <v>2995</v>
      </c>
      <c r="D919" t="str">
        <f t="shared" si="42"/>
        <v>11.001.04.122.0011.2.011.3.3.90.39.00</v>
      </c>
      <c r="E919" t="str">
        <f>VLOOKUP(LEFT(A919,2),ConsolidadoLoa27_ATIVIDADES!A:I,9,0)</f>
        <v>11 - SECRETARIA DE SERVIÇOS E OBRAS</v>
      </c>
      <c r="F919" t="str">
        <f t="shared" si="43"/>
        <v>2.011</v>
      </c>
      <c r="G919" t="str">
        <f t="shared" si="44"/>
        <v>05.802.0000</v>
      </c>
    </row>
    <row r="920" spans="1:7" hidden="1" x14ac:dyDescent="0.25">
      <c r="A920" s="6" t="s">
        <v>2998</v>
      </c>
      <c r="B920" s="28">
        <v>10391</v>
      </c>
      <c r="C920" s="6" t="s">
        <v>2520</v>
      </c>
      <c r="D920" t="str">
        <f t="shared" si="42"/>
        <v>11.001.04.122.0011.2.011.4.4.90.52.00</v>
      </c>
      <c r="E920" t="str">
        <f>VLOOKUP(LEFT(A920,2),ConsolidadoLoa27_ATIVIDADES!A:I,9,0)</f>
        <v>11 - SECRETARIA DE SERVIÇOS E OBRAS</v>
      </c>
      <c r="F920" t="str">
        <f t="shared" si="43"/>
        <v>2.011</v>
      </c>
      <c r="G920" t="str">
        <f t="shared" si="44"/>
        <v>01.110.0000</v>
      </c>
    </row>
    <row r="921" spans="1:7" hidden="1" x14ac:dyDescent="0.25">
      <c r="A921" s="6" t="s">
        <v>2998</v>
      </c>
      <c r="B921" s="28">
        <v>51955</v>
      </c>
      <c r="C921" s="6" t="s">
        <v>419</v>
      </c>
      <c r="D921" t="str">
        <f t="shared" si="42"/>
        <v>11.001.04.122.0011.2.011.4.4.90.52.00</v>
      </c>
      <c r="E921" t="str">
        <f>VLOOKUP(LEFT(A921,2),ConsolidadoLoa27_ATIVIDADES!A:I,9,0)</f>
        <v>11 - SECRETARIA DE SERVIÇOS E OBRAS</v>
      </c>
      <c r="F921" t="str">
        <f t="shared" si="43"/>
        <v>2.011</v>
      </c>
      <c r="G921" t="str">
        <f t="shared" si="44"/>
        <v>01.110.0000</v>
      </c>
    </row>
    <row r="922" spans="1:7" hidden="1" x14ac:dyDescent="0.25">
      <c r="A922" s="6" t="s">
        <v>2998</v>
      </c>
      <c r="B922" s="28">
        <v>16253.66</v>
      </c>
      <c r="C922" s="6" t="s">
        <v>2459</v>
      </c>
      <c r="D922" t="str">
        <f t="shared" si="42"/>
        <v>11.001.04.122.0011.2.011.4.4.90.52.00</v>
      </c>
      <c r="E922" t="str">
        <f>VLOOKUP(LEFT(A922,2),ConsolidadoLoa27_ATIVIDADES!A:I,9,0)</f>
        <v>11 - SECRETARIA DE SERVIÇOS E OBRAS</v>
      </c>
      <c r="F922" t="str">
        <f t="shared" si="43"/>
        <v>2.011</v>
      </c>
      <c r="G922" t="str">
        <f t="shared" si="44"/>
        <v>01.110.0000</v>
      </c>
    </row>
    <row r="923" spans="1:7" hidden="1" x14ac:dyDescent="0.25">
      <c r="A923" s="6" t="s">
        <v>2998</v>
      </c>
      <c r="B923" s="28">
        <v>0</v>
      </c>
      <c r="C923" s="6" t="s">
        <v>2994</v>
      </c>
      <c r="D923" t="str">
        <f t="shared" si="42"/>
        <v>11.001.04.122.0011.2.011.4.4.90.52.00</v>
      </c>
      <c r="E923" t="str">
        <f>VLOOKUP(LEFT(A923,2),ConsolidadoLoa27_ATIVIDADES!A:I,9,0)</f>
        <v>11 - SECRETARIA DE SERVIÇOS E OBRAS</v>
      </c>
      <c r="F923" t="str">
        <f t="shared" si="43"/>
        <v>2.011</v>
      </c>
      <c r="G923" t="str">
        <f t="shared" si="44"/>
        <v>01.110.0000</v>
      </c>
    </row>
    <row r="924" spans="1:7" hidden="1" x14ac:dyDescent="0.25">
      <c r="A924" s="6" t="s">
        <v>2998</v>
      </c>
      <c r="B924" s="28">
        <v>207820</v>
      </c>
      <c r="C924" s="6" t="s">
        <v>2999</v>
      </c>
      <c r="D924" t="str">
        <f t="shared" si="42"/>
        <v>11.001.04.122.0011.2.011.4.4.90.52.00</v>
      </c>
      <c r="E924" t="str">
        <f>VLOOKUP(LEFT(A924,2),ConsolidadoLoa27_ATIVIDADES!A:I,9,0)</f>
        <v>11 - SECRETARIA DE SERVIÇOS E OBRAS</v>
      </c>
      <c r="F924" t="str">
        <f t="shared" si="43"/>
        <v>2.011</v>
      </c>
      <c r="G924" t="str">
        <f t="shared" si="44"/>
        <v>01.110.0000</v>
      </c>
    </row>
    <row r="925" spans="1:7" hidden="1" x14ac:dyDescent="0.25">
      <c r="A925" s="6" t="s">
        <v>2998</v>
      </c>
      <c r="B925" s="28">
        <v>31173</v>
      </c>
      <c r="C925" s="6" t="s">
        <v>2502</v>
      </c>
      <c r="D925" t="str">
        <f t="shared" si="42"/>
        <v>11.001.04.122.0011.2.011.4.4.90.52.00</v>
      </c>
      <c r="E925" t="str">
        <f>VLOOKUP(LEFT(A925,2),ConsolidadoLoa27_ATIVIDADES!A:I,9,0)</f>
        <v>11 - SECRETARIA DE SERVIÇOS E OBRAS</v>
      </c>
      <c r="F925" t="str">
        <f t="shared" si="43"/>
        <v>2.011</v>
      </c>
      <c r="G925" t="str">
        <f t="shared" si="44"/>
        <v>01.110.0000</v>
      </c>
    </row>
    <row r="926" spans="1:7" hidden="1" x14ac:dyDescent="0.25">
      <c r="A926" s="6" t="s">
        <v>3000</v>
      </c>
      <c r="B926" s="28">
        <v>25310.34</v>
      </c>
      <c r="C926" s="6" t="s">
        <v>2459</v>
      </c>
      <c r="D926" t="str">
        <f t="shared" si="42"/>
        <v>11.001.04.122.0011.2.011.4.4.90.52.00</v>
      </c>
      <c r="E926" t="str">
        <f>VLOOKUP(LEFT(A926,2),ConsolidadoLoa27_ATIVIDADES!A:I,9,0)</f>
        <v>11 - SECRETARIA DE SERVIÇOS E OBRAS</v>
      </c>
      <c r="F926" t="str">
        <f t="shared" si="43"/>
        <v>2.011</v>
      </c>
      <c r="G926" t="str">
        <f t="shared" si="44"/>
        <v>03.120.0000</v>
      </c>
    </row>
    <row r="927" spans="1:7" hidden="1" x14ac:dyDescent="0.25">
      <c r="A927" s="6" t="s">
        <v>3001</v>
      </c>
      <c r="B927" s="28">
        <v>2597.75</v>
      </c>
      <c r="C927" s="6" t="s">
        <v>245</v>
      </c>
      <c r="D927" t="str">
        <f t="shared" si="42"/>
        <v>11.001.04.131.0002.2.005.3.3.90.30.00</v>
      </c>
      <c r="E927" t="str">
        <f>VLOOKUP(LEFT(A927,2),ConsolidadoLoa27_ATIVIDADES!A:I,9,0)</f>
        <v>11 - SECRETARIA DE SERVIÇOS E OBRAS</v>
      </c>
      <c r="F927" t="str">
        <f t="shared" si="43"/>
        <v>2.005</v>
      </c>
      <c r="G927" t="str">
        <f t="shared" si="44"/>
        <v>01.110.0000</v>
      </c>
    </row>
    <row r="928" spans="1:7" hidden="1" x14ac:dyDescent="0.25">
      <c r="A928" s="6" t="s">
        <v>3002</v>
      </c>
      <c r="B928" s="28">
        <v>6754.15</v>
      </c>
      <c r="C928" s="6" t="s">
        <v>198</v>
      </c>
      <c r="D928" t="str">
        <f t="shared" si="42"/>
        <v>11.001.04.131.0002.2.005.3.3.90.39.00</v>
      </c>
      <c r="E928" t="str">
        <f>VLOOKUP(LEFT(A928,2),ConsolidadoLoa27_ATIVIDADES!A:I,9,0)</f>
        <v>11 - SECRETARIA DE SERVIÇOS E OBRAS</v>
      </c>
      <c r="F928" t="str">
        <f t="shared" si="43"/>
        <v>2.005</v>
      </c>
      <c r="G928" t="str">
        <f t="shared" si="44"/>
        <v>01.110.0000</v>
      </c>
    </row>
    <row r="929" spans="1:7" hidden="1" x14ac:dyDescent="0.25">
      <c r="A929" s="6" t="s">
        <v>3002</v>
      </c>
      <c r="B929" s="28">
        <v>14547.4</v>
      </c>
      <c r="C929" s="6" t="s">
        <v>2293</v>
      </c>
      <c r="D929" t="str">
        <f t="shared" si="42"/>
        <v>11.001.04.131.0002.2.005.3.3.90.39.00</v>
      </c>
      <c r="E929" t="str">
        <f>VLOOKUP(LEFT(A929,2),ConsolidadoLoa27_ATIVIDADES!A:I,9,0)</f>
        <v>11 - SECRETARIA DE SERVIÇOS E OBRAS</v>
      </c>
      <c r="F929" t="str">
        <f t="shared" si="43"/>
        <v>2.005</v>
      </c>
      <c r="G929" t="str">
        <f t="shared" si="44"/>
        <v>01.110.0000</v>
      </c>
    </row>
    <row r="930" spans="1:7" hidden="1" x14ac:dyDescent="0.25">
      <c r="A930" s="6" t="s">
        <v>3002</v>
      </c>
      <c r="B930" s="28">
        <v>1039.0999999999999</v>
      </c>
      <c r="C930" s="6" t="s">
        <v>196</v>
      </c>
      <c r="D930" t="str">
        <f t="shared" si="42"/>
        <v>11.001.04.131.0002.2.005.3.3.90.39.00</v>
      </c>
      <c r="E930" t="str">
        <f>VLOOKUP(LEFT(A930,2),ConsolidadoLoa27_ATIVIDADES!A:I,9,0)</f>
        <v>11 - SECRETARIA DE SERVIÇOS E OBRAS</v>
      </c>
      <c r="F930" t="str">
        <f t="shared" si="43"/>
        <v>2.005</v>
      </c>
      <c r="G930" t="str">
        <f t="shared" si="44"/>
        <v>01.110.0000</v>
      </c>
    </row>
    <row r="931" spans="1:7" hidden="1" x14ac:dyDescent="0.25">
      <c r="A931" s="6" t="s">
        <v>3003</v>
      </c>
      <c r="B931" s="28">
        <v>64945.02</v>
      </c>
      <c r="C931" s="6" t="s">
        <v>3004</v>
      </c>
      <c r="D931" t="str">
        <f t="shared" si="42"/>
        <v>11.001.15.451.0011.1.005.3.3.90.39.00</v>
      </c>
      <c r="E931" t="str">
        <f>VLOOKUP(LEFT(A931,2),ConsolidadoLoa27_ATIVIDADES!A:I,9,0)</f>
        <v>11 - SECRETARIA DE SERVIÇOS E OBRAS</v>
      </c>
      <c r="F931" t="str">
        <f t="shared" si="43"/>
        <v>1.005</v>
      </c>
      <c r="G931" t="str">
        <f t="shared" si="44"/>
        <v>01.110.0000</v>
      </c>
    </row>
    <row r="932" spans="1:7" hidden="1" x14ac:dyDescent="0.25">
      <c r="A932" s="6" t="s">
        <v>3005</v>
      </c>
      <c r="B932" s="28">
        <v>2</v>
      </c>
      <c r="C932" s="6" t="s">
        <v>3006</v>
      </c>
      <c r="D932" t="str">
        <f t="shared" si="42"/>
        <v>11.001.15.451.0013.1.005.4.4.90.51.00</v>
      </c>
      <c r="E932" t="str">
        <f>VLOOKUP(LEFT(A932,2),ConsolidadoLoa27_ATIVIDADES!A:I,9,0)</f>
        <v>11 - SECRETARIA DE SERVIÇOS E OBRAS</v>
      </c>
      <c r="F932" t="str">
        <f t="shared" si="43"/>
        <v>1.005</v>
      </c>
      <c r="G932" t="str">
        <f t="shared" si="44"/>
        <v>01.110.0000</v>
      </c>
    </row>
    <row r="933" spans="1:7" hidden="1" x14ac:dyDescent="0.25">
      <c r="A933" s="6" t="s">
        <v>3007</v>
      </c>
      <c r="B933" s="28">
        <v>0</v>
      </c>
      <c r="C933" s="6" t="s">
        <v>3006</v>
      </c>
      <c r="D933" t="str">
        <f t="shared" si="42"/>
        <v>11.001.15.451.0013.1.005.4.4.90.51.00</v>
      </c>
      <c r="E933" t="str">
        <f>VLOOKUP(LEFT(A933,2),ConsolidadoLoa27_ATIVIDADES!A:I,9,0)</f>
        <v>11 - SECRETARIA DE SERVIÇOS E OBRAS</v>
      </c>
      <c r="F933" t="str">
        <f t="shared" si="43"/>
        <v>1.005</v>
      </c>
      <c r="G933" t="str">
        <f t="shared" si="44"/>
        <v>07.100.0000</v>
      </c>
    </row>
    <row r="934" spans="1:7" hidden="1" x14ac:dyDescent="0.25">
      <c r="A934" s="6" t="s">
        <v>3008</v>
      </c>
      <c r="B934" s="28">
        <v>573156.19999999995</v>
      </c>
      <c r="C934" s="6" t="s">
        <v>3009</v>
      </c>
      <c r="D934" t="str">
        <f t="shared" si="42"/>
        <v>11.001.15.451.0013.1.006.4.4.90.51.00</v>
      </c>
      <c r="E934" t="str">
        <f>VLOOKUP(LEFT(A934,2),ConsolidadoLoa27_ATIVIDADES!A:I,9,0)</f>
        <v>11 - SECRETARIA DE SERVIÇOS E OBRAS</v>
      </c>
      <c r="F934" t="str">
        <f t="shared" si="43"/>
        <v>1.006</v>
      </c>
      <c r="G934" t="str">
        <f t="shared" si="44"/>
        <v>01.110.0000</v>
      </c>
    </row>
    <row r="935" spans="1:7" hidden="1" x14ac:dyDescent="0.25">
      <c r="A935" s="6" t="s">
        <v>3008</v>
      </c>
      <c r="B935" s="28">
        <v>0</v>
      </c>
      <c r="C935" s="6" t="s">
        <v>3010</v>
      </c>
      <c r="D935" t="str">
        <f t="shared" si="42"/>
        <v>11.001.15.451.0013.1.006.4.4.90.51.00</v>
      </c>
      <c r="E935" t="str">
        <f>VLOOKUP(LEFT(A935,2),ConsolidadoLoa27_ATIVIDADES!A:I,9,0)</f>
        <v>11 - SECRETARIA DE SERVIÇOS E OBRAS</v>
      </c>
      <c r="F935" t="str">
        <f t="shared" si="43"/>
        <v>1.006</v>
      </c>
      <c r="G935" t="str">
        <f t="shared" si="44"/>
        <v>01.110.0000</v>
      </c>
    </row>
    <row r="936" spans="1:7" hidden="1" x14ac:dyDescent="0.25">
      <c r="A936" s="6" t="s">
        <v>3008</v>
      </c>
      <c r="B936" s="28">
        <v>0</v>
      </c>
      <c r="C936" s="6" t="s">
        <v>3011</v>
      </c>
      <c r="D936" t="str">
        <f t="shared" si="42"/>
        <v>11.001.15.451.0013.1.006.4.4.90.51.00</v>
      </c>
      <c r="E936" t="str">
        <f>VLOOKUP(LEFT(A936,2),ConsolidadoLoa27_ATIVIDADES!A:I,9,0)</f>
        <v>11 - SECRETARIA DE SERVIÇOS E OBRAS</v>
      </c>
      <c r="F936" t="str">
        <f t="shared" si="43"/>
        <v>1.006</v>
      </c>
      <c r="G936" t="str">
        <f t="shared" si="44"/>
        <v>01.110.0000</v>
      </c>
    </row>
    <row r="937" spans="1:7" hidden="1" x14ac:dyDescent="0.25">
      <c r="A937" s="6" t="s">
        <v>3012</v>
      </c>
      <c r="B937" s="28">
        <v>1635587.66</v>
      </c>
      <c r="C937" s="6" t="s">
        <v>3010</v>
      </c>
      <c r="D937" t="str">
        <f t="shared" si="42"/>
        <v>11.001.15.451.0013.1.006.4.4.90.51.00</v>
      </c>
      <c r="E937" t="str">
        <f>VLOOKUP(LEFT(A937,2),ConsolidadoLoa27_ATIVIDADES!A:I,9,0)</f>
        <v>11 - SECRETARIA DE SERVIÇOS E OBRAS</v>
      </c>
      <c r="F937" t="str">
        <f t="shared" si="43"/>
        <v>1.006</v>
      </c>
      <c r="G937" t="str">
        <f t="shared" si="44"/>
        <v>03.100.1101</v>
      </c>
    </row>
    <row r="938" spans="1:7" hidden="1" x14ac:dyDescent="0.25">
      <c r="A938" s="6" t="s">
        <v>3013</v>
      </c>
      <c r="B938" s="28">
        <v>0</v>
      </c>
      <c r="C938" s="6" t="s">
        <v>3011</v>
      </c>
      <c r="D938" t="str">
        <f t="shared" si="42"/>
        <v>11.001.15.451.0013.1.006.4.4.90.51.00</v>
      </c>
      <c r="E938" t="str">
        <f>VLOOKUP(LEFT(A938,2),ConsolidadoLoa27_ATIVIDADES!A:I,9,0)</f>
        <v>11 - SECRETARIA DE SERVIÇOS E OBRAS</v>
      </c>
      <c r="F938" t="str">
        <f t="shared" si="43"/>
        <v>1.006</v>
      </c>
      <c r="G938" t="str">
        <f t="shared" si="44"/>
        <v>02.803.0000</v>
      </c>
    </row>
    <row r="939" spans="1:7" hidden="1" x14ac:dyDescent="0.25">
      <c r="A939" s="6" t="s">
        <v>3014</v>
      </c>
      <c r="B939" s="28">
        <v>0</v>
      </c>
      <c r="C939" s="6" t="s">
        <v>3009</v>
      </c>
      <c r="D939" t="str">
        <f t="shared" si="42"/>
        <v>11.001.15.451.0013.1.006.4.4.90.51.00</v>
      </c>
      <c r="E939" t="str">
        <f>VLOOKUP(LEFT(A939,2),ConsolidadoLoa27_ATIVIDADES!A:I,9,0)</f>
        <v>11 - SECRETARIA DE SERVIÇOS E OBRAS</v>
      </c>
      <c r="F939" t="str">
        <f t="shared" si="43"/>
        <v>1.006</v>
      </c>
      <c r="G939" t="str">
        <f t="shared" si="44"/>
        <v>05.100.0000</v>
      </c>
    </row>
    <row r="940" spans="1:7" hidden="1" x14ac:dyDescent="0.25">
      <c r="A940" s="6" t="s">
        <v>3015</v>
      </c>
      <c r="B940" s="28">
        <v>0</v>
      </c>
      <c r="C940" s="6" t="s">
        <v>3009</v>
      </c>
      <c r="D940" t="str">
        <f t="shared" si="42"/>
        <v>11.001.15.451.0013.1.006.4.4.90.51.00</v>
      </c>
      <c r="E940" t="str">
        <f>VLOOKUP(LEFT(A940,2),ConsolidadoLoa27_ATIVIDADES!A:I,9,0)</f>
        <v>11 - SECRETARIA DE SERVIÇOS E OBRAS</v>
      </c>
      <c r="F940" t="str">
        <f t="shared" si="43"/>
        <v>1.006</v>
      </c>
      <c r="G940" t="str">
        <f t="shared" si="44"/>
        <v>07.100.0000</v>
      </c>
    </row>
    <row r="941" spans="1:7" hidden="1" x14ac:dyDescent="0.25">
      <c r="A941" s="6" t="s">
        <v>3015</v>
      </c>
      <c r="B941" s="28">
        <v>0</v>
      </c>
      <c r="C941" s="6" t="s">
        <v>3010</v>
      </c>
      <c r="D941" t="str">
        <f t="shared" si="42"/>
        <v>11.001.15.451.0013.1.006.4.4.90.51.00</v>
      </c>
      <c r="E941" t="str">
        <f>VLOOKUP(LEFT(A941,2),ConsolidadoLoa27_ATIVIDADES!A:I,9,0)</f>
        <v>11 - SECRETARIA DE SERVIÇOS E OBRAS</v>
      </c>
      <c r="F941" t="str">
        <f t="shared" si="43"/>
        <v>1.006</v>
      </c>
      <c r="G941" t="str">
        <f t="shared" si="44"/>
        <v>07.100.0000</v>
      </c>
    </row>
    <row r="942" spans="1:7" hidden="1" x14ac:dyDescent="0.25">
      <c r="A942" s="6" t="s">
        <v>3016</v>
      </c>
      <c r="B942" s="28">
        <v>623460</v>
      </c>
      <c r="C942" s="6" t="s">
        <v>2956</v>
      </c>
      <c r="D942" t="str">
        <f t="shared" si="42"/>
        <v>11.001.15.452.0011.2.038.3.3.90.30.00</v>
      </c>
      <c r="E942" t="str">
        <f>VLOOKUP(LEFT(A942,2),ConsolidadoLoa27_ATIVIDADES!A:I,9,0)</f>
        <v>11 - SECRETARIA DE SERVIÇOS E OBRAS</v>
      </c>
      <c r="F942" t="str">
        <f t="shared" si="43"/>
        <v>2.038</v>
      </c>
      <c r="G942" t="str">
        <f t="shared" si="44"/>
        <v>01.100.0002</v>
      </c>
    </row>
    <row r="943" spans="1:7" hidden="1" x14ac:dyDescent="0.25">
      <c r="A943" s="6" t="s">
        <v>3017</v>
      </c>
      <c r="B943" s="28">
        <v>5356596.0060470002</v>
      </c>
      <c r="C943" s="6" t="s">
        <v>2493</v>
      </c>
      <c r="D943" t="str">
        <f t="shared" si="42"/>
        <v>11.001.15.452.0011.2.038.3.3.90.39.00</v>
      </c>
      <c r="E943" t="str">
        <f>VLOOKUP(LEFT(A943,2),ConsolidadoLoa27_ATIVIDADES!A:I,9,0)</f>
        <v>11 - SECRETARIA DE SERVIÇOS E OBRAS</v>
      </c>
      <c r="F943" t="str">
        <f t="shared" si="43"/>
        <v>2.038</v>
      </c>
      <c r="G943" t="str">
        <f t="shared" si="44"/>
        <v>01.100.0002</v>
      </c>
    </row>
    <row r="944" spans="1:7" hidden="1" x14ac:dyDescent="0.25">
      <c r="A944" s="6" t="s">
        <v>3017</v>
      </c>
      <c r="B944" s="28">
        <v>13380170.960000001</v>
      </c>
      <c r="C944" s="6" t="s">
        <v>3018</v>
      </c>
      <c r="D944" t="str">
        <f t="shared" si="42"/>
        <v>11.001.15.452.0011.2.038.3.3.90.39.00</v>
      </c>
      <c r="E944" t="str">
        <f>VLOOKUP(LEFT(A944,2),ConsolidadoLoa27_ATIVIDADES!A:I,9,0)</f>
        <v>11 - SECRETARIA DE SERVIÇOS E OBRAS</v>
      </c>
      <c r="F944" t="str">
        <f t="shared" si="43"/>
        <v>2.038</v>
      </c>
      <c r="G944" t="str">
        <f t="shared" si="44"/>
        <v>01.100.0002</v>
      </c>
    </row>
    <row r="945" spans="1:7" hidden="1" x14ac:dyDescent="0.25">
      <c r="A945" s="6" t="s">
        <v>3017</v>
      </c>
      <c r="B945" s="28">
        <v>320540</v>
      </c>
      <c r="C945" s="14" t="s">
        <v>95</v>
      </c>
      <c r="D945" t="str">
        <f t="shared" si="42"/>
        <v>11.001.15.452.0011.2.038.3.3.90.39.00</v>
      </c>
      <c r="E945" t="str">
        <f>VLOOKUP(LEFT(A945,2),ConsolidadoLoa27_ATIVIDADES!A:I,9,0)</f>
        <v>11 - SECRETARIA DE SERVIÇOS E OBRAS</v>
      </c>
      <c r="F945" t="str">
        <f t="shared" si="43"/>
        <v>2.038</v>
      </c>
      <c r="G945" t="str">
        <f t="shared" si="44"/>
        <v>01.100.0002</v>
      </c>
    </row>
    <row r="946" spans="1:7" hidden="1" x14ac:dyDescent="0.25">
      <c r="A946" s="6" t="s">
        <v>3017</v>
      </c>
      <c r="B946" s="28">
        <v>10391</v>
      </c>
      <c r="C946" s="6" t="s">
        <v>3019</v>
      </c>
      <c r="D946" t="str">
        <f t="shared" si="42"/>
        <v>11.001.15.452.0011.2.038.3.3.90.39.00</v>
      </c>
      <c r="E946" t="str">
        <f>VLOOKUP(LEFT(A946,2),ConsolidadoLoa27_ATIVIDADES!A:I,9,0)</f>
        <v>11 - SECRETARIA DE SERVIÇOS E OBRAS</v>
      </c>
      <c r="F946" t="str">
        <f t="shared" si="43"/>
        <v>2.038</v>
      </c>
      <c r="G946" t="str">
        <f t="shared" si="44"/>
        <v>01.100.0002</v>
      </c>
    </row>
    <row r="947" spans="1:7" hidden="1" x14ac:dyDescent="0.25">
      <c r="A947" s="6" t="s">
        <v>3017</v>
      </c>
      <c r="B947" s="28">
        <v>5195.5</v>
      </c>
      <c r="C947" s="6" t="s">
        <v>100</v>
      </c>
      <c r="D947" t="str">
        <f t="shared" si="42"/>
        <v>11.001.15.452.0011.2.038.3.3.90.39.00</v>
      </c>
      <c r="E947" t="str">
        <f>VLOOKUP(LEFT(A947,2),ConsolidadoLoa27_ATIVIDADES!A:I,9,0)</f>
        <v>11 - SECRETARIA DE SERVIÇOS E OBRAS</v>
      </c>
      <c r="F947" t="str">
        <f t="shared" si="43"/>
        <v>2.038</v>
      </c>
      <c r="G947" t="str">
        <f t="shared" si="44"/>
        <v>01.100.0002</v>
      </c>
    </row>
    <row r="948" spans="1:7" hidden="1" x14ac:dyDescent="0.25">
      <c r="A948" s="6" t="s">
        <v>3020</v>
      </c>
      <c r="B948" s="28">
        <v>1</v>
      </c>
      <c r="C948" s="6" t="s">
        <v>3018</v>
      </c>
      <c r="D948" t="str">
        <f t="shared" si="42"/>
        <v>11.001.15.452.0011.2.038.3.3.90.39.00</v>
      </c>
      <c r="E948" t="str">
        <f>VLOOKUP(LEFT(A948,2),ConsolidadoLoa27_ATIVIDADES!A:I,9,0)</f>
        <v>11 - SECRETARIA DE SERVIÇOS E OBRAS</v>
      </c>
      <c r="F948" t="str">
        <f t="shared" si="43"/>
        <v>2.038</v>
      </c>
      <c r="G948" t="str">
        <f t="shared" si="44"/>
        <v>01.110.0000</v>
      </c>
    </row>
    <row r="949" spans="1:7" hidden="1" x14ac:dyDescent="0.25">
      <c r="A949" s="6" t="s">
        <v>3021</v>
      </c>
      <c r="B949" s="28">
        <v>15263111.560000001</v>
      </c>
      <c r="C949" s="6" t="s">
        <v>3022</v>
      </c>
      <c r="D949" t="str">
        <f t="shared" si="42"/>
        <v>11.001.15.452.0013.2.034.3.3.90.39.00</v>
      </c>
      <c r="E949" t="str">
        <f>VLOOKUP(LEFT(A949,2),ConsolidadoLoa27_ATIVIDADES!A:I,9,0)</f>
        <v>11 - SECRETARIA DE SERVIÇOS E OBRAS</v>
      </c>
      <c r="F949" t="str">
        <f t="shared" si="43"/>
        <v>2.034</v>
      </c>
      <c r="G949" t="str">
        <f t="shared" si="44"/>
        <v>01.110.0000</v>
      </c>
    </row>
    <row r="950" spans="1:7" hidden="1" x14ac:dyDescent="0.25">
      <c r="A950" s="6" t="s">
        <v>3021</v>
      </c>
      <c r="B950" s="28">
        <v>7933732</v>
      </c>
      <c r="C950" s="6" t="s">
        <v>3023</v>
      </c>
      <c r="D950" t="str">
        <f t="shared" si="42"/>
        <v>11.001.15.452.0013.2.034.3.3.90.39.00</v>
      </c>
      <c r="E950" t="str">
        <f>VLOOKUP(LEFT(A950,2),ConsolidadoLoa27_ATIVIDADES!A:I,9,0)</f>
        <v>11 - SECRETARIA DE SERVIÇOS E OBRAS</v>
      </c>
      <c r="F950" t="str">
        <f t="shared" si="43"/>
        <v>2.034</v>
      </c>
      <c r="G950" t="str">
        <f t="shared" si="44"/>
        <v>01.110.0000</v>
      </c>
    </row>
    <row r="951" spans="1:7" hidden="1" x14ac:dyDescent="0.25">
      <c r="A951" s="6" t="s">
        <v>3024</v>
      </c>
      <c r="B951" s="28">
        <v>46268</v>
      </c>
      <c r="C951" s="6" t="s">
        <v>3023</v>
      </c>
      <c r="D951" t="str">
        <f t="shared" si="42"/>
        <v>11.001.15.452.0013.2.034.3.3.90.39.00</v>
      </c>
      <c r="E951" t="str">
        <f>VLOOKUP(LEFT(A951,2),ConsolidadoLoa27_ATIVIDADES!A:I,9,0)</f>
        <v>11 - SECRETARIA DE SERVIÇOS E OBRAS</v>
      </c>
      <c r="F951" t="str">
        <f t="shared" si="43"/>
        <v>2.034</v>
      </c>
      <c r="G951" t="str">
        <f t="shared" si="44"/>
        <v>05.100.0032</v>
      </c>
    </row>
    <row r="952" spans="1:7" hidden="1" x14ac:dyDescent="0.25">
      <c r="A952" s="6" t="s">
        <v>3021</v>
      </c>
      <c r="B952" s="28">
        <v>23805212.66</v>
      </c>
      <c r="C952" s="6" t="s">
        <v>3025</v>
      </c>
      <c r="D952" t="str">
        <f t="shared" si="42"/>
        <v>11.001.15.452.0013.2.034.3.3.90.39.00</v>
      </c>
      <c r="E952" t="str">
        <f>VLOOKUP(LEFT(A952,2),ConsolidadoLoa27_ATIVIDADES!A:I,9,0)</f>
        <v>11 - SECRETARIA DE SERVIÇOS E OBRAS</v>
      </c>
      <c r="F952" t="str">
        <f t="shared" si="43"/>
        <v>2.034</v>
      </c>
      <c r="G952" t="str">
        <f t="shared" si="44"/>
        <v>01.110.0000</v>
      </c>
    </row>
    <row r="953" spans="1:7" hidden="1" x14ac:dyDescent="0.25">
      <c r="A953" s="6" t="s">
        <v>3021</v>
      </c>
      <c r="B953" s="28">
        <v>360428.5</v>
      </c>
      <c r="C953" s="6" t="s">
        <v>3026</v>
      </c>
      <c r="D953" t="str">
        <f t="shared" si="42"/>
        <v>11.001.15.452.0013.2.034.3.3.90.39.00</v>
      </c>
      <c r="E953" t="str">
        <f>VLOOKUP(LEFT(A953,2),ConsolidadoLoa27_ATIVIDADES!A:I,9,0)</f>
        <v>11 - SECRETARIA DE SERVIÇOS E OBRAS</v>
      </c>
      <c r="F953" t="str">
        <f t="shared" si="43"/>
        <v>2.034</v>
      </c>
      <c r="G953" t="str">
        <f t="shared" si="44"/>
        <v>01.110.0000</v>
      </c>
    </row>
    <row r="954" spans="1:7" hidden="1" x14ac:dyDescent="0.25">
      <c r="A954" s="6" t="s">
        <v>3027</v>
      </c>
      <c r="B954" s="28">
        <v>0</v>
      </c>
      <c r="C954" s="6" t="s">
        <v>3026</v>
      </c>
      <c r="D954" t="str">
        <f t="shared" si="42"/>
        <v>11.001.15.452.0013.2.034.3.3.90.39.00</v>
      </c>
      <c r="E954" t="str">
        <f>VLOOKUP(LEFT(A954,2),ConsolidadoLoa27_ATIVIDADES!A:I,9,0)</f>
        <v>11 - SECRETARIA DE SERVIÇOS E OBRAS</v>
      </c>
      <c r="F954" t="str">
        <f t="shared" si="43"/>
        <v>2.034</v>
      </c>
      <c r="G954" t="str">
        <f t="shared" si="44"/>
        <v>05.100.0000</v>
      </c>
    </row>
    <row r="955" spans="1:7" hidden="1" x14ac:dyDescent="0.25">
      <c r="A955" s="6" t="s">
        <v>3021</v>
      </c>
      <c r="B955" s="28">
        <v>0</v>
      </c>
      <c r="C955" s="21" t="s">
        <v>3028</v>
      </c>
      <c r="D955" t="str">
        <f t="shared" si="42"/>
        <v>11.001.15.452.0013.2.034.3.3.90.39.00</v>
      </c>
      <c r="E955" t="str">
        <f>VLOOKUP(LEFT(A955,2),ConsolidadoLoa27_ATIVIDADES!A:I,9,0)</f>
        <v>11 - SECRETARIA DE SERVIÇOS E OBRAS</v>
      </c>
      <c r="F955" t="str">
        <f t="shared" si="43"/>
        <v>2.034</v>
      </c>
      <c r="G955" t="str">
        <f t="shared" si="44"/>
        <v>01.110.0000</v>
      </c>
    </row>
    <row r="956" spans="1:7" hidden="1" x14ac:dyDescent="0.25">
      <c r="A956" s="6" t="s">
        <v>3029</v>
      </c>
      <c r="B956" s="28">
        <v>395677.77</v>
      </c>
      <c r="C956" s="21" t="s">
        <v>3028</v>
      </c>
      <c r="D956" t="str">
        <f t="shared" si="42"/>
        <v>11.001.15.452.0013.2.034.3.3.90.39.00</v>
      </c>
      <c r="E956" t="str">
        <f>VLOOKUP(LEFT(A956,2),ConsolidadoLoa27_ATIVIDADES!A:I,9,0)</f>
        <v>11 - SECRETARIA DE SERVIÇOS E OBRAS</v>
      </c>
      <c r="F956" t="str">
        <f t="shared" si="43"/>
        <v>2.034</v>
      </c>
      <c r="G956" t="str">
        <f t="shared" si="44"/>
        <v>01.130.0000</v>
      </c>
    </row>
    <row r="957" spans="1:7" hidden="1" x14ac:dyDescent="0.25">
      <c r="A957" s="6" t="s">
        <v>3024</v>
      </c>
      <c r="B957" s="28">
        <v>40722.230000000003</v>
      </c>
      <c r="C957" s="21" t="s">
        <v>3028</v>
      </c>
      <c r="D957" t="str">
        <f t="shared" si="42"/>
        <v>11.001.15.452.0013.2.034.3.3.90.39.00</v>
      </c>
      <c r="E957" t="str">
        <f>VLOOKUP(LEFT(A957,2),ConsolidadoLoa27_ATIVIDADES!A:I,9,0)</f>
        <v>11 - SECRETARIA DE SERVIÇOS E OBRAS</v>
      </c>
      <c r="F957" t="str">
        <f t="shared" si="43"/>
        <v>2.034</v>
      </c>
      <c r="G957" t="str">
        <f t="shared" si="44"/>
        <v>05.100.0032</v>
      </c>
    </row>
    <row r="958" spans="1:7" hidden="1" x14ac:dyDescent="0.25">
      <c r="A958" s="6" t="s">
        <v>3029</v>
      </c>
      <c r="B958" s="28">
        <v>694400</v>
      </c>
      <c r="C958" s="6" t="s">
        <v>3022</v>
      </c>
      <c r="D958" t="str">
        <f t="shared" si="42"/>
        <v>11.001.15.452.0013.2.034.3.3.90.39.00</v>
      </c>
      <c r="E958" t="str">
        <f>VLOOKUP(LEFT(A958,2),ConsolidadoLoa27_ATIVIDADES!A:I,9,0)</f>
        <v>11 - SECRETARIA DE SERVIÇOS E OBRAS</v>
      </c>
      <c r="F958" t="str">
        <f t="shared" si="43"/>
        <v>2.034</v>
      </c>
      <c r="G958" t="str">
        <f t="shared" si="44"/>
        <v>01.130.0000</v>
      </c>
    </row>
    <row r="959" spans="1:7" hidden="1" x14ac:dyDescent="0.25">
      <c r="A959" s="6" t="s">
        <v>3030</v>
      </c>
      <c r="B959" s="28">
        <v>0</v>
      </c>
      <c r="C959" s="6" t="s">
        <v>3031</v>
      </c>
      <c r="D959" t="str">
        <f t="shared" si="42"/>
        <v>11.001.15.452.0013.2.034.3.3.90.39.00</v>
      </c>
      <c r="E959" t="str">
        <f>VLOOKUP(LEFT(A959,2),ConsolidadoLoa27_ATIVIDADES!A:I,9,0)</f>
        <v>11 - SECRETARIA DE SERVIÇOS E OBRAS</v>
      </c>
      <c r="F959" t="str">
        <f t="shared" si="43"/>
        <v>2.034</v>
      </c>
      <c r="G959" t="str">
        <f t="shared" si="44"/>
        <v>08.110.0000</v>
      </c>
    </row>
    <row r="960" spans="1:7" hidden="1" x14ac:dyDescent="0.25">
      <c r="A960" s="6" t="s">
        <v>3032</v>
      </c>
      <c r="B960" s="28">
        <v>0</v>
      </c>
      <c r="C960" s="6" t="s">
        <v>3031</v>
      </c>
      <c r="D960" t="str">
        <f t="shared" si="42"/>
        <v>11.001.15.452.0013.2.034.4.4.90.52.00</v>
      </c>
      <c r="E960" t="str">
        <f>VLOOKUP(LEFT(A960,2),ConsolidadoLoa27_ATIVIDADES!A:I,9,0)</f>
        <v>11 - SECRETARIA DE SERVIÇOS E OBRAS</v>
      </c>
      <c r="F960" t="str">
        <f t="shared" si="43"/>
        <v>2.034</v>
      </c>
      <c r="G960" t="str">
        <f t="shared" si="44"/>
        <v>08.110.0000</v>
      </c>
    </row>
    <row r="961" spans="1:7" hidden="1" x14ac:dyDescent="0.25">
      <c r="A961" s="6" t="s">
        <v>3033</v>
      </c>
      <c r="B961" s="28">
        <v>0</v>
      </c>
      <c r="C961" s="6" t="s">
        <v>3034</v>
      </c>
      <c r="D961" t="str">
        <f t="shared" si="42"/>
        <v>11.001.17.452.0007.2.039.3.3.90.30.00</v>
      </c>
      <c r="E961" t="str">
        <f>VLOOKUP(LEFT(A961,2),ConsolidadoLoa27_ATIVIDADES!A:I,9,0)</f>
        <v>11 - SECRETARIA DE SERVIÇOS E OBRAS</v>
      </c>
      <c r="F961" t="str">
        <f t="shared" si="43"/>
        <v>2.039</v>
      </c>
      <c r="G961" t="str">
        <f t="shared" si="44"/>
        <v>08.110.0000</v>
      </c>
    </row>
    <row r="962" spans="1:7" hidden="1" x14ac:dyDescent="0.25">
      <c r="A962" s="6" t="s">
        <v>3033</v>
      </c>
      <c r="B962" s="28">
        <v>0</v>
      </c>
      <c r="C962" s="6" t="s">
        <v>3035</v>
      </c>
      <c r="D962" t="str">
        <f t="shared" si="42"/>
        <v>11.001.17.452.0007.2.039.3.3.90.30.00</v>
      </c>
      <c r="E962" t="str">
        <f>VLOOKUP(LEFT(A962,2),ConsolidadoLoa27_ATIVIDADES!A:I,9,0)</f>
        <v>11 - SECRETARIA DE SERVIÇOS E OBRAS</v>
      </c>
      <c r="F962" t="str">
        <f t="shared" si="43"/>
        <v>2.039</v>
      </c>
      <c r="G962" t="str">
        <f t="shared" si="44"/>
        <v>08.110.0000</v>
      </c>
    </row>
    <row r="963" spans="1:7" hidden="1" x14ac:dyDescent="0.25">
      <c r="A963" s="6" t="s">
        <v>3036</v>
      </c>
      <c r="B963" s="28">
        <v>58801481.18</v>
      </c>
      <c r="C963" s="6" t="s">
        <v>3037</v>
      </c>
      <c r="D963" t="str">
        <f t="shared" ref="D963:D1026" si="45">_xlfn.CONCAT(LEFT(A963,34),".00")</f>
        <v>11.001.17.452.0007.2.039.3.3.90.39.00</v>
      </c>
      <c r="E963" t="str">
        <f>VLOOKUP(LEFT(A963,2),ConsolidadoLoa27_ATIVIDADES!A:I,9,0)</f>
        <v>11 - SECRETARIA DE SERVIÇOS E OBRAS</v>
      </c>
      <c r="F963" t="str">
        <f t="shared" ref="F963:F1026" si="46">MID(A963,20,5)</f>
        <v>2.039</v>
      </c>
      <c r="G963" t="str">
        <f t="shared" ref="G963:G1026" si="47">RIGHT(A963,11)</f>
        <v>01.110.0000</v>
      </c>
    </row>
    <row r="964" spans="1:7" hidden="1" x14ac:dyDescent="0.25">
      <c r="A964" s="6" t="s">
        <v>3038</v>
      </c>
      <c r="B964" s="28">
        <v>0</v>
      </c>
      <c r="C964" s="6" t="s">
        <v>3034</v>
      </c>
      <c r="D964" t="str">
        <f t="shared" si="45"/>
        <v>11.001.17.452.0007.2.039.3.3.90.39.00</v>
      </c>
      <c r="E964" t="str">
        <f>VLOOKUP(LEFT(A964,2),ConsolidadoLoa27_ATIVIDADES!A:I,9,0)</f>
        <v>11 - SECRETARIA DE SERVIÇOS E OBRAS</v>
      </c>
      <c r="F964" t="str">
        <f t="shared" si="46"/>
        <v>2.039</v>
      </c>
      <c r="G964" t="str">
        <f t="shared" si="47"/>
        <v>08.110.0000</v>
      </c>
    </row>
    <row r="965" spans="1:7" hidden="1" x14ac:dyDescent="0.25">
      <c r="A965" s="6" t="s">
        <v>3038</v>
      </c>
      <c r="B965" s="28">
        <v>0</v>
      </c>
      <c r="C965" s="6" t="s">
        <v>3035</v>
      </c>
      <c r="D965" t="str">
        <f t="shared" si="45"/>
        <v>11.001.17.452.0007.2.039.3.3.90.39.00</v>
      </c>
      <c r="E965" t="str">
        <f>VLOOKUP(LEFT(A965,2),ConsolidadoLoa27_ATIVIDADES!A:I,9,0)</f>
        <v>11 - SECRETARIA DE SERVIÇOS E OBRAS</v>
      </c>
      <c r="F965" t="str">
        <f t="shared" si="46"/>
        <v>2.039</v>
      </c>
      <c r="G965" t="str">
        <f t="shared" si="47"/>
        <v>08.110.0000</v>
      </c>
    </row>
    <row r="966" spans="1:7" hidden="1" x14ac:dyDescent="0.25">
      <c r="A966" s="6" t="s">
        <v>3039</v>
      </c>
      <c r="B966" s="28">
        <v>0</v>
      </c>
      <c r="C966" s="6" t="s">
        <v>3034</v>
      </c>
      <c r="D966" t="str">
        <f t="shared" si="45"/>
        <v>11.001.17.452.0007.2.039.4.4.90.52.00</v>
      </c>
      <c r="E966" t="str">
        <f>VLOOKUP(LEFT(A966,2),ConsolidadoLoa27_ATIVIDADES!A:I,9,0)</f>
        <v>11 - SECRETARIA DE SERVIÇOS E OBRAS</v>
      </c>
      <c r="F966" t="str">
        <f t="shared" si="46"/>
        <v>2.039</v>
      </c>
      <c r="G966" t="str">
        <f t="shared" si="47"/>
        <v>08.110.0000</v>
      </c>
    </row>
    <row r="967" spans="1:7" hidden="1" x14ac:dyDescent="0.25">
      <c r="A967" s="6" t="s">
        <v>3039</v>
      </c>
      <c r="B967" s="28">
        <v>0</v>
      </c>
      <c r="C967" s="6" t="s">
        <v>3035</v>
      </c>
      <c r="D967" t="str">
        <f t="shared" si="45"/>
        <v>11.001.17.452.0007.2.039.4.4.90.52.00</v>
      </c>
      <c r="E967" t="str">
        <f>VLOOKUP(LEFT(A967,2),ConsolidadoLoa27_ATIVIDADES!A:I,9,0)</f>
        <v>11 - SECRETARIA DE SERVIÇOS E OBRAS</v>
      </c>
      <c r="F967" t="str">
        <f t="shared" si="46"/>
        <v>2.039</v>
      </c>
      <c r="G967" t="str">
        <f t="shared" si="47"/>
        <v>08.110.0000</v>
      </c>
    </row>
    <row r="968" spans="1:7" hidden="1" x14ac:dyDescent="0.25">
      <c r="A968" s="6" t="s">
        <v>3040</v>
      </c>
      <c r="B968" s="28">
        <v>1</v>
      </c>
      <c r="C968" s="6" t="s">
        <v>3041</v>
      </c>
      <c r="D968" t="str">
        <f t="shared" si="45"/>
        <v>11.001.18.452.0007.1.003.3.3.90.39.00</v>
      </c>
      <c r="E968" t="str">
        <f>VLOOKUP(LEFT(A968,2),ConsolidadoLoa27_ATIVIDADES!A:I,9,0)</f>
        <v>11 - SECRETARIA DE SERVIÇOS E OBRAS</v>
      </c>
      <c r="F968" t="str">
        <f t="shared" si="46"/>
        <v>1.003</v>
      </c>
      <c r="G968" t="str">
        <f t="shared" si="47"/>
        <v>01.110.0000</v>
      </c>
    </row>
    <row r="969" spans="1:7" hidden="1" x14ac:dyDescent="0.25">
      <c r="A969" s="6" t="s">
        <v>3042</v>
      </c>
      <c r="B969" s="28">
        <v>0</v>
      </c>
      <c r="C969" s="6" t="s">
        <v>3043</v>
      </c>
      <c r="D969" t="str">
        <f t="shared" si="45"/>
        <v>11.001.18.543.0007.2.037.3.3.50.39.00</v>
      </c>
      <c r="E969" t="str">
        <f>VLOOKUP(LEFT(A969,2),ConsolidadoLoa27_ATIVIDADES!A:I,9,0)</f>
        <v>11 - SECRETARIA DE SERVIÇOS E OBRAS</v>
      </c>
      <c r="F969" t="str">
        <f t="shared" si="46"/>
        <v>2.037</v>
      </c>
      <c r="G969" t="str">
        <f t="shared" si="47"/>
        <v>08.110.0000</v>
      </c>
    </row>
    <row r="970" spans="1:7" hidden="1" x14ac:dyDescent="0.25">
      <c r="A970" s="6" t="s">
        <v>3044</v>
      </c>
      <c r="B970" s="28">
        <v>58470749.880000003</v>
      </c>
      <c r="C970" s="6" t="s">
        <v>2984</v>
      </c>
      <c r="D970" t="str">
        <f t="shared" si="45"/>
        <v>11.001.18.543.0007.2.037.3.3.90.39.00</v>
      </c>
      <c r="E970" t="str">
        <f>VLOOKUP(LEFT(A970,2),ConsolidadoLoa27_ATIVIDADES!A:I,9,0)</f>
        <v>11 - SECRETARIA DE SERVIÇOS E OBRAS</v>
      </c>
      <c r="F970" t="str">
        <f t="shared" si="46"/>
        <v>2.037</v>
      </c>
      <c r="G970" t="str">
        <f t="shared" si="47"/>
        <v>01.110.0000</v>
      </c>
    </row>
    <row r="971" spans="1:7" hidden="1" x14ac:dyDescent="0.25">
      <c r="A971" s="6" t="s">
        <v>3045</v>
      </c>
      <c r="B971" s="28">
        <v>809560.8</v>
      </c>
      <c r="C971" s="6" t="s">
        <v>3046</v>
      </c>
      <c r="D971" t="str">
        <f t="shared" si="45"/>
        <v>11.001.18.544.0005.1.007.4.4.90.51.00</v>
      </c>
      <c r="E971" t="str">
        <f>VLOOKUP(LEFT(A971,2),ConsolidadoLoa27_ATIVIDADES!A:I,9,0)</f>
        <v>11 - SECRETARIA DE SERVIÇOS E OBRAS</v>
      </c>
      <c r="F971" t="str">
        <f t="shared" si="46"/>
        <v>1.007</v>
      </c>
      <c r="G971" t="str">
        <f t="shared" si="47"/>
        <v>01.110.0000</v>
      </c>
    </row>
    <row r="972" spans="1:7" hidden="1" x14ac:dyDescent="0.25">
      <c r="A972" s="6" t="s">
        <v>3047</v>
      </c>
      <c r="B972" s="28">
        <v>0</v>
      </c>
      <c r="C972" s="6" t="s">
        <v>3046</v>
      </c>
      <c r="D972" t="str">
        <f t="shared" si="45"/>
        <v>11.001.18.544.0005.1.007.4.4.90.51.00</v>
      </c>
      <c r="E972" t="str">
        <f>VLOOKUP(LEFT(A972,2),ConsolidadoLoa27_ATIVIDADES!A:I,9,0)</f>
        <v>11 - SECRETARIA DE SERVIÇOS E OBRAS</v>
      </c>
      <c r="F972" t="str">
        <f t="shared" si="46"/>
        <v>1.007</v>
      </c>
      <c r="G972" t="str">
        <f t="shared" si="47"/>
        <v>05.100.0000</v>
      </c>
    </row>
    <row r="973" spans="1:7" hidden="1" x14ac:dyDescent="0.25">
      <c r="A973" s="6" t="s">
        <v>3045</v>
      </c>
      <c r="B973" s="28">
        <v>1</v>
      </c>
      <c r="C973" s="6" t="s">
        <v>3048</v>
      </c>
      <c r="D973" t="str">
        <f t="shared" si="45"/>
        <v>11.001.18.544.0005.1.007.4.4.90.51.00</v>
      </c>
      <c r="E973" t="str">
        <f>VLOOKUP(LEFT(A973,2),ConsolidadoLoa27_ATIVIDADES!A:I,9,0)</f>
        <v>11 - SECRETARIA DE SERVIÇOS E OBRAS</v>
      </c>
      <c r="F973" t="str">
        <f t="shared" si="46"/>
        <v>1.007</v>
      </c>
      <c r="G973" t="str">
        <f t="shared" si="47"/>
        <v>01.110.0000</v>
      </c>
    </row>
    <row r="974" spans="1:7" hidden="1" x14ac:dyDescent="0.25">
      <c r="A974" s="6" t="s">
        <v>3049</v>
      </c>
      <c r="B974" s="28">
        <v>0</v>
      </c>
      <c r="C974" s="6" t="s">
        <v>3048</v>
      </c>
      <c r="D974" t="str">
        <f t="shared" si="45"/>
        <v>11.001.18.544.0005.1.007.4.4.90.51.00</v>
      </c>
      <c r="E974" t="str">
        <f>VLOOKUP(LEFT(A974,2),ConsolidadoLoa27_ATIVIDADES!A:I,9,0)</f>
        <v>11 - SECRETARIA DE SERVIÇOS E OBRAS</v>
      </c>
      <c r="F974" t="str">
        <f t="shared" si="46"/>
        <v>1.007</v>
      </c>
      <c r="G974" t="str">
        <f t="shared" si="47"/>
        <v>07.100.0000</v>
      </c>
    </row>
    <row r="975" spans="1:7" hidden="1" x14ac:dyDescent="0.25">
      <c r="A975" s="6" t="s">
        <v>3050</v>
      </c>
      <c r="B975" s="28">
        <v>1</v>
      </c>
      <c r="C975" s="6" t="s">
        <v>3051</v>
      </c>
      <c r="D975" t="str">
        <f t="shared" si="45"/>
        <v>11.001.18.544.0005.1.008.4.4.90.51.00</v>
      </c>
      <c r="E975" t="str">
        <f>VLOOKUP(LEFT(A975,2),ConsolidadoLoa27_ATIVIDADES!A:I,9,0)</f>
        <v>11 - SECRETARIA DE SERVIÇOS E OBRAS</v>
      </c>
      <c r="F975" t="str">
        <f t="shared" si="46"/>
        <v>1.008</v>
      </c>
      <c r="G975" t="str">
        <f t="shared" si="47"/>
        <v>01.110.0000</v>
      </c>
    </row>
    <row r="976" spans="1:7" hidden="1" x14ac:dyDescent="0.25">
      <c r="A976" s="6" t="s">
        <v>3050</v>
      </c>
      <c r="B976" s="28">
        <v>1</v>
      </c>
      <c r="C976" s="6" t="s">
        <v>3052</v>
      </c>
      <c r="D976" t="str">
        <f t="shared" si="45"/>
        <v>11.001.18.544.0005.1.008.4.4.90.51.00</v>
      </c>
      <c r="E976" t="str">
        <f>VLOOKUP(LEFT(A976,2),ConsolidadoLoa27_ATIVIDADES!A:I,9,0)</f>
        <v>11 - SECRETARIA DE SERVIÇOS E OBRAS</v>
      </c>
      <c r="F976" t="str">
        <f t="shared" si="46"/>
        <v>1.008</v>
      </c>
      <c r="G976" t="str">
        <f t="shared" si="47"/>
        <v>01.110.0000</v>
      </c>
    </row>
    <row r="977" spans="1:7" hidden="1" x14ac:dyDescent="0.25">
      <c r="A977" s="6" t="s">
        <v>3053</v>
      </c>
      <c r="B977" s="28">
        <v>0</v>
      </c>
      <c r="C977" s="6" t="s">
        <v>3052</v>
      </c>
      <c r="D977" t="str">
        <f t="shared" si="45"/>
        <v>11.001.18.544.0005.1.008.4.4.90.51.00</v>
      </c>
      <c r="E977" t="str">
        <f>VLOOKUP(LEFT(A977,2),ConsolidadoLoa27_ATIVIDADES!A:I,9,0)</f>
        <v>11 - SECRETARIA DE SERVIÇOS E OBRAS</v>
      </c>
      <c r="F977" t="str">
        <f t="shared" si="46"/>
        <v>1.008</v>
      </c>
      <c r="G977" t="str">
        <f t="shared" si="47"/>
        <v>02.803.0000</v>
      </c>
    </row>
    <row r="978" spans="1:7" hidden="1" x14ac:dyDescent="0.25">
      <c r="A978" s="6" t="s">
        <v>3053</v>
      </c>
      <c r="B978" s="28">
        <v>0</v>
      </c>
      <c r="C978" s="6" t="s">
        <v>3054</v>
      </c>
      <c r="D978" t="str">
        <f t="shared" si="45"/>
        <v>11.001.18.544.0005.1.008.4.4.90.51.00</v>
      </c>
      <c r="E978" t="str">
        <f>VLOOKUP(LEFT(A978,2),ConsolidadoLoa27_ATIVIDADES!A:I,9,0)</f>
        <v>11 - SECRETARIA DE SERVIÇOS E OBRAS</v>
      </c>
      <c r="F978" t="str">
        <f t="shared" si="46"/>
        <v>1.008</v>
      </c>
      <c r="G978" t="str">
        <f t="shared" si="47"/>
        <v>02.803.0000</v>
      </c>
    </row>
    <row r="979" spans="1:7" hidden="1" x14ac:dyDescent="0.25">
      <c r="A979" s="6" t="s">
        <v>3055</v>
      </c>
      <c r="B979" s="28">
        <v>1</v>
      </c>
      <c r="C979" s="6" t="s">
        <v>3056</v>
      </c>
      <c r="D979" t="str">
        <f t="shared" si="45"/>
        <v>11.001.18.544.0005.2.035.3.3.90.39.00</v>
      </c>
      <c r="E979" t="str">
        <f>VLOOKUP(LEFT(A979,2),ConsolidadoLoa27_ATIVIDADES!A:I,9,0)</f>
        <v>11 - SECRETARIA DE SERVIÇOS E OBRAS</v>
      </c>
      <c r="F979" t="str">
        <f t="shared" si="46"/>
        <v>2.035</v>
      </c>
      <c r="G979" t="str">
        <f t="shared" si="47"/>
        <v>01.110.0000</v>
      </c>
    </row>
    <row r="980" spans="1:7" hidden="1" x14ac:dyDescent="0.25">
      <c r="A980" s="6" t="s">
        <v>3055</v>
      </c>
      <c r="B980" s="28">
        <v>28176320.780000001</v>
      </c>
      <c r="C980" s="6" t="s">
        <v>3057</v>
      </c>
      <c r="D980" t="str">
        <f t="shared" si="45"/>
        <v>11.001.18.544.0005.2.035.3.3.90.39.00</v>
      </c>
      <c r="E980" t="str">
        <f>VLOOKUP(LEFT(A980,2),ConsolidadoLoa27_ATIVIDADES!A:I,9,0)</f>
        <v>11 - SECRETARIA DE SERVIÇOS E OBRAS</v>
      </c>
      <c r="F980" t="str">
        <f t="shared" si="46"/>
        <v>2.035</v>
      </c>
      <c r="G980" t="str">
        <f t="shared" si="47"/>
        <v>01.110.0000</v>
      </c>
    </row>
    <row r="981" spans="1:7" hidden="1" x14ac:dyDescent="0.25">
      <c r="A981" s="6" t="s">
        <v>3058</v>
      </c>
      <c r="B981" s="28">
        <v>5961520.4700000007</v>
      </c>
      <c r="C981" s="6" t="s">
        <v>3057</v>
      </c>
      <c r="D981" t="str">
        <f t="shared" si="45"/>
        <v>11.001.18.544.0005.2.035.3.3.90.39.00</v>
      </c>
      <c r="E981" t="str">
        <f>VLOOKUP(LEFT(A981,2),ConsolidadoLoa27_ATIVIDADES!A:I,9,0)</f>
        <v>11 - SECRETARIA DE SERVIÇOS E OBRAS</v>
      </c>
      <c r="F981" t="str">
        <f t="shared" si="46"/>
        <v>2.035</v>
      </c>
      <c r="G981" t="str">
        <f t="shared" si="47"/>
        <v>01.140.0000</v>
      </c>
    </row>
    <row r="982" spans="1:7" hidden="1" x14ac:dyDescent="0.25">
      <c r="A982" s="6" t="s">
        <v>3059</v>
      </c>
      <c r="B982" s="28">
        <v>11827394.439999998</v>
      </c>
      <c r="C982" s="6" t="s">
        <v>3037</v>
      </c>
      <c r="D982" t="str">
        <f t="shared" si="45"/>
        <v>11.008.17.452.0007.2.039.3.3.90.39.00</v>
      </c>
      <c r="E982" t="str">
        <f>VLOOKUP(LEFT(A982,2),ConsolidadoLoa27_ATIVIDADES!A:I,9,0)</f>
        <v>11 - SECRETARIA DE SERVIÇOS E OBRAS</v>
      </c>
      <c r="F982" t="str">
        <f t="shared" si="46"/>
        <v>2.039</v>
      </c>
      <c r="G982" t="str">
        <f t="shared" si="47"/>
        <v>01.110.0000</v>
      </c>
    </row>
    <row r="983" spans="1:7" hidden="1" x14ac:dyDescent="0.25">
      <c r="A983" s="6" t="s">
        <v>3060</v>
      </c>
      <c r="B983" s="28">
        <v>125782928.55</v>
      </c>
      <c r="C983" s="6" t="s">
        <v>3037</v>
      </c>
      <c r="D983" t="str">
        <f t="shared" si="45"/>
        <v>11.008.17.452.0007.2.039.3.3.90.39.00</v>
      </c>
      <c r="E983" t="str">
        <f>VLOOKUP(LEFT(A983,2),ConsolidadoLoa27_ATIVIDADES!A:I,9,0)</f>
        <v>11 - SECRETARIA DE SERVIÇOS E OBRAS</v>
      </c>
      <c r="F983" t="str">
        <f t="shared" si="46"/>
        <v>2.039</v>
      </c>
      <c r="G983" t="str">
        <f t="shared" si="47"/>
        <v>03.100.0401</v>
      </c>
    </row>
    <row r="984" spans="1:7" hidden="1" x14ac:dyDescent="0.25">
      <c r="A984" s="6" t="s">
        <v>3061</v>
      </c>
      <c r="B984" s="28">
        <v>1</v>
      </c>
      <c r="C984" s="6" t="s">
        <v>3037</v>
      </c>
      <c r="D984" t="str">
        <f t="shared" si="45"/>
        <v>11.001.17.452.0007.2.039.4.4.90.51.00</v>
      </c>
      <c r="E984" t="str">
        <f>VLOOKUP(LEFT(A984,2),ConsolidadoLoa27_ATIVIDADES!A:I,9,0)</f>
        <v>11 - SECRETARIA DE SERVIÇOS E OBRAS</v>
      </c>
      <c r="F984" t="str">
        <f t="shared" si="46"/>
        <v>2.039</v>
      </c>
      <c r="G984" t="str">
        <f t="shared" si="47"/>
        <v>01.110.0000</v>
      </c>
    </row>
    <row r="985" spans="1:7" hidden="1" x14ac:dyDescent="0.25">
      <c r="A985" s="6" t="s">
        <v>3062</v>
      </c>
      <c r="B985" s="28">
        <v>0</v>
      </c>
      <c r="C985" s="6" t="s">
        <v>3037</v>
      </c>
      <c r="D985" t="str">
        <f t="shared" si="45"/>
        <v>11.008.17.452.0007.2.039.4.4.90.51.00</v>
      </c>
      <c r="E985" t="str">
        <f>VLOOKUP(LEFT(A985,2),ConsolidadoLoa27_ATIVIDADES!A:I,9,0)</f>
        <v>11 - SECRETARIA DE SERVIÇOS E OBRAS</v>
      </c>
      <c r="F985" t="str">
        <f t="shared" si="46"/>
        <v>2.039</v>
      </c>
      <c r="G985" t="str">
        <f t="shared" si="47"/>
        <v>07.100.0000</v>
      </c>
    </row>
    <row r="986" spans="1:7" hidden="1" x14ac:dyDescent="0.25">
      <c r="A986" s="6" t="s">
        <v>3063</v>
      </c>
      <c r="B986" s="28">
        <v>731475.43919000006</v>
      </c>
      <c r="C986" s="6" t="s">
        <v>2318</v>
      </c>
      <c r="D986" t="str">
        <f t="shared" si="45"/>
        <v>11.014.04.122.0011.2.011.3.3.90.30.00</v>
      </c>
      <c r="E986" t="str">
        <f>VLOOKUP(LEFT(A986,2),ConsolidadoLoa27_ATIVIDADES!A:I,9,0)</f>
        <v>11 - SECRETARIA DE SERVIÇOS E OBRAS</v>
      </c>
      <c r="F986" t="str">
        <f t="shared" si="46"/>
        <v>2.011</v>
      </c>
      <c r="G986" t="str">
        <f t="shared" si="47"/>
        <v>03.100.1103</v>
      </c>
    </row>
    <row r="987" spans="1:7" hidden="1" x14ac:dyDescent="0.25">
      <c r="A987" s="6" t="s">
        <v>3063</v>
      </c>
      <c r="B987" s="28">
        <v>36368.5</v>
      </c>
      <c r="C987" s="6" t="s">
        <v>2288</v>
      </c>
      <c r="D987" t="str">
        <f t="shared" si="45"/>
        <v>11.014.04.122.0011.2.011.3.3.90.30.00</v>
      </c>
      <c r="E987" t="str">
        <f>VLOOKUP(LEFT(A987,2),ConsolidadoLoa27_ATIVIDADES!A:I,9,0)</f>
        <v>11 - SECRETARIA DE SERVIÇOS E OBRAS</v>
      </c>
      <c r="F987" t="str">
        <f t="shared" si="46"/>
        <v>2.011</v>
      </c>
      <c r="G987" t="str">
        <f t="shared" si="47"/>
        <v>03.100.1103</v>
      </c>
    </row>
    <row r="988" spans="1:7" hidden="1" x14ac:dyDescent="0.25">
      <c r="A988" s="6" t="s">
        <v>3063</v>
      </c>
      <c r="B988" s="28">
        <v>48275.650809999999</v>
      </c>
      <c r="C988" s="6" t="s">
        <v>2323</v>
      </c>
      <c r="D988" t="str">
        <f t="shared" si="45"/>
        <v>11.014.04.122.0011.2.011.3.3.90.30.00</v>
      </c>
      <c r="E988" t="str">
        <f>VLOOKUP(LEFT(A988,2),ConsolidadoLoa27_ATIVIDADES!A:I,9,0)</f>
        <v>11 - SECRETARIA DE SERVIÇOS E OBRAS</v>
      </c>
      <c r="F988" t="str">
        <f t="shared" si="46"/>
        <v>2.011</v>
      </c>
      <c r="G988" t="str">
        <f t="shared" si="47"/>
        <v>03.100.1103</v>
      </c>
    </row>
    <row r="989" spans="1:7" hidden="1" x14ac:dyDescent="0.25">
      <c r="A989" s="6" t="s">
        <v>3063</v>
      </c>
      <c r="B989" s="28">
        <v>10391</v>
      </c>
      <c r="C989" s="6" t="s">
        <v>2295</v>
      </c>
      <c r="D989" t="str">
        <f t="shared" si="45"/>
        <v>11.014.04.122.0011.2.011.3.3.90.30.00</v>
      </c>
      <c r="E989" t="str">
        <f>VLOOKUP(LEFT(A989,2),ConsolidadoLoa27_ATIVIDADES!A:I,9,0)</f>
        <v>11 - SECRETARIA DE SERVIÇOS E OBRAS</v>
      </c>
      <c r="F989" t="str">
        <f t="shared" si="46"/>
        <v>2.011</v>
      </c>
      <c r="G989" t="str">
        <f t="shared" si="47"/>
        <v>03.100.1103</v>
      </c>
    </row>
    <row r="990" spans="1:7" hidden="1" x14ac:dyDescent="0.25">
      <c r="A990" s="6" t="s">
        <v>2992</v>
      </c>
      <c r="B990" s="28">
        <v>14192016.359999999</v>
      </c>
      <c r="C990" s="6" t="s">
        <v>3064</v>
      </c>
      <c r="D990" t="str">
        <f t="shared" si="45"/>
        <v>11.001.04.122.0011.2.011.3.3.90.39.00</v>
      </c>
      <c r="E990" t="str">
        <f>VLOOKUP(LEFT(A990,2),ConsolidadoLoa27_ATIVIDADES!A:I,9,0)</f>
        <v>11 - SECRETARIA DE SERVIÇOS E OBRAS</v>
      </c>
      <c r="F990" t="str">
        <f t="shared" si="46"/>
        <v>2.011</v>
      </c>
      <c r="G990" t="str">
        <f t="shared" si="47"/>
        <v>01.110.0000</v>
      </c>
    </row>
    <row r="991" spans="1:7" hidden="1" x14ac:dyDescent="0.25">
      <c r="A991" s="6" t="s">
        <v>3065</v>
      </c>
      <c r="B991" s="28">
        <v>0</v>
      </c>
      <c r="C991" s="6" t="s">
        <v>3064</v>
      </c>
      <c r="D991" t="str">
        <f t="shared" si="45"/>
        <v>11.014.04.122.0011.2.011.3.3.90.39.00</v>
      </c>
      <c r="E991" t="str">
        <f>VLOOKUP(LEFT(A991,2),ConsolidadoLoa27_ATIVIDADES!A:I,9,0)</f>
        <v>11 - SECRETARIA DE SERVIÇOS E OBRAS</v>
      </c>
      <c r="F991" t="str">
        <f t="shared" si="46"/>
        <v>2.011</v>
      </c>
      <c r="G991" t="str">
        <f t="shared" si="47"/>
        <v>03.100.1102</v>
      </c>
    </row>
    <row r="992" spans="1:7" hidden="1" x14ac:dyDescent="0.25">
      <c r="A992" s="6" t="s">
        <v>3066</v>
      </c>
      <c r="B992" s="28">
        <v>0</v>
      </c>
      <c r="C992" s="6" t="s">
        <v>3064</v>
      </c>
      <c r="D992" t="str">
        <f t="shared" si="45"/>
        <v>11.014.04.122.0011.2.011.3.3.90.39.00</v>
      </c>
      <c r="E992" t="str">
        <f>VLOOKUP(LEFT(A992,2),ConsolidadoLoa27_ATIVIDADES!A:I,9,0)</f>
        <v>11 - SECRETARIA DE SERVIÇOS E OBRAS</v>
      </c>
      <c r="F992" t="str">
        <f t="shared" si="46"/>
        <v>2.011</v>
      </c>
      <c r="G992" t="str">
        <f t="shared" si="47"/>
        <v>03.100.1103</v>
      </c>
    </row>
    <row r="993" spans="1:7" hidden="1" x14ac:dyDescent="0.25">
      <c r="A993" s="6" t="s">
        <v>3066</v>
      </c>
      <c r="B993" s="28">
        <v>216700</v>
      </c>
      <c r="C993" s="6" t="s">
        <v>3067</v>
      </c>
      <c r="D993" t="str">
        <f t="shared" si="45"/>
        <v>11.014.04.122.0011.2.011.3.3.90.39.00</v>
      </c>
      <c r="E993" t="str">
        <f>VLOOKUP(LEFT(A993,2),ConsolidadoLoa27_ATIVIDADES!A:I,9,0)</f>
        <v>11 - SECRETARIA DE SERVIÇOS E OBRAS</v>
      </c>
      <c r="F993" t="str">
        <f t="shared" si="46"/>
        <v>2.011</v>
      </c>
      <c r="G993" t="str">
        <f t="shared" si="47"/>
        <v>03.100.1103</v>
      </c>
    </row>
    <row r="994" spans="1:7" hidden="1" x14ac:dyDescent="0.25">
      <c r="A994" s="6" t="s">
        <v>3066</v>
      </c>
      <c r="B994" s="28">
        <v>83128</v>
      </c>
      <c r="C994" s="6" t="s">
        <v>100</v>
      </c>
      <c r="D994" t="str">
        <f t="shared" si="45"/>
        <v>11.014.04.122.0011.2.011.3.3.90.39.00</v>
      </c>
      <c r="E994" t="str">
        <f>VLOOKUP(LEFT(A994,2),ConsolidadoLoa27_ATIVIDADES!A:I,9,0)</f>
        <v>11 - SECRETARIA DE SERVIÇOS E OBRAS</v>
      </c>
      <c r="F994" t="str">
        <f t="shared" si="46"/>
        <v>2.011</v>
      </c>
      <c r="G994" t="str">
        <f t="shared" si="47"/>
        <v>03.100.1103</v>
      </c>
    </row>
    <row r="995" spans="1:7" hidden="1" x14ac:dyDescent="0.25">
      <c r="A995" s="6" t="s">
        <v>3068</v>
      </c>
      <c r="B995" s="28">
        <v>187038</v>
      </c>
      <c r="C995" s="6" t="s">
        <v>3069</v>
      </c>
      <c r="D995" t="str">
        <f t="shared" si="45"/>
        <v>11.014.04.122.0011.2.011.4.4.90.52.00</v>
      </c>
      <c r="E995" t="str">
        <f>VLOOKUP(LEFT(A995,2),ConsolidadoLoa27_ATIVIDADES!A:I,9,0)</f>
        <v>11 - SECRETARIA DE SERVIÇOS E OBRAS</v>
      </c>
      <c r="F995" t="str">
        <f t="shared" si="46"/>
        <v>2.011</v>
      </c>
      <c r="G995" t="str">
        <f t="shared" si="47"/>
        <v>03.100.1103</v>
      </c>
    </row>
    <row r="996" spans="1:7" hidden="1" x14ac:dyDescent="0.25">
      <c r="A996" s="6" t="s">
        <v>3070</v>
      </c>
      <c r="B996" s="28">
        <v>1</v>
      </c>
      <c r="C996" s="6" t="s">
        <v>3071</v>
      </c>
      <c r="D996" t="str">
        <f t="shared" si="45"/>
        <v>11.014.04.122.0011.2.011.4.5.90.62.00</v>
      </c>
      <c r="E996" t="str">
        <f>VLOOKUP(LEFT(A996,2),ConsolidadoLoa27_ATIVIDADES!A:I,9,0)</f>
        <v>11 - SECRETARIA DE SERVIÇOS E OBRAS</v>
      </c>
      <c r="F996" t="str">
        <f t="shared" si="46"/>
        <v>2.011</v>
      </c>
      <c r="G996" t="str">
        <f t="shared" si="47"/>
        <v>01.110.0000</v>
      </c>
    </row>
    <row r="997" spans="1:7" hidden="1" x14ac:dyDescent="0.25">
      <c r="A997" s="6" t="s">
        <v>3072</v>
      </c>
      <c r="B997" s="28">
        <v>115500</v>
      </c>
      <c r="C997" s="6" t="s">
        <v>3073</v>
      </c>
      <c r="D997" t="str">
        <f t="shared" si="45"/>
        <v>11.014.04.122.0011.2.011.4.5.90.62.00</v>
      </c>
      <c r="E997" t="str">
        <f>VLOOKUP(LEFT(A997,2),ConsolidadoLoa27_ATIVIDADES!A:I,9,0)</f>
        <v>11 - SECRETARIA DE SERVIÇOS E OBRAS</v>
      </c>
      <c r="F997" t="str">
        <f t="shared" si="46"/>
        <v>2.011</v>
      </c>
      <c r="G997" t="str">
        <f t="shared" si="47"/>
        <v>03.100.1103</v>
      </c>
    </row>
    <row r="998" spans="1:7" hidden="1" x14ac:dyDescent="0.25">
      <c r="A998" s="6" t="s">
        <v>3072</v>
      </c>
      <c r="B998" s="28">
        <v>1084500</v>
      </c>
      <c r="C998" s="6" t="s">
        <v>3071</v>
      </c>
      <c r="D998" t="str">
        <f t="shared" si="45"/>
        <v>11.014.04.122.0011.2.011.4.5.90.62.00</v>
      </c>
      <c r="E998" t="str">
        <f>VLOOKUP(LEFT(A998,2),ConsolidadoLoa27_ATIVIDADES!A:I,9,0)</f>
        <v>11 - SECRETARIA DE SERVIÇOS E OBRAS</v>
      </c>
      <c r="F998" t="str">
        <f t="shared" si="46"/>
        <v>2.011</v>
      </c>
      <c r="G998" t="str">
        <f t="shared" si="47"/>
        <v>03.100.1103</v>
      </c>
    </row>
    <row r="999" spans="1:7" hidden="1" x14ac:dyDescent="0.25">
      <c r="A999" s="6" t="s">
        <v>3074</v>
      </c>
      <c r="B999" s="28">
        <v>0</v>
      </c>
      <c r="C999" s="6" t="s">
        <v>2984</v>
      </c>
      <c r="D999" t="str">
        <f t="shared" si="45"/>
        <v>11.014.18.543.0007.2.037.3.3.90.39.00</v>
      </c>
      <c r="E999" t="str">
        <f>VLOOKUP(LEFT(A999,2),ConsolidadoLoa27_ATIVIDADES!A:I,9,0)</f>
        <v>11 - SECRETARIA DE SERVIÇOS E OBRAS</v>
      </c>
      <c r="F999" t="str">
        <f t="shared" si="46"/>
        <v>2.037</v>
      </c>
      <c r="G999" t="str">
        <f t="shared" si="47"/>
        <v>03.100.1111</v>
      </c>
    </row>
    <row r="1000" spans="1:7" hidden="1" x14ac:dyDescent="0.25">
      <c r="A1000" s="6" t="s">
        <v>3075</v>
      </c>
      <c r="B1000" s="28">
        <v>1</v>
      </c>
      <c r="C1000" s="6" t="s">
        <v>2271</v>
      </c>
      <c r="D1000" t="str">
        <f t="shared" si="45"/>
        <v>12.001.04.121.0004.1.001.3.3.90.35.00</v>
      </c>
      <c r="E1000" t="str">
        <f>VLOOKUP(LEFT(A1000,2),ConsolidadoLoa27_ATIVIDADES!A:I,9,0)</f>
        <v>12 - SECRETARIA DE ESPORTE, RECREAÇÃO E LAZER</v>
      </c>
      <c r="F1000" t="str">
        <f t="shared" si="46"/>
        <v>1.001</v>
      </c>
      <c r="G1000" t="str">
        <f t="shared" si="47"/>
        <v>01.110.0000</v>
      </c>
    </row>
    <row r="1001" spans="1:7" hidden="1" x14ac:dyDescent="0.25">
      <c r="A1001" s="6" t="s">
        <v>3076</v>
      </c>
      <c r="B1001" s="28">
        <v>14586441.27</v>
      </c>
      <c r="C1001" s="6" t="s">
        <v>847</v>
      </c>
      <c r="D1001" t="str">
        <f t="shared" si="45"/>
        <v>12.001.04.122.0001.2.001.3.1.90.11.00</v>
      </c>
      <c r="E1001" t="str">
        <f>VLOOKUP(LEFT(A1001,2),ConsolidadoLoa27_ATIVIDADES!A:I,9,0)</f>
        <v>12 - SECRETARIA DE ESPORTE, RECREAÇÃO E LAZER</v>
      </c>
      <c r="F1001" t="str">
        <f t="shared" si="46"/>
        <v>2.001</v>
      </c>
      <c r="G1001" t="str">
        <f t="shared" si="47"/>
        <v>01.110.0000</v>
      </c>
    </row>
    <row r="1002" spans="1:7" hidden="1" x14ac:dyDescent="0.25">
      <c r="A1002" s="6" t="s">
        <v>3077</v>
      </c>
      <c r="B1002" s="28">
        <v>1228912.97</v>
      </c>
      <c r="C1002" s="6" t="s">
        <v>847</v>
      </c>
      <c r="D1002" t="str">
        <f t="shared" si="45"/>
        <v>12.001.04.122.0001.2.001.3.1.90.13.00</v>
      </c>
      <c r="E1002" t="str">
        <f>VLOOKUP(LEFT(A1002,2),ConsolidadoLoa27_ATIVIDADES!A:I,9,0)</f>
        <v>12 - SECRETARIA DE ESPORTE, RECREAÇÃO E LAZER</v>
      </c>
      <c r="F1002" t="str">
        <f t="shared" si="46"/>
        <v>2.001</v>
      </c>
      <c r="G1002" t="str">
        <f t="shared" si="47"/>
        <v>01.110.0000</v>
      </c>
    </row>
    <row r="1003" spans="1:7" hidden="1" x14ac:dyDescent="0.25">
      <c r="A1003" s="6" t="s">
        <v>3078</v>
      </c>
      <c r="B1003" s="28">
        <v>1986891.85</v>
      </c>
      <c r="C1003" s="12" t="s">
        <v>847</v>
      </c>
      <c r="D1003" t="str">
        <f t="shared" si="45"/>
        <v>12.001.04.122.0001.2.001.3.1.91.13.00</v>
      </c>
      <c r="E1003" t="str">
        <f>VLOOKUP(LEFT(A1003,2),ConsolidadoLoa27_ATIVIDADES!A:I,9,0)</f>
        <v>12 - SECRETARIA DE ESPORTE, RECREAÇÃO E LAZER</v>
      </c>
      <c r="F1003" t="str">
        <f t="shared" si="46"/>
        <v>2.001</v>
      </c>
      <c r="G1003" t="str">
        <f t="shared" si="47"/>
        <v>01.110.0000</v>
      </c>
    </row>
    <row r="1004" spans="1:7" hidden="1" x14ac:dyDescent="0.25">
      <c r="A1004" s="6" t="s">
        <v>3079</v>
      </c>
      <c r="B1004" s="28">
        <v>2.11</v>
      </c>
      <c r="C1004" s="6" t="s">
        <v>2278</v>
      </c>
      <c r="D1004" t="str">
        <f t="shared" si="45"/>
        <v>12.001.04.122.0001.2.001.3.3.90.46.00</v>
      </c>
      <c r="E1004" t="str">
        <f>VLOOKUP(LEFT(A1004,2),ConsolidadoLoa27_ATIVIDADES!A:I,9,0)</f>
        <v>12 - SECRETARIA DE ESPORTE, RECREAÇÃO E LAZER</v>
      </c>
      <c r="F1004" t="str">
        <f t="shared" si="46"/>
        <v>2.001</v>
      </c>
      <c r="G1004" t="str">
        <f t="shared" si="47"/>
        <v>01.110.0000</v>
      </c>
    </row>
    <row r="1005" spans="1:7" hidden="1" x14ac:dyDescent="0.25">
      <c r="A1005" s="6" t="s">
        <v>3080</v>
      </c>
      <c r="B1005" s="28">
        <v>160614.35999999999</v>
      </c>
      <c r="C1005" s="6" t="s">
        <v>2280</v>
      </c>
      <c r="D1005" t="str">
        <f t="shared" si="45"/>
        <v>12.001.04.122.0001.2.001.3.3.90.49.00</v>
      </c>
      <c r="E1005" t="str">
        <f>VLOOKUP(LEFT(A1005,2),ConsolidadoLoa27_ATIVIDADES!A:I,9,0)</f>
        <v>12 - SECRETARIA DE ESPORTE, RECREAÇÃO E LAZER</v>
      </c>
      <c r="F1005" t="str">
        <f t="shared" si="46"/>
        <v>2.001</v>
      </c>
      <c r="G1005" t="str">
        <f t="shared" si="47"/>
        <v>01.110.0000</v>
      </c>
    </row>
    <row r="1006" spans="1:7" hidden="1" x14ac:dyDescent="0.25">
      <c r="A1006" s="6" t="s">
        <v>3081</v>
      </c>
      <c r="B1006" s="28">
        <v>1</v>
      </c>
      <c r="C1006" s="6" t="s">
        <v>2282</v>
      </c>
      <c r="D1006" t="str">
        <f t="shared" si="45"/>
        <v>12.001.04.122.0001.2.006.3.3.90.33.00</v>
      </c>
      <c r="E1006" t="str">
        <f>VLOOKUP(LEFT(A1006,2),ConsolidadoLoa27_ATIVIDADES!A:I,9,0)</f>
        <v>12 - SECRETARIA DE ESPORTE, RECREAÇÃO E LAZER</v>
      </c>
      <c r="F1006" t="str">
        <f t="shared" si="46"/>
        <v>2.006</v>
      </c>
      <c r="G1006" t="str">
        <f t="shared" si="47"/>
        <v>01.110.0000</v>
      </c>
    </row>
    <row r="1007" spans="1:7" hidden="1" x14ac:dyDescent="0.25">
      <c r="A1007" s="6" t="s">
        <v>3082</v>
      </c>
      <c r="B1007" s="28">
        <v>1</v>
      </c>
      <c r="C1007" s="14" t="s">
        <v>421</v>
      </c>
      <c r="D1007" t="str">
        <f t="shared" si="45"/>
        <v>12.001.04.122.0001.2.006.3.3.90.39.00</v>
      </c>
      <c r="E1007" t="str">
        <f>VLOOKUP(LEFT(A1007,2),ConsolidadoLoa27_ATIVIDADES!A:I,9,0)</f>
        <v>12 - SECRETARIA DE ESPORTE, RECREAÇÃO E LAZER</v>
      </c>
      <c r="F1007" t="str">
        <f t="shared" si="46"/>
        <v>2.006</v>
      </c>
      <c r="G1007" t="str">
        <f t="shared" si="47"/>
        <v>01.110.0000</v>
      </c>
    </row>
    <row r="1008" spans="1:7" hidden="1" x14ac:dyDescent="0.25">
      <c r="A1008" s="6" t="s">
        <v>3083</v>
      </c>
      <c r="B1008" s="28">
        <v>1</v>
      </c>
      <c r="C1008" s="6" t="s">
        <v>2288</v>
      </c>
      <c r="D1008" t="str">
        <f t="shared" si="45"/>
        <v>12.001.04.128.0002.2.003.3.3.90.30.00</v>
      </c>
      <c r="E1008" t="str">
        <f>VLOOKUP(LEFT(A1008,2),ConsolidadoLoa27_ATIVIDADES!A:I,9,0)</f>
        <v>12 - SECRETARIA DE ESPORTE, RECREAÇÃO E LAZER</v>
      </c>
      <c r="F1008" t="str">
        <f t="shared" si="46"/>
        <v>2.003</v>
      </c>
      <c r="G1008" t="str">
        <f t="shared" si="47"/>
        <v>01.110.0000</v>
      </c>
    </row>
    <row r="1009" spans="1:7" hidden="1" x14ac:dyDescent="0.25">
      <c r="A1009" s="6" t="s">
        <v>3084</v>
      </c>
      <c r="B1009" s="28">
        <v>1</v>
      </c>
      <c r="C1009" s="6" t="s">
        <v>318</v>
      </c>
      <c r="D1009" t="str">
        <f t="shared" si="45"/>
        <v>12.001.04.128.0002.2.003.3.3.90.36.00</v>
      </c>
      <c r="E1009" t="str">
        <f>VLOOKUP(LEFT(A1009,2),ConsolidadoLoa27_ATIVIDADES!A:I,9,0)</f>
        <v>12 - SECRETARIA DE ESPORTE, RECREAÇÃO E LAZER</v>
      </c>
      <c r="F1009" t="str">
        <f t="shared" si="46"/>
        <v>2.003</v>
      </c>
      <c r="G1009" t="str">
        <f t="shared" si="47"/>
        <v>01.110.0000</v>
      </c>
    </row>
    <row r="1010" spans="1:7" hidden="1" x14ac:dyDescent="0.25">
      <c r="A1010" s="6" t="s">
        <v>3085</v>
      </c>
      <c r="B1010" s="28">
        <v>1</v>
      </c>
      <c r="C1010" s="6" t="s">
        <v>318</v>
      </c>
      <c r="D1010" t="str">
        <f t="shared" si="45"/>
        <v>12.001.04.128.0002.2.003.3.3.90.39.00</v>
      </c>
      <c r="E1010" t="str">
        <f>VLOOKUP(LEFT(A1010,2),ConsolidadoLoa27_ATIVIDADES!A:I,9,0)</f>
        <v>12 - SECRETARIA DE ESPORTE, RECREAÇÃO E LAZER</v>
      </c>
      <c r="F1010" t="str">
        <f t="shared" si="46"/>
        <v>2.003</v>
      </c>
      <c r="G1010" t="str">
        <f t="shared" si="47"/>
        <v>01.110.0000</v>
      </c>
    </row>
    <row r="1011" spans="1:7" hidden="1" x14ac:dyDescent="0.25">
      <c r="A1011" s="6" t="s">
        <v>3086</v>
      </c>
      <c r="B1011" s="28">
        <v>140954.9541</v>
      </c>
      <c r="C1011" s="6" t="s">
        <v>245</v>
      </c>
      <c r="D1011" t="str">
        <f t="shared" si="45"/>
        <v>12.001.04.131.0002.2.005.3.3.90.30.00</v>
      </c>
      <c r="E1011" t="str">
        <f>VLOOKUP(LEFT(A1011,2),ConsolidadoLoa27_ATIVIDADES!A:I,9,0)</f>
        <v>12 - SECRETARIA DE ESPORTE, RECREAÇÃO E LAZER</v>
      </c>
      <c r="F1011" t="str">
        <f t="shared" si="46"/>
        <v>2.005</v>
      </c>
      <c r="G1011" t="str">
        <f t="shared" si="47"/>
        <v>01.110.0000</v>
      </c>
    </row>
    <row r="1012" spans="1:7" hidden="1" x14ac:dyDescent="0.25">
      <c r="A1012" s="6" t="s">
        <v>3087</v>
      </c>
      <c r="B1012" s="28">
        <v>9118.17</v>
      </c>
      <c r="C1012" s="6" t="s">
        <v>198</v>
      </c>
      <c r="D1012" t="str">
        <f t="shared" si="45"/>
        <v>12.001.04.131.0002.2.005.3.3.90.39.00</v>
      </c>
      <c r="E1012" t="str">
        <f>VLOOKUP(LEFT(A1012,2),ConsolidadoLoa27_ATIVIDADES!A:I,9,0)</f>
        <v>12 - SECRETARIA DE ESPORTE, RECREAÇÃO E LAZER</v>
      </c>
      <c r="F1012" t="str">
        <f t="shared" si="46"/>
        <v>2.005</v>
      </c>
      <c r="G1012" t="str">
        <f t="shared" si="47"/>
        <v>01.110.0000</v>
      </c>
    </row>
    <row r="1013" spans="1:7" hidden="1" x14ac:dyDescent="0.25">
      <c r="A1013" s="6" t="s">
        <v>3087</v>
      </c>
      <c r="B1013" s="28">
        <v>74893.132500000007</v>
      </c>
      <c r="C1013" s="6" t="s">
        <v>2293</v>
      </c>
      <c r="D1013" t="str">
        <f t="shared" si="45"/>
        <v>12.001.04.131.0002.2.005.3.3.90.39.00</v>
      </c>
      <c r="E1013" t="str">
        <f>VLOOKUP(LEFT(A1013,2),ConsolidadoLoa27_ATIVIDADES!A:I,9,0)</f>
        <v>12 - SECRETARIA DE ESPORTE, RECREAÇÃO E LAZER</v>
      </c>
      <c r="F1013" t="str">
        <f t="shared" si="46"/>
        <v>2.005</v>
      </c>
      <c r="G1013" t="str">
        <f t="shared" si="47"/>
        <v>01.110.0000</v>
      </c>
    </row>
    <row r="1014" spans="1:7" hidden="1" x14ac:dyDescent="0.25">
      <c r="A1014" s="6" t="s">
        <v>3087</v>
      </c>
      <c r="B1014" s="28">
        <v>1</v>
      </c>
      <c r="C1014" s="6" t="s">
        <v>196</v>
      </c>
      <c r="D1014" t="str">
        <f t="shared" si="45"/>
        <v>12.001.04.131.0002.2.005.3.3.90.39.00</v>
      </c>
      <c r="E1014" t="str">
        <f>VLOOKUP(LEFT(A1014,2),ConsolidadoLoa27_ATIVIDADES!A:I,9,0)</f>
        <v>12 - SECRETARIA DE ESPORTE, RECREAÇÃO E LAZER</v>
      </c>
      <c r="F1014" t="str">
        <f t="shared" si="46"/>
        <v>2.005</v>
      </c>
      <c r="G1014" t="str">
        <f t="shared" si="47"/>
        <v>01.110.0000</v>
      </c>
    </row>
    <row r="1015" spans="1:7" hidden="1" x14ac:dyDescent="0.25">
      <c r="A1015" s="6" t="s">
        <v>3088</v>
      </c>
      <c r="B1015" s="28">
        <v>2197.589899999999</v>
      </c>
      <c r="C1015" s="6" t="s">
        <v>198</v>
      </c>
      <c r="D1015" t="str">
        <f t="shared" si="45"/>
        <v>12.001.04.131.0002.2.005.3.3.90.39.00</v>
      </c>
      <c r="E1015" t="str">
        <f>VLOOKUP(LEFT(A1015,2),ConsolidadoLoa27_ATIVIDADES!A:I,9,0)</f>
        <v>12 - SECRETARIA DE ESPORTE, RECREAÇÃO E LAZER</v>
      </c>
      <c r="F1015" t="str">
        <f t="shared" si="46"/>
        <v>2.005</v>
      </c>
      <c r="G1015" t="str">
        <f t="shared" si="47"/>
        <v>03.100.1201</v>
      </c>
    </row>
    <row r="1016" spans="1:7" hidden="1" x14ac:dyDescent="0.25">
      <c r="A1016" s="6" t="s">
        <v>3089</v>
      </c>
      <c r="B1016" s="28">
        <v>0</v>
      </c>
      <c r="C1016" s="6" t="s">
        <v>3090</v>
      </c>
      <c r="D1016" t="str">
        <f t="shared" si="45"/>
        <v>12.001.27.811.0010.2.030.3.3.50.39.00</v>
      </c>
      <c r="E1016" t="str">
        <f>VLOOKUP(LEFT(A1016,2),ConsolidadoLoa27_ATIVIDADES!A:I,9,0)</f>
        <v>12 - SECRETARIA DE ESPORTE, RECREAÇÃO E LAZER</v>
      </c>
      <c r="F1016" t="str">
        <f t="shared" si="46"/>
        <v>2.030</v>
      </c>
      <c r="G1016" t="str">
        <f t="shared" si="47"/>
        <v>08.110.0000</v>
      </c>
    </row>
    <row r="1017" spans="1:7" hidden="1" x14ac:dyDescent="0.25">
      <c r="A1017" s="6" t="s">
        <v>3089</v>
      </c>
      <c r="B1017" s="28">
        <v>0</v>
      </c>
      <c r="C1017" s="6" t="s">
        <v>3091</v>
      </c>
      <c r="D1017" t="str">
        <f t="shared" si="45"/>
        <v>12.001.27.811.0010.2.030.3.3.50.39.00</v>
      </c>
      <c r="E1017" t="str">
        <f>VLOOKUP(LEFT(A1017,2),ConsolidadoLoa27_ATIVIDADES!A:I,9,0)</f>
        <v>12 - SECRETARIA DE ESPORTE, RECREAÇÃO E LAZER</v>
      </c>
      <c r="F1017" t="str">
        <f t="shared" si="46"/>
        <v>2.030</v>
      </c>
      <c r="G1017" t="str">
        <f t="shared" si="47"/>
        <v>08.110.0000</v>
      </c>
    </row>
    <row r="1018" spans="1:7" hidden="1" x14ac:dyDescent="0.25">
      <c r="A1018" s="6" t="s">
        <v>3089</v>
      </c>
      <c r="B1018" s="28">
        <v>0</v>
      </c>
      <c r="C1018" s="6" t="s">
        <v>3092</v>
      </c>
      <c r="D1018" t="str">
        <f t="shared" si="45"/>
        <v>12.001.27.811.0010.2.030.3.3.50.39.00</v>
      </c>
      <c r="E1018" t="str">
        <f>VLOOKUP(LEFT(A1018,2),ConsolidadoLoa27_ATIVIDADES!A:I,9,0)</f>
        <v>12 - SECRETARIA DE ESPORTE, RECREAÇÃO E LAZER</v>
      </c>
      <c r="F1018" t="str">
        <f t="shared" si="46"/>
        <v>2.030</v>
      </c>
      <c r="G1018" t="str">
        <f t="shared" si="47"/>
        <v>08.110.0000</v>
      </c>
    </row>
    <row r="1019" spans="1:7" hidden="1" x14ac:dyDescent="0.25">
      <c r="A1019" s="6" t="s">
        <v>3089</v>
      </c>
      <c r="B1019" s="28">
        <v>0</v>
      </c>
      <c r="C1019" s="6" t="s">
        <v>3093</v>
      </c>
      <c r="D1019" t="str">
        <f t="shared" si="45"/>
        <v>12.001.27.811.0010.2.030.3.3.50.39.00</v>
      </c>
      <c r="E1019" t="str">
        <f>VLOOKUP(LEFT(A1019,2),ConsolidadoLoa27_ATIVIDADES!A:I,9,0)</f>
        <v>12 - SECRETARIA DE ESPORTE, RECREAÇÃO E LAZER</v>
      </c>
      <c r="F1019" t="str">
        <f t="shared" si="46"/>
        <v>2.030</v>
      </c>
      <c r="G1019" t="str">
        <f t="shared" si="47"/>
        <v>08.110.0000</v>
      </c>
    </row>
    <row r="1020" spans="1:7" hidden="1" x14ac:dyDescent="0.25">
      <c r="A1020" s="6" t="s">
        <v>3094</v>
      </c>
      <c r="B1020" s="28">
        <v>762136.20779999997</v>
      </c>
      <c r="C1020" s="6" t="s">
        <v>2956</v>
      </c>
      <c r="D1020" t="str">
        <f t="shared" si="45"/>
        <v>12.001.27.811.0010.2.030.3.3.90.30.00</v>
      </c>
      <c r="E1020" t="str">
        <f>VLOOKUP(LEFT(A1020,2),ConsolidadoLoa27_ATIVIDADES!A:I,9,0)</f>
        <v>12 - SECRETARIA DE ESPORTE, RECREAÇÃO E LAZER</v>
      </c>
      <c r="F1020" t="str">
        <f t="shared" si="46"/>
        <v>2.030</v>
      </c>
      <c r="G1020" t="str">
        <f t="shared" si="47"/>
        <v>01.110.0000</v>
      </c>
    </row>
    <row r="1021" spans="1:7" hidden="1" x14ac:dyDescent="0.25">
      <c r="A1021" s="6" t="s">
        <v>3095</v>
      </c>
      <c r="B1021" s="28">
        <v>1154.4401</v>
      </c>
      <c r="C1021" s="6" t="s">
        <v>2956</v>
      </c>
      <c r="D1021" t="str">
        <f t="shared" si="45"/>
        <v>12.001.27.811.0010.2.030.3.3.90.30.00</v>
      </c>
      <c r="E1021" t="str">
        <f>VLOOKUP(LEFT(A1021,2),ConsolidadoLoa27_ATIVIDADES!A:I,9,0)</f>
        <v>12 - SECRETARIA DE ESPORTE, RECREAÇÃO E LAZER</v>
      </c>
      <c r="F1021" t="str">
        <f t="shared" si="46"/>
        <v>2.030</v>
      </c>
      <c r="G1021" t="str">
        <f t="shared" si="47"/>
        <v>03.100.1201</v>
      </c>
    </row>
    <row r="1022" spans="1:7" hidden="1" x14ac:dyDescent="0.25">
      <c r="A1022" s="6" t="s">
        <v>3096</v>
      </c>
      <c r="B1022" s="28">
        <v>0</v>
      </c>
      <c r="C1022" s="6" t="s">
        <v>3097</v>
      </c>
      <c r="D1022" t="str">
        <f t="shared" si="45"/>
        <v>12.001.27.811.0010.2.030.3.3.90.30.00</v>
      </c>
      <c r="E1022" t="str">
        <f>VLOOKUP(LEFT(A1022,2),ConsolidadoLoa27_ATIVIDADES!A:I,9,0)</f>
        <v>12 - SECRETARIA DE ESPORTE, RECREAÇÃO E LAZER</v>
      </c>
      <c r="F1022" t="str">
        <f t="shared" si="46"/>
        <v>2.030</v>
      </c>
      <c r="G1022" t="str">
        <f t="shared" si="47"/>
        <v>08.110.0000</v>
      </c>
    </row>
    <row r="1023" spans="1:7" hidden="1" x14ac:dyDescent="0.25">
      <c r="A1023" s="6" t="s">
        <v>3096</v>
      </c>
      <c r="B1023" s="28">
        <v>0</v>
      </c>
      <c r="C1023" s="6" t="s">
        <v>3098</v>
      </c>
      <c r="D1023" t="str">
        <f t="shared" si="45"/>
        <v>12.001.27.811.0010.2.030.3.3.90.30.00</v>
      </c>
      <c r="E1023" t="str">
        <f>VLOOKUP(LEFT(A1023,2),ConsolidadoLoa27_ATIVIDADES!A:I,9,0)</f>
        <v>12 - SECRETARIA DE ESPORTE, RECREAÇÃO E LAZER</v>
      </c>
      <c r="F1023" t="str">
        <f t="shared" si="46"/>
        <v>2.030</v>
      </c>
      <c r="G1023" t="str">
        <f t="shared" si="47"/>
        <v>08.110.0000</v>
      </c>
    </row>
    <row r="1024" spans="1:7" hidden="1" x14ac:dyDescent="0.25">
      <c r="A1024" s="6" t="s">
        <v>3096</v>
      </c>
      <c r="B1024" s="28">
        <v>0</v>
      </c>
      <c r="C1024" s="6" t="s">
        <v>3099</v>
      </c>
      <c r="D1024" t="str">
        <f t="shared" si="45"/>
        <v>12.001.27.811.0010.2.030.3.3.90.30.00</v>
      </c>
      <c r="E1024" t="str">
        <f>VLOOKUP(LEFT(A1024,2),ConsolidadoLoa27_ATIVIDADES!A:I,9,0)</f>
        <v>12 - SECRETARIA DE ESPORTE, RECREAÇÃO E LAZER</v>
      </c>
      <c r="F1024" t="str">
        <f t="shared" si="46"/>
        <v>2.030</v>
      </c>
      <c r="G1024" t="str">
        <f t="shared" si="47"/>
        <v>08.110.0000</v>
      </c>
    </row>
    <row r="1025" spans="1:7" hidden="1" x14ac:dyDescent="0.25">
      <c r="A1025" s="6" t="s">
        <v>3096</v>
      </c>
      <c r="B1025" s="28">
        <v>0</v>
      </c>
      <c r="C1025" s="6" t="s">
        <v>3100</v>
      </c>
      <c r="D1025" t="str">
        <f t="shared" si="45"/>
        <v>12.001.27.811.0010.2.030.3.3.90.30.00</v>
      </c>
      <c r="E1025" t="str">
        <f>VLOOKUP(LEFT(A1025,2),ConsolidadoLoa27_ATIVIDADES!A:I,9,0)</f>
        <v>12 - SECRETARIA DE ESPORTE, RECREAÇÃO E LAZER</v>
      </c>
      <c r="F1025" t="str">
        <f t="shared" si="46"/>
        <v>2.030</v>
      </c>
      <c r="G1025" t="str">
        <f t="shared" si="47"/>
        <v>08.110.0000</v>
      </c>
    </row>
    <row r="1026" spans="1:7" hidden="1" x14ac:dyDescent="0.25">
      <c r="A1026" s="6" t="s">
        <v>3101</v>
      </c>
      <c r="B1026" s="28">
        <v>880000</v>
      </c>
      <c r="C1026" s="6" t="s">
        <v>3102</v>
      </c>
      <c r="D1026" t="str">
        <f t="shared" si="45"/>
        <v>12.001.27.811.0010.2.030.3.3.90.39.00</v>
      </c>
      <c r="E1026" t="str">
        <f>VLOOKUP(LEFT(A1026,2),ConsolidadoLoa27_ATIVIDADES!A:I,9,0)</f>
        <v>12 - SECRETARIA DE ESPORTE, RECREAÇÃO E LAZER</v>
      </c>
      <c r="F1026" t="str">
        <f t="shared" si="46"/>
        <v>2.030</v>
      </c>
      <c r="G1026" t="str">
        <f t="shared" si="47"/>
        <v>01.110.0000</v>
      </c>
    </row>
    <row r="1027" spans="1:7" hidden="1" x14ac:dyDescent="0.25">
      <c r="A1027" s="6" t="s">
        <v>3101</v>
      </c>
      <c r="B1027" s="28">
        <v>250000</v>
      </c>
      <c r="C1027" s="6" t="s">
        <v>3103</v>
      </c>
      <c r="D1027" t="str">
        <f t="shared" ref="D1027:D1090" si="48">_xlfn.CONCAT(LEFT(A1027,34),".00")</f>
        <v>12.001.27.811.0010.2.030.3.3.90.39.00</v>
      </c>
      <c r="E1027" t="str">
        <f>VLOOKUP(LEFT(A1027,2),ConsolidadoLoa27_ATIVIDADES!A:I,9,0)</f>
        <v>12 - SECRETARIA DE ESPORTE, RECREAÇÃO E LAZER</v>
      </c>
      <c r="F1027" t="str">
        <f t="shared" ref="F1027:F1090" si="49">MID(A1027,20,5)</f>
        <v>2.030</v>
      </c>
      <c r="G1027" t="str">
        <f t="shared" ref="G1027:G1090" si="50">RIGHT(A1027,11)</f>
        <v>01.110.0000</v>
      </c>
    </row>
    <row r="1028" spans="1:7" hidden="1" x14ac:dyDescent="0.25">
      <c r="A1028" s="6" t="s">
        <v>3101</v>
      </c>
      <c r="B1028" s="28">
        <v>1246920</v>
      </c>
      <c r="C1028" s="6" t="s">
        <v>3104</v>
      </c>
      <c r="D1028" t="str">
        <f t="shared" si="48"/>
        <v>12.001.27.811.0010.2.030.3.3.90.39.00</v>
      </c>
      <c r="E1028" t="str">
        <f>VLOOKUP(LEFT(A1028,2),ConsolidadoLoa27_ATIVIDADES!A:I,9,0)</f>
        <v>12 - SECRETARIA DE ESPORTE, RECREAÇÃO E LAZER</v>
      </c>
      <c r="F1028" t="str">
        <f t="shared" si="49"/>
        <v>2.030</v>
      </c>
      <c r="G1028" t="str">
        <f t="shared" si="50"/>
        <v>01.110.0000</v>
      </c>
    </row>
    <row r="1029" spans="1:7" hidden="1" x14ac:dyDescent="0.25">
      <c r="A1029" s="6" t="s">
        <v>3105</v>
      </c>
      <c r="B1029" s="28">
        <v>0</v>
      </c>
      <c r="C1029" s="6" t="s">
        <v>3097</v>
      </c>
      <c r="D1029" t="str">
        <f t="shared" si="48"/>
        <v>12.001.27.811.0010.2.030.3.3.90.39.00</v>
      </c>
      <c r="E1029" t="str">
        <f>VLOOKUP(LEFT(A1029,2),ConsolidadoLoa27_ATIVIDADES!A:I,9,0)</f>
        <v>12 - SECRETARIA DE ESPORTE, RECREAÇÃO E LAZER</v>
      </c>
      <c r="F1029" t="str">
        <f t="shared" si="49"/>
        <v>2.030</v>
      </c>
      <c r="G1029" t="str">
        <f t="shared" si="50"/>
        <v>08.110.0000</v>
      </c>
    </row>
    <row r="1030" spans="1:7" hidden="1" x14ac:dyDescent="0.25">
      <c r="A1030" s="6" t="s">
        <v>3105</v>
      </c>
      <c r="B1030" s="28">
        <v>0</v>
      </c>
      <c r="C1030" s="6" t="s">
        <v>3098</v>
      </c>
      <c r="D1030" t="str">
        <f t="shared" si="48"/>
        <v>12.001.27.811.0010.2.030.3.3.90.39.00</v>
      </c>
      <c r="E1030" t="str">
        <f>VLOOKUP(LEFT(A1030,2),ConsolidadoLoa27_ATIVIDADES!A:I,9,0)</f>
        <v>12 - SECRETARIA DE ESPORTE, RECREAÇÃO E LAZER</v>
      </c>
      <c r="F1030" t="str">
        <f t="shared" si="49"/>
        <v>2.030</v>
      </c>
      <c r="G1030" t="str">
        <f t="shared" si="50"/>
        <v>08.110.0000</v>
      </c>
    </row>
    <row r="1031" spans="1:7" hidden="1" x14ac:dyDescent="0.25">
      <c r="A1031" s="6" t="s">
        <v>3105</v>
      </c>
      <c r="B1031" s="28">
        <v>0</v>
      </c>
      <c r="C1031" s="6" t="s">
        <v>3099</v>
      </c>
      <c r="D1031" t="str">
        <f t="shared" si="48"/>
        <v>12.001.27.811.0010.2.030.3.3.90.39.00</v>
      </c>
      <c r="E1031" t="str">
        <f>VLOOKUP(LEFT(A1031,2),ConsolidadoLoa27_ATIVIDADES!A:I,9,0)</f>
        <v>12 - SECRETARIA DE ESPORTE, RECREAÇÃO E LAZER</v>
      </c>
      <c r="F1031" t="str">
        <f t="shared" si="49"/>
        <v>2.030</v>
      </c>
      <c r="G1031" t="str">
        <f t="shared" si="50"/>
        <v>08.110.0000</v>
      </c>
    </row>
    <row r="1032" spans="1:7" hidden="1" x14ac:dyDescent="0.25">
      <c r="A1032" s="6" t="s">
        <v>3105</v>
      </c>
      <c r="B1032" s="28">
        <v>0</v>
      </c>
      <c r="C1032" s="6" t="s">
        <v>3100</v>
      </c>
      <c r="D1032" t="str">
        <f t="shared" si="48"/>
        <v>12.001.27.811.0010.2.030.3.3.90.39.00</v>
      </c>
      <c r="E1032" t="str">
        <f>VLOOKUP(LEFT(A1032,2),ConsolidadoLoa27_ATIVIDADES!A:I,9,0)</f>
        <v>12 - SECRETARIA DE ESPORTE, RECREAÇÃO E LAZER</v>
      </c>
      <c r="F1032" t="str">
        <f t="shared" si="49"/>
        <v>2.030</v>
      </c>
      <c r="G1032" t="str">
        <f t="shared" si="50"/>
        <v>08.110.0000</v>
      </c>
    </row>
    <row r="1033" spans="1:7" hidden="1" x14ac:dyDescent="0.25">
      <c r="A1033" s="6" t="s">
        <v>3106</v>
      </c>
      <c r="B1033" s="28">
        <v>4883770</v>
      </c>
      <c r="C1033" s="6" t="s">
        <v>3107</v>
      </c>
      <c r="D1033" t="str">
        <f t="shared" si="48"/>
        <v>12.001.27.811.0010.2.030.3.3.90.48.00</v>
      </c>
      <c r="E1033" t="str">
        <f>VLOOKUP(LEFT(A1033,2),ConsolidadoLoa27_ATIVIDADES!A:I,9,0)</f>
        <v>12 - SECRETARIA DE ESPORTE, RECREAÇÃO E LAZER</v>
      </c>
      <c r="F1033" t="str">
        <f t="shared" si="49"/>
        <v>2.030</v>
      </c>
      <c r="G1033" t="str">
        <f t="shared" si="50"/>
        <v>01.110.0000</v>
      </c>
    </row>
    <row r="1034" spans="1:7" hidden="1" x14ac:dyDescent="0.25">
      <c r="A1034" s="6" t="s">
        <v>3106</v>
      </c>
      <c r="B1034" s="28">
        <v>1558650</v>
      </c>
      <c r="C1034" s="6" t="s">
        <v>3108</v>
      </c>
      <c r="D1034" t="str">
        <f t="shared" si="48"/>
        <v>12.001.27.811.0010.2.030.3.3.90.48.00</v>
      </c>
      <c r="E1034" t="str">
        <f>VLOOKUP(LEFT(A1034,2),ConsolidadoLoa27_ATIVIDADES!A:I,9,0)</f>
        <v>12 - SECRETARIA DE ESPORTE, RECREAÇÃO E LAZER</v>
      </c>
      <c r="F1034" t="str">
        <f t="shared" si="49"/>
        <v>2.030</v>
      </c>
      <c r="G1034" t="str">
        <f t="shared" si="50"/>
        <v>01.110.0000</v>
      </c>
    </row>
    <row r="1035" spans="1:7" hidden="1" x14ac:dyDescent="0.25">
      <c r="A1035" s="6" t="s">
        <v>3109</v>
      </c>
      <c r="B1035" s="28">
        <v>0</v>
      </c>
      <c r="C1035" s="6" t="s">
        <v>3091</v>
      </c>
      <c r="D1035" t="str">
        <f t="shared" si="48"/>
        <v>12.001.27.811.0010.2.030.4.4.50.52.00</v>
      </c>
      <c r="E1035" t="str">
        <f>VLOOKUP(LEFT(A1035,2),ConsolidadoLoa27_ATIVIDADES!A:I,9,0)</f>
        <v>12 - SECRETARIA DE ESPORTE, RECREAÇÃO E LAZER</v>
      </c>
      <c r="F1035" t="str">
        <f t="shared" si="49"/>
        <v>2.030</v>
      </c>
      <c r="G1035" t="str">
        <f t="shared" si="50"/>
        <v>08.110.0000</v>
      </c>
    </row>
    <row r="1036" spans="1:7" hidden="1" x14ac:dyDescent="0.25">
      <c r="A1036" s="6" t="s">
        <v>3109</v>
      </c>
      <c r="B1036" s="28">
        <v>0</v>
      </c>
      <c r="C1036" s="6" t="s">
        <v>3092</v>
      </c>
      <c r="D1036" t="str">
        <f t="shared" si="48"/>
        <v>12.001.27.811.0010.2.030.4.4.50.52.00</v>
      </c>
      <c r="E1036" t="str">
        <f>VLOOKUP(LEFT(A1036,2),ConsolidadoLoa27_ATIVIDADES!A:I,9,0)</f>
        <v>12 - SECRETARIA DE ESPORTE, RECREAÇÃO E LAZER</v>
      </c>
      <c r="F1036" t="str">
        <f t="shared" si="49"/>
        <v>2.030</v>
      </c>
      <c r="G1036" t="str">
        <f t="shared" si="50"/>
        <v>08.110.0000</v>
      </c>
    </row>
    <row r="1037" spans="1:7" hidden="1" x14ac:dyDescent="0.25">
      <c r="A1037" s="6" t="s">
        <v>3109</v>
      </c>
      <c r="B1037" s="28">
        <v>0</v>
      </c>
      <c r="C1037" s="6" t="s">
        <v>3093</v>
      </c>
      <c r="D1037" t="str">
        <f t="shared" si="48"/>
        <v>12.001.27.811.0010.2.030.4.4.50.52.00</v>
      </c>
      <c r="E1037" t="str">
        <f>VLOOKUP(LEFT(A1037,2),ConsolidadoLoa27_ATIVIDADES!A:I,9,0)</f>
        <v>12 - SECRETARIA DE ESPORTE, RECREAÇÃO E LAZER</v>
      </c>
      <c r="F1037" t="str">
        <f t="shared" si="49"/>
        <v>2.030</v>
      </c>
      <c r="G1037" t="str">
        <f t="shared" si="50"/>
        <v>08.110.0000</v>
      </c>
    </row>
    <row r="1038" spans="1:7" hidden="1" x14ac:dyDescent="0.25">
      <c r="A1038" s="6" t="s">
        <v>3110</v>
      </c>
      <c r="B1038" s="28">
        <v>1</v>
      </c>
      <c r="C1038" s="6" t="s">
        <v>3111</v>
      </c>
      <c r="D1038" t="str">
        <f t="shared" si="48"/>
        <v>12.001.27.811.0010.2.030.4.4.90.51.00</v>
      </c>
      <c r="E1038" t="str">
        <f>VLOOKUP(LEFT(A1038,2),ConsolidadoLoa27_ATIVIDADES!A:I,9,0)</f>
        <v>12 - SECRETARIA DE ESPORTE, RECREAÇÃO E LAZER</v>
      </c>
      <c r="F1038" t="str">
        <f t="shared" si="49"/>
        <v>2.030</v>
      </c>
      <c r="G1038" t="str">
        <f t="shared" si="50"/>
        <v>01.110.0000</v>
      </c>
    </row>
    <row r="1039" spans="1:7" hidden="1" x14ac:dyDescent="0.25">
      <c r="A1039" s="6" t="s">
        <v>3112</v>
      </c>
      <c r="B1039" s="28">
        <v>1</v>
      </c>
      <c r="C1039" s="6" t="s">
        <v>3113</v>
      </c>
      <c r="D1039" t="str">
        <f t="shared" si="48"/>
        <v>12.001.27.812.0010.1.002.3.3.90.39.00</v>
      </c>
      <c r="E1039" t="str">
        <f>VLOOKUP(LEFT(A1039,2),ConsolidadoLoa27_ATIVIDADES!A:I,9,0)</f>
        <v>12 - SECRETARIA DE ESPORTE, RECREAÇÃO E LAZER</v>
      </c>
      <c r="F1039" t="str">
        <f t="shared" si="49"/>
        <v>1.002</v>
      </c>
      <c r="G1039" t="str">
        <f t="shared" si="50"/>
        <v>01.110.0000</v>
      </c>
    </row>
    <row r="1040" spans="1:7" hidden="1" x14ac:dyDescent="0.25">
      <c r="A1040" s="6" t="s">
        <v>3112</v>
      </c>
      <c r="B1040" s="28">
        <v>1</v>
      </c>
      <c r="C1040" s="6" t="s">
        <v>3114</v>
      </c>
      <c r="D1040" t="str">
        <f t="shared" si="48"/>
        <v>12.001.27.812.0010.1.002.3.3.90.39.00</v>
      </c>
      <c r="E1040" t="str">
        <f>VLOOKUP(LEFT(A1040,2),ConsolidadoLoa27_ATIVIDADES!A:I,9,0)</f>
        <v>12 - SECRETARIA DE ESPORTE, RECREAÇÃO E LAZER</v>
      </c>
      <c r="F1040" t="str">
        <f t="shared" si="49"/>
        <v>1.002</v>
      </c>
      <c r="G1040" t="str">
        <f t="shared" si="50"/>
        <v>01.110.0000</v>
      </c>
    </row>
    <row r="1041" spans="1:7" hidden="1" x14ac:dyDescent="0.25">
      <c r="A1041" s="6" t="s">
        <v>3112</v>
      </c>
      <c r="B1041" s="28">
        <v>1</v>
      </c>
      <c r="C1041" s="6" t="s">
        <v>3115</v>
      </c>
      <c r="D1041" t="str">
        <f t="shared" si="48"/>
        <v>12.001.27.812.0010.1.002.3.3.90.39.00</v>
      </c>
      <c r="E1041" t="str">
        <f>VLOOKUP(LEFT(A1041,2),ConsolidadoLoa27_ATIVIDADES!A:I,9,0)</f>
        <v>12 - SECRETARIA DE ESPORTE, RECREAÇÃO E LAZER</v>
      </c>
      <c r="F1041" t="str">
        <f t="shared" si="49"/>
        <v>1.002</v>
      </c>
      <c r="G1041" t="str">
        <f t="shared" si="50"/>
        <v>01.110.0000</v>
      </c>
    </row>
    <row r="1042" spans="1:7" hidden="1" x14ac:dyDescent="0.25">
      <c r="A1042" s="6" t="s">
        <v>3116</v>
      </c>
      <c r="B1042" s="28">
        <v>0</v>
      </c>
      <c r="C1042" s="6" t="s">
        <v>3115</v>
      </c>
      <c r="D1042" t="str">
        <f t="shared" si="48"/>
        <v>12.001.27.812.0010.1.002.3.3.90.39.00</v>
      </c>
      <c r="E1042" t="str">
        <f>VLOOKUP(LEFT(A1042,2),ConsolidadoLoa27_ATIVIDADES!A:I,9,0)</f>
        <v>12 - SECRETARIA DE ESPORTE, RECREAÇÃO E LAZER</v>
      </c>
      <c r="F1042" t="str">
        <f t="shared" si="49"/>
        <v>1.002</v>
      </c>
      <c r="G1042" t="str">
        <f t="shared" si="50"/>
        <v>05.100.0000</v>
      </c>
    </row>
    <row r="1043" spans="1:7" hidden="1" x14ac:dyDescent="0.25">
      <c r="A1043" s="6" t="s">
        <v>3117</v>
      </c>
      <c r="B1043" s="28">
        <v>0</v>
      </c>
      <c r="C1043" s="6" t="s">
        <v>3118</v>
      </c>
      <c r="D1043" t="str">
        <f t="shared" si="48"/>
        <v>12.001.27.812.0010.1.002.3.3.90.39.00</v>
      </c>
      <c r="E1043" t="str">
        <f>VLOOKUP(LEFT(A1043,2),ConsolidadoLoa27_ATIVIDADES!A:I,9,0)</f>
        <v>12 - SECRETARIA DE ESPORTE, RECREAÇÃO E LAZER</v>
      </c>
      <c r="F1043" t="str">
        <f t="shared" si="49"/>
        <v>1.002</v>
      </c>
      <c r="G1043" t="str">
        <f t="shared" si="50"/>
        <v>08.110.0000</v>
      </c>
    </row>
    <row r="1044" spans="1:7" hidden="1" x14ac:dyDescent="0.25">
      <c r="A1044" s="6" t="s">
        <v>3119</v>
      </c>
      <c r="B1044" s="28">
        <v>1</v>
      </c>
      <c r="C1044" s="6" t="s">
        <v>3113</v>
      </c>
      <c r="D1044" t="str">
        <f t="shared" si="48"/>
        <v>12.001.27.812.0010.1.002.4.4.90.51.00</v>
      </c>
      <c r="E1044" t="str">
        <f>VLOOKUP(LEFT(A1044,2),ConsolidadoLoa27_ATIVIDADES!A:I,9,0)</f>
        <v>12 - SECRETARIA DE ESPORTE, RECREAÇÃO E LAZER</v>
      </c>
      <c r="F1044" t="str">
        <f t="shared" si="49"/>
        <v>1.002</v>
      </c>
      <c r="G1044" t="str">
        <f t="shared" si="50"/>
        <v>01.110.0000</v>
      </c>
    </row>
    <row r="1045" spans="1:7" hidden="1" x14ac:dyDescent="0.25">
      <c r="A1045" s="6" t="s">
        <v>3120</v>
      </c>
      <c r="B1045" s="28">
        <v>0</v>
      </c>
      <c r="C1045" s="6" t="s">
        <v>3113</v>
      </c>
      <c r="D1045" t="str">
        <f t="shared" si="48"/>
        <v>12.001.27.812.0010.1.002.4.4.90.51.00</v>
      </c>
      <c r="E1045" t="str">
        <f>VLOOKUP(LEFT(A1045,2),ConsolidadoLoa27_ATIVIDADES!A:I,9,0)</f>
        <v>12 - SECRETARIA DE ESPORTE, RECREAÇÃO E LAZER</v>
      </c>
      <c r="F1045" t="str">
        <f t="shared" si="49"/>
        <v>1.002</v>
      </c>
      <c r="G1045" t="str">
        <f t="shared" si="50"/>
        <v>07.100.0000</v>
      </c>
    </row>
    <row r="1046" spans="1:7" hidden="1" x14ac:dyDescent="0.25">
      <c r="A1046" s="6" t="s">
        <v>3121</v>
      </c>
      <c r="B1046" s="28">
        <v>1</v>
      </c>
      <c r="C1046" s="6" t="s">
        <v>3113</v>
      </c>
      <c r="D1046" t="str">
        <f t="shared" si="48"/>
        <v>12.001.27.812.0010.1.003.3.3.90.39.00</v>
      </c>
      <c r="E1046" t="str">
        <f>VLOOKUP(LEFT(A1046,2),ConsolidadoLoa27_ATIVIDADES!A:I,9,0)</f>
        <v>12 - SECRETARIA DE ESPORTE, RECREAÇÃO E LAZER</v>
      </c>
      <c r="F1046" t="str">
        <f t="shared" si="49"/>
        <v>1.003</v>
      </c>
      <c r="G1046" t="str">
        <f t="shared" si="50"/>
        <v>01.110.0000</v>
      </c>
    </row>
    <row r="1047" spans="1:7" hidden="1" x14ac:dyDescent="0.25">
      <c r="A1047" s="6" t="s">
        <v>3122</v>
      </c>
      <c r="B1047" s="28">
        <v>1</v>
      </c>
      <c r="C1047" s="6" t="s">
        <v>3113</v>
      </c>
      <c r="D1047" t="str">
        <f t="shared" si="48"/>
        <v>12.001.27.812.0010.1.003.4.4.90.51.00</v>
      </c>
      <c r="E1047" t="str">
        <f>VLOOKUP(LEFT(A1047,2),ConsolidadoLoa27_ATIVIDADES!A:I,9,0)</f>
        <v>12 - SECRETARIA DE ESPORTE, RECREAÇÃO E LAZER</v>
      </c>
      <c r="F1047" t="str">
        <f t="shared" si="49"/>
        <v>1.003</v>
      </c>
      <c r="G1047" t="str">
        <f t="shared" si="50"/>
        <v>01.110.0000</v>
      </c>
    </row>
    <row r="1048" spans="1:7" hidden="1" x14ac:dyDescent="0.25">
      <c r="A1048" s="6" t="s">
        <v>3123</v>
      </c>
      <c r="B1048" s="28">
        <v>0</v>
      </c>
      <c r="C1048" s="6" t="s">
        <v>3124</v>
      </c>
      <c r="D1048" t="str">
        <f t="shared" si="48"/>
        <v>12.001.27.812.0010.1.003.4.4.90.51.00</v>
      </c>
      <c r="E1048" t="str">
        <f>VLOOKUP(LEFT(A1048,2),ConsolidadoLoa27_ATIVIDADES!A:I,9,0)</f>
        <v>12 - SECRETARIA DE ESPORTE, RECREAÇÃO E LAZER</v>
      </c>
      <c r="F1048" t="str">
        <f t="shared" si="49"/>
        <v>1.003</v>
      </c>
      <c r="G1048" t="str">
        <f t="shared" si="50"/>
        <v>05.100.0000</v>
      </c>
    </row>
    <row r="1049" spans="1:7" hidden="1" x14ac:dyDescent="0.25">
      <c r="A1049" s="6" t="s">
        <v>3125</v>
      </c>
      <c r="B1049" s="28">
        <v>26900.220799999999</v>
      </c>
      <c r="C1049" s="6" t="s">
        <v>2295</v>
      </c>
      <c r="D1049" t="str">
        <f t="shared" si="48"/>
        <v>12.001.27.812.0010.2.011.3.3.90.30.00</v>
      </c>
      <c r="E1049" t="str">
        <f>VLOOKUP(LEFT(A1049,2),ConsolidadoLoa27_ATIVIDADES!A:I,9,0)</f>
        <v>12 - SECRETARIA DE ESPORTE, RECREAÇÃO E LAZER</v>
      </c>
      <c r="F1049" t="str">
        <f t="shared" si="49"/>
        <v>2.011</v>
      </c>
      <c r="G1049" t="str">
        <f t="shared" si="50"/>
        <v>01.110.0000</v>
      </c>
    </row>
    <row r="1050" spans="1:7" hidden="1" x14ac:dyDescent="0.25">
      <c r="A1050" s="6" t="s">
        <v>3125</v>
      </c>
      <c r="B1050" s="28">
        <v>3117.3</v>
      </c>
      <c r="C1050" s="14" t="s">
        <v>107</v>
      </c>
      <c r="D1050" t="str">
        <f t="shared" si="48"/>
        <v>12.001.27.812.0010.2.011.3.3.90.30.00</v>
      </c>
      <c r="E1050" t="str">
        <f>VLOOKUP(LEFT(A1050,2),ConsolidadoLoa27_ATIVIDADES!A:I,9,0)</f>
        <v>12 - SECRETARIA DE ESPORTE, RECREAÇÃO E LAZER</v>
      </c>
      <c r="F1050" t="str">
        <f t="shared" si="49"/>
        <v>2.011</v>
      </c>
      <c r="G1050" t="str">
        <f t="shared" si="50"/>
        <v>01.110.0000</v>
      </c>
    </row>
    <row r="1051" spans="1:7" hidden="1" x14ac:dyDescent="0.25">
      <c r="A1051" s="6" t="s">
        <v>3125</v>
      </c>
      <c r="B1051" s="28">
        <v>114124.353</v>
      </c>
      <c r="C1051" s="6" t="s">
        <v>387</v>
      </c>
      <c r="D1051" t="str">
        <f t="shared" si="48"/>
        <v>12.001.27.812.0010.2.011.3.3.90.30.00</v>
      </c>
      <c r="E1051" t="str">
        <f>VLOOKUP(LEFT(A1051,2),ConsolidadoLoa27_ATIVIDADES!A:I,9,0)</f>
        <v>12 - SECRETARIA DE ESPORTE, RECREAÇÃO E LAZER</v>
      </c>
      <c r="F1051" t="str">
        <f t="shared" si="49"/>
        <v>2.011</v>
      </c>
      <c r="G1051" t="str">
        <f t="shared" si="50"/>
        <v>01.110.0000</v>
      </c>
    </row>
    <row r="1052" spans="1:7" hidden="1" x14ac:dyDescent="0.25">
      <c r="A1052" s="6" t="s">
        <v>3125</v>
      </c>
      <c r="B1052" s="28">
        <v>43016.661800000002</v>
      </c>
      <c r="C1052" s="6" t="s">
        <v>2289</v>
      </c>
      <c r="D1052" t="str">
        <f t="shared" si="48"/>
        <v>12.001.27.812.0010.2.011.3.3.90.30.00</v>
      </c>
      <c r="E1052" t="str">
        <f>VLOOKUP(LEFT(A1052,2),ConsolidadoLoa27_ATIVIDADES!A:I,9,0)</f>
        <v>12 - SECRETARIA DE ESPORTE, RECREAÇÃO E LAZER</v>
      </c>
      <c r="F1052" t="str">
        <f t="shared" si="49"/>
        <v>2.011</v>
      </c>
      <c r="G1052" t="str">
        <f t="shared" si="50"/>
        <v>01.110.0000</v>
      </c>
    </row>
    <row r="1053" spans="1:7" hidden="1" x14ac:dyDescent="0.25">
      <c r="A1053" s="6" t="s">
        <v>3125</v>
      </c>
      <c r="B1053" s="28">
        <v>2078.1999999999998</v>
      </c>
      <c r="C1053" s="6" t="s">
        <v>104</v>
      </c>
      <c r="D1053" t="str">
        <f t="shared" si="48"/>
        <v>12.001.27.812.0010.2.011.3.3.90.30.00</v>
      </c>
      <c r="E1053" t="str">
        <f>VLOOKUP(LEFT(A1053,2),ConsolidadoLoa27_ATIVIDADES!A:I,9,0)</f>
        <v>12 - SECRETARIA DE ESPORTE, RECREAÇÃO E LAZER</v>
      </c>
      <c r="F1053" t="str">
        <f t="shared" si="49"/>
        <v>2.011</v>
      </c>
      <c r="G1053" t="str">
        <f t="shared" si="50"/>
        <v>01.110.0000</v>
      </c>
    </row>
    <row r="1054" spans="1:7" hidden="1" x14ac:dyDescent="0.25">
      <c r="A1054" s="6" t="s">
        <v>3126</v>
      </c>
      <c r="B1054" s="28">
        <v>1700000</v>
      </c>
      <c r="C1054" s="6" t="s">
        <v>3127</v>
      </c>
      <c r="D1054" t="str">
        <f t="shared" si="48"/>
        <v>12.001.27.812.0010.2.011.3.3.90.39.00</v>
      </c>
      <c r="E1054" t="str">
        <f>VLOOKUP(LEFT(A1054,2),ConsolidadoLoa27_ATIVIDADES!A:I,9,0)</f>
        <v>12 - SECRETARIA DE ESPORTE, RECREAÇÃO E LAZER</v>
      </c>
      <c r="F1054" t="str">
        <f t="shared" si="49"/>
        <v>2.011</v>
      </c>
      <c r="G1054" t="str">
        <f t="shared" si="50"/>
        <v>01.110.0000</v>
      </c>
    </row>
    <row r="1055" spans="1:7" hidden="1" x14ac:dyDescent="0.25">
      <c r="A1055" s="6" t="s">
        <v>3128</v>
      </c>
      <c r="B1055" s="28">
        <v>0</v>
      </c>
      <c r="C1055" s="6" t="s">
        <v>3129</v>
      </c>
      <c r="D1055" t="str">
        <f t="shared" si="48"/>
        <v>12.001.27.812.0010.2.028.3.3.90.30.00</v>
      </c>
      <c r="E1055" t="str">
        <f>VLOOKUP(LEFT(A1055,2),ConsolidadoLoa27_ATIVIDADES!A:I,9,0)</f>
        <v>12 - SECRETARIA DE ESPORTE, RECREAÇÃO E LAZER</v>
      </c>
      <c r="F1055" t="str">
        <f t="shared" si="49"/>
        <v>2.028</v>
      </c>
      <c r="G1055" t="str">
        <f t="shared" si="50"/>
        <v>08.110.0000</v>
      </c>
    </row>
    <row r="1056" spans="1:7" hidden="1" x14ac:dyDescent="0.25">
      <c r="A1056" s="6" t="s">
        <v>3130</v>
      </c>
      <c r="B1056" s="28">
        <v>37800</v>
      </c>
      <c r="C1056" s="6" t="s">
        <v>3131</v>
      </c>
      <c r="D1056" t="str">
        <f t="shared" si="48"/>
        <v>12.001.27.812.0010.2.028.3.3.90.36.00</v>
      </c>
      <c r="E1056" t="str">
        <f>VLOOKUP(LEFT(A1056,2),ConsolidadoLoa27_ATIVIDADES!A:I,9,0)</f>
        <v>12 - SECRETARIA DE ESPORTE, RECREAÇÃO E LAZER</v>
      </c>
      <c r="F1056" t="str">
        <f t="shared" si="49"/>
        <v>2.028</v>
      </c>
      <c r="G1056" t="str">
        <f t="shared" si="50"/>
        <v>01.110.0000</v>
      </c>
    </row>
    <row r="1057" spans="1:7" hidden="1" x14ac:dyDescent="0.25">
      <c r="A1057" s="6" t="s">
        <v>3132</v>
      </c>
      <c r="B1057" s="28">
        <v>0</v>
      </c>
      <c r="C1057" s="6" t="s">
        <v>3131</v>
      </c>
      <c r="D1057" t="str">
        <f t="shared" si="48"/>
        <v>12.001.27.812.0010.2.028.3.3.90.36.00</v>
      </c>
      <c r="E1057" t="str">
        <f>VLOOKUP(LEFT(A1057,2),ConsolidadoLoa27_ATIVIDADES!A:I,9,0)</f>
        <v>12 - SECRETARIA DE ESPORTE, RECREAÇÃO E LAZER</v>
      </c>
      <c r="F1057" t="str">
        <f t="shared" si="49"/>
        <v>2.028</v>
      </c>
      <c r="G1057" t="str">
        <f t="shared" si="50"/>
        <v>01.700.0000</v>
      </c>
    </row>
    <row r="1058" spans="1:7" hidden="1" x14ac:dyDescent="0.25">
      <c r="A1058" s="6" t="s">
        <v>3133</v>
      </c>
      <c r="B1058" s="28">
        <v>199920</v>
      </c>
      <c r="C1058" s="6" t="s">
        <v>3131</v>
      </c>
      <c r="D1058" t="str">
        <f t="shared" si="48"/>
        <v>12.001.27.812.0010.2.028.3.3.90.39.00</v>
      </c>
      <c r="E1058" t="str">
        <f>VLOOKUP(LEFT(A1058,2),ConsolidadoLoa27_ATIVIDADES!A:I,9,0)</f>
        <v>12 - SECRETARIA DE ESPORTE, RECREAÇÃO E LAZER</v>
      </c>
      <c r="F1058" t="str">
        <f t="shared" si="49"/>
        <v>2.028</v>
      </c>
      <c r="G1058" t="str">
        <f t="shared" si="50"/>
        <v>01.110.0000</v>
      </c>
    </row>
    <row r="1059" spans="1:7" hidden="1" x14ac:dyDescent="0.25">
      <c r="A1059" s="6" t="s">
        <v>3134</v>
      </c>
      <c r="B1059" s="28">
        <v>0</v>
      </c>
      <c r="C1059" s="6" t="s">
        <v>3131</v>
      </c>
      <c r="D1059" t="str">
        <f t="shared" si="48"/>
        <v>12.001.27.812.0010.2.028.3.3.90.39.00</v>
      </c>
      <c r="E1059" t="str">
        <f>VLOOKUP(LEFT(A1059,2),ConsolidadoLoa27_ATIVIDADES!A:I,9,0)</f>
        <v>12 - SECRETARIA DE ESPORTE, RECREAÇÃO E LAZER</v>
      </c>
      <c r="F1059" t="str">
        <f t="shared" si="49"/>
        <v>2.028</v>
      </c>
      <c r="G1059" t="str">
        <f t="shared" si="50"/>
        <v>01.700.0000</v>
      </c>
    </row>
    <row r="1060" spans="1:7" hidden="1" x14ac:dyDescent="0.25">
      <c r="A1060" s="6" t="s">
        <v>3135</v>
      </c>
      <c r="B1060" s="28">
        <v>0</v>
      </c>
      <c r="C1060" s="6" t="s">
        <v>3129</v>
      </c>
      <c r="D1060" t="str">
        <f t="shared" si="48"/>
        <v>12.001.27.812.0010.2.028.3.3.90.39.00</v>
      </c>
      <c r="E1060" t="str">
        <f>VLOOKUP(LEFT(A1060,2),ConsolidadoLoa27_ATIVIDADES!A:I,9,0)</f>
        <v>12 - SECRETARIA DE ESPORTE, RECREAÇÃO E LAZER</v>
      </c>
      <c r="F1060" t="str">
        <f t="shared" si="49"/>
        <v>2.028</v>
      </c>
      <c r="G1060" t="str">
        <f t="shared" si="50"/>
        <v>08.110.0000</v>
      </c>
    </row>
    <row r="1061" spans="1:7" hidden="1" x14ac:dyDescent="0.25">
      <c r="A1061" s="6" t="s">
        <v>3136</v>
      </c>
      <c r="B1061" s="28">
        <v>0</v>
      </c>
      <c r="C1061" s="6" t="s">
        <v>3129</v>
      </c>
      <c r="D1061" t="str">
        <f t="shared" si="48"/>
        <v>12.001.27.812.0010.2.028.4.4.90.52.00</v>
      </c>
      <c r="E1061" t="str">
        <f>VLOOKUP(LEFT(A1061,2),ConsolidadoLoa27_ATIVIDADES!A:I,9,0)</f>
        <v>12 - SECRETARIA DE ESPORTE, RECREAÇÃO E LAZER</v>
      </c>
      <c r="F1061" t="str">
        <f t="shared" si="49"/>
        <v>2.028</v>
      </c>
      <c r="G1061" t="str">
        <f t="shared" si="50"/>
        <v>08.110.0000</v>
      </c>
    </row>
    <row r="1062" spans="1:7" hidden="1" x14ac:dyDescent="0.25">
      <c r="A1062" s="6" t="s">
        <v>3137</v>
      </c>
      <c r="B1062" s="28">
        <v>1</v>
      </c>
      <c r="C1062" s="6" t="s">
        <v>3113</v>
      </c>
      <c r="D1062" t="str">
        <f t="shared" si="48"/>
        <v>12.001.27.812.0010.2.030.4.4.90.51.00</v>
      </c>
      <c r="E1062" t="str">
        <f>VLOOKUP(LEFT(A1062,2),ConsolidadoLoa27_ATIVIDADES!A:I,9,0)</f>
        <v>12 - SECRETARIA DE ESPORTE, RECREAÇÃO E LAZER</v>
      </c>
      <c r="F1062" t="str">
        <f t="shared" si="49"/>
        <v>2.030</v>
      </c>
      <c r="G1062" t="str">
        <f t="shared" si="50"/>
        <v>01.110.0000</v>
      </c>
    </row>
    <row r="1063" spans="1:7" hidden="1" x14ac:dyDescent="0.25">
      <c r="A1063" s="6" t="s">
        <v>3138</v>
      </c>
      <c r="B1063" s="28">
        <v>0</v>
      </c>
      <c r="C1063" s="6" t="s">
        <v>3139</v>
      </c>
      <c r="D1063" t="str">
        <f t="shared" si="48"/>
        <v>12.001.27.812.0010.2.031.3.3.50.39.00</v>
      </c>
      <c r="E1063" t="str">
        <f>VLOOKUP(LEFT(A1063,2),ConsolidadoLoa27_ATIVIDADES!A:I,9,0)</f>
        <v>12 - SECRETARIA DE ESPORTE, RECREAÇÃO E LAZER</v>
      </c>
      <c r="F1063" t="str">
        <f t="shared" si="49"/>
        <v>2.031</v>
      </c>
      <c r="G1063" t="str">
        <f t="shared" si="50"/>
        <v>08.110.0000</v>
      </c>
    </row>
    <row r="1064" spans="1:7" hidden="1" x14ac:dyDescent="0.25">
      <c r="A1064" s="6" t="s">
        <v>3138</v>
      </c>
      <c r="B1064" s="28">
        <v>0</v>
      </c>
      <c r="C1064" s="6" t="s">
        <v>3140</v>
      </c>
      <c r="D1064" t="str">
        <f t="shared" si="48"/>
        <v>12.001.27.812.0010.2.031.3.3.50.39.00</v>
      </c>
      <c r="E1064" t="str">
        <f>VLOOKUP(LEFT(A1064,2),ConsolidadoLoa27_ATIVIDADES!A:I,9,0)</f>
        <v>12 - SECRETARIA DE ESPORTE, RECREAÇÃO E LAZER</v>
      </c>
      <c r="F1064" t="str">
        <f t="shared" si="49"/>
        <v>2.031</v>
      </c>
      <c r="G1064" t="str">
        <f t="shared" si="50"/>
        <v>08.110.0000</v>
      </c>
    </row>
    <row r="1065" spans="1:7" hidden="1" x14ac:dyDescent="0.25">
      <c r="A1065" s="6" t="s">
        <v>3138</v>
      </c>
      <c r="B1065" s="28">
        <v>0</v>
      </c>
      <c r="C1065" s="6" t="s">
        <v>3141</v>
      </c>
      <c r="D1065" t="str">
        <f t="shared" si="48"/>
        <v>12.001.27.812.0010.2.031.3.3.50.39.00</v>
      </c>
      <c r="E1065" t="str">
        <f>VLOOKUP(LEFT(A1065,2),ConsolidadoLoa27_ATIVIDADES!A:I,9,0)</f>
        <v>12 - SECRETARIA DE ESPORTE, RECREAÇÃO E LAZER</v>
      </c>
      <c r="F1065" t="str">
        <f t="shared" si="49"/>
        <v>2.031</v>
      </c>
      <c r="G1065" t="str">
        <f t="shared" si="50"/>
        <v>08.110.0000</v>
      </c>
    </row>
    <row r="1066" spans="1:7" hidden="1" x14ac:dyDescent="0.25">
      <c r="A1066" s="6" t="s">
        <v>3138</v>
      </c>
      <c r="B1066" s="28">
        <v>0</v>
      </c>
      <c r="C1066" s="6" t="s">
        <v>3142</v>
      </c>
      <c r="D1066" t="str">
        <f t="shared" si="48"/>
        <v>12.001.27.812.0010.2.031.3.3.50.39.00</v>
      </c>
      <c r="E1066" t="str">
        <f>VLOOKUP(LEFT(A1066,2),ConsolidadoLoa27_ATIVIDADES!A:I,9,0)</f>
        <v>12 - SECRETARIA DE ESPORTE, RECREAÇÃO E LAZER</v>
      </c>
      <c r="F1066" t="str">
        <f t="shared" si="49"/>
        <v>2.031</v>
      </c>
      <c r="G1066" t="str">
        <f t="shared" si="50"/>
        <v>08.110.0000</v>
      </c>
    </row>
    <row r="1067" spans="1:7" hidden="1" x14ac:dyDescent="0.25">
      <c r="A1067" s="6" t="s">
        <v>3138</v>
      </c>
      <c r="B1067" s="28">
        <v>0</v>
      </c>
      <c r="C1067" s="6" t="s">
        <v>3143</v>
      </c>
      <c r="D1067" t="str">
        <f t="shared" si="48"/>
        <v>12.001.27.812.0010.2.031.3.3.50.39.00</v>
      </c>
      <c r="E1067" t="str">
        <f>VLOOKUP(LEFT(A1067,2),ConsolidadoLoa27_ATIVIDADES!A:I,9,0)</f>
        <v>12 - SECRETARIA DE ESPORTE, RECREAÇÃO E LAZER</v>
      </c>
      <c r="F1067" t="str">
        <f t="shared" si="49"/>
        <v>2.031</v>
      </c>
      <c r="G1067" t="str">
        <f t="shared" si="50"/>
        <v>08.110.0000</v>
      </c>
    </row>
    <row r="1068" spans="1:7" hidden="1" x14ac:dyDescent="0.25">
      <c r="A1068" s="6" t="s">
        <v>3138</v>
      </c>
      <c r="B1068" s="28">
        <v>0</v>
      </c>
      <c r="C1068" s="6" t="s">
        <v>3144</v>
      </c>
      <c r="D1068" t="str">
        <f t="shared" si="48"/>
        <v>12.001.27.812.0010.2.031.3.3.50.39.00</v>
      </c>
      <c r="E1068" t="str">
        <f>VLOOKUP(LEFT(A1068,2),ConsolidadoLoa27_ATIVIDADES!A:I,9,0)</f>
        <v>12 - SECRETARIA DE ESPORTE, RECREAÇÃO E LAZER</v>
      </c>
      <c r="F1068" t="str">
        <f t="shared" si="49"/>
        <v>2.031</v>
      </c>
      <c r="G1068" t="str">
        <f t="shared" si="50"/>
        <v>08.110.0000</v>
      </c>
    </row>
    <row r="1069" spans="1:7" hidden="1" x14ac:dyDescent="0.25">
      <c r="A1069" s="6" t="s">
        <v>3138</v>
      </c>
      <c r="B1069" s="28">
        <v>0</v>
      </c>
      <c r="C1069" s="6" t="s">
        <v>3145</v>
      </c>
      <c r="D1069" t="str">
        <f t="shared" si="48"/>
        <v>12.001.27.812.0010.2.031.3.3.50.39.00</v>
      </c>
      <c r="E1069" t="str">
        <f>VLOOKUP(LEFT(A1069,2),ConsolidadoLoa27_ATIVIDADES!A:I,9,0)</f>
        <v>12 - SECRETARIA DE ESPORTE, RECREAÇÃO E LAZER</v>
      </c>
      <c r="F1069" t="str">
        <f t="shared" si="49"/>
        <v>2.031</v>
      </c>
      <c r="G1069" t="str">
        <f t="shared" si="50"/>
        <v>08.110.0000</v>
      </c>
    </row>
    <row r="1070" spans="1:7" hidden="1" x14ac:dyDescent="0.25">
      <c r="A1070" s="6" t="s">
        <v>3138</v>
      </c>
      <c r="B1070" s="28">
        <v>0</v>
      </c>
      <c r="C1070" s="6" t="s">
        <v>3146</v>
      </c>
      <c r="D1070" t="str">
        <f t="shared" si="48"/>
        <v>12.001.27.812.0010.2.031.3.3.50.39.00</v>
      </c>
      <c r="E1070" t="str">
        <f>VLOOKUP(LEFT(A1070,2),ConsolidadoLoa27_ATIVIDADES!A:I,9,0)</f>
        <v>12 - SECRETARIA DE ESPORTE, RECREAÇÃO E LAZER</v>
      </c>
      <c r="F1070" t="str">
        <f t="shared" si="49"/>
        <v>2.031</v>
      </c>
      <c r="G1070" t="str">
        <f t="shared" si="50"/>
        <v>08.110.0000</v>
      </c>
    </row>
    <row r="1071" spans="1:7" hidden="1" x14ac:dyDescent="0.25">
      <c r="A1071" s="6" t="s">
        <v>3138</v>
      </c>
      <c r="B1071" s="28">
        <v>0</v>
      </c>
      <c r="C1071" s="6" t="s">
        <v>3147</v>
      </c>
      <c r="D1071" t="str">
        <f t="shared" si="48"/>
        <v>12.001.27.812.0010.2.031.3.3.50.39.00</v>
      </c>
      <c r="E1071" t="str">
        <f>VLOOKUP(LEFT(A1071,2),ConsolidadoLoa27_ATIVIDADES!A:I,9,0)</f>
        <v>12 - SECRETARIA DE ESPORTE, RECREAÇÃO E LAZER</v>
      </c>
      <c r="F1071" t="str">
        <f t="shared" si="49"/>
        <v>2.031</v>
      </c>
      <c r="G1071" t="str">
        <f t="shared" si="50"/>
        <v>08.110.0000</v>
      </c>
    </row>
    <row r="1072" spans="1:7" hidden="1" x14ac:dyDescent="0.25">
      <c r="A1072" s="6" t="s">
        <v>3138</v>
      </c>
      <c r="B1072" s="28">
        <v>0</v>
      </c>
      <c r="C1072" s="6" t="s">
        <v>3148</v>
      </c>
      <c r="D1072" t="str">
        <f t="shared" si="48"/>
        <v>12.001.27.812.0010.2.031.3.3.50.39.00</v>
      </c>
      <c r="E1072" t="str">
        <f>VLOOKUP(LEFT(A1072,2),ConsolidadoLoa27_ATIVIDADES!A:I,9,0)</f>
        <v>12 - SECRETARIA DE ESPORTE, RECREAÇÃO E LAZER</v>
      </c>
      <c r="F1072" t="str">
        <f t="shared" si="49"/>
        <v>2.031</v>
      </c>
      <c r="G1072" t="str">
        <f t="shared" si="50"/>
        <v>08.110.0000</v>
      </c>
    </row>
    <row r="1073" spans="1:7" hidden="1" x14ac:dyDescent="0.25">
      <c r="A1073" s="6" t="s">
        <v>3138</v>
      </c>
      <c r="B1073" s="28">
        <v>0</v>
      </c>
      <c r="C1073" s="6" t="s">
        <v>3149</v>
      </c>
      <c r="D1073" t="str">
        <f t="shared" si="48"/>
        <v>12.001.27.812.0010.2.031.3.3.50.39.00</v>
      </c>
      <c r="E1073" t="str">
        <f>VLOOKUP(LEFT(A1073,2),ConsolidadoLoa27_ATIVIDADES!A:I,9,0)</f>
        <v>12 - SECRETARIA DE ESPORTE, RECREAÇÃO E LAZER</v>
      </c>
      <c r="F1073" t="str">
        <f t="shared" si="49"/>
        <v>2.031</v>
      </c>
      <c r="G1073" t="str">
        <f t="shared" si="50"/>
        <v>08.110.0000</v>
      </c>
    </row>
    <row r="1074" spans="1:7" hidden="1" x14ac:dyDescent="0.25">
      <c r="A1074" s="6" t="s">
        <v>3138</v>
      </c>
      <c r="B1074" s="28">
        <v>0</v>
      </c>
      <c r="C1074" s="6" t="s">
        <v>3150</v>
      </c>
      <c r="D1074" t="str">
        <f t="shared" si="48"/>
        <v>12.001.27.812.0010.2.031.3.3.50.39.00</v>
      </c>
      <c r="E1074" t="str">
        <f>VLOOKUP(LEFT(A1074,2),ConsolidadoLoa27_ATIVIDADES!A:I,9,0)</f>
        <v>12 - SECRETARIA DE ESPORTE, RECREAÇÃO E LAZER</v>
      </c>
      <c r="F1074" t="str">
        <f t="shared" si="49"/>
        <v>2.031</v>
      </c>
      <c r="G1074" t="str">
        <f t="shared" si="50"/>
        <v>08.110.0000</v>
      </c>
    </row>
    <row r="1075" spans="1:7" hidden="1" x14ac:dyDescent="0.25">
      <c r="A1075" s="6" t="s">
        <v>3138</v>
      </c>
      <c r="B1075" s="28">
        <v>0</v>
      </c>
      <c r="C1075" s="6" t="s">
        <v>3151</v>
      </c>
      <c r="D1075" t="str">
        <f t="shared" si="48"/>
        <v>12.001.27.812.0010.2.031.3.3.50.39.00</v>
      </c>
      <c r="E1075" t="str">
        <f>VLOOKUP(LEFT(A1075,2),ConsolidadoLoa27_ATIVIDADES!A:I,9,0)</f>
        <v>12 - SECRETARIA DE ESPORTE, RECREAÇÃO E LAZER</v>
      </c>
      <c r="F1075" t="str">
        <f t="shared" si="49"/>
        <v>2.031</v>
      </c>
      <c r="G1075" t="str">
        <f t="shared" si="50"/>
        <v>08.110.0000</v>
      </c>
    </row>
    <row r="1076" spans="1:7" hidden="1" x14ac:dyDescent="0.25">
      <c r="A1076" s="6" t="s">
        <v>3138</v>
      </c>
      <c r="B1076" s="28">
        <v>0</v>
      </c>
      <c r="C1076" s="6" t="s">
        <v>3152</v>
      </c>
      <c r="D1076" t="str">
        <f t="shared" si="48"/>
        <v>12.001.27.812.0010.2.031.3.3.50.39.00</v>
      </c>
      <c r="E1076" t="str">
        <f>VLOOKUP(LEFT(A1076,2),ConsolidadoLoa27_ATIVIDADES!A:I,9,0)</f>
        <v>12 - SECRETARIA DE ESPORTE, RECREAÇÃO E LAZER</v>
      </c>
      <c r="F1076" t="str">
        <f t="shared" si="49"/>
        <v>2.031</v>
      </c>
      <c r="G1076" t="str">
        <f t="shared" si="50"/>
        <v>08.110.0000</v>
      </c>
    </row>
    <row r="1077" spans="1:7" hidden="1" x14ac:dyDescent="0.25">
      <c r="A1077" s="6" t="s">
        <v>3138</v>
      </c>
      <c r="B1077" s="28">
        <v>0</v>
      </c>
      <c r="C1077" s="6" t="s">
        <v>3153</v>
      </c>
      <c r="D1077" t="str">
        <f t="shared" si="48"/>
        <v>12.001.27.812.0010.2.031.3.3.50.39.00</v>
      </c>
      <c r="E1077" t="str">
        <f>VLOOKUP(LEFT(A1077,2),ConsolidadoLoa27_ATIVIDADES!A:I,9,0)</f>
        <v>12 - SECRETARIA DE ESPORTE, RECREAÇÃO E LAZER</v>
      </c>
      <c r="F1077" t="str">
        <f t="shared" si="49"/>
        <v>2.031</v>
      </c>
      <c r="G1077" t="str">
        <f t="shared" si="50"/>
        <v>08.110.0000</v>
      </c>
    </row>
    <row r="1078" spans="1:7" hidden="1" x14ac:dyDescent="0.25">
      <c r="A1078" s="6" t="s">
        <v>3138</v>
      </c>
      <c r="B1078" s="28">
        <v>0</v>
      </c>
      <c r="C1078" s="6" t="s">
        <v>3154</v>
      </c>
      <c r="D1078" t="str">
        <f t="shared" si="48"/>
        <v>12.001.27.812.0010.2.031.3.3.50.39.00</v>
      </c>
      <c r="E1078" t="str">
        <f>VLOOKUP(LEFT(A1078,2),ConsolidadoLoa27_ATIVIDADES!A:I,9,0)</f>
        <v>12 - SECRETARIA DE ESPORTE, RECREAÇÃO E LAZER</v>
      </c>
      <c r="F1078" t="str">
        <f t="shared" si="49"/>
        <v>2.031</v>
      </c>
      <c r="G1078" t="str">
        <f t="shared" si="50"/>
        <v>08.110.0000</v>
      </c>
    </row>
    <row r="1079" spans="1:7" hidden="1" x14ac:dyDescent="0.25">
      <c r="A1079" s="6" t="s">
        <v>3138</v>
      </c>
      <c r="B1079" s="28">
        <v>0</v>
      </c>
      <c r="C1079" s="6" t="s">
        <v>3155</v>
      </c>
      <c r="D1079" t="str">
        <f t="shared" si="48"/>
        <v>12.001.27.812.0010.2.031.3.3.50.39.00</v>
      </c>
      <c r="E1079" t="str">
        <f>VLOOKUP(LEFT(A1079,2),ConsolidadoLoa27_ATIVIDADES!A:I,9,0)</f>
        <v>12 - SECRETARIA DE ESPORTE, RECREAÇÃO E LAZER</v>
      </c>
      <c r="F1079" t="str">
        <f t="shared" si="49"/>
        <v>2.031</v>
      </c>
      <c r="G1079" t="str">
        <f t="shared" si="50"/>
        <v>08.110.0000</v>
      </c>
    </row>
    <row r="1080" spans="1:7" hidden="1" x14ac:dyDescent="0.25">
      <c r="A1080" s="6" t="s">
        <v>3138</v>
      </c>
      <c r="B1080" s="28">
        <v>0</v>
      </c>
      <c r="C1080" s="6" t="s">
        <v>3156</v>
      </c>
      <c r="D1080" t="str">
        <f t="shared" si="48"/>
        <v>12.001.27.812.0010.2.031.3.3.50.39.00</v>
      </c>
      <c r="E1080" t="str">
        <f>VLOOKUP(LEFT(A1080,2),ConsolidadoLoa27_ATIVIDADES!A:I,9,0)</f>
        <v>12 - SECRETARIA DE ESPORTE, RECREAÇÃO E LAZER</v>
      </c>
      <c r="F1080" t="str">
        <f t="shared" si="49"/>
        <v>2.031</v>
      </c>
      <c r="G1080" t="str">
        <f t="shared" si="50"/>
        <v>08.110.0000</v>
      </c>
    </row>
    <row r="1081" spans="1:7" hidden="1" x14ac:dyDescent="0.25">
      <c r="A1081" s="6" t="s">
        <v>3157</v>
      </c>
      <c r="B1081" s="28">
        <v>60952.566899999998</v>
      </c>
      <c r="C1081" s="6" t="s">
        <v>2956</v>
      </c>
      <c r="D1081" t="str">
        <f t="shared" si="48"/>
        <v>12.001.27.812.0010.2.031.3.3.90.30.00</v>
      </c>
      <c r="E1081" t="str">
        <f>VLOOKUP(LEFT(A1081,2),ConsolidadoLoa27_ATIVIDADES!A:I,9,0)</f>
        <v>12 - SECRETARIA DE ESPORTE, RECREAÇÃO E LAZER</v>
      </c>
      <c r="F1081" t="str">
        <f t="shared" si="49"/>
        <v>2.031</v>
      </c>
      <c r="G1081" t="str">
        <f t="shared" si="50"/>
        <v>01.110.0000</v>
      </c>
    </row>
    <row r="1082" spans="1:7" hidden="1" x14ac:dyDescent="0.25">
      <c r="A1082" s="6" t="s">
        <v>3158</v>
      </c>
      <c r="B1082" s="28">
        <v>0</v>
      </c>
      <c r="C1082" s="6" t="s">
        <v>3159</v>
      </c>
      <c r="D1082" t="str">
        <f t="shared" si="48"/>
        <v>12.001.27.812.0010.2.031.3.3.90.30.00</v>
      </c>
      <c r="E1082" t="str">
        <f>VLOOKUP(LEFT(A1082,2),ConsolidadoLoa27_ATIVIDADES!A:I,9,0)</f>
        <v>12 - SECRETARIA DE ESPORTE, RECREAÇÃO E LAZER</v>
      </c>
      <c r="F1082" t="str">
        <f t="shared" si="49"/>
        <v>2.031</v>
      </c>
      <c r="G1082" t="str">
        <f t="shared" si="50"/>
        <v>08.110.0000</v>
      </c>
    </row>
    <row r="1083" spans="1:7" hidden="1" x14ac:dyDescent="0.25">
      <c r="A1083" s="6" t="s">
        <v>3160</v>
      </c>
      <c r="B1083" s="28">
        <v>0</v>
      </c>
      <c r="C1083" s="6" t="s">
        <v>3161</v>
      </c>
      <c r="D1083" t="str">
        <f t="shared" si="48"/>
        <v>12.001.27.812.0010.2.031.3.3.90.31.00</v>
      </c>
      <c r="E1083" t="str">
        <f>VLOOKUP(LEFT(A1083,2),ConsolidadoLoa27_ATIVIDADES!A:I,9,0)</f>
        <v>12 - SECRETARIA DE ESPORTE, RECREAÇÃO E LAZER</v>
      </c>
      <c r="F1083" t="str">
        <f t="shared" si="49"/>
        <v>2.031</v>
      </c>
      <c r="G1083" t="str">
        <f t="shared" si="50"/>
        <v>08.110.0000</v>
      </c>
    </row>
    <row r="1084" spans="1:7" hidden="1" x14ac:dyDescent="0.25">
      <c r="A1084" s="6" t="s">
        <v>3162</v>
      </c>
      <c r="B1084" s="28">
        <v>1</v>
      </c>
      <c r="C1084" s="6" t="s">
        <v>3163</v>
      </c>
      <c r="D1084" t="str">
        <f t="shared" si="48"/>
        <v>12.001.27.812.0010.2.031.3.3.90.39.00</v>
      </c>
      <c r="E1084" t="str">
        <f>VLOOKUP(LEFT(A1084,2),ConsolidadoLoa27_ATIVIDADES!A:I,9,0)</f>
        <v>12 - SECRETARIA DE ESPORTE, RECREAÇÃO E LAZER</v>
      </c>
      <c r="F1084" t="str">
        <f t="shared" si="49"/>
        <v>2.031</v>
      </c>
      <c r="G1084" t="str">
        <f t="shared" si="50"/>
        <v>01.110.0000</v>
      </c>
    </row>
    <row r="1085" spans="1:7" hidden="1" x14ac:dyDescent="0.25">
      <c r="A1085" s="6" t="s">
        <v>3164</v>
      </c>
      <c r="B1085" s="28">
        <v>0</v>
      </c>
      <c r="C1085" s="6" t="s">
        <v>3159</v>
      </c>
      <c r="D1085" t="str">
        <f t="shared" si="48"/>
        <v>12.001.27.812.0010.2.031.3.3.90.39.00</v>
      </c>
      <c r="E1085" t="str">
        <f>VLOOKUP(LEFT(A1085,2),ConsolidadoLoa27_ATIVIDADES!A:I,9,0)</f>
        <v>12 - SECRETARIA DE ESPORTE, RECREAÇÃO E LAZER</v>
      </c>
      <c r="F1085" t="str">
        <f t="shared" si="49"/>
        <v>2.031</v>
      </c>
      <c r="G1085" t="str">
        <f t="shared" si="50"/>
        <v>08.110.0000</v>
      </c>
    </row>
    <row r="1086" spans="1:7" hidden="1" x14ac:dyDescent="0.25">
      <c r="A1086" s="6" t="s">
        <v>3165</v>
      </c>
      <c r="B1086" s="28">
        <v>0</v>
      </c>
      <c r="C1086" s="6" t="s">
        <v>3139</v>
      </c>
      <c r="D1086" t="str">
        <f t="shared" si="48"/>
        <v>12.001.27.812.0010.2.031.4.4.50.52.00</v>
      </c>
      <c r="E1086" t="str">
        <f>VLOOKUP(LEFT(A1086,2),ConsolidadoLoa27_ATIVIDADES!A:I,9,0)</f>
        <v>12 - SECRETARIA DE ESPORTE, RECREAÇÃO E LAZER</v>
      </c>
      <c r="F1086" t="str">
        <f t="shared" si="49"/>
        <v>2.031</v>
      </c>
      <c r="G1086" t="str">
        <f t="shared" si="50"/>
        <v>08.110.0000</v>
      </c>
    </row>
    <row r="1087" spans="1:7" hidden="1" x14ac:dyDescent="0.25">
      <c r="A1087" s="6" t="s">
        <v>3165</v>
      </c>
      <c r="B1087" s="28">
        <v>0</v>
      </c>
      <c r="C1087" s="6" t="s">
        <v>3143</v>
      </c>
      <c r="D1087" t="str">
        <f t="shared" si="48"/>
        <v>12.001.27.812.0010.2.031.4.4.50.52.00</v>
      </c>
      <c r="E1087" t="str">
        <f>VLOOKUP(LEFT(A1087,2),ConsolidadoLoa27_ATIVIDADES!A:I,9,0)</f>
        <v>12 - SECRETARIA DE ESPORTE, RECREAÇÃO E LAZER</v>
      </c>
      <c r="F1087" t="str">
        <f t="shared" si="49"/>
        <v>2.031</v>
      </c>
      <c r="G1087" t="str">
        <f t="shared" si="50"/>
        <v>08.110.0000</v>
      </c>
    </row>
    <row r="1088" spans="1:7" hidden="1" x14ac:dyDescent="0.25">
      <c r="A1088" s="6" t="s">
        <v>3165</v>
      </c>
      <c r="B1088" s="28">
        <v>0</v>
      </c>
      <c r="C1088" s="6" t="s">
        <v>3151</v>
      </c>
      <c r="D1088" t="str">
        <f t="shared" si="48"/>
        <v>12.001.27.812.0010.2.031.4.4.50.52.00</v>
      </c>
      <c r="E1088" t="str">
        <f>VLOOKUP(LEFT(A1088,2),ConsolidadoLoa27_ATIVIDADES!A:I,9,0)</f>
        <v>12 - SECRETARIA DE ESPORTE, RECREAÇÃO E LAZER</v>
      </c>
      <c r="F1088" t="str">
        <f t="shared" si="49"/>
        <v>2.031</v>
      </c>
      <c r="G1088" t="str">
        <f t="shared" si="50"/>
        <v>08.110.0000</v>
      </c>
    </row>
    <row r="1089" spans="1:7" hidden="1" x14ac:dyDescent="0.25">
      <c r="A1089" s="6" t="s">
        <v>3166</v>
      </c>
      <c r="B1089" s="28">
        <v>0</v>
      </c>
      <c r="C1089" s="6" t="s">
        <v>3159</v>
      </c>
      <c r="D1089" t="str">
        <f t="shared" si="48"/>
        <v>12.001.27.812.0010.2.031.4.4.90.52.00</v>
      </c>
      <c r="E1089" t="str">
        <f>VLOOKUP(LEFT(A1089,2),ConsolidadoLoa27_ATIVIDADES!A:I,9,0)</f>
        <v>12 - SECRETARIA DE ESPORTE, RECREAÇÃO E LAZER</v>
      </c>
      <c r="F1089" t="str">
        <f t="shared" si="49"/>
        <v>2.031</v>
      </c>
      <c r="G1089" t="str">
        <f t="shared" si="50"/>
        <v>08.110.0000</v>
      </c>
    </row>
    <row r="1090" spans="1:7" hidden="1" x14ac:dyDescent="0.25">
      <c r="A1090" s="6" t="s">
        <v>3167</v>
      </c>
      <c r="B1090" s="28">
        <v>173277.19870000001</v>
      </c>
      <c r="C1090" s="6" t="s">
        <v>2956</v>
      </c>
      <c r="D1090" t="str">
        <f t="shared" si="48"/>
        <v>12.001.27.812.0010.2.032.3.3.90.30.00</v>
      </c>
      <c r="E1090" t="str">
        <f>VLOOKUP(LEFT(A1090,2),ConsolidadoLoa27_ATIVIDADES!A:I,9,0)</f>
        <v>12 - SECRETARIA DE ESPORTE, RECREAÇÃO E LAZER</v>
      </c>
      <c r="F1090" t="str">
        <f t="shared" si="49"/>
        <v>2.032</v>
      </c>
      <c r="G1090" t="str">
        <f t="shared" si="50"/>
        <v>01.110.0000</v>
      </c>
    </row>
    <row r="1091" spans="1:7" hidden="1" x14ac:dyDescent="0.25">
      <c r="A1091" s="6" t="s">
        <v>3167</v>
      </c>
      <c r="B1091" s="28">
        <v>1</v>
      </c>
      <c r="C1091" s="6" t="s">
        <v>245</v>
      </c>
      <c r="D1091" t="str">
        <f t="shared" ref="D1091:D1154" si="51">_xlfn.CONCAT(LEFT(A1091,34),".00")</f>
        <v>12.001.27.812.0010.2.032.3.3.90.30.00</v>
      </c>
      <c r="E1091" t="str">
        <f>VLOOKUP(LEFT(A1091,2),ConsolidadoLoa27_ATIVIDADES!A:I,9,0)</f>
        <v>12 - SECRETARIA DE ESPORTE, RECREAÇÃO E LAZER</v>
      </c>
      <c r="F1091" t="str">
        <f t="shared" ref="F1091:F1154" si="52">MID(A1091,20,5)</f>
        <v>2.032</v>
      </c>
      <c r="G1091" t="str">
        <f t="shared" ref="G1091:G1154" si="53">RIGHT(A1091,11)</f>
        <v>01.110.0000</v>
      </c>
    </row>
    <row r="1092" spans="1:7" hidden="1" x14ac:dyDescent="0.25">
      <c r="A1092" s="6" t="s">
        <v>3168</v>
      </c>
      <c r="B1092" s="28">
        <v>1</v>
      </c>
      <c r="C1092" s="6" t="s">
        <v>3169</v>
      </c>
      <c r="D1092" t="str">
        <f t="shared" si="51"/>
        <v>12.001.27.812.0010.2.032.3.3.90.39.00</v>
      </c>
      <c r="E1092" t="str">
        <f>VLOOKUP(LEFT(A1092,2),ConsolidadoLoa27_ATIVIDADES!A:I,9,0)</f>
        <v>12 - SECRETARIA DE ESPORTE, RECREAÇÃO E LAZER</v>
      </c>
      <c r="F1092" t="str">
        <f t="shared" si="52"/>
        <v>2.032</v>
      </c>
      <c r="G1092" t="str">
        <f t="shared" si="53"/>
        <v>01.110.0000</v>
      </c>
    </row>
    <row r="1093" spans="1:7" hidden="1" x14ac:dyDescent="0.25">
      <c r="A1093" s="6" t="s">
        <v>3170</v>
      </c>
      <c r="B1093" s="28">
        <v>702215.46719999996</v>
      </c>
      <c r="C1093" s="6" t="s">
        <v>3131</v>
      </c>
      <c r="D1093" t="str">
        <f t="shared" si="51"/>
        <v>12.001.27.812.0010.2028.3.3.50.39..00</v>
      </c>
      <c r="E1093" t="str">
        <f>VLOOKUP(LEFT(A1093,2),ConsolidadoLoa27_ATIVIDADES!A:I,9,0)</f>
        <v>12 - SECRETARIA DE ESPORTE, RECREAÇÃO E LAZER</v>
      </c>
      <c r="F1093" t="str">
        <f t="shared" si="52"/>
        <v>2028.</v>
      </c>
      <c r="G1093" t="str">
        <f t="shared" si="53"/>
        <v>01.110.0000</v>
      </c>
    </row>
    <row r="1094" spans="1:7" hidden="1" x14ac:dyDescent="0.25">
      <c r="A1094" s="6" t="s">
        <v>3171</v>
      </c>
      <c r="B1094" s="28">
        <v>1</v>
      </c>
      <c r="C1094" s="6" t="s">
        <v>3172</v>
      </c>
      <c r="D1094" t="str">
        <f t="shared" si="51"/>
        <v>13.001.04.121.0004.1.001.3.3.90.35.00</v>
      </c>
      <c r="E1094" t="str">
        <f>VLOOKUP(LEFT(A1094,2),ConsolidadoLoa27_ATIVIDADES!A:I,9,0)</f>
        <v>13 - SECRETARIA DE HABITAÇÃO</v>
      </c>
      <c r="F1094" t="str">
        <f t="shared" si="52"/>
        <v>1.001</v>
      </c>
      <c r="G1094" t="str">
        <f t="shared" si="53"/>
        <v>01.110.0000</v>
      </c>
    </row>
    <row r="1095" spans="1:7" hidden="1" x14ac:dyDescent="0.25">
      <c r="A1095" s="6" t="s">
        <v>3173</v>
      </c>
      <c r="B1095" s="28">
        <v>1</v>
      </c>
      <c r="C1095" s="6" t="s">
        <v>3174</v>
      </c>
      <c r="D1095" t="str">
        <f t="shared" si="51"/>
        <v>13.001.04.122.0001.1.002.3.3.90.39.00</v>
      </c>
      <c r="E1095" t="str">
        <f>VLOOKUP(LEFT(A1095,2),ConsolidadoLoa27_ATIVIDADES!A:I,9,0)</f>
        <v>13 - SECRETARIA DE HABITAÇÃO</v>
      </c>
      <c r="F1095" t="str">
        <f t="shared" si="52"/>
        <v>1.002</v>
      </c>
      <c r="G1095" t="str">
        <f t="shared" si="53"/>
        <v>01.110.0000</v>
      </c>
    </row>
    <row r="1096" spans="1:7" hidden="1" x14ac:dyDescent="0.25">
      <c r="A1096" s="6" t="s">
        <v>3175</v>
      </c>
      <c r="B1096" s="28">
        <v>13887930.15</v>
      </c>
      <c r="C1096" s="6" t="s">
        <v>847</v>
      </c>
      <c r="D1096" t="str">
        <f t="shared" si="51"/>
        <v>13.001.04.122.0001.2.001.3.1.90.11.00</v>
      </c>
      <c r="E1096" t="str">
        <f>VLOOKUP(LEFT(A1096,2),ConsolidadoLoa27_ATIVIDADES!A:I,9,0)</f>
        <v>13 - SECRETARIA DE HABITAÇÃO</v>
      </c>
      <c r="F1096" t="str">
        <f t="shared" si="52"/>
        <v>2.001</v>
      </c>
      <c r="G1096" t="str">
        <f t="shared" si="53"/>
        <v>01.110.0000</v>
      </c>
    </row>
    <row r="1097" spans="1:7" hidden="1" x14ac:dyDescent="0.25">
      <c r="A1097" s="6" t="s">
        <v>3176</v>
      </c>
      <c r="B1097" s="28">
        <v>1477097.15</v>
      </c>
      <c r="C1097" s="6" t="s">
        <v>847</v>
      </c>
      <c r="D1097" t="str">
        <f t="shared" si="51"/>
        <v>13.001.04.122.0001.2.001.3.1.90.13.00</v>
      </c>
      <c r="E1097" t="str">
        <f>VLOOKUP(LEFT(A1097,2),ConsolidadoLoa27_ATIVIDADES!A:I,9,0)</f>
        <v>13 - SECRETARIA DE HABITAÇÃO</v>
      </c>
      <c r="F1097" t="str">
        <f t="shared" si="52"/>
        <v>2.001</v>
      </c>
      <c r="G1097" t="str">
        <f t="shared" si="53"/>
        <v>01.110.0000</v>
      </c>
    </row>
    <row r="1098" spans="1:7" hidden="1" x14ac:dyDescent="0.25">
      <c r="A1098" s="6" t="s">
        <v>3177</v>
      </c>
      <c r="B1098" s="28">
        <v>1166361.26</v>
      </c>
      <c r="C1098" s="12" t="s">
        <v>847</v>
      </c>
      <c r="D1098" t="str">
        <f t="shared" si="51"/>
        <v>13.001.04.122.0001.2.001.3.1.91.13.00</v>
      </c>
      <c r="E1098" t="str">
        <f>VLOOKUP(LEFT(A1098,2),ConsolidadoLoa27_ATIVIDADES!A:I,9,0)</f>
        <v>13 - SECRETARIA DE HABITAÇÃO</v>
      </c>
      <c r="F1098" t="str">
        <f t="shared" si="52"/>
        <v>2.001</v>
      </c>
      <c r="G1098" t="str">
        <f t="shared" si="53"/>
        <v>01.110.0000</v>
      </c>
    </row>
    <row r="1099" spans="1:7" hidden="1" x14ac:dyDescent="0.25">
      <c r="A1099" s="6" t="s">
        <v>3178</v>
      </c>
      <c r="B1099" s="28">
        <v>2.1800000000000002</v>
      </c>
      <c r="C1099" s="6" t="s">
        <v>2278</v>
      </c>
      <c r="D1099" t="str">
        <f t="shared" si="51"/>
        <v>13.001.04.122.0001.2.001.3.3.90.46.00</v>
      </c>
      <c r="E1099" t="str">
        <f>VLOOKUP(LEFT(A1099,2),ConsolidadoLoa27_ATIVIDADES!A:I,9,0)</f>
        <v>13 - SECRETARIA DE HABITAÇÃO</v>
      </c>
      <c r="F1099" t="str">
        <f t="shared" si="52"/>
        <v>2.001</v>
      </c>
      <c r="G1099" t="str">
        <f t="shared" si="53"/>
        <v>01.110.0000</v>
      </c>
    </row>
    <row r="1100" spans="1:7" hidden="1" x14ac:dyDescent="0.25">
      <c r="A1100" s="6" t="s">
        <v>3179</v>
      </c>
      <c r="B1100" s="28">
        <v>65720.88</v>
      </c>
      <c r="C1100" s="6" t="s">
        <v>2280</v>
      </c>
      <c r="D1100" t="str">
        <f t="shared" si="51"/>
        <v>13.001.04.122.0001.2.001.3.3.90.49.00</v>
      </c>
      <c r="E1100" t="str">
        <f>VLOOKUP(LEFT(A1100,2),ConsolidadoLoa27_ATIVIDADES!A:I,9,0)</f>
        <v>13 - SECRETARIA DE HABITAÇÃO</v>
      </c>
      <c r="F1100" t="str">
        <f t="shared" si="52"/>
        <v>2.001</v>
      </c>
      <c r="G1100" t="str">
        <f t="shared" si="53"/>
        <v>01.110.0000</v>
      </c>
    </row>
    <row r="1101" spans="1:7" hidden="1" x14ac:dyDescent="0.25">
      <c r="A1101" s="6" t="s">
        <v>3180</v>
      </c>
      <c r="B1101" s="28">
        <v>1</v>
      </c>
      <c r="C1101" s="6" t="s">
        <v>2282</v>
      </c>
      <c r="D1101" t="str">
        <f t="shared" si="51"/>
        <v>13.001.04.122.0001.2.006.3.3.90.33.00</v>
      </c>
      <c r="E1101" t="str">
        <f>VLOOKUP(LEFT(A1101,2),ConsolidadoLoa27_ATIVIDADES!A:I,9,0)</f>
        <v>13 - SECRETARIA DE HABITAÇÃO</v>
      </c>
      <c r="F1101" t="str">
        <f t="shared" si="52"/>
        <v>2.006</v>
      </c>
      <c r="G1101" t="str">
        <f t="shared" si="53"/>
        <v>01.110.0000</v>
      </c>
    </row>
    <row r="1102" spans="1:7" hidden="1" x14ac:dyDescent="0.25">
      <c r="A1102" s="6" t="s">
        <v>3181</v>
      </c>
      <c r="B1102" s="28">
        <v>1</v>
      </c>
      <c r="C1102" s="6" t="s">
        <v>421</v>
      </c>
      <c r="D1102" t="str">
        <f t="shared" si="51"/>
        <v>13.001.04.122.0001.2.006.3.3.90.39.00</v>
      </c>
      <c r="E1102" t="str">
        <f>VLOOKUP(LEFT(A1102,2),ConsolidadoLoa27_ATIVIDADES!A:I,9,0)</f>
        <v>13 - SECRETARIA DE HABITAÇÃO</v>
      </c>
      <c r="F1102" t="str">
        <f t="shared" si="52"/>
        <v>2.006</v>
      </c>
      <c r="G1102" t="str">
        <f t="shared" si="53"/>
        <v>01.110.0000</v>
      </c>
    </row>
    <row r="1103" spans="1:7" hidden="1" x14ac:dyDescent="0.25">
      <c r="A1103" s="6" t="s">
        <v>3182</v>
      </c>
      <c r="B1103" s="28">
        <v>83128</v>
      </c>
      <c r="C1103" s="6" t="s">
        <v>2318</v>
      </c>
      <c r="D1103" t="str">
        <f t="shared" si="51"/>
        <v>13.001.04.122.0001.2.011.3.3.90.30.00</v>
      </c>
      <c r="E1103" t="str">
        <f>VLOOKUP(LEFT(A1103,2),ConsolidadoLoa27_ATIVIDADES!A:I,9,0)</f>
        <v>13 - SECRETARIA DE HABITAÇÃO</v>
      </c>
      <c r="F1103" t="str">
        <f t="shared" si="52"/>
        <v>2.011</v>
      </c>
      <c r="G1103" t="str">
        <f t="shared" si="53"/>
        <v>01.110.0000</v>
      </c>
    </row>
    <row r="1104" spans="1:7" hidden="1" x14ac:dyDescent="0.25">
      <c r="A1104" s="6" t="s">
        <v>3182</v>
      </c>
      <c r="B1104" s="28">
        <v>41564</v>
      </c>
      <c r="C1104" s="6" t="s">
        <v>2288</v>
      </c>
      <c r="D1104" t="str">
        <f t="shared" si="51"/>
        <v>13.001.04.122.0001.2.011.3.3.90.30.00</v>
      </c>
      <c r="E1104" t="str">
        <f>VLOOKUP(LEFT(A1104,2),ConsolidadoLoa27_ATIVIDADES!A:I,9,0)</f>
        <v>13 - SECRETARIA DE HABITAÇÃO</v>
      </c>
      <c r="F1104" t="str">
        <f t="shared" si="52"/>
        <v>2.011</v>
      </c>
      <c r="G1104" t="str">
        <f t="shared" si="53"/>
        <v>01.110.0000</v>
      </c>
    </row>
    <row r="1105" spans="1:7" hidden="1" x14ac:dyDescent="0.25">
      <c r="A1105" s="6" t="s">
        <v>3182</v>
      </c>
      <c r="B1105" s="28">
        <v>15586.5</v>
      </c>
      <c r="C1105" s="6" t="s">
        <v>2323</v>
      </c>
      <c r="D1105" t="str">
        <f t="shared" si="51"/>
        <v>13.001.04.122.0001.2.011.3.3.90.30.00</v>
      </c>
      <c r="E1105" t="str">
        <f>VLOOKUP(LEFT(A1105,2),ConsolidadoLoa27_ATIVIDADES!A:I,9,0)</f>
        <v>13 - SECRETARIA DE HABITAÇÃO</v>
      </c>
      <c r="F1105" t="str">
        <f t="shared" si="52"/>
        <v>2.011</v>
      </c>
      <c r="G1105" t="str">
        <f t="shared" si="53"/>
        <v>01.110.0000</v>
      </c>
    </row>
    <row r="1106" spans="1:7" hidden="1" x14ac:dyDescent="0.25">
      <c r="A1106" s="6" t="s">
        <v>3182</v>
      </c>
      <c r="B1106" s="28">
        <v>83128</v>
      </c>
      <c r="C1106" s="6" t="s">
        <v>2295</v>
      </c>
      <c r="D1106" t="str">
        <f t="shared" si="51"/>
        <v>13.001.04.122.0001.2.011.3.3.90.30.00</v>
      </c>
      <c r="E1106" t="str">
        <f>VLOOKUP(LEFT(A1106,2),ConsolidadoLoa27_ATIVIDADES!A:I,9,0)</f>
        <v>13 - SECRETARIA DE HABITAÇÃO</v>
      </c>
      <c r="F1106" t="str">
        <f t="shared" si="52"/>
        <v>2.011</v>
      </c>
      <c r="G1106" t="str">
        <f t="shared" si="53"/>
        <v>01.110.0000</v>
      </c>
    </row>
    <row r="1107" spans="1:7" hidden="1" x14ac:dyDescent="0.25">
      <c r="A1107" s="6" t="s">
        <v>3182</v>
      </c>
      <c r="B1107" s="28">
        <v>31173</v>
      </c>
      <c r="C1107" s="14" t="s">
        <v>107</v>
      </c>
      <c r="D1107" t="str">
        <f t="shared" si="51"/>
        <v>13.001.04.122.0001.2.011.3.3.90.30.00</v>
      </c>
      <c r="E1107" t="str">
        <f>VLOOKUP(LEFT(A1107,2),ConsolidadoLoa27_ATIVIDADES!A:I,9,0)</f>
        <v>13 - SECRETARIA DE HABITAÇÃO</v>
      </c>
      <c r="F1107" t="str">
        <f t="shared" si="52"/>
        <v>2.011</v>
      </c>
      <c r="G1107" t="str">
        <f t="shared" si="53"/>
        <v>01.110.0000</v>
      </c>
    </row>
    <row r="1108" spans="1:7" hidden="1" x14ac:dyDescent="0.25">
      <c r="A1108" s="6" t="s">
        <v>3182</v>
      </c>
      <c r="B1108" s="28">
        <v>103910</v>
      </c>
      <c r="C1108" s="6" t="s">
        <v>2289</v>
      </c>
      <c r="D1108" t="str">
        <f t="shared" si="51"/>
        <v>13.001.04.122.0001.2.011.3.3.90.30.00</v>
      </c>
      <c r="E1108" t="str">
        <f>VLOOKUP(LEFT(A1108,2),ConsolidadoLoa27_ATIVIDADES!A:I,9,0)</f>
        <v>13 - SECRETARIA DE HABITAÇÃO</v>
      </c>
      <c r="F1108" t="str">
        <f t="shared" si="52"/>
        <v>2.011</v>
      </c>
      <c r="G1108" t="str">
        <f t="shared" si="53"/>
        <v>01.110.0000</v>
      </c>
    </row>
    <row r="1109" spans="1:7" hidden="1" x14ac:dyDescent="0.25">
      <c r="A1109" s="6" t="s">
        <v>3182</v>
      </c>
      <c r="B1109" s="28">
        <v>31173</v>
      </c>
      <c r="C1109" s="6" t="s">
        <v>104</v>
      </c>
      <c r="D1109" t="str">
        <f t="shared" si="51"/>
        <v>13.001.04.122.0001.2.011.3.3.90.30.00</v>
      </c>
      <c r="E1109" t="str">
        <f>VLOOKUP(LEFT(A1109,2),ConsolidadoLoa27_ATIVIDADES!A:I,9,0)</f>
        <v>13 - SECRETARIA DE HABITAÇÃO</v>
      </c>
      <c r="F1109" t="str">
        <f t="shared" si="52"/>
        <v>2.011</v>
      </c>
      <c r="G1109" t="str">
        <f t="shared" si="53"/>
        <v>01.110.0000</v>
      </c>
    </row>
    <row r="1110" spans="1:7" hidden="1" x14ac:dyDescent="0.25">
      <c r="A1110" s="6" t="s">
        <v>3183</v>
      </c>
      <c r="B1110" s="28">
        <v>177312</v>
      </c>
      <c r="C1110" s="14" t="s">
        <v>95</v>
      </c>
      <c r="D1110" t="str">
        <f t="shared" si="51"/>
        <v>13.001.04.122.0001.2.011.3.3.90.39.00</v>
      </c>
      <c r="E1110" t="str">
        <f>VLOOKUP(LEFT(A1110,2),ConsolidadoLoa27_ATIVIDADES!A:I,9,0)</f>
        <v>13 - SECRETARIA DE HABITAÇÃO</v>
      </c>
      <c r="F1110" t="str">
        <f t="shared" si="52"/>
        <v>2.011</v>
      </c>
      <c r="G1110" t="str">
        <f t="shared" si="53"/>
        <v>01.110.0000</v>
      </c>
    </row>
    <row r="1111" spans="1:7" hidden="1" x14ac:dyDescent="0.25">
      <c r="A1111" s="6" t="s">
        <v>3183</v>
      </c>
      <c r="B1111" s="28">
        <v>5195.5</v>
      </c>
      <c r="C1111" s="6" t="s">
        <v>3184</v>
      </c>
      <c r="D1111" t="str">
        <f t="shared" si="51"/>
        <v>13.001.04.122.0001.2.011.3.3.90.39.00</v>
      </c>
      <c r="E1111" t="str">
        <f>VLOOKUP(LEFT(A1111,2),ConsolidadoLoa27_ATIVIDADES!A:I,9,0)</f>
        <v>13 - SECRETARIA DE HABITAÇÃO</v>
      </c>
      <c r="F1111" t="str">
        <f t="shared" si="52"/>
        <v>2.011</v>
      </c>
      <c r="G1111" t="str">
        <f t="shared" si="53"/>
        <v>01.110.0000</v>
      </c>
    </row>
    <row r="1112" spans="1:7" hidden="1" x14ac:dyDescent="0.25">
      <c r="A1112" s="6" t="s">
        <v>3183</v>
      </c>
      <c r="B1112" s="28">
        <v>31173</v>
      </c>
      <c r="C1112" s="14" t="s">
        <v>107</v>
      </c>
      <c r="D1112" t="str">
        <f t="shared" si="51"/>
        <v>13.001.04.122.0001.2.011.3.3.90.39.00</v>
      </c>
      <c r="E1112" t="str">
        <f>VLOOKUP(LEFT(A1112,2),ConsolidadoLoa27_ATIVIDADES!A:I,9,0)</f>
        <v>13 - SECRETARIA DE HABITAÇÃO</v>
      </c>
      <c r="F1112" t="str">
        <f t="shared" si="52"/>
        <v>2.011</v>
      </c>
      <c r="G1112" t="str">
        <f t="shared" si="53"/>
        <v>01.110.0000</v>
      </c>
    </row>
    <row r="1113" spans="1:7" hidden="1" x14ac:dyDescent="0.25">
      <c r="A1113" s="6" t="s">
        <v>3183</v>
      </c>
      <c r="B1113" s="28">
        <v>20782</v>
      </c>
      <c r="C1113" s="6" t="s">
        <v>106</v>
      </c>
      <c r="D1113" t="str">
        <f t="shared" si="51"/>
        <v>13.001.04.122.0001.2.011.3.3.90.39.00</v>
      </c>
      <c r="E1113" t="str">
        <f>VLOOKUP(LEFT(A1113,2),ConsolidadoLoa27_ATIVIDADES!A:I,9,0)</f>
        <v>13 - SECRETARIA DE HABITAÇÃO</v>
      </c>
      <c r="F1113" t="str">
        <f t="shared" si="52"/>
        <v>2.011</v>
      </c>
      <c r="G1113" t="str">
        <f t="shared" si="53"/>
        <v>01.110.0000</v>
      </c>
    </row>
    <row r="1114" spans="1:7" hidden="1" x14ac:dyDescent="0.25">
      <c r="A1114" s="6" t="s">
        <v>3183</v>
      </c>
      <c r="B1114" s="28">
        <v>1033904.5</v>
      </c>
      <c r="C1114" s="6" t="s">
        <v>100</v>
      </c>
      <c r="D1114" t="str">
        <f t="shared" si="51"/>
        <v>13.001.04.122.0001.2.011.3.3.90.39.00</v>
      </c>
      <c r="E1114" t="str">
        <f>VLOOKUP(LEFT(A1114,2),ConsolidadoLoa27_ATIVIDADES!A:I,9,0)</f>
        <v>13 - SECRETARIA DE HABITAÇÃO</v>
      </c>
      <c r="F1114" t="str">
        <f t="shared" si="52"/>
        <v>2.011</v>
      </c>
      <c r="G1114" t="str">
        <f t="shared" si="53"/>
        <v>01.110.0000</v>
      </c>
    </row>
    <row r="1115" spans="1:7" hidden="1" x14ac:dyDescent="0.25">
      <c r="A1115" s="6" t="s">
        <v>3185</v>
      </c>
      <c r="B1115" s="28">
        <v>1558.65</v>
      </c>
      <c r="C1115" s="6" t="s">
        <v>2520</v>
      </c>
      <c r="D1115" t="str">
        <f t="shared" si="51"/>
        <v>13.001.04.122.0001.2.011.4.4.90.52.00</v>
      </c>
      <c r="E1115" t="str">
        <f>VLOOKUP(LEFT(A1115,2),ConsolidadoLoa27_ATIVIDADES!A:I,9,0)</f>
        <v>13 - SECRETARIA DE HABITAÇÃO</v>
      </c>
      <c r="F1115" t="str">
        <f t="shared" si="52"/>
        <v>2.011</v>
      </c>
      <c r="G1115" t="str">
        <f t="shared" si="53"/>
        <v>01.110.0000</v>
      </c>
    </row>
    <row r="1116" spans="1:7" hidden="1" x14ac:dyDescent="0.25">
      <c r="A1116" s="6" t="s">
        <v>3185</v>
      </c>
      <c r="B1116" s="28">
        <v>1558.65</v>
      </c>
      <c r="C1116" s="6" t="s">
        <v>2498</v>
      </c>
      <c r="D1116" t="str">
        <f t="shared" si="51"/>
        <v>13.001.04.122.0001.2.011.4.4.90.52.00</v>
      </c>
      <c r="E1116" t="str">
        <f>VLOOKUP(LEFT(A1116,2),ConsolidadoLoa27_ATIVIDADES!A:I,9,0)</f>
        <v>13 - SECRETARIA DE HABITAÇÃO</v>
      </c>
      <c r="F1116" t="str">
        <f t="shared" si="52"/>
        <v>2.011</v>
      </c>
      <c r="G1116" t="str">
        <f t="shared" si="53"/>
        <v>01.110.0000</v>
      </c>
    </row>
    <row r="1117" spans="1:7" hidden="1" x14ac:dyDescent="0.25">
      <c r="A1117" s="6" t="s">
        <v>3185</v>
      </c>
      <c r="B1117" s="28">
        <v>1558.65</v>
      </c>
      <c r="C1117" s="6" t="s">
        <v>2459</v>
      </c>
      <c r="D1117" t="str">
        <f t="shared" si="51"/>
        <v>13.001.04.122.0001.2.011.4.4.90.52.00</v>
      </c>
      <c r="E1117" t="str">
        <f>VLOOKUP(LEFT(A1117,2),ConsolidadoLoa27_ATIVIDADES!A:I,9,0)</f>
        <v>13 - SECRETARIA DE HABITAÇÃO</v>
      </c>
      <c r="F1117" t="str">
        <f t="shared" si="52"/>
        <v>2.011</v>
      </c>
      <c r="G1117" t="str">
        <f t="shared" si="53"/>
        <v>01.110.0000</v>
      </c>
    </row>
    <row r="1118" spans="1:7" hidden="1" x14ac:dyDescent="0.25">
      <c r="A1118" s="6" t="s">
        <v>3185</v>
      </c>
      <c r="B1118" s="28">
        <v>57670.05</v>
      </c>
      <c r="C1118" s="6" t="s">
        <v>2502</v>
      </c>
      <c r="D1118" t="str">
        <f t="shared" si="51"/>
        <v>13.001.04.122.0001.2.011.4.4.90.52.00</v>
      </c>
      <c r="E1118" t="str">
        <f>VLOOKUP(LEFT(A1118,2),ConsolidadoLoa27_ATIVIDADES!A:I,9,0)</f>
        <v>13 - SECRETARIA DE HABITAÇÃO</v>
      </c>
      <c r="F1118" t="str">
        <f t="shared" si="52"/>
        <v>2.011</v>
      </c>
      <c r="G1118" t="str">
        <f t="shared" si="53"/>
        <v>01.110.0000</v>
      </c>
    </row>
    <row r="1119" spans="1:7" hidden="1" x14ac:dyDescent="0.25">
      <c r="A1119" s="6" t="s">
        <v>3186</v>
      </c>
      <c r="B1119" s="28">
        <v>1</v>
      </c>
      <c r="C1119" s="6" t="s">
        <v>318</v>
      </c>
      <c r="D1119" t="str">
        <f t="shared" si="51"/>
        <v>13.001.04.128.0002.2.003.3.3.90.36.00</v>
      </c>
      <c r="E1119" t="str">
        <f>VLOOKUP(LEFT(A1119,2),ConsolidadoLoa27_ATIVIDADES!A:I,9,0)</f>
        <v>13 - SECRETARIA DE HABITAÇÃO</v>
      </c>
      <c r="F1119" t="str">
        <f t="shared" si="52"/>
        <v>2.003</v>
      </c>
      <c r="G1119" t="str">
        <f t="shared" si="53"/>
        <v>01.110.0000</v>
      </c>
    </row>
    <row r="1120" spans="1:7" hidden="1" x14ac:dyDescent="0.25">
      <c r="A1120" s="6" t="s">
        <v>3187</v>
      </c>
      <c r="B1120" s="28">
        <v>1</v>
      </c>
      <c r="C1120" s="6" t="s">
        <v>318</v>
      </c>
      <c r="D1120" t="str">
        <f t="shared" si="51"/>
        <v>13.001.04.128.0002.2.003.3.3.90.39.00</v>
      </c>
      <c r="E1120" t="str">
        <f>VLOOKUP(LEFT(A1120,2),ConsolidadoLoa27_ATIVIDADES!A:I,9,0)</f>
        <v>13 - SECRETARIA DE HABITAÇÃO</v>
      </c>
      <c r="F1120" t="str">
        <f t="shared" si="52"/>
        <v>2.003</v>
      </c>
      <c r="G1120" t="str">
        <f t="shared" si="53"/>
        <v>01.110.0000</v>
      </c>
    </row>
    <row r="1121" spans="1:7" hidden="1" x14ac:dyDescent="0.25">
      <c r="A1121" s="6" t="s">
        <v>3188</v>
      </c>
      <c r="B1121" s="28">
        <v>7793.25</v>
      </c>
      <c r="C1121" s="6" t="s">
        <v>245</v>
      </c>
      <c r="D1121" t="str">
        <f t="shared" si="51"/>
        <v>13.001.04.131.0002.2.005.3.3.90.30.00</v>
      </c>
      <c r="E1121" t="str">
        <f>VLOOKUP(LEFT(A1121,2),ConsolidadoLoa27_ATIVIDADES!A:I,9,0)</f>
        <v>13 - SECRETARIA DE HABITAÇÃO</v>
      </c>
      <c r="F1121" t="str">
        <f t="shared" si="52"/>
        <v>2.005</v>
      </c>
      <c r="G1121" t="str">
        <f t="shared" si="53"/>
        <v>01.110.0000</v>
      </c>
    </row>
    <row r="1122" spans="1:7" hidden="1" x14ac:dyDescent="0.25">
      <c r="A1122" s="6" t="s">
        <v>3189</v>
      </c>
      <c r="B1122" s="28">
        <v>10391</v>
      </c>
      <c r="C1122" s="6" t="s">
        <v>198</v>
      </c>
      <c r="D1122" t="str">
        <f t="shared" si="51"/>
        <v>13.001.04.131.0002.2.005.3.3.90.39.00</v>
      </c>
      <c r="E1122" t="str">
        <f>VLOOKUP(LEFT(A1122,2),ConsolidadoLoa27_ATIVIDADES!A:I,9,0)</f>
        <v>13 - SECRETARIA DE HABITAÇÃO</v>
      </c>
      <c r="F1122" t="str">
        <f t="shared" si="52"/>
        <v>2.005</v>
      </c>
      <c r="G1122" t="str">
        <f t="shared" si="53"/>
        <v>01.110.0000</v>
      </c>
    </row>
    <row r="1123" spans="1:7" hidden="1" x14ac:dyDescent="0.25">
      <c r="A1123" s="6" t="s">
        <v>3189</v>
      </c>
      <c r="B1123" s="28">
        <v>10391</v>
      </c>
      <c r="C1123" s="6" t="s">
        <v>2293</v>
      </c>
      <c r="D1123" t="str">
        <f t="shared" si="51"/>
        <v>13.001.04.131.0002.2.005.3.3.90.39.00</v>
      </c>
      <c r="E1123" t="str">
        <f>VLOOKUP(LEFT(A1123,2),ConsolidadoLoa27_ATIVIDADES!A:I,9,0)</f>
        <v>13 - SECRETARIA DE HABITAÇÃO</v>
      </c>
      <c r="F1123" t="str">
        <f t="shared" si="52"/>
        <v>2.005</v>
      </c>
      <c r="G1123" t="str">
        <f t="shared" si="53"/>
        <v>01.110.0000</v>
      </c>
    </row>
    <row r="1124" spans="1:7" hidden="1" x14ac:dyDescent="0.25">
      <c r="A1124" s="6" t="s">
        <v>3189</v>
      </c>
      <c r="B1124" s="28">
        <v>1</v>
      </c>
      <c r="C1124" s="6" t="s">
        <v>196</v>
      </c>
      <c r="D1124" t="str">
        <f t="shared" si="51"/>
        <v>13.001.04.131.0002.2.005.3.3.90.39.00</v>
      </c>
      <c r="E1124" t="str">
        <f>VLOOKUP(LEFT(A1124,2),ConsolidadoLoa27_ATIVIDADES!A:I,9,0)</f>
        <v>13 - SECRETARIA DE HABITAÇÃO</v>
      </c>
      <c r="F1124" t="str">
        <f t="shared" si="52"/>
        <v>2.005</v>
      </c>
      <c r="G1124" t="str">
        <f t="shared" si="53"/>
        <v>01.110.0000</v>
      </c>
    </row>
    <row r="1125" spans="1:7" hidden="1" x14ac:dyDescent="0.25">
      <c r="A1125" s="6" t="s">
        <v>3190</v>
      </c>
      <c r="B1125" s="28">
        <v>10091205</v>
      </c>
      <c r="C1125" s="6" t="s">
        <v>3191</v>
      </c>
      <c r="D1125" t="str">
        <f t="shared" si="51"/>
        <v>13.001.16.244.0012.2.040.3.3.90.48.00</v>
      </c>
      <c r="E1125" t="str">
        <f>VLOOKUP(LEFT(A1125,2),ConsolidadoLoa27_ATIVIDADES!A:I,9,0)</f>
        <v>13 - SECRETARIA DE HABITAÇÃO</v>
      </c>
      <c r="F1125" t="str">
        <f t="shared" si="52"/>
        <v>2.040</v>
      </c>
      <c r="G1125" t="str">
        <f t="shared" si="53"/>
        <v>01.110.0000</v>
      </c>
    </row>
    <row r="1126" spans="1:7" hidden="1" x14ac:dyDescent="0.25">
      <c r="A1126" s="6" t="s">
        <v>3192</v>
      </c>
      <c r="B1126" s="28">
        <v>111751.11209999956</v>
      </c>
      <c r="C1126" s="6" t="s">
        <v>3191</v>
      </c>
      <c r="D1126" t="str">
        <f t="shared" si="51"/>
        <v>13.001.16.244.0012.2.040.3.3.90.48.00</v>
      </c>
      <c r="E1126" t="str">
        <f>VLOOKUP(LEFT(A1126,2),ConsolidadoLoa27_ATIVIDADES!A:I,9,0)</f>
        <v>13 - SECRETARIA DE HABITAÇÃO</v>
      </c>
      <c r="F1126" t="str">
        <f t="shared" si="52"/>
        <v>2.040</v>
      </c>
      <c r="G1126" t="str">
        <f t="shared" si="53"/>
        <v>03.100.0000</v>
      </c>
    </row>
    <row r="1127" spans="1:7" hidden="1" x14ac:dyDescent="0.25">
      <c r="A1127" s="6" t="s">
        <v>3193</v>
      </c>
      <c r="B1127" s="28">
        <v>0</v>
      </c>
      <c r="C1127" s="6" t="s">
        <v>3194</v>
      </c>
      <c r="D1127" t="str">
        <f t="shared" si="51"/>
        <v>13.001.16.482.0012.1.009.4.4.90.51.00</v>
      </c>
      <c r="E1127" t="str">
        <f>VLOOKUP(LEFT(A1127,2),ConsolidadoLoa27_ATIVIDADES!A:I,9,0)</f>
        <v>13 - SECRETARIA DE HABITAÇÃO</v>
      </c>
      <c r="F1127" t="str">
        <f t="shared" si="52"/>
        <v>1.009</v>
      </c>
      <c r="G1127" t="str">
        <f t="shared" si="53"/>
        <v>01.110.0000</v>
      </c>
    </row>
    <row r="1128" spans="1:7" hidden="1" x14ac:dyDescent="0.25">
      <c r="A1128" s="6" t="s">
        <v>3195</v>
      </c>
      <c r="B1128" s="28">
        <v>685299.78</v>
      </c>
      <c r="C1128" s="6" t="s">
        <v>3194</v>
      </c>
      <c r="D1128" t="str">
        <f t="shared" si="51"/>
        <v>13.001.16.482.0012.1.009.4.4.90.51.00</v>
      </c>
      <c r="E1128" t="str">
        <f>VLOOKUP(LEFT(A1128,2),ConsolidadoLoa27_ATIVIDADES!A:I,9,0)</f>
        <v>13 - SECRETARIA DE HABITAÇÃO</v>
      </c>
      <c r="F1128" t="str">
        <f t="shared" si="52"/>
        <v>1.009</v>
      </c>
      <c r="G1128" t="str">
        <f t="shared" si="53"/>
        <v>05.110.0000</v>
      </c>
    </row>
    <row r="1129" spans="1:7" hidden="1" x14ac:dyDescent="0.25">
      <c r="A1129" s="6" t="s">
        <v>3193</v>
      </c>
      <c r="B1129" s="28">
        <v>0</v>
      </c>
      <c r="C1129" s="6" t="s">
        <v>3196</v>
      </c>
      <c r="D1129" t="str">
        <f t="shared" si="51"/>
        <v>13.001.16.482.0012.1.009.4.4.90.51.00</v>
      </c>
      <c r="E1129" t="str">
        <f>VLOOKUP(LEFT(A1129,2),ConsolidadoLoa27_ATIVIDADES!A:I,9,0)</f>
        <v>13 - SECRETARIA DE HABITAÇÃO</v>
      </c>
      <c r="F1129" t="str">
        <f t="shared" si="52"/>
        <v>1.009</v>
      </c>
      <c r="G1129" t="str">
        <f t="shared" si="53"/>
        <v>01.110.0000</v>
      </c>
    </row>
    <row r="1130" spans="1:7" hidden="1" x14ac:dyDescent="0.25">
      <c r="A1130" s="6" t="s">
        <v>3193</v>
      </c>
      <c r="B1130" s="28">
        <v>2324488.2200000002</v>
      </c>
      <c r="C1130" s="6" t="s">
        <v>3197</v>
      </c>
      <c r="D1130" t="str">
        <f t="shared" si="51"/>
        <v>13.001.16.482.0012.1.009.4.4.90.51.00</v>
      </c>
      <c r="E1130" t="str">
        <f>VLOOKUP(LEFT(A1130,2),ConsolidadoLoa27_ATIVIDADES!A:I,9,0)</f>
        <v>13 - SECRETARIA DE HABITAÇÃO</v>
      </c>
      <c r="F1130" t="str">
        <f t="shared" si="52"/>
        <v>1.009</v>
      </c>
      <c r="G1130" t="str">
        <f t="shared" si="53"/>
        <v>01.110.0000</v>
      </c>
    </row>
    <row r="1131" spans="1:7" hidden="1" x14ac:dyDescent="0.25">
      <c r="A1131" s="6" t="s">
        <v>3198</v>
      </c>
      <c r="B1131" s="28">
        <v>777197</v>
      </c>
      <c r="C1131" s="6" t="s">
        <v>3194</v>
      </c>
      <c r="D1131" t="str">
        <f t="shared" si="51"/>
        <v>13.001.16.482.0012.1.009.4.4.90.51.00</v>
      </c>
      <c r="E1131" t="str">
        <f>VLOOKUP(LEFT(A1131,2),ConsolidadoLoa27_ATIVIDADES!A:I,9,0)</f>
        <v>13 - SECRETARIA DE HABITAÇÃO</v>
      </c>
      <c r="F1131" t="str">
        <f t="shared" si="52"/>
        <v>1.009</v>
      </c>
      <c r="G1131" t="str">
        <f t="shared" si="53"/>
        <v>05.100.0000</v>
      </c>
    </row>
    <row r="1132" spans="1:7" hidden="1" x14ac:dyDescent="0.25">
      <c r="A1132" s="6" t="s">
        <v>3198</v>
      </c>
      <c r="B1132" s="28">
        <v>14566102</v>
      </c>
      <c r="C1132" s="6" t="s">
        <v>3196</v>
      </c>
      <c r="D1132" t="str">
        <f t="shared" si="51"/>
        <v>13.001.16.482.0012.1.009.4.4.90.51.00</v>
      </c>
      <c r="E1132" t="str">
        <f>VLOOKUP(LEFT(A1132,2),ConsolidadoLoa27_ATIVIDADES!A:I,9,0)</f>
        <v>13 - SECRETARIA DE HABITAÇÃO</v>
      </c>
      <c r="F1132" t="str">
        <f t="shared" si="52"/>
        <v>1.009</v>
      </c>
      <c r="G1132" t="str">
        <f t="shared" si="53"/>
        <v>05.100.0000</v>
      </c>
    </row>
    <row r="1133" spans="1:7" hidden="1" x14ac:dyDescent="0.25">
      <c r="A1133" s="6" t="s">
        <v>3198</v>
      </c>
      <c r="B1133" s="28">
        <v>478745</v>
      </c>
      <c r="C1133" s="6" t="s">
        <v>3197</v>
      </c>
      <c r="D1133" t="str">
        <f t="shared" si="51"/>
        <v>13.001.16.482.0012.1.009.4.4.90.51.00</v>
      </c>
      <c r="E1133" t="str">
        <f>VLOOKUP(LEFT(A1133,2),ConsolidadoLoa27_ATIVIDADES!A:I,9,0)</f>
        <v>13 - SECRETARIA DE HABITAÇÃO</v>
      </c>
      <c r="F1133" t="str">
        <f t="shared" si="52"/>
        <v>1.009</v>
      </c>
      <c r="G1133" t="str">
        <f t="shared" si="53"/>
        <v>05.100.0000</v>
      </c>
    </row>
    <row r="1134" spans="1:7" hidden="1" x14ac:dyDescent="0.25">
      <c r="A1134" s="6" t="s">
        <v>3193</v>
      </c>
      <c r="B1134" s="28">
        <v>1</v>
      </c>
      <c r="C1134" s="6" t="s">
        <v>3199</v>
      </c>
      <c r="D1134" t="str">
        <f t="shared" si="51"/>
        <v>13.001.16.482.0012.1.009.4.4.90.51.00</v>
      </c>
      <c r="E1134" t="str">
        <f>VLOOKUP(LEFT(A1134,2),ConsolidadoLoa27_ATIVIDADES!A:I,9,0)</f>
        <v>13 - SECRETARIA DE HABITAÇÃO</v>
      </c>
      <c r="F1134" t="str">
        <f t="shared" si="52"/>
        <v>1.009</v>
      </c>
      <c r="G1134" t="str">
        <f t="shared" si="53"/>
        <v>01.110.0000</v>
      </c>
    </row>
    <row r="1135" spans="1:7" hidden="1" x14ac:dyDescent="0.25">
      <c r="A1135" s="6" t="s">
        <v>3200</v>
      </c>
      <c r="B1135" s="28">
        <v>0</v>
      </c>
      <c r="C1135" s="6" t="s">
        <v>3199</v>
      </c>
      <c r="D1135" t="str">
        <f t="shared" si="51"/>
        <v>13.001.16.482.0012.1.009.4.4.90.51.00</v>
      </c>
      <c r="E1135" t="str">
        <f>VLOOKUP(LEFT(A1135,2),ConsolidadoLoa27_ATIVIDADES!A:I,9,0)</f>
        <v>13 - SECRETARIA DE HABITAÇÃO</v>
      </c>
      <c r="F1135" t="str">
        <f t="shared" si="52"/>
        <v>1.009</v>
      </c>
      <c r="G1135" t="str">
        <f t="shared" si="53"/>
        <v>07.100.0000</v>
      </c>
    </row>
    <row r="1136" spans="1:7" hidden="1" x14ac:dyDescent="0.25">
      <c r="A1136" s="6" t="s">
        <v>3200</v>
      </c>
      <c r="B1136" s="28">
        <v>0</v>
      </c>
      <c r="C1136" s="6" t="s">
        <v>3194</v>
      </c>
      <c r="D1136" t="str">
        <f t="shared" si="51"/>
        <v>13.001.16.482.0012.1.009.4.4.90.51.00</v>
      </c>
      <c r="E1136" t="str">
        <f>VLOOKUP(LEFT(A1136,2),ConsolidadoLoa27_ATIVIDADES!A:I,9,0)</f>
        <v>13 - SECRETARIA DE HABITAÇÃO</v>
      </c>
      <c r="F1136" t="str">
        <f t="shared" si="52"/>
        <v>1.009</v>
      </c>
      <c r="G1136" t="str">
        <f t="shared" si="53"/>
        <v>07.100.0000</v>
      </c>
    </row>
    <row r="1137" spans="1:7" hidden="1" x14ac:dyDescent="0.25">
      <c r="A1137" s="6" t="s">
        <v>3200</v>
      </c>
      <c r="B1137" s="28">
        <v>0</v>
      </c>
      <c r="C1137" s="6" t="s">
        <v>3196</v>
      </c>
      <c r="D1137" t="str">
        <f t="shared" si="51"/>
        <v>13.001.16.482.0012.1.009.4.4.90.51.00</v>
      </c>
      <c r="E1137" t="str">
        <f>VLOOKUP(LEFT(A1137,2),ConsolidadoLoa27_ATIVIDADES!A:I,9,0)</f>
        <v>13 - SECRETARIA DE HABITAÇÃO</v>
      </c>
      <c r="F1137" t="str">
        <f t="shared" si="52"/>
        <v>1.009</v>
      </c>
      <c r="G1137" t="str">
        <f t="shared" si="53"/>
        <v>07.100.0000</v>
      </c>
    </row>
    <row r="1138" spans="1:7" hidden="1" x14ac:dyDescent="0.25">
      <c r="A1138" s="6" t="s">
        <v>3201</v>
      </c>
      <c r="B1138" s="28">
        <v>0</v>
      </c>
      <c r="C1138" s="6" t="s">
        <v>3202</v>
      </c>
      <c r="D1138" t="str">
        <f t="shared" si="51"/>
        <v>13.001.16.482.0012.1.009.4.4.90.52.00</v>
      </c>
      <c r="E1138" t="str">
        <f>VLOOKUP(LEFT(A1138,2),ConsolidadoLoa27_ATIVIDADES!A:I,9,0)</f>
        <v>13 - SECRETARIA DE HABITAÇÃO</v>
      </c>
      <c r="F1138" t="str">
        <f t="shared" si="52"/>
        <v>1.009</v>
      </c>
      <c r="G1138" t="str">
        <f t="shared" si="53"/>
        <v>08.110.0000</v>
      </c>
    </row>
    <row r="1139" spans="1:7" hidden="1" x14ac:dyDescent="0.25">
      <c r="A1139" s="6" t="s">
        <v>3203</v>
      </c>
      <c r="B1139" s="28">
        <v>8013188</v>
      </c>
      <c r="C1139" s="6" t="s">
        <v>3204</v>
      </c>
      <c r="D1139" t="str">
        <f t="shared" si="51"/>
        <v>13.001.16.482.0012.1.010.4.4.90.51.00</v>
      </c>
      <c r="E1139" t="str">
        <f>VLOOKUP(LEFT(A1139,2),ConsolidadoLoa27_ATIVIDADES!A:I,9,0)</f>
        <v>13 - SECRETARIA DE HABITAÇÃO</v>
      </c>
      <c r="F1139" t="str">
        <f t="shared" si="52"/>
        <v>1.010</v>
      </c>
      <c r="G1139" t="str">
        <f t="shared" si="53"/>
        <v>01.110.0000</v>
      </c>
    </row>
    <row r="1140" spans="1:7" hidden="1" x14ac:dyDescent="0.25">
      <c r="A1140" s="6" t="s">
        <v>3205</v>
      </c>
      <c r="B1140" s="28">
        <v>1</v>
      </c>
      <c r="C1140" s="6" t="s">
        <v>3204</v>
      </c>
      <c r="D1140" t="str">
        <f t="shared" si="51"/>
        <v>13.001.16.482.0012.1.010.4.4.90.51.00</v>
      </c>
      <c r="E1140" t="str">
        <f>VLOOKUP(LEFT(A1140,2),ConsolidadoLoa27_ATIVIDADES!A:I,9,0)</f>
        <v>13 - SECRETARIA DE HABITAÇÃO</v>
      </c>
      <c r="F1140" t="str">
        <f t="shared" si="52"/>
        <v>1.010</v>
      </c>
      <c r="G1140" t="str">
        <f t="shared" si="53"/>
        <v>03.100.0000</v>
      </c>
    </row>
    <row r="1141" spans="1:7" hidden="1" x14ac:dyDescent="0.25">
      <c r="A1141" s="6" t="s">
        <v>3206</v>
      </c>
      <c r="B1141" s="28">
        <v>1150811</v>
      </c>
      <c r="C1141" s="6" t="s">
        <v>3204</v>
      </c>
      <c r="D1141" t="str">
        <f t="shared" si="51"/>
        <v>13.001.16.482.0012.1.010.4.4.90.51.00</v>
      </c>
      <c r="E1141" t="str">
        <f>VLOOKUP(LEFT(A1141,2),ConsolidadoLoa27_ATIVIDADES!A:I,9,0)</f>
        <v>13 - SECRETARIA DE HABITAÇÃO</v>
      </c>
      <c r="F1141" t="str">
        <f t="shared" si="52"/>
        <v>1.010</v>
      </c>
      <c r="G1141" t="str">
        <f t="shared" si="53"/>
        <v>03.100.1301</v>
      </c>
    </row>
    <row r="1142" spans="1:7" hidden="1" x14ac:dyDescent="0.25">
      <c r="A1142" s="6" t="s">
        <v>3207</v>
      </c>
      <c r="B1142" s="28">
        <v>0</v>
      </c>
      <c r="C1142" s="6" t="s">
        <v>3204</v>
      </c>
      <c r="D1142" t="str">
        <f t="shared" si="51"/>
        <v>13.001.16.482.0012.1.010.4.4.90.51.00</v>
      </c>
      <c r="E1142" t="str">
        <f>VLOOKUP(LEFT(A1142,2),ConsolidadoLoa27_ATIVIDADES!A:I,9,0)</f>
        <v>13 - SECRETARIA DE HABITAÇÃO</v>
      </c>
      <c r="F1142" t="str">
        <f t="shared" si="52"/>
        <v>1.010</v>
      </c>
      <c r="G1142" t="str">
        <f t="shared" si="53"/>
        <v>05.100.0000</v>
      </c>
    </row>
    <row r="1143" spans="1:7" hidden="1" x14ac:dyDescent="0.25">
      <c r="A1143" s="6" t="s">
        <v>3208</v>
      </c>
      <c r="B1143" s="28">
        <v>30751</v>
      </c>
      <c r="C1143" s="6" t="s">
        <v>3209</v>
      </c>
      <c r="D1143" t="str">
        <f t="shared" si="51"/>
        <v>13.001.16.482.0012.1.011.3.3.90.39.00</v>
      </c>
      <c r="E1143" t="str">
        <f>VLOOKUP(LEFT(A1143,2),ConsolidadoLoa27_ATIVIDADES!A:I,9,0)</f>
        <v>13 - SECRETARIA DE HABITAÇÃO</v>
      </c>
      <c r="F1143" t="str">
        <f t="shared" si="52"/>
        <v>1.011</v>
      </c>
      <c r="G1143" t="str">
        <f t="shared" si="53"/>
        <v>01.110.0000</v>
      </c>
    </row>
    <row r="1144" spans="1:7" hidden="1" x14ac:dyDescent="0.25">
      <c r="A1144" s="6" t="s">
        <v>3208</v>
      </c>
      <c r="B1144" s="28">
        <v>1</v>
      </c>
      <c r="C1144" s="6" t="s">
        <v>3210</v>
      </c>
      <c r="D1144" t="str">
        <f t="shared" si="51"/>
        <v>13.001.16.482.0012.1.011.3.3.90.39.00</v>
      </c>
      <c r="E1144" t="str">
        <f>VLOOKUP(LEFT(A1144,2),ConsolidadoLoa27_ATIVIDADES!A:I,9,0)</f>
        <v>13 - SECRETARIA DE HABITAÇÃO</v>
      </c>
      <c r="F1144" t="str">
        <f t="shared" si="52"/>
        <v>1.011</v>
      </c>
      <c r="G1144" t="str">
        <f t="shared" si="53"/>
        <v>01.110.0000</v>
      </c>
    </row>
    <row r="1145" spans="1:7" hidden="1" x14ac:dyDescent="0.25">
      <c r="A1145" s="6" t="s">
        <v>3211</v>
      </c>
      <c r="B1145" s="28">
        <v>0</v>
      </c>
      <c r="C1145" s="6" t="s">
        <v>3209</v>
      </c>
      <c r="D1145" t="str">
        <f t="shared" si="51"/>
        <v>13.001.16.482.0012.1.011.3.3.90.39.00</v>
      </c>
      <c r="E1145" t="str">
        <f>VLOOKUP(LEFT(A1145,2),ConsolidadoLoa27_ATIVIDADES!A:I,9,0)</f>
        <v>13 - SECRETARIA DE HABITAÇÃO</v>
      </c>
      <c r="F1145" t="str">
        <f t="shared" si="52"/>
        <v>1.011</v>
      </c>
      <c r="G1145" t="str">
        <f t="shared" si="53"/>
        <v>05.100.0000</v>
      </c>
    </row>
    <row r="1146" spans="1:7" hidden="1" x14ac:dyDescent="0.25">
      <c r="A1146" s="6" t="s">
        <v>3212</v>
      </c>
      <c r="B1146" s="28">
        <v>1</v>
      </c>
      <c r="C1146" s="6" t="s">
        <v>3213</v>
      </c>
      <c r="D1146" t="str">
        <f t="shared" si="51"/>
        <v>13.001.16.482.0012.1.012.4.4.90.51.00</v>
      </c>
      <c r="E1146" t="str">
        <f>VLOOKUP(LEFT(A1146,2),ConsolidadoLoa27_ATIVIDADES!A:I,9,0)</f>
        <v>13 - SECRETARIA DE HABITAÇÃO</v>
      </c>
      <c r="F1146" t="str">
        <f t="shared" si="52"/>
        <v>1.012</v>
      </c>
      <c r="G1146" t="str">
        <f t="shared" si="53"/>
        <v>01.110.0000</v>
      </c>
    </row>
    <row r="1147" spans="1:7" hidden="1" x14ac:dyDescent="0.25">
      <c r="A1147" s="6" t="s">
        <v>3212</v>
      </c>
      <c r="B1147" s="28">
        <v>1</v>
      </c>
      <c r="C1147" s="6" t="s">
        <v>3214</v>
      </c>
      <c r="D1147" t="str">
        <f t="shared" si="51"/>
        <v>13.001.16.482.0012.1.012.4.4.90.51.00</v>
      </c>
      <c r="E1147" t="str">
        <f>VLOOKUP(LEFT(A1147,2),ConsolidadoLoa27_ATIVIDADES!A:I,9,0)</f>
        <v>13 - SECRETARIA DE HABITAÇÃO</v>
      </c>
      <c r="F1147" t="str">
        <f t="shared" si="52"/>
        <v>1.012</v>
      </c>
      <c r="G1147" t="str">
        <f t="shared" si="53"/>
        <v>01.110.0000</v>
      </c>
    </row>
    <row r="1148" spans="1:7" hidden="1" x14ac:dyDescent="0.25">
      <c r="A1148" s="6" t="s">
        <v>3215</v>
      </c>
      <c r="B1148" s="28">
        <v>1</v>
      </c>
      <c r="C1148" s="6" t="s">
        <v>3216</v>
      </c>
      <c r="D1148" t="str">
        <f t="shared" si="51"/>
        <v>13.001.16.482.0012.1.013.4.4.90.51.00</v>
      </c>
      <c r="E1148" t="str">
        <f>VLOOKUP(LEFT(A1148,2),ConsolidadoLoa27_ATIVIDADES!A:I,9,0)</f>
        <v>13 - SECRETARIA DE HABITAÇÃO</v>
      </c>
      <c r="F1148" t="str">
        <f t="shared" si="52"/>
        <v>1.013</v>
      </c>
      <c r="G1148" t="str">
        <f t="shared" si="53"/>
        <v>01.110.0000</v>
      </c>
    </row>
    <row r="1149" spans="1:7" hidden="1" x14ac:dyDescent="0.25">
      <c r="A1149" s="6" t="s">
        <v>3217</v>
      </c>
      <c r="B1149" s="28">
        <v>1</v>
      </c>
      <c r="C1149" s="6" t="s">
        <v>3218</v>
      </c>
      <c r="D1149" t="str">
        <f t="shared" si="51"/>
        <v>13.001.16.482.0012.1.014.4.4.90.51.00</v>
      </c>
      <c r="E1149" t="str">
        <f>VLOOKUP(LEFT(A1149,2),ConsolidadoLoa27_ATIVIDADES!A:I,9,0)</f>
        <v>13 - SECRETARIA DE HABITAÇÃO</v>
      </c>
      <c r="F1149" t="str">
        <f t="shared" si="52"/>
        <v>1.014</v>
      </c>
      <c r="G1149" t="str">
        <f t="shared" si="53"/>
        <v>01.110.0000</v>
      </c>
    </row>
    <row r="1150" spans="1:7" hidden="1" x14ac:dyDescent="0.25">
      <c r="A1150" s="6" t="s">
        <v>3219</v>
      </c>
      <c r="B1150" s="28">
        <v>798099.79</v>
      </c>
      <c r="C1150" s="6" t="s">
        <v>3220</v>
      </c>
      <c r="D1150" t="str">
        <f t="shared" si="51"/>
        <v>13.001.15.451.0005.1.009.4.4.90.51.00</v>
      </c>
      <c r="E1150" t="str">
        <f>VLOOKUP(LEFT(A1150,2),ConsolidadoLoa27_ATIVIDADES!A:I,9,0)</f>
        <v>13 - SECRETARIA DE HABITAÇÃO</v>
      </c>
      <c r="F1150" t="str">
        <f t="shared" si="52"/>
        <v>1.009</v>
      </c>
      <c r="G1150" t="str">
        <f t="shared" si="53"/>
        <v>01.110.0000</v>
      </c>
    </row>
    <row r="1151" spans="1:7" hidden="1" x14ac:dyDescent="0.25">
      <c r="A1151" s="6" t="s">
        <v>3221</v>
      </c>
      <c r="B1151" s="28">
        <v>0</v>
      </c>
      <c r="C1151" s="6" t="s">
        <v>3220</v>
      </c>
      <c r="D1151" t="str">
        <f t="shared" si="51"/>
        <v>13.001.15.451.0005.1.009.4.4.90.51.00</v>
      </c>
      <c r="E1151" t="str">
        <f>VLOOKUP(LEFT(A1151,2),ConsolidadoLoa27_ATIVIDADES!A:I,9,0)</f>
        <v>13 - SECRETARIA DE HABITAÇÃO</v>
      </c>
      <c r="F1151" t="str">
        <f t="shared" si="52"/>
        <v>1.009</v>
      </c>
      <c r="G1151" t="str">
        <f t="shared" si="53"/>
        <v>05.100.0000</v>
      </c>
    </row>
    <row r="1152" spans="1:7" hidden="1" x14ac:dyDescent="0.25">
      <c r="A1152" s="6" t="s">
        <v>3222</v>
      </c>
      <c r="B1152" s="28">
        <v>1</v>
      </c>
      <c r="C1152" s="6" t="s">
        <v>3223</v>
      </c>
      <c r="D1152" t="str">
        <f t="shared" si="51"/>
        <v>13.008.15.451.0005.1.009.4.4.90.51.00</v>
      </c>
      <c r="E1152" t="str">
        <f>VLOOKUP(LEFT(A1152,2),ConsolidadoLoa27_ATIVIDADES!A:I,9,0)</f>
        <v>13 - SECRETARIA DE HABITAÇÃO</v>
      </c>
      <c r="F1152" t="str">
        <f t="shared" si="52"/>
        <v>1.009</v>
      </c>
      <c r="G1152" t="str">
        <f t="shared" si="53"/>
        <v>03.100.1301</v>
      </c>
    </row>
    <row r="1153" spans="1:7" hidden="1" x14ac:dyDescent="0.25">
      <c r="A1153" s="6" t="s">
        <v>3224</v>
      </c>
      <c r="B1153" s="28">
        <v>1</v>
      </c>
      <c r="C1153" s="6" t="s">
        <v>3216</v>
      </c>
      <c r="D1153" t="str">
        <f t="shared" si="51"/>
        <v>13.008.16.482.0012.1.013.4.4.90.51.00</v>
      </c>
      <c r="E1153" t="str">
        <f>VLOOKUP(LEFT(A1153,2),ConsolidadoLoa27_ATIVIDADES!A:I,9,0)</f>
        <v>13 - SECRETARIA DE HABITAÇÃO</v>
      </c>
      <c r="F1153" t="str">
        <f t="shared" si="52"/>
        <v>1.013</v>
      </c>
      <c r="G1153" t="str">
        <f t="shared" si="53"/>
        <v>03.100.1301</v>
      </c>
    </row>
    <row r="1154" spans="1:7" hidden="1" x14ac:dyDescent="0.25">
      <c r="A1154" s="6" t="s">
        <v>3225</v>
      </c>
      <c r="B1154" s="28">
        <v>1</v>
      </c>
      <c r="C1154" s="6" t="s">
        <v>3226</v>
      </c>
      <c r="D1154" t="str">
        <f t="shared" si="51"/>
        <v>14.001.04.121.0004.1.001.3.3.90.35.00</v>
      </c>
      <c r="E1154" t="str">
        <f>VLOOKUP(LEFT(A1154,2),ConsolidadoLoa27_ATIVIDADES!A:I,9,0)</f>
        <v>14 - SECRETARIA DE ASSISTÊNCIA SOCIAL</v>
      </c>
      <c r="F1154" t="str">
        <f t="shared" si="52"/>
        <v>1.001</v>
      </c>
      <c r="G1154" t="str">
        <f t="shared" si="53"/>
        <v>01.110.0000</v>
      </c>
    </row>
    <row r="1155" spans="1:7" hidden="1" x14ac:dyDescent="0.25">
      <c r="A1155" s="6" t="s">
        <v>3227</v>
      </c>
      <c r="B1155" s="28">
        <v>35886548.159999996</v>
      </c>
      <c r="C1155" s="6" t="s">
        <v>847</v>
      </c>
      <c r="D1155" t="str">
        <f t="shared" ref="D1155:D1218" si="54">_xlfn.CONCAT(LEFT(A1155,34),".00")</f>
        <v>14.001.04.122.0001.2.001.3.1.90.11.00</v>
      </c>
      <c r="E1155" t="str">
        <f>VLOOKUP(LEFT(A1155,2),ConsolidadoLoa27_ATIVIDADES!A:I,9,0)</f>
        <v>14 - SECRETARIA DE ASSISTÊNCIA SOCIAL</v>
      </c>
      <c r="F1155" t="str">
        <f t="shared" ref="F1155:F1218" si="55">MID(A1155,20,5)</f>
        <v>2.001</v>
      </c>
      <c r="G1155" t="str">
        <f t="shared" ref="G1155:G1218" si="56">RIGHT(A1155,11)</f>
        <v>01.110.0000</v>
      </c>
    </row>
    <row r="1156" spans="1:7" hidden="1" x14ac:dyDescent="0.25">
      <c r="A1156" s="6" t="s">
        <v>3228</v>
      </c>
      <c r="B1156" s="28">
        <v>3163862.52</v>
      </c>
      <c r="C1156" s="6" t="s">
        <v>847</v>
      </c>
      <c r="D1156" t="str">
        <f t="shared" si="54"/>
        <v>14.001.04.122.0001.2.001.3.1.90.13.00</v>
      </c>
      <c r="E1156" t="str">
        <f>VLOOKUP(LEFT(A1156,2),ConsolidadoLoa27_ATIVIDADES!A:I,9,0)</f>
        <v>14 - SECRETARIA DE ASSISTÊNCIA SOCIAL</v>
      </c>
      <c r="F1156" t="str">
        <f t="shared" si="55"/>
        <v>2.001</v>
      </c>
      <c r="G1156" t="str">
        <f t="shared" si="56"/>
        <v>01.110.0000</v>
      </c>
    </row>
    <row r="1157" spans="1:7" hidden="1" x14ac:dyDescent="0.25">
      <c r="A1157" s="6" t="s">
        <v>3229</v>
      </c>
      <c r="B1157" s="28">
        <v>7065888.79</v>
      </c>
      <c r="C1157" s="12" t="s">
        <v>847</v>
      </c>
      <c r="D1157" t="str">
        <f t="shared" si="54"/>
        <v>14.001.04.122.0001.2.001.3.1.91.13.00</v>
      </c>
      <c r="E1157" t="str">
        <f>VLOOKUP(LEFT(A1157,2),ConsolidadoLoa27_ATIVIDADES!A:I,9,0)</f>
        <v>14 - SECRETARIA DE ASSISTÊNCIA SOCIAL</v>
      </c>
      <c r="F1157" t="str">
        <f t="shared" si="55"/>
        <v>2.001</v>
      </c>
      <c r="G1157" t="str">
        <f t="shared" si="56"/>
        <v>01.110.0000</v>
      </c>
    </row>
    <row r="1158" spans="1:7" hidden="1" x14ac:dyDescent="0.25">
      <c r="A1158" s="6" t="s">
        <v>3230</v>
      </c>
      <c r="B1158" s="28">
        <v>2.08</v>
      </c>
      <c r="C1158" s="6" t="s">
        <v>2278</v>
      </c>
      <c r="D1158" t="str">
        <f t="shared" si="54"/>
        <v>14.001.04.122.0001.2.001.3.3.90.46.00</v>
      </c>
      <c r="E1158" t="str">
        <f>VLOOKUP(LEFT(A1158,2),ConsolidadoLoa27_ATIVIDADES!A:I,9,0)</f>
        <v>14 - SECRETARIA DE ASSISTÊNCIA SOCIAL</v>
      </c>
      <c r="F1158" t="str">
        <f t="shared" si="55"/>
        <v>2.001</v>
      </c>
      <c r="G1158" t="str">
        <f t="shared" si="56"/>
        <v>01.110.0000</v>
      </c>
    </row>
    <row r="1159" spans="1:7" hidden="1" x14ac:dyDescent="0.25">
      <c r="A1159" s="6" t="s">
        <v>3231</v>
      </c>
      <c r="B1159" s="28">
        <v>1033963.71</v>
      </c>
      <c r="C1159" s="6" t="s">
        <v>2280</v>
      </c>
      <c r="D1159" t="str">
        <f t="shared" si="54"/>
        <v>14.001.04.122.0001.2.001.3.3.90.49.00</v>
      </c>
      <c r="E1159" t="str">
        <f>VLOOKUP(LEFT(A1159,2),ConsolidadoLoa27_ATIVIDADES!A:I,9,0)</f>
        <v>14 - SECRETARIA DE ASSISTÊNCIA SOCIAL</v>
      </c>
      <c r="F1159" t="str">
        <f t="shared" si="55"/>
        <v>2.001</v>
      </c>
      <c r="G1159" t="str">
        <f t="shared" si="56"/>
        <v>01.110.0000</v>
      </c>
    </row>
    <row r="1160" spans="1:7" hidden="1" x14ac:dyDescent="0.25">
      <c r="A1160" s="6" t="s">
        <v>3232</v>
      </c>
      <c r="B1160" s="28">
        <v>1</v>
      </c>
      <c r="C1160" s="6" t="s">
        <v>196</v>
      </c>
      <c r="D1160" t="str">
        <f t="shared" si="54"/>
        <v>14.001.04.122.0001.2.005.3.3.90.39.00</v>
      </c>
      <c r="E1160" t="str">
        <f>VLOOKUP(LEFT(A1160,2),ConsolidadoLoa27_ATIVIDADES!A:I,9,0)</f>
        <v>14 - SECRETARIA DE ASSISTÊNCIA SOCIAL</v>
      </c>
      <c r="F1160" t="str">
        <f t="shared" si="55"/>
        <v>2.005</v>
      </c>
      <c r="G1160" t="str">
        <f t="shared" si="56"/>
        <v>01.110.0000</v>
      </c>
    </row>
    <row r="1161" spans="1:7" hidden="1" x14ac:dyDescent="0.25">
      <c r="A1161" s="6" t="s">
        <v>3233</v>
      </c>
      <c r="B1161" s="28">
        <v>1</v>
      </c>
      <c r="C1161" s="6" t="s">
        <v>2282</v>
      </c>
      <c r="D1161" t="str">
        <f t="shared" si="54"/>
        <v>14.001.04.122.0001.2.006.3.3.90.33.00</v>
      </c>
      <c r="E1161" t="str">
        <f>VLOOKUP(LEFT(A1161,2),ConsolidadoLoa27_ATIVIDADES!A:I,9,0)</f>
        <v>14 - SECRETARIA DE ASSISTÊNCIA SOCIAL</v>
      </c>
      <c r="F1161" t="str">
        <f t="shared" si="55"/>
        <v>2.006</v>
      </c>
      <c r="G1161" t="str">
        <f t="shared" si="56"/>
        <v>01.110.0000</v>
      </c>
    </row>
    <row r="1162" spans="1:7" hidden="1" x14ac:dyDescent="0.25">
      <c r="A1162" s="6" t="s">
        <v>3234</v>
      </c>
      <c r="B1162" s="28">
        <v>1</v>
      </c>
      <c r="C1162" s="6" t="s">
        <v>421</v>
      </c>
      <c r="D1162" t="str">
        <f t="shared" si="54"/>
        <v>14.001.04.122.0001.2.006.3.3.90.39.00</v>
      </c>
      <c r="E1162" t="str">
        <f>VLOOKUP(LEFT(A1162,2),ConsolidadoLoa27_ATIVIDADES!A:I,9,0)</f>
        <v>14 - SECRETARIA DE ASSISTÊNCIA SOCIAL</v>
      </c>
      <c r="F1162" t="str">
        <f t="shared" si="55"/>
        <v>2.006</v>
      </c>
      <c r="G1162" t="str">
        <f t="shared" si="56"/>
        <v>01.110.0000</v>
      </c>
    </row>
    <row r="1163" spans="1:7" hidden="1" x14ac:dyDescent="0.25">
      <c r="A1163" s="6" t="s">
        <v>3235</v>
      </c>
      <c r="B1163" s="28">
        <v>10391</v>
      </c>
      <c r="C1163" s="6" t="s">
        <v>2288</v>
      </c>
      <c r="D1163" t="str">
        <f t="shared" si="54"/>
        <v>14.001.04.122.0001.2.011.3.3.90.30.00</v>
      </c>
      <c r="E1163" t="str">
        <f>VLOOKUP(LEFT(A1163,2),ConsolidadoLoa27_ATIVIDADES!A:I,9,0)</f>
        <v>14 - SECRETARIA DE ASSISTÊNCIA SOCIAL</v>
      </c>
      <c r="F1163" t="str">
        <f t="shared" si="55"/>
        <v>2.011</v>
      </c>
      <c r="G1163" t="str">
        <f t="shared" si="56"/>
        <v>01.110.0000</v>
      </c>
    </row>
    <row r="1164" spans="1:7" hidden="1" x14ac:dyDescent="0.25">
      <c r="A1164" s="6" t="s">
        <v>3235</v>
      </c>
      <c r="B1164" s="28">
        <v>1</v>
      </c>
      <c r="C1164" s="6" t="s">
        <v>2324</v>
      </c>
      <c r="D1164" t="str">
        <f t="shared" si="54"/>
        <v>14.001.04.122.0001.2.011.3.3.90.30.00</v>
      </c>
      <c r="E1164" t="str">
        <f>VLOOKUP(LEFT(A1164,2),ConsolidadoLoa27_ATIVIDADES!A:I,9,0)</f>
        <v>14 - SECRETARIA DE ASSISTÊNCIA SOCIAL</v>
      </c>
      <c r="F1164" t="str">
        <f t="shared" si="55"/>
        <v>2.011</v>
      </c>
      <c r="G1164" t="str">
        <f t="shared" si="56"/>
        <v>01.110.0000</v>
      </c>
    </row>
    <row r="1165" spans="1:7" hidden="1" x14ac:dyDescent="0.25">
      <c r="A1165" s="6" t="s">
        <v>3235</v>
      </c>
      <c r="B1165" s="28">
        <v>176647</v>
      </c>
      <c r="C1165" s="6" t="s">
        <v>2295</v>
      </c>
      <c r="D1165" t="str">
        <f t="shared" si="54"/>
        <v>14.001.04.122.0001.2.011.3.3.90.30.00</v>
      </c>
      <c r="E1165" t="str">
        <f>VLOOKUP(LEFT(A1165,2),ConsolidadoLoa27_ATIVIDADES!A:I,9,0)</f>
        <v>14 - SECRETARIA DE ASSISTÊNCIA SOCIAL</v>
      </c>
      <c r="F1165" t="str">
        <f t="shared" si="55"/>
        <v>2.011</v>
      </c>
      <c r="G1165" t="str">
        <f t="shared" si="56"/>
        <v>01.110.0000</v>
      </c>
    </row>
    <row r="1166" spans="1:7" hidden="1" x14ac:dyDescent="0.25">
      <c r="A1166" s="6" t="s">
        <v>3235</v>
      </c>
      <c r="B1166" s="28">
        <v>20782</v>
      </c>
      <c r="C1166" s="6" t="s">
        <v>387</v>
      </c>
      <c r="D1166" t="str">
        <f t="shared" si="54"/>
        <v>14.001.04.122.0001.2.011.3.3.90.30.00</v>
      </c>
      <c r="E1166" t="str">
        <f>VLOOKUP(LEFT(A1166,2),ConsolidadoLoa27_ATIVIDADES!A:I,9,0)</f>
        <v>14 - SECRETARIA DE ASSISTÊNCIA SOCIAL</v>
      </c>
      <c r="F1166" t="str">
        <f t="shared" si="55"/>
        <v>2.011</v>
      </c>
      <c r="G1166" t="str">
        <f t="shared" si="56"/>
        <v>01.110.0000</v>
      </c>
    </row>
    <row r="1167" spans="1:7" hidden="1" x14ac:dyDescent="0.25">
      <c r="A1167" s="6" t="s">
        <v>3235</v>
      </c>
      <c r="B1167" s="28">
        <v>31173</v>
      </c>
      <c r="C1167" s="6" t="s">
        <v>2289</v>
      </c>
      <c r="D1167" t="str">
        <f t="shared" si="54"/>
        <v>14.001.04.122.0001.2.011.3.3.90.30.00</v>
      </c>
      <c r="E1167" t="str">
        <f>VLOOKUP(LEFT(A1167,2),ConsolidadoLoa27_ATIVIDADES!A:I,9,0)</f>
        <v>14 - SECRETARIA DE ASSISTÊNCIA SOCIAL</v>
      </c>
      <c r="F1167" t="str">
        <f t="shared" si="55"/>
        <v>2.011</v>
      </c>
      <c r="G1167" t="str">
        <f t="shared" si="56"/>
        <v>01.110.0000</v>
      </c>
    </row>
    <row r="1168" spans="1:7" hidden="1" x14ac:dyDescent="0.25">
      <c r="A1168" s="6" t="s">
        <v>3235</v>
      </c>
      <c r="B1168" s="28">
        <v>10391</v>
      </c>
      <c r="C1168" s="6" t="s">
        <v>3236</v>
      </c>
      <c r="D1168" t="str">
        <f t="shared" si="54"/>
        <v>14.001.04.122.0001.2.011.3.3.90.30.00</v>
      </c>
      <c r="E1168" t="str">
        <f>VLOOKUP(LEFT(A1168,2),ConsolidadoLoa27_ATIVIDADES!A:I,9,0)</f>
        <v>14 - SECRETARIA DE ASSISTÊNCIA SOCIAL</v>
      </c>
      <c r="F1168" t="str">
        <f t="shared" si="55"/>
        <v>2.011</v>
      </c>
      <c r="G1168" t="str">
        <f t="shared" si="56"/>
        <v>01.110.0000</v>
      </c>
    </row>
    <row r="1169" spans="1:7" hidden="1" x14ac:dyDescent="0.25">
      <c r="A1169" s="6" t="s">
        <v>3237</v>
      </c>
      <c r="B1169" s="28">
        <v>66840.76999999999</v>
      </c>
      <c r="C1169" s="6" t="s">
        <v>2324</v>
      </c>
      <c r="D1169" t="str">
        <f t="shared" si="54"/>
        <v>14.001.04.122.0001.2.011.3.3.90.30.00</v>
      </c>
      <c r="E1169" t="str">
        <f>VLOOKUP(LEFT(A1169,2),ConsolidadoLoa27_ATIVIDADES!A:I,9,0)</f>
        <v>14 - SECRETARIA DE ASSISTÊNCIA SOCIAL</v>
      </c>
      <c r="F1169" t="str">
        <f t="shared" si="55"/>
        <v>2.011</v>
      </c>
      <c r="G1169" t="str">
        <f t="shared" si="56"/>
        <v>02.500.1402</v>
      </c>
    </row>
    <row r="1170" spans="1:7" hidden="1" x14ac:dyDescent="0.25">
      <c r="A1170" s="6" t="s">
        <v>3238</v>
      </c>
      <c r="B1170" s="28">
        <v>8196.4207999999999</v>
      </c>
      <c r="C1170" s="6" t="s">
        <v>388</v>
      </c>
      <c r="D1170" t="str">
        <f t="shared" si="54"/>
        <v>14.001.04.122.0001.2.011.3.3.90.39.00</v>
      </c>
      <c r="E1170" t="str">
        <f>VLOOKUP(LEFT(A1170,2),ConsolidadoLoa27_ATIVIDADES!A:I,9,0)</f>
        <v>14 - SECRETARIA DE ASSISTÊNCIA SOCIAL</v>
      </c>
      <c r="F1170" t="str">
        <f t="shared" si="55"/>
        <v>2.011</v>
      </c>
      <c r="G1170" t="str">
        <f t="shared" si="56"/>
        <v>01.110.0000</v>
      </c>
    </row>
    <row r="1171" spans="1:7" hidden="1" x14ac:dyDescent="0.25">
      <c r="A1171" s="6" t="s">
        <v>3238</v>
      </c>
      <c r="B1171" s="28">
        <v>48954.0792</v>
      </c>
      <c r="C1171" s="6" t="s">
        <v>106</v>
      </c>
      <c r="D1171" t="str">
        <f t="shared" si="54"/>
        <v>14.001.04.122.0001.2.011.3.3.90.39.00</v>
      </c>
      <c r="E1171" t="str">
        <f>VLOOKUP(LEFT(A1171,2),ConsolidadoLoa27_ATIVIDADES!A:I,9,0)</f>
        <v>14 - SECRETARIA DE ASSISTÊNCIA SOCIAL</v>
      </c>
      <c r="F1171" t="str">
        <f t="shared" si="55"/>
        <v>2.011</v>
      </c>
      <c r="G1171" t="str">
        <f t="shared" si="56"/>
        <v>01.110.0000</v>
      </c>
    </row>
    <row r="1172" spans="1:7" hidden="1" x14ac:dyDescent="0.25">
      <c r="A1172" s="6" t="s">
        <v>3239</v>
      </c>
      <c r="B1172" s="28">
        <v>5195.5</v>
      </c>
      <c r="C1172" s="6" t="s">
        <v>2342</v>
      </c>
      <c r="D1172" t="str">
        <f t="shared" si="54"/>
        <v>14.001.04.122.0001.2.011.3.3.90.93.00</v>
      </c>
      <c r="E1172" t="str">
        <f>VLOOKUP(LEFT(A1172,2),ConsolidadoLoa27_ATIVIDADES!A:I,9,0)</f>
        <v>14 - SECRETARIA DE ASSISTÊNCIA SOCIAL</v>
      </c>
      <c r="F1172" t="str">
        <f t="shared" si="55"/>
        <v>2.011</v>
      </c>
      <c r="G1172" t="str">
        <f t="shared" si="56"/>
        <v>01.110.0000</v>
      </c>
    </row>
    <row r="1173" spans="1:7" hidden="1" x14ac:dyDescent="0.25">
      <c r="A1173" s="6" t="s">
        <v>3240</v>
      </c>
      <c r="B1173" s="28">
        <v>20782</v>
      </c>
      <c r="C1173" s="6" t="s">
        <v>2459</v>
      </c>
      <c r="D1173" t="str">
        <f t="shared" si="54"/>
        <v>14.001.04.122.0001.2.011.4.4.90.52.00</v>
      </c>
      <c r="E1173" t="str">
        <f>VLOOKUP(LEFT(A1173,2),ConsolidadoLoa27_ATIVIDADES!A:I,9,0)</f>
        <v>14 - SECRETARIA DE ASSISTÊNCIA SOCIAL</v>
      </c>
      <c r="F1173" t="str">
        <f t="shared" si="55"/>
        <v>2.011</v>
      </c>
      <c r="G1173" t="str">
        <f t="shared" si="56"/>
        <v>01.110.0000</v>
      </c>
    </row>
    <row r="1174" spans="1:7" hidden="1" x14ac:dyDescent="0.25">
      <c r="A1174" s="6" t="s">
        <v>3240</v>
      </c>
      <c r="B1174" s="28">
        <v>10391</v>
      </c>
      <c r="C1174" s="6" t="s">
        <v>3241</v>
      </c>
      <c r="D1174" t="str">
        <f t="shared" si="54"/>
        <v>14.001.04.122.0001.2.011.4.4.90.52.00</v>
      </c>
      <c r="E1174" t="str">
        <f>VLOOKUP(LEFT(A1174,2),ConsolidadoLoa27_ATIVIDADES!A:I,9,0)</f>
        <v>14 - SECRETARIA DE ASSISTÊNCIA SOCIAL</v>
      </c>
      <c r="F1174" t="str">
        <f t="shared" si="55"/>
        <v>2.011</v>
      </c>
      <c r="G1174" t="str">
        <f t="shared" si="56"/>
        <v>01.110.0000</v>
      </c>
    </row>
    <row r="1175" spans="1:7" hidden="1" x14ac:dyDescent="0.25">
      <c r="A1175" s="6" t="s">
        <v>3240</v>
      </c>
      <c r="B1175" s="28">
        <v>145474</v>
      </c>
      <c r="C1175" s="6" t="s">
        <v>2500</v>
      </c>
      <c r="D1175" t="str">
        <f t="shared" si="54"/>
        <v>14.001.04.122.0001.2.011.4.4.90.52.00</v>
      </c>
      <c r="E1175" t="str">
        <f>VLOOKUP(LEFT(A1175,2),ConsolidadoLoa27_ATIVIDADES!A:I,9,0)</f>
        <v>14 - SECRETARIA DE ASSISTÊNCIA SOCIAL</v>
      </c>
      <c r="F1175" t="str">
        <f t="shared" si="55"/>
        <v>2.011</v>
      </c>
      <c r="G1175" t="str">
        <f t="shared" si="56"/>
        <v>01.110.0000</v>
      </c>
    </row>
    <row r="1176" spans="1:7" hidden="1" x14ac:dyDescent="0.25">
      <c r="A1176" s="6" t="s">
        <v>3240</v>
      </c>
      <c r="B1176" s="28">
        <v>25977.5</v>
      </c>
      <c r="C1176" s="6" t="s">
        <v>2502</v>
      </c>
      <c r="D1176" t="str">
        <f t="shared" si="54"/>
        <v>14.001.04.122.0001.2.011.4.4.90.52.00</v>
      </c>
      <c r="E1176" t="str">
        <f>VLOOKUP(LEFT(A1176,2),ConsolidadoLoa27_ATIVIDADES!A:I,9,0)</f>
        <v>14 - SECRETARIA DE ASSISTÊNCIA SOCIAL</v>
      </c>
      <c r="F1176" t="str">
        <f t="shared" si="55"/>
        <v>2.011</v>
      </c>
      <c r="G1176" t="str">
        <f t="shared" si="56"/>
        <v>01.110.0000</v>
      </c>
    </row>
    <row r="1177" spans="1:7" hidden="1" x14ac:dyDescent="0.25">
      <c r="A1177" s="6" t="s">
        <v>3242</v>
      </c>
      <c r="B1177" s="28">
        <v>750713.9800000001</v>
      </c>
      <c r="C1177" s="6" t="s">
        <v>3243</v>
      </c>
      <c r="D1177" t="str">
        <f t="shared" si="54"/>
        <v>14.001.04.126.0002.2.007.3.3.90.40.00</v>
      </c>
      <c r="E1177" t="str">
        <f>VLOOKUP(LEFT(A1177,2),ConsolidadoLoa27_ATIVIDADES!A:I,9,0)</f>
        <v>14 - SECRETARIA DE ASSISTÊNCIA SOCIAL</v>
      </c>
      <c r="F1177" t="str">
        <f t="shared" si="55"/>
        <v>2.007</v>
      </c>
      <c r="G1177" t="str">
        <f t="shared" si="56"/>
        <v>01.110.0000</v>
      </c>
    </row>
    <row r="1178" spans="1:7" hidden="1" x14ac:dyDescent="0.25">
      <c r="A1178" s="6" t="s">
        <v>3244</v>
      </c>
      <c r="B1178" s="28">
        <v>0</v>
      </c>
      <c r="C1178" s="6" t="s">
        <v>3243</v>
      </c>
      <c r="D1178" t="str">
        <f t="shared" si="54"/>
        <v>14.001.04.126.0002.2.007.3.3.90.40.00</v>
      </c>
      <c r="E1178" t="str">
        <f>VLOOKUP(LEFT(A1178,2),ConsolidadoLoa27_ATIVIDADES!A:I,9,0)</f>
        <v>14 - SECRETARIA DE ASSISTÊNCIA SOCIAL</v>
      </c>
      <c r="F1178" t="str">
        <f t="shared" si="55"/>
        <v>2.007</v>
      </c>
      <c r="G1178" t="str">
        <f t="shared" si="56"/>
        <v>03.500.1402</v>
      </c>
    </row>
    <row r="1179" spans="1:7" hidden="1" x14ac:dyDescent="0.25">
      <c r="A1179" s="6" t="s">
        <v>3245</v>
      </c>
      <c r="B1179" s="28">
        <v>627376.1</v>
      </c>
      <c r="C1179" s="6" t="s">
        <v>3243</v>
      </c>
      <c r="D1179" t="str">
        <f t="shared" si="54"/>
        <v>14.001.04.126.0002.2.007.3.3.90.40.00</v>
      </c>
      <c r="E1179" t="str">
        <f>VLOOKUP(LEFT(A1179,2),ConsolidadoLoa27_ATIVIDADES!A:I,9,0)</f>
        <v>14 - SECRETARIA DE ASSISTÊNCIA SOCIAL</v>
      </c>
      <c r="F1179" t="str">
        <f t="shared" si="55"/>
        <v>2.007</v>
      </c>
      <c r="G1179" t="str">
        <f t="shared" si="56"/>
        <v>02.500.1402</v>
      </c>
    </row>
    <row r="1180" spans="1:7" hidden="1" x14ac:dyDescent="0.25">
      <c r="A1180" s="6" t="s">
        <v>3246</v>
      </c>
      <c r="B1180" s="28">
        <v>145475</v>
      </c>
      <c r="C1180" s="6" t="s">
        <v>318</v>
      </c>
      <c r="D1180" t="str">
        <f t="shared" si="54"/>
        <v>14.001.04.128.0002.2.003.3.3.90.39.00</v>
      </c>
      <c r="E1180" t="str">
        <f>VLOOKUP(LEFT(A1180,2),ConsolidadoLoa27_ATIVIDADES!A:I,9,0)</f>
        <v>14 - SECRETARIA DE ASSISTÊNCIA SOCIAL</v>
      </c>
      <c r="F1180" t="str">
        <f t="shared" si="55"/>
        <v>2.003</v>
      </c>
      <c r="G1180" t="str">
        <f t="shared" si="56"/>
        <v>01.110.0000</v>
      </c>
    </row>
    <row r="1181" spans="1:7" hidden="1" x14ac:dyDescent="0.25">
      <c r="A1181" s="6" t="s">
        <v>3247</v>
      </c>
      <c r="B1181" s="28">
        <v>15586.5</v>
      </c>
      <c r="C1181" s="6" t="s">
        <v>245</v>
      </c>
      <c r="D1181" t="str">
        <f t="shared" si="54"/>
        <v>14.001.04.131.0001.2.005.3.3.90.30.00</v>
      </c>
      <c r="E1181" t="str">
        <f>VLOOKUP(LEFT(A1181,2),ConsolidadoLoa27_ATIVIDADES!A:I,9,0)</f>
        <v>14 - SECRETARIA DE ASSISTÊNCIA SOCIAL</v>
      </c>
      <c r="F1181" t="str">
        <f t="shared" si="55"/>
        <v>2.005</v>
      </c>
      <c r="G1181" t="str">
        <f t="shared" si="56"/>
        <v>01.110.0000</v>
      </c>
    </row>
    <row r="1182" spans="1:7" hidden="1" x14ac:dyDescent="0.25">
      <c r="A1182" s="6" t="s">
        <v>3248</v>
      </c>
      <c r="B1182" s="28">
        <v>10391</v>
      </c>
      <c r="C1182" s="6" t="s">
        <v>245</v>
      </c>
      <c r="D1182" t="str">
        <f t="shared" si="54"/>
        <v>14.001.04.131.0002.2.005.3.3.90.30.00</v>
      </c>
      <c r="E1182" t="str">
        <f>VLOOKUP(LEFT(A1182,2),ConsolidadoLoa27_ATIVIDADES!A:I,9,0)</f>
        <v>14 - SECRETARIA DE ASSISTÊNCIA SOCIAL</v>
      </c>
      <c r="F1182" t="str">
        <f t="shared" si="55"/>
        <v>2.005</v>
      </c>
      <c r="G1182" t="str">
        <f t="shared" si="56"/>
        <v>01.500.0000</v>
      </c>
    </row>
    <row r="1183" spans="1:7" hidden="1" x14ac:dyDescent="0.25">
      <c r="A1183" s="6" t="s">
        <v>3249</v>
      </c>
      <c r="B1183" s="28">
        <v>0</v>
      </c>
      <c r="C1183" s="6" t="s">
        <v>2293</v>
      </c>
      <c r="D1183" t="str">
        <f t="shared" si="54"/>
        <v>14.001.04.131.0002.2.005.3.3.90.39.00</v>
      </c>
      <c r="E1183" t="str">
        <f>VLOOKUP(LEFT(A1183,2),ConsolidadoLoa27_ATIVIDADES!A:I,9,0)</f>
        <v>14 - SECRETARIA DE ASSISTÊNCIA SOCIAL</v>
      </c>
      <c r="F1183" t="str">
        <f t="shared" si="55"/>
        <v>2.005</v>
      </c>
      <c r="G1183" t="str">
        <f t="shared" si="56"/>
        <v>01.110.0000</v>
      </c>
    </row>
    <row r="1184" spans="1:7" hidden="1" x14ac:dyDescent="0.25">
      <c r="A1184" s="6" t="s">
        <v>3249</v>
      </c>
      <c r="B1184" s="28">
        <v>1</v>
      </c>
      <c r="C1184" s="6" t="s">
        <v>196</v>
      </c>
      <c r="D1184" t="str">
        <f t="shared" si="54"/>
        <v>14.001.04.131.0002.2.005.3.3.90.39.00</v>
      </c>
      <c r="E1184" t="str">
        <f>VLOOKUP(LEFT(A1184,2),ConsolidadoLoa27_ATIVIDADES!A:I,9,0)</f>
        <v>14 - SECRETARIA DE ASSISTÊNCIA SOCIAL</v>
      </c>
      <c r="F1184" t="str">
        <f t="shared" si="55"/>
        <v>2.005</v>
      </c>
      <c r="G1184" t="str">
        <f t="shared" si="56"/>
        <v>01.110.0000</v>
      </c>
    </row>
    <row r="1185" spans="1:7" hidden="1" x14ac:dyDescent="0.25">
      <c r="A1185" s="6" t="s">
        <v>3250</v>
      </c>
      <c r="B1185" s="28">
        <v>51955</v>
      </c>
      <c r="C1185" s="6" t="s">
        <v>198</v>
      </c>
      <c r="D1185" t="str">
        <f t="shared" si="54"/>
        <v>14.001.04.131.0002.2.005.3.3.90.39.00</v>
      </c>
      <c r="E1185" t="str">
        <f>VLOOKUP(LEFT(A1185,2),ConsolidadoLoa27_ATIVIDADES!A:I,9,0)</f>
        <v>14 - SECRETARIA DE ASSISTÊNCIA SOCIAL</v>
      </c>
      <c r="F1185" t="str">
        <f t="shared" si="55"/>
        <v>2.005</v>
      </c>
      <c r="G1185" t="str">
        <f t="shared" si="56"/>
        <v>01.500.0000</v>
      </c>
    </row>
    <row r="1186" spans="1:7" hidden="1" x14ac:dyDescent="0.25">
      <c r="A1186" s="6" t="s">
        <v>3251</v>
      </c>
      <c r="B1186" s="28">
        <v>20782</v>
      </c>
      <c r="C1186" s="6" t="s">
        <v>3252</v>
      </c>
      <c r="D1186" t="str">
        <f t="shared" si="54"/>
        <v>14.001.08.241.0018.2.041.3.3.50.39.00</v>
      </c>
      <c r="E1186" t="str">
        <f>VLOOKUP(LEFT(A1186,2),ConsolidadoLoa27_ATIVIDADES!A:I,9,0)</f>
        <v>14 - SECRETARIA DE ASSISTÊNCIA SOCIAL</v>
      </c>
      <c r="F1186" t="str">
        <f t="shared" si="55"/>
        <v>2.041</v>
      </c>
      <c r="G1186" t="str">
        <f t="shared" si="56"/>
        <v>01.110.0000</v>
      </c>
    </row>
    <row r="1187" spans="1:7" hidden="1" x14ac:dyDescent="0.25">
      <c r="A1187" s="6" t="s">
        <v>3253</v>
      </c>
      <c r="B1187" s="28">
        <v>1084161.05</v>
      </c>
      <c r="C1187" s="6" t="s">
        <v>3252</v>
      </c>
      <c r="D1187" t="str">
        <f t="shared" si="54"/>
        <v>14.001.08.241.0018.2.041.3.3.50.39.00</v>
      </c>
      <c r="E1187" t="str">
        <f>VLOOKUP(LEFT(A1187,2),ConsolidadoLoa27_ATIVIDADES!A:I,9,0)</f>
        <v>14 - SECRETARIA DE ASSISTÊNCIA SOCIAL</v>
      </c>
      <c r="F1187" t="str">
        <f t="shared" si="55"/>
        <v>2.041</v>
      </c>
      <c r="G1187" t="str">
        <f t="shared" si="56"/>
        <v>01.500.0000</v>
      </c>
    </row>
    <row r="1188" spans="1:7" hidden="1" x14ac:dyDescent="0.25">
      <c r="A1188" s="6" t="s">
        <v>3254</v>
      </c>
      <c r="B1188" s="28">
        <v>62995.998099999968</v>
      </c>
      <c r="C1188" s="6" t="s">
        <v>3252</v>
      </c>
      <c r="D1188" t="str">
        <f t="shared" si="54"/>
        <v>14.001.08.241.0018.2.041.3.3.50.39.00</v>
      </c>
      <c r="E1188" t="str">
        <f>VLOOKUP(LEFT(A1188,2),ConsolidadoLoa27_ATIVIDADES!A:I,9,0)</f>
        <v>14 - SECRETARIA DE ASSISTÊNCIA SOCIAL</v>
      </c>
      <c r="F1188" t="str">
        <f t="shared" si="55"/>
        <v>2.041</v>
      </c>
      <c r="G1188" t="str">
        <f t="shared" si="56"/>
        <v>03.500.1401</v>
      </c>
    </row>
    <row r="1189" spans="1:7" hidden="1" x14ac:dyDescent="0.25">
      <c r="A1189" s="6" t="s">
        <v>3255</v>
      </c>
      <c r="B1189" s="28">
        <v>0</v>
      </c>
      <c r="C1189" s="6" t="s">
        <v>3256</v>
      </c>
      <c r="D1189" t="str">
        <f t="shared" si="54"/>
        <v>14.001.08.241.0018.2.041.3.3.50.39.00</v>
      </c>
      <c r="E1189" t="str">
        <f>VLOOKUP(LEFT(A1189,2),ConsolidadoLoa27_ATIVIDADES!A:I,9,0)</f>
        <v>14 - SECRETARIA DE ASSISTÊNCIA SOCIAL</v>
      </c>
      <c r="F1189" t="str">
        <f t="shared" si="55"/>
        <v>2.041</v>
      </c>
      <c r="G1189" t="str">
        <f t="shared" si="56"/>
        <v>08.110.0000</v>
      </c>
    </row>
    <row r="1190" spans="1:7" hidden="1" x14ac:dyDescent="0.25">
      <c r="A1190" s="6" t="s">
        <v>3257</v>
      </c>
      <c r="B1190" s="28">
        <v>20782</v>
      </c>
      <c r="C1190" s="6" t="s">
        <v>3252</v>
      </c>
      <c r="D1190" t="str">
        <f t="shared" si="54"/>
        <v>14.001.08.241.0018.2.041.3.3.90.30.00</v>
      </c>
      <c r="E1190" t="str">
        <f>VLOOKUP(LEFT(A1190,2),ConsolidadoLoa27_ATIVIDADES!A:I,9,0)</f>
        <v>14 - SECRETARIA DE ASSISTÊNCIA SOCIAL</v>
      </c>
      <c r="F1190" t="str">
        <f t="shared" si="55"/>
        <v>2.041</v>
      </c>
      <c r="G1190" t="str">
        <f t="shared" si="56"/>
        <v>01.110.0000</v>
      </c>
    </row>
    <row r="1191" spans="1:7" hidden="1" x14ac:dyDescent="0.25">
      <c r="A1191" s="6" t="s">
        <v>3258</v>
      </c>
      <c r="B1191" s="28">
        <v>1</v>
      </c>
      <c r="C1191" s="6" t="s">
        <v>3252</v>
      </c>
      <c r="D1191" t="str">
        <f t="shared" si="54"/>
        <v>14.001.08.241.0018.2.041.3.3.90.30.00</v>
      </c>
      <c r="E1191" t="str">
        <f>VLOOKUP(LEFT(A1191,2),ConsolidadoLoa27_ATIVIDADES!A:I,9,0)</f>
        <v>14 - SECRETARIA DE ASSISTÊNCIA SOCIAL</v>
      </c>
      <c r="F1191" t="str">
        <f t="shared" si="55"/>
        <v>2.041</v>
      </c>
      <c r="G1191" t="str">
        <f t="shared" si="56"/>
        <v>03.500.1401</v>
      </c>
    </row>
    <row r="1192" spans="1:7" hidden="1" x14ac:dyDescent="0.25">
      <c r="A1192" s="6" t="s">
        <v>3259</v>
      </c>
      <c r="B1192" s="28">
        <v>5195.5</v>
      </c>
      <c r="C1192" s="6" t="s">
        <v>3252</v>
      </c>
      <c r="D1192" t="str">
        <f t="shared" si="54"/>
        <v>14.001.08.241.0018.2.041.3.3.90.36.00</v>
      </c>
      <c r="E1192" t="str">
        <f>VLOOKUP(LEFT(A1192,2),ConsolidadoLoa27_ATIVIDADES!A:I,9,0)</f>
        <v>14 - SECRETARIA DE ASSISTÊNCIA SOCIAL</v>
      </c>
      <c r="F1192" t="str">
        <f t="shared" si="55"/>
        <v>2.041</v>
      </c>
      <c r="G1192" t="str">
        <f t="shared" si="56"/>
        <v>01.110.0000</v>
      </c>
    </row>
    <row r="1193" spans="1:7" hidden="1" x14ac:dyDescent="0.25">
      <c r="A1193" s="6" t="s">
        <v>3260</v>
      </c>
      <c r="B1193" s="28">
        <v>1</v>
      </c>
      <c r="C1193" s="6" t="s">
        <v>3252</v>
      </c>
      <c r="D1193" t="str">
        <f t="shared" si="54"/>
        <v>14.001.08.241.0018.2.041.3.3.90.36.00</v>
      </c>
      <c r="E1193" t="str">
        <f>VLOOKUP(LEFT(A1193,2),ConsolidadoLoa27_ATIVIDADES!A:I,9,0)</f>
        <v>14 - SECRETARIA DE ASSISTÊNCIA SOCIAL</v>
      </c>
      <c r="F1193" t="str">
        <f t="shared" si="55"/>
        <v>2.041</v>
      </c>
      <c r="G1193" t="str">
        <f t="shared" si="56"/>
        <v>03.500.1401</v>
      </c>
    </row>
    <row r="1194" spans="1:7" hidden="1" x14ac:dyDescent="0.25">
      <c r="A1194" s="6" t="s">
        <v>3261</v>
      </c>
      <c r="B1194" s="28">
        <v>31173</v>
      </c>
      <c r="C1194" s="6" t="s">
        <v>3252</v>
      </c>
      <c r="D1194" t="str">
        <f t="shared" si="54"/>
        <v>14.001.08.241.0018.2.041.3.3.90.39.00</v>
      </c>
      <c r="E1194" t="str">
        <f>VLOOKUP(LEFT(A1194,2),ConsolidadoLoa27_ATIVIDADES!A:I,9,0)</f>
        <v>14 - SECRETARIA DE ASSISTÊNCIA SOCIAL</v>
      </c>
      <c r="F1194" t="str">
        <f t="shared" si="55"/>
        <v>2.041</v>
      </c>
      <c r="G1194" t="str">
        <f t="shared" si="56"/>
        <v>01.110.0000</v>
      </c>
    </row>
    <row r="1195" spans="1:7" hidden="1" x14ac:dyDescent="0.25">
      <c r="A1195" s="6" t="s">
        <v>3262</v>
      </c>
      <c r="B1195" s="28">
        <v>1</v>
      </c>
      <c r="C1195" s="6" t="s">
        <v>3252</v>
      </c>
      <c r="D1195" t="str">
        <f t="shared" si="54"/>
        <v>14.001.08.241.0018.2.041.3.3.90.39.00</v>
      </c>
      <c r="E1195" t="str">
        <f>VLOOKUP(LEFT(A1195,2),ConsolidadoLoa27_ATIVIDADES!A:I,9,0)</f>
        <v>14 - SECRETARIA DE ASSISTÊNCIA SOCIAL</v>
      </c>
      <c r="F1195" t="str">
        <f t="shared" si="55"/>
        <v>2.041</v>
      </c>
      <c r="G1195" t="str">
        <f t="shared" si="56"/>
        <v>03.500.1401</v>
      </c>
    </row>
    <row r="1196" spans="1:7" hidden="1" x14ac:dyDescent="0.25">
      <c r="A1196" s="6" t="s">
        <v>3263</v>
      </c>
      <c r="B1196" s="28">
        <v>0</v>
      </c>
      <c r="C1196" s="6" t="s">
        <v>3256</v>
      </c>
      <c r="D1196" t="str">
        <f t="shared" si="54"/>
        <v>14.001.08.241.0018.2.041.4.4.50.52.00</v>
      </c>
      <c r="E1196" t="str">
        <f>VLOOKUP(LEFT(A1196,2),ConsolidadoLoa27_ATIVIDADES!A:I,9,0)</f>
        <v>14 - SECRETARIA DE ASSISTÊNCIA SOCIAL</v>
      </c>
      <c r="F1196" t="str">
        <f t="shared" si="55"/>
        <v>2.041</v>
      </c>
      <c r="G1196" t="str">
        <f t="shared" si="56"/>
        <v>08.110.0000</v>
      </c>
    </row>
    <row r="1197" spans="1:7" hidden="1" x14ac:dyDescent="0.25">
      <c r="A1197" s="6" t="s">
        <v>3264</v>
      </c>
      <c r="B1197" s="28">
        <v>31173</v>
      </c>
      <c r="C1197" s="6" t="s">
        <v>3252</v>
      </c>
      <c r="D1197" t="str">
        <f t="shared" si="54"/>
        <v>14.001.08.241.0018.2.041.4.4.90.52.00</v>
      </c>
      <c r="E1197" t="str">
        <f>VLOOKUP(LEFT(A1197,2),ConsolidadoLoa27_ATIVIDADES!A:I,9,0)</f>
        <v>14 - SECRETARIA DE ASSISTÊNCIA SOCIAL</v>
      </c>
      <c r="F1197" t="str">
        <f t="shared" si="55"/>
        <v>2.041</v>
      </c>
      <c r="G1197" t="str">
        <f t="shared" si="56"/>
        <v>01.110.0000</v>
      </c>
    </row>
    <row r="1198" spans="1:7" hidden="1" x14ac:dyDescent="0.25">
      <c r="A1198" s="6" t="s">
        <v>3265</v>
      </c>
      <c r="B1198" s="28">
        <v>1</v>
      </c>
      <c r="C1198" s="6" t="s">
        <v>3252</v>
      </c>
      <c r="D1198" t="str">
        <f t="shared" si="54"/>
        <v>14.001.08.241.0018.2.041.4.4.90.52.00</v>
      </c>
      <c r="E1198" t="str">
        <f>VLOOKUP(LEFT(A1198,2),ConsolidadoLoa27_ATIVIDADES!A:I,9,0)</f>
        <v>14 - SECRETARIA DE ASSISTÊNCIA SOCIAL</v>
      </c>
      <c r="F1198" t="str">
        <f t="shared" si="55"/>
        <v>2.041</v>
      </c>
      <c r="G1198" t="str">
        <f t="shared" si="56"/>
        <v>03.500.1401</v>
      </c>
    </row>
    <row r="1199" spans="1:7" hidden="1" x14ac:dyDescent="0.25">
      <c r="A1199" s="6" t="s">
        <v>3266</v>
      </c>
      <c r="B1199" s="28">
        <v>1</v>
      </c>
      <c r="C1199" s="6" t="s">
        <v>3267</v>
      </c>
      <c r="D1199" t="str">
        <f t="shared" si="54"/>
        <v>14.001.08.245.0001.1.002.3.3.90.39.00</v>
      </c>
      <c r="E1199" t="str">
        <f>VLOOKUP(LEFT(A1199,2),ConsolidadoLoa27_ATIVIDADES!A:I,9,0)</f>
        <v>14 - SECRETARIA DE ASSISTÊNCIA SOCIAL</v>
      </c>
      <c r="F1199" t="str">
        <f t="shared" si="55"/>
        <v>1.002</v>
      </c>
      <c r="G1199" t="str">
        <f t="shared" si="56"/>
        <v>01.110.0000</v>
      </c>
    </row>
    <row r="1200" spans="1:7" hidden="1" x14ac:dyDescent="0.25">
      <c r="A1200" s="6" t="s">
        <v>3268</v>
      </c>
      <c r="B1200" s="28">
        <v>1434269.73</v>
      </c>
      <c r="C1200" s="6" t="s">
        <v>3269</v>
      </c>
      <c r="D1200" t="str">
        <f t="shared" si="54"/>
        <v>14.001.08.245.0018.2.026.3.3.90.39.00</v>
      </c>
      <c r="E1200" t="str">
        <f>VLOOKUP(LEFT(A1200,2),ConsolidadoLoa27_ATIVIDADES!A:I,9,0)</f>
        <v>14 - SECRETARIA DE ASSISTÊNCIA SOCIAL</v>
      </c>
      <c r="F1200" t="str">
        <f t="shared" si="55"/>
        <v>2.026</v>
      </c>
      <c r="G1200" t="str">
        <f t="shared" si="56"/>
        <v>01.110.0000</v>
      </c>
    </row>
    <row r="1201" spans="1:7" hidden="1" x14ac:dyDescent="0.25">
      <c r="A1201" s="6" t="s">
        <v>3270</v>
      </c>
      <c r="B1201" s="28">
        <v>192500</v>
      </c>
      <c r="C1201" s="6" t="s">
        <v>3269</v>
      </c>
      <c r="D1201" t="str">
        <f t="shared" si="54"/>
        <v>14.001.08.245.0018.2.026.3.3.90.39.00</v>
      </c>
      <c r="E1201" t="str">
        <f>VLOOKUP(LEFT(A1201,2),ConsolidadoLoa27_ATIVIDADES!A:I,9,0)</f>
        <v>14 - SECRETARIA DE ASSISTÊNCIA SOCIAL</v>
      </c>
      <c r="F1201" t="str">
        <f t="shared" si="55"/>
        <v>2.026</v>
      </c>
      <c r="G1201" t="str">
        <f t="shared" si="56"/>
        <v>02.500.1402</v>
      </c>
    </row>
    <row r="1202" spans="1:7" hidden="1" x14ac:dyDescent="0.25">
      <c r="A1202" s="6" t="s">
        <v>3271</v>
      </c>
      <c r="B1202" s="28">
        <v>192500</v>
      </c>
      <c r="C1202" s="6" t="s">
        <v>3269</v>
      </c>
      <c r="D1202" t="str">
        <f t="shared" si="54"/>
        <v>14.001.08.245.0018.2.026.3.3.90.39.00</v>
      </c>
      <c r="E1202" t="str">
        <f>VLOOKUP(LEFT(A1202,2),ConsolidadoLoa27_ATIVIDADES!A:I,9,0)</f>
        <v>14 - SECRETARIA DE ASSISTÊNCIA SOCIAL</v>
      </c>
      <c r="F1202" t="str">
        <f t="shared" si="55"/>
        <v>2.026</v>
      </c>
      <c r="G1202" t="str">
        <f t="shared" si="56"/>
        <v>05.500.0000</v>
      </c>
    </row>
    <row r="1203" spans="1:7" hidden="1" x14ac:dyDescent="0.25">
      <c r="A1203" s="6" t="s">
        <v>3272</v>
      </c>
      <c r="B1203" s="28">
        <v>0</v>
      </c>
      <c r="C1203" s="6" t="s">
        <v>3273</v>
      </c>
      <c r="D1203" t="str">
        <f t="shared" si="54"/>
        <v>14.001.08.245.0018.2.041.3.3.50.39.00</v>
      </c>
      <c r="E1203" t="str">
        <f>VLOOKUP(LEFT(A1203,2),ConsolidadoLoa27_ATIVIDADES!A:I,9,0)</f>
        <v>14 - SECRETARIA DE ASSISTÊNCIA SOCIAL</v>
      </c>
      <c r="F1203" t="str">
        <f t="shared" si="55"/>
        <v>2.041</v>
      </c>
      <c r="G1203" t="str">
        <f t="shared" si="56"/>
        <v>08.110.0000</v>
      </c>
    </row>
    <row r="1204" spans="1:7" hidden="1" x14ac:dyDescent="0.25">
      <c r="A1204" s="6" t="s">
        <v>3272</v>
      </c>
      <c r="B1204" s="28">
        <v>0</v>
      </c>
      <c r="C1204" s="6" t="s">
        <v>3274</v>
      </c>
      <c r="D1204" t="str">
        <f t="shared" si="54"/>
        <v>14.001.08.245.0018.2.041.3.3.50.39.00</v>
      </c>
      <c r="E1204" t="str">
        <f>VLOOKUP(LEFT(A1204,2),ConsolidadoLoa27_ATIVIDADES!A:I,9,0)</f>
        <v>14 - SECRETARIA DE ASSISTÊNCIA SOCIAL</v>
      </c>
      <c r="F1204" t="str">
        <f t="shared" si="55"/>
        <v>2.041</v>
      </c>
      <c r="G1204" t="str">
        <f t="shared" si="56"/>
        <v>08.110.0000</v>
      </c>
    </row>
    <row r="1205" spans="1:7" hidden="1" x14ac:dyDescent="0.25">
      <c r="A1205" s="6" t="s">
        <v>3272</v>
      </c>
      <c r="B1205" s="28">
        <v>0</v>
      </c>
      <c r="C1205" s="6" t="s">
        <v>3275</v>
      </c>
      <c r="D1205" t="str">
        <f t="shared" si="54"/>
        <v>14.001.08.245.0018.2.041.3.3.50.39.00</v>
      </c>
      <c r="E1205" t="str">
        <f>VLOOKUP(LEFT(A1205,2),ConsolidadoLoa27_ATIVIDADES!A:I,9,0)</f>
        <v>14 - SECRETARIA DE ASSISTÊNCIA SOCIAL</v>
      </c>
      <c r="F1205" t="str">
        <f t="shared" si="55"/>
        <v>2.041</v>
      </c>
      <c r="G1205" t="str">
        <f t="shared" si="56"/>
        <v>08.110.0000</v>
      </c>
    </row>
    <row r="1206" spans="1:7" hidden="1" x14ac:dyDescent="0.25">
      <c r="A1206" s="6" t="s">
        <v>3272</v>
      </c>
      <c r="B1206" s="28">
        <v>0</v>
      </c>
      <c r="C1206" s="6" t="s">
        <v>3276</v>
      </c>
      <c r="D1206" t="str">
        <f t="shared" si="54"/>
        <v>14.001.08.245.0018.2.041.3.3.50.39.00</v>
      </c>
      <c r="E1206" t="str">
        <f>VLOOKUP(LEFT(A1206,2),ConsolidadoLoa27_ATIVIDADES!A:I,9,0)</f>
        <v>14 - SECRETARIA DE ASSISTÊNCIA SOCIAL</v>
      </c>
      <c r="F1206" t="str">
        <f t="shared" si="55"/>
        <v>2.041</v>
      </c>
      <c r="G1206" t="str">
        <f t="shared" si="56"/>
        <v>08.110.0000</v>
      </c>
    </row>
    <row r="1207" spans="1:7" hidden="1" x14ac:dyDescent="0.25">
      <c r="A1207" s="6" t="s">
        <v>3272</v>
      </c>
      <c r="B1207" s="28">
        <v>0</v>
      </c>
      <c r="C1207" s="6" t="s">
        <v>3277</v>
      </c>
      <c r="D1207" t="str">
        <f t="shared" si="54"/>
        <v>14.001.08.245.0018.2.041.3.3.50.39.00</v>
      </c>
      <c r="E1207" t="str">
        <f>VLOOKUP(LEFT(A1207,2),ConsolidadoLoa27_ATIVIDADES!A:I,9,0)</f>
        <v>14 - SECRETARIA DE ASSISTÊNCIA SOCIAL</v>
      </c>
      <c r="F1207" t="str">
        <f t="shared" si="55"/>
        <v>2.041</v>
      </c>
      <c r="G1207" t="str">
        <f t="shared" si="56"/>
        <v>08.110.0000</v>
      </c>
    </row>
    <row r="1208" spans="1:7" hidden="1" x14ac:dyDescent="0.25">
      <c r="A1208" s="6" t="s">
        <v>3272</v>
      </c>
      <c r="B1208" s="28">
        <v>0</v>
      </c>
      <c r="C1208" s="6" t="s">
        <v>3278</v>
      </c>
      <c r="D1208" t="str">
        <f t="shared" si="54"/>
        <v>14.001.08.245.0018.2.041.3.3.50.39.00</v>
      </c>
      <c r="E1208" t="str">
        <f>VLOOKUP(LEFT(A1208,2),ConsolidadoLoa27_ATIVIDADES!A:I,9,0)</f>
        <v>14 - SECRETARIA DE ASSISTÊNCIA SOCIAL</v>
      </c>
      <c r="F1208" t="str">
        <f t="shared" si="55"/>
        <v>2.041</v>
      </c>
      <c r="G1208" t="str">
        <f t="shared" si="56"/>
        <v>08.110.0000</v>
      </c>
    </row>
    <row r="1209" spans="1:7" hidden="1" x14ac:dyDescent="0.25">
      <c r="A1209" s="6" t="s">
        <v>3272</v>
      </c>
      <c r="B1209" s="28">
        <v>0</v>
      </c>
      <c r="C1209" s="6" t="s">
        <v>3093</v>
      </c>
      <c r="D1209" t="str">
        <f t="shared" si="54"/>
        <v>14.001.08.245.0018.2.041.3.3.50.39.00</v>
      </c>
      <c r="E1209" t="str">
        <f>VLOOKUP(LEFT(A1209,2),ConsolidadoLoa27_ATIVIDADES!A:I,9,0)</f>
        <v>14 - SECRETARIA DE ASSISTÊNCIA SOCIAL</v>
      </c>
      <c r="F1209" t="str">
        <f t="shared" si="55"/>
        <v>2.041</v>
      </c>
      <c r="G1209" t="str">
        <f t="shared" si="56"/>
        <v>08.110.0000</v>
      </c>
    </row>
    <row r="1210" spans="1:7" hidden="1" x14ac:dyDescent="0.25">
      <c r="A1210" s="6" t="s">
        <v>3272</v>
      </c>
      <c r="B1210" s="28">
        <v>0</v>
      </c>
      <c r="C1210" s="6" t="s">
        <v>3279</v>
      </c>
      <c r="D1210" t="str">
        <f t="shared" si="54"/>
        <v>14.001.08.245.0018.2.041.3.3.50.39.00</v>
      </c>
      <c r="E1210" t="str">
        <f>VLOOKUP(LEFT(A1210,2),ConsolidadoLoa27_ATIVIDADES!A:I,9,0)</f>
        <v>14 - SECRETARIA DE ASSISTÊNCIA SOCIAL</v>
      </c>
      <c r="F1210" t="str">
        <f t="shared" si="55"/>
        <v>2.041</v>
      </c>
      <c r="G1210" t="str">
        <f t="shared" si="56"/>
        <v>08.110.0000</v>
      </c>
    </row>
    <row r="1211" spans="1:7" hidden="1" x14ac:dyDescent="0.25">
      <c r="A1211" s="6" t="s">
        <v>3272</v>
      </c>
      <c r="B1211" s="28">
        <v>0</v>
      </c>
      <c r="C1211" s="6" t="s">
        <v>3280</v>
      </c>
      <c r="D1211" t="str">
        <f t="shared" si="54"/>
        <v>14.001.08.245.0018.2.041.3.3.50.39.00</v>
      </c>
      <c r="E1211" t="str">
        <f>VLOOKUP(LEFT(A1211,2),ConsolidadoLoa27_ATIVIDADES!A:I,9,0)</f>
        <v>14 - SECRETARIA DE ASSISTÊNCIA SOCIAL</v>
      </c>
      <c r="F1211" t="str">
        <f t="shared" si="55"/>
        <v>2.041</v>
      </c>
      <c r="G1211" t="str">
        <f t="shared" si="56"/>
        <v>08.110.0000</v>
      </c>
    </row>
    <row r="1212" spans="1:7" hidden="1" x14ac:dyDescent="0.25">
      <c r="A1212" s="6" t="s">
        <v>3272</v>
      </c>
      <c r="B1212" s="28">
        <v>0</v>
      </c>
      <c r="C1212" s="6" t="s">
        <v>3281</v>
      </c>
      <c r="D1212" t="str">
        <f t="shared" si="54"/>
        <v>14.001.08.245.0018.2.041.3.3.50.39.00</v>
      </c>
      <c r="E1212" t="str">
        <f>VLOOKUP(LEFT(A1212,2),ConsolidadoLoa27_ATIVIDADES!A:I,9,0)</f>
        <v>14 - SECRETARIA DE ASSISTÊNCIA SOCIAL</v>
      </c>
      <c r="F1212" t="str">
        <f t="shared" si="55"/>
        <v>2.041</v>
      </c>
      <c r="G1212" t="str">
        <f t="shared" si="56"/>
        <v>08.110.0000</v>
      </c>
    </row>
    <row r="1213" spans="1:7" hidden="1" x14ac:dyDescent="0.25">
      <c r="A1213" s="6" t="s">
        <v>3272</v>
      </c>
      <c r="B1213" s="28">
        <v>0</v>
      </c>
      <c r="C1213" s="6" t="s">
        <v>3282</v>
      </c>
      <c r="D1213" t="str">
        <f t="shared" si="54"/>
        <v>14.001.08.245.0018.2.041.3.3.50.39.00</v>
      </c>
      <c r="E1213" t="str">
        <f>VLOOKUP(LEFT(A1213,2),ConsolidadoLoa27_ATIVIDADES!A:I,9,0)</f>
        <v>14 - SECRETARIA DE ASSISTÊNCIA SOCIAL</v>
      </c>
      <c r="F1213" t="str">
        <f t="shared" si="55"/>
        <v>2.041</v>
      </c>
      <c r="G1213" t="str">
        <f t="shared" si="56"/>
        <v>08.110.0000</v>
      </c>
    </row>
    <row r="1214" spans="1:7" hidden="1" x14ac:dyDescent="0.25">
      <c r="A1214" s="6" t="s">
        <v>3272</v>
      </c>
      <c r="B1214" s="28">
        <v>0</v>
      </c>
      <c r="C1214" s="6" t="s">
        <v>3283</v>
      </c>
      <c r="D1214" t="str">
        <f t="shared" si="54"/>
        <v>14.001.08.245.0018.2.041.3.3.50.39.00</v>
      </c>
      <c r="E1214" t="str">
        <f>VLOOKUP(LEFT(A1214,2),ConsolidadoLoa27_ATIVIDADES!A:I,9,0)</f>
        <v>14 - SECRETARIA DE ASSISTÊNCIA SOCIAL</v>
      </c>
      <c r="F1214" t="str">
        <f t="shared" si="55"/>
        <v>2.041</v>
      </c>
      <c r="G1214" t="str">
        <f t="shared" si="56"/>
        <v>08.110.0000</v>
      </c>
    </row>
    <row r="1215" spans="1:7" hidden="1" x14ac:dyDescent="0.25">
      <c r="A1215" s="6" t="s">
        <v>3272</v>
      </c>
      <c r="B1215" s="28">
        <v>0</v>
      </c>
      <c r="C1215" s="6" t="s">
        <v>3284</v>
      </c>
      <c r="D1215" t="str">
        <f t="shared" si="54"/>
        <v>14.001.08.245.0018.2.041.3.3.50.39.00</v>
      </c>
      <c r="E1215" t="str">
        <f>VLOOKUP(LEFT(A1215,2),ConsolidadoLoa27_ATIVIDADES!A:I,9,0)</f>
        <v>14 - SECRETARIA DE ASSISTÊNCIA SOCIAL</v>
      </c>
      <c r="F1215" t="str">
        <f t="shared" si="55"/>
        <v>2.041</v>
      </c>
      <c r="G1215" t="str">
        <f t="shared" si="56"/>
        <v>08.110.0000</v>
      </c>
    </row>
    <row r="1216" spans="1:7" hidden="1" x14ac:dyDescent="0.25">
      <c r="A1216" s="6" t="s">
        <v>3272</v>
      </c>
      <c r="B1216" s="28">
        <v>0</v>
      </c>
      <c r="C1216" s="6" t="s">
        <v>3285</v>
      </c>
      <c r="D1216" t="str">
        <f t="shared" si="54"/>
        <v>14.001.08.245.0018.2.041.3.3.50.39.00</v>
      </c>
      <c r="E1216" t="str">
        <f>VLOOKUP(LEFT(A1216,2),ConsolidadoLoa27_ATIVIDADES!A:I,9,0)</f>
        <v>14 - SECRETARIA DE ASSISTÊNCIA SOCIAL</v>
      </c>
      <c r="F1216" t="str">
        <f t="shared" si="55"/>
        <v>2.041</v>
      </c>
      <c r="G1216" t="str">
        <f t="shared" si="56"/>
        <v>08.110.0000</v>
      </c>
    </row>
    <row r="1217" spans="1:7" hidden="1" x14ac:dyDescent="0.25">
      <c r="A1217" s="6" t="s">
        <v>3272</v>
      </c>
      <c r="B1217" s="28">
        <v>0</v>
      </c>
      <c r="C1217" s="6" t="s">
        <v>3286</v>
      </c>
      <c r="D1217" t="str">
        <f t="shared" si="54"/>
        <v>14.001.08.245.0018.2.041.3.3.50.39.00</v>
      </c>
      <c r="E1217" t="str">
        <f>VLOOKUP(LEFT(A1217,2),ConsolidadoLoa27_ATIVIDADES!A:I,9,0)</f>
        <v>14 - SECRETARIA DE ASSISTÊNCIA SOCIAL</v>
      </c>
      <c r="F1217" t="str">
        <f t="shared" si="55"/>
        <v>2.041</v>
      </c>
      <c r="G1217" t="str">
        <f t="shared" si="56"/>
        <v>08.110.0000</v>
      </c>
    </row>
    <row r="1218" spans="1:7" hidden="1" x14ac:dyDescent="0.25">
      <c r="A1218" s="6" t="s">
        <v>3272</v>
      </c>
      <c r="B1218" s="28">
        <v>0</v>
      </c>
      <c r="C1218" s="6" t="s">
        <v>3287</v>
      </c>
      <c r="D1218" t="str">
        <f t="shared" si="54"/>
        <v>14.001.08.245.0018.2.041.3.3.50.39.00</v>
      </c>
      <c r="E1218" t="str">
        <f>VLOOKUP(LEFT(A1218,2),ConsolidadoLoa27_ATIVIDADES!A:I,9,0)</f>
        <v>14 - SECRETARIA DE ASSISTÊNCIA SOCIAL</v>
      </c>
      <c r="F1218" t="str">
        <f t="shared" si="55"/>
        <v>2.041</v>
      </c>
      <c r="G1218" t="str">
        <f t="shared" si="56"/>
        <v>08.110.0000</v>
      </c>
    </row>
    <row r="1219" spans="1:7" hidden="1" x14ac:dyDescent="0.25">
      <c r="A1219" s="6" t="s">
        <v>3272</v>
      </c>
      <c r="B1219" s="28">
        <v>0</v>
      </c>
      <c r="C1219" s="6" t="s">
        <v>3288</v>
      </c>
      <c r="D1219" t="str">
        <f t="shared" ref="D1219:D1282" si="57">_xlfn.CONCAT(LEFT(A1219,34),".00")</f>
        <v>14.001.08.245.0018.2.041.3.3.50.39.00</v>
      </c>
      <c r="E1219" t="str">
        <f>VLOOKUP(LEFT(A1219,2),ConsolidadoLoa27_ATIVIDADES!A:I,9,0)</f>
        <v>14 - SECRETARIA DE ASSISTÊNCIA SOCIAL</v>
      </c>
      <c r="F1219" t="str">
        <f t="shared" ref="F1219:F1282" si="58">MID(A1219,20,5)</f>
        <v>2.041</v>
      </c>
      <c r="G1219" t="str">
        <f t="shared" ref="G1219:G1282" si="59">RIGHT(A1219,11)</f>
        <v>08.110.0000</v>
      </c>
    </row>
    <row r="1220" spans="1:7" hidden="1" x14ac:dyDescent="0.25">
      <c r="A1220" s="6" t="s">
        <v>3289</v>
      </c>
      <c r="B1220" s="28">
        <v>10391</v>
      </c>
      <c r="C1220" s="6" t="s">
        <v>3290</v>
      </c>
      <c r="D1220" t="str">
        <f t="shared" si="57"/>
        <v>14.001.08.245.0018.2.041.3.3.90.30.00</v>
      </c>
      <c r="E1220" t="str">
        <f>VLOOKUP(LEFT(A1220,2),ConsolidadoLoa27_ATIVIDADES!A:I,9,0)</f>
        <v>14 - SECRETARIA DE ASSISTÊNCIA SOCIAL</v>
      </c>
      <c r="F1220" t="str">
        <f t="shared" si="58"/>
        <v>2.041</v>
      </c>
      <c r="G1220" t="str">
        <f t="shared" si="59"/>
        <v>01.110.0000</v>
      </c>
    </row>
    <row r="1221" spans="1:7" hidden="1" x14ac:dyDescent="0.25">
      <c r="A1221" s="6" t="s">
        <v>3291</v>
      </c>
      <c r="B1221" s="28">
        <v>5195.5</v>
      </c>
      <c r="C1221" s="6" t="s">
        <v>3290</v>
      </c>
      <c r="D1221" t="str">
        <f t="shared" si="57"/>
        <v>14.001.08.245.0018.2.041.3.3.90.36.00</v>
      </c>
      <c r="E1221" t="str">
        <f>VLOOKUP(LEFT(A1221,2),ConsolidadoLoa27_ATIVIDADES!A:I,9,0)</f>
        <v>14 - SECRETARIA DE ASSISTÊNCIA SOCIAL</v>
      </c>
      <c r="F1221" t="str">
        <f t="shared" si="58"/>
        <v>2.041</v>
      </c>
      <c r="G1221" t="str">
        <f t="shared" si="59"/>
        <v>01.110.0000</v>
      </c>
    </row>
    <row r="1222" spans="1:7" hidden="1" x14ac:dyDescent="0.25">
      <c r="A1222" s="6" t="s">
        <v>3292</v>
      </c>
      <c r="B1222" s="28">
        <v>83128</v>
      </c>
      <c r="C1222" s="6" t="s">
        <v>3290</v>
      </c>
      <c r="D1222" t="str">
        <f t="shared" si="57"/>
        <v>14.001.08.245.0018.2.041.3.3.90.39.00</v>
      </c>
      <c r="E1222" t="str">
        <f>VLOOKUP(LEFT(A1222,2),ConsolidadoLoa27_ATIVIDADES!A:I,9,0)</f>
        <v>14 - SECRETARIA DE ASSISTÊNCIA SOCIAL</v>
      </c>
      <c r="F1222" t="str">
        <f t="shared" si="58"/>
        <v>2.041</v>
      </c>
      <c r="G1222" t="str">
        <f t="shared" si="59"/>
        <v>01.110.0000</v>
      </c>
    </row>
    <row r="1223" spans="1:7" hidden="1" x14ac:dyDescent="0.25">
      <c r="A1223" s="6" t="s">
        <v>3293</v>
      </c>
      <c r="B1223" s="28">
        <v>0</v>
      </c>
      <c r="C1223" s="6" t="s">
        <v>3294</v>
      </c>
      <c r="D1223" t="str">
        <f t="shared" si="57"/>
        <v>14.001.08.245.0018.2.041.4.4.50.51.00</v>
      </c>
      <c r="E1223" t="str">
        <f>VLOOKUP(LEFT(A1223,2),ConsolidadoLoa27_ATIVIDADES!A:I,9,0)</f>
        <v>14 - SECRETARIA DE ASSISTÊNCIA SOCIAL</v>
      </c>
      <c r="F1223" t="str">
        <f t="shared" si="58"/>
        <v>2.041</v>
      </c>
      <c r="G1223" t="str">
        <f t="shared" si="59"/>
        <v>08.110.0000</v>
      </c>
    </row>
    <row r="1224" spans="1:7" hidden="1" x14ac:dyDescent="0.25">
      <c r="A1224" s="6" t="s">
        <v>3295</v>
      </c>
      <c r="B1224" s="28">
        <v>0</v>
      </c>
      <c r="C1224" s="6" t="s">
        <v>3274</v>
      </c>
      <c r="D1224" t="str">
        <f t="shared" si="57"/>
        <v>14.001.08.245.0018.2.041.4.4.50.52.00</v>
      </c>
      <c r="E1224" t="str">
        <f>VLOOKUP(LEFT(A1224,2),ConsolidadoLoa27_ATIVIDADES!A:I,9,0)</f>
        <v>14 - SECRETARIA DE ASSISTÊNCIA SOCIAL</v>
      </c>
      <c r="F1224" t="str">
        <f t="shared" si="58"/>
        <v>2.041</v>
      </c>
      <c r="G1224" t="str">
        <f t="shared" si="59"/>
        <v>08.110.0000</v>
      </c>
    </row>
    <row r="1225" spans="1:7" hidden="1" x14ac:dyDescent="0.25">
      <c r="A1225" s="6" t="s">
        <v>3295</v>
      </c>
      <c r="B1225" s="28">
        <v>0</v>
      </c>
      <c r="C1225" s="6" t="s">
        <v>3296</v>
      </c>
      <c r="D1225" t="str">
        <f t="shared" si="57"/>
        <v>14.001.08.245.0018.2.041.4.4.50.52.00</v>
      </c>
      <c r="E1225" t="str">
        <f>VLOOKUP(LEFT(A1225,2),ConsolidadoLoa27_ATIVIDADES!A:I,9,0)</f>
        <v>14 - SECRETARIA DE ASSISTÊNCIA SOCIAL</v>
      </c>
      <c r="F1225" t="str">
        <f t="shared" si="58"/>
        <v>2.041</v>
      </c>
      <c r="G1225" t="str">
        <f t="shared" si="59"/>
        <v>08.110.0000</v>
      </c>
    </row>
    <row r="1226" spans="1:7" hidden="1" x14ac:dyDescent="0.25">
      <c r="A1226" s="6" t="s">
        <v>3295</v>
      </c>
      <c r="B1226" s="28">
        <v>0</v>
      </c>
      <c r="C1226" s="6" t="s">
        <v>3278</v>
      </c>
      <c r="D1226" t="str">
        <f t="shared" si="57"/>
        <v>14.001.08.245.0018.2.041.4.4.50.52.00</v>
      </c>
      <c r="E1226" t="str">
        <f>VLOOKUP(LEFT(A1226,2),ConsolidadoLoa27_ATIVIDADES!A:I,9,0)</f>
        <v>14 - SECRETARIA DE ASSISTÊNCIA SOCIAL</v>
      </c>
      <c r="F1226" t="str">
        <f t="shared" si="58"/>
        <v>2.041</v>
      </c>
      <c r="G1226" t="str">
        <f t="shared" si="59"/>
        <v>08.110.0000</v>
      </c>
    </row>
    <row r="1227" spans="1:7" hidden="1" x14ac:dyDescent="0.25">
      <c r="A1227" s="6" t="s">
        <v>3295</v>
      </c>
      <c r="B1227" s="28">
        <v>0</v>
      </c>
      <c r="C1227" s="6" t="s">
        <v>3279</v>
      </c>
      <c r="D1227" t="str">
        <f t="shared" si="57"/>
        <v>14.001.08.245.0018.2.041.4.4.50.52.00</v>
      </c>
      <c r="E1227" t="str">
        <f>VLOOKUP(LEFT(A1227,2),ConsolidadoLoa27_ATIVIDADES!A:I,9,0)</f>
        <v>14 - SECRETARIA DE ASSISTÊNCIA SOCIAL</v>
      </c>
      <c r="F1227" t="str">
        <f t="shared" si="58"/>
        <v>2.041</v>
      </c>
      <c r="G1227" t="str">
        <f t="shared" si="59"/>
        <v>08.110.0000</v>
      </c>
    </row>
    <row r="1228" spans="1:7" hidden="1" x14ac:dyDescent="0.25">
      <c r="A1228" s="6" t="s">
        <v>3295</v>
      </c>
      <c r="B1228" s="28">
        <v>0</v>
      </c>
      <c r="C1228" s="6" t="s">
        <v>3280</v>
      </c>
      <c r="D1228" t="str">
        <f t="shared" si="57"/>
        <v>14.001.08.245.0018.2.041.4.4.50.52.00</v>
      </c>
      <c r="E1228" t="str">
        <f>VLOOKUP(LEFT(A1228,2),ConsolidadoLoa27_ATIVIDADES!A:I,9,0)</f>
        <v>14 - SECRETARIA DE ASSISTÊNCIA SOCIAL</v>
      </c>
      <c r="F1228" t="str">
        <f t="shared" si="58"/>
        <v>2.041</v>
      </c>
      <c r="G1228" t="str">
        <f t="shared" si="59"/>
        <v>08.110.0000</v>
      </c>
    </row>
    <row r="1229" spans="1:7" hidden="1" x14ac:dyDescent="0.25">
      <c r="A1229" s="6" t="s">
        <v>3295</v>
      </c>
      <c r="B1229" s="28">
        <v>0</v>
      </c>
      <c r="C1229" s="6" t="s">
        <v>3297</v>
      </c>
      <c r="D1229" t="str">
        <f t="shared" si="57"/>
        <v>14.001.08.245.0018.2.041.4.4.50.52.00</v>
      </c>
      <c r="E1229" t="str">
        <f>VLOOKUP(LEFT(A1229,2),ConsolidadoLoa27_ATIVIDADES!A:I,9,0)</f>
        <v>14 - SECRETARIA DE ASSISTÊNCIA SOCIAL</v>
      </c>
      <c r="F1229" t="str">
        <f t="shared" si="58"/>
        <v>2.041</v>
      </c>
      <c r="G1229" t="str">
        <f t="shared" si="59"/>
        <v>08.110.0000</v>
      </c>
    </row>
    <row r="1230" spans="1:7" hidden="1" x14ac:dyDescent="0.25">
      <c r="A1230" s="6" t="s">
        <v>3295</v>
      </c>
      <c r="B1230" s="28">
        <v>0</v>
      </c>
      <c r="C1230" s="6" t="s">
        <v>3281</v>
      </c>
      <c r="D1230" t="str">
        <f t="shared" si="57"/>
        <v>14.001.08.245.0018.2.041.4.4.50.52.00</v>
      </c>
      <c r="E1230" t="str">
        <f>VLOOKUP(LEFT(A1230,2),ConsolidadoLoa27_ATIVIDADES!A:I,9,0)</f>
        <v>14 - SECRETARIA DE ASSISTÊNCIA SOCIAL</v>
      </c>
      <c r="F1230" t="str">
        <f t="shared" si="58"/>
        <v>2.041</v>
      </c>
      <c r="G1230" t="str">
        <f t="shared" si="59"/>
        <v>08.110.0000</v>
      </c>
    </row>
    <row r="1231" spans="1:7" hidden="1" x14ac:dyDescent="0.25">
      <c r="A1231" s="6" t="s">
        <v>3295</v>
      </c>
      <c r="B1231" s="28">
        <v>0</v>
      </c>
      <c r="C1231" s="6" t="s">
        <v>3298</v>
      </c>
      <c r="D1231" t="str">
        <f t="shared" si="57"/>
        <v>14.001.08.245.0018.2.041.4.4.50.52.00</v>
      </c>
      <c r="E1231" t="str">
        <f>VLOOKUP(LEFT(A1231,2),ConsolidadoLoa27_ATIVIDADES!A:I,9,0)</f>
        <v>14 - SECRETARIA DE ASSISTÊNCIA SOCIAL</v>
      </c>
      <c r="F1231" t="str">
        <f t="shared" si="58"/>
        <v>2.041</v>
      </c>
      <c r="G1231" t="str">
        <f t="shared" si="59"/>
        <v>08.110.0000</v>
      </c>
    </row>
    <row r="1232" spans="1:7" hidden="1" x14ac:dyDescent="0.25">
      <c r="A1232" s="6" t="s">
        <v>3295</v>
      </c>
      <c r="B1232" s="28">
        <v>0</v>
      </c>
      <c r="C1232" s="6" t="s">
        <v>3284</v>
      </c>
      <c r="D1232" t="str">
        <f t="shared" si="57"/>
        <v>14.001.08.245.0018.2.041.4.4.50.52.00</v>
      </c>
      <c r="E1232" t="str">
        <f>VLOOKUP(LEFT(A1232,2),ConsolidadoLoa27_ATIVIDADES!A:I,9,0)</f>
        <v>14 - SECRETARIA DE ASSISTÊNCIA SOCIAL</v>
      </c>
      <c r="F1232" t="str">
        <f t="shared" si="58"/>
        <v>2.041</v>
      </c>
      <c r="G1232" t="str">
        <f t="shared" si="59"/>
        <v>08.110.0000</v>
      </c>
    </row>
    <row r="1233" spans="1:7" hidden="1" x14ac:dyDescent="0.25">
      <c r="A1233" s="6" t="s">
        <v>3295</v>
      </c>
      <c r="B1233" s="28">
        <v>0</v>
      </c>
      <c r="C1233" s="6" t="s">
        <v>3285</v>
      </c>
      <c r="D1233" t="str">
        <f t="shared" si="57"/>
        <v>14.001.08.245.0018.2.041.4.4.50.52.00</v>
      </c>
      <c r="E1233" t="str">
        <f>VLOOKUP(LEFT(A1233,2),ConsolidadoLoa27_ATIVIDADES!A:I,9,0)</f>
        <v>14 - SECRETARIA DE ASSISTÊNCIA SOCIAL</v>
      </c>
      <c r="F1233" t="str">
        <f t="shared" si="58"/>
        <v>2.041</v>
      </c>
      <c r="G1233" t="str">
        <f t="shared" si="59"/>
        <v>08.110.0000</v>
      </c>
    </row>
    <row r="1234" spans="1:7" hidden="1" x14ac:dyDescent="0.25">
      <c r="A1234" s="6" t="s">
        <v>3295</v>
      </c>
      <c r="B1234" s="28">
        <v>0</v>
      </c>
      <c r="C1234" s="6" t="s">
        <v>3288</v>
      </c>
      <c r="D1234" t="str">
        <f t="shared" si="57"/>
        <v>14.001.08.245.0018.2.041.4.4.50.52.00</v>
      </c>
      <c r="E1234" t="str">
        <f>VLOOKUP(LEFT(A1234,2),ConsolidadoLoa27_ATIVIDADES!A:I,9,0)</f>
        <v>14 - SECRETARIA DE ASSISTÊNCIA SOCIAL</v>
      </c>
      <c r="F1234" t="str">
        <f t="shared" si="58"/>
        <v>2.041</v>
      </c>
      <c r="G1234" t="str">
        <f t="shared" si="59"/>
        <v>08.110.0000</v>
      </c>
    </row>
    <row r="1235" spans="1:7" hidden="1" x14ac:dyDescent="0.25">
      <c r="A1235" s="6" t="s">
        <v>3299</v>
      </c>
      <c r="B1235" s="28">
        <v>20782</v>
      </c>
      <c r="C1235" s="6" t="s">
        <v>3300</v>
      </c>
      <c r="D1235" t="str">
        <f t="shared" si="57"/>
        <v>14.001.08.245.0018.2.041.4.4.90.52.00</v>
      </c>
      <c r="E1235" t="str">
        <f>VLOOKUP(LEFT(A1235,2),ConsolidadoLoa27_ATIVIDADES!A:I,9,0)</f>
        <v>14 - SECRETARIA DE ASSISTÊNCIA SOCIAL</v>
      </c>
      <c r="F1235" t="str">
        <f t="shared" si="58"/>
        <v>2.041</v>
      </c>
      <c r="G1235" t="str">
        <f t="shared" si="59"/>
        <v>01.110.0000</v>
      </c>
    </row>
    <row r="1236" spans="1:7" hidden="1" x14ac:dyDescent="0.25">
      <c r="A1236" s="6" t="s">
        <v>3301</v>
      </c>
      <c r="B1236" s="28">
        <v>3212030.92</v>
      </c>
      <c r="C1236" s="6" t="s">
        <v>2416</v>
      </c>
      <c r="D1236" t="str">
        <f t="shared" si="57"/>
        <v>14.001.08.246.0018.2.027.3.3.90.39.00</v>
      </c>
      <c r="E1236" t="str">
        <f>VLOOKUP(LEFT(A1236,2),ConsolidadoLoa27_ATIVIDADES!A:I,9,0)</f>
        <v>14 - SECRETARIA DE ASSISTÊNCIA SOCIAL</v>
      </c>
      <c r="F1236" t="str">
        <f t="shared" si="58"/>
        <v>2.027</v>
      </c>
      <c r="G1236" t="str">
        <f t="shared" si="59"/>
        <v>01.110.0000</v>
      </c>
    </row>
    <row r="1237" spans="1:7" hidden="1" x14ac:dyDescent="0.25">
      <c r="A1237" s="6" t="s">
        <v>3302</v>
      </c>
      <c r="B1237" s="28">
        <v>60000000</v>
      </c>
      <c r="C1237" s="6" t="s">
        <v>3303</v>
      </c>
      <c r="D1237" t="str">
        <f t="shared" si="57"/>
        <v>14.001.08.246.0019.2.024.3.3.90.48.00</v>
      </c>
      <c r="E1237" t="str">
        <f>VLOOKUP(LEFT(A1237,2),ConsolidadoLoa27_ATIVIDADES!A:I,9,0)</f>
        <v>14 - SECRETARIA DE ASSISTÊNCIA SOCIAL</v>
      </c>
      <c r="F1237" t="str">
        <f t="shared" si="58"/>
        <v>2.024</v>
      </c>
      <c r="G1237" t="str">
        <f t="shared" si="59"/>
        <v>01.110.0000</v>
      </c>
    </row>
    <row r="1238" spans="1:7" hidden="1" x14ac:dyDescent="0.25">
      <c r="A1238" s="6" t="s">
        <v>3304</v>
      </c>
      <c r="B1238" s="28">
        <v>145474</v>
      </c>
      <c r="C1238" s="6" t="s">
        <v>318</v>
      </c>
      <c r="D1238" t="str">
        <f t="shared" si="57"/>
        <v>14.005.04.128.0002.2.003.3.3.90.39.00</v>
      </c>
      <c r="E1238" t="str">
        <f>VLOOKUP(LEFT(A1238,2),ConsolidadoLoa27_ATIVIDADES!A:I,9,0)</f>
        <v>14 - SECRETARIA DE ASSISTÊNCIA SOCIAL</v>
      </c>
      <c r="F1238" t="str">
        <f t="shared" si="58"/>
        <v>2.003</v>
      </c>
      <c r="G1238" t="str">
        <f t="shared" si="59"/>
        <v>02.500.1402</v>
      </c>
    </row>
    <row r="1239" spans="1:7" hidden="1" x14ac:dyDescent="0.25">
      <c r="A1239" s="6" t="s">
        <v>3305</v>
      </c>
      <c r="B1239" s="28">
        <v>0</v>
      </c>
      <c r="C1239" s="6" t="s">
        <v>318</v>
      </c>
      <c r="D1239" t="str">
        <f t="shared" si="57"/>
        <v>14.005.04.128.0002.2.003.3.3.90.39.00</v>
      </c>
      <c r="E1239" t="str">
        <f>VLOOKUP(LEFT(A1239,2),ConsolidadoLoa27_ATIVIDADES!A:I,9,0)</f>
        <v>14 - SECRETARIA DE ASSISTÊNCIA SOCIAL</v>
      </c>
      <c r="F1239" t="str">
        <f t="shared" si="58"/>
        <v>2.003</v>
      </c>
      <c r="G1239" t="str">
        <f t="shared" si="59"/>
        <v>05.500.0000</v>
      </c>
    </row>
    <row r="1240" spans="1:7" hidden="1" x14ac:dyDescent="0.25">
      <c r="A1240" s="6" t="s">
        <v>3306</v>
      </c>
      <c r="B1240" s="28">
        <v>79664.679699999993</v>
      </c>
      <c r="C1240" s="6" t="s">
        <v>245</v>
      </c>
      <c r="D1240" t="str">
        <f t="shared" si="57"/>
        <v>14.005.04.131.0002.2.005.3.3.90.30.00</v>
      </c>
      <c r="E1240" t="str">
        <f>VLOOKUP(LEFT(A1240,2),ConsolidadoLoa27_ATIVIDADES!A:I,9,0)</f>
        <v>14 - SECRETARIA DE ASSISTÊNCIA SOCIAL</v>
      </c>
      <c r="F1240" t="str">
        <f t="shared" si="58"/>
        <v>2.005</v>
      </c>
      <c r="G1240" t="str">
        <f t="shared" si="59"/>
        <v>02.500.1402</v>
      </c>
    </row>
    <row r="1241" spans="1:7" hidden="1" x14ac:dyDescent="0.25">
      <c r="A1241" s="6" t="s">
        <v>3307</v>
      </c>
      <c r="B1241" s="28">
        <v>79664.679699999993</v>
      </c>
      <c r="C1241" s="6" t="s">
        <v>245</v>
      </c>
      <c r="D1241" t="str">
        <f t="shared" si="57"/>
        <v>14.005.04.131.0002.2.005.3.3.90.30.00</v>
      </c>
      <c r="E1241" t="str">
        <f>VLOOKUP(LEFT(A1241,2),ConsolidadoLoa27_ATIVIDADES!A:I,9,0)</f>
        <v>14 - SECRETARIA DE ASSISTÊNCIA SOCIAL</v>
      </c>
      <c r="F1241" t="str">
        <f t="shared" si="58"/>
        <v>2.005</v>
      </c>
      <c r="G1241" t="str">
        <f t="shared" si="59"/>
        <v>05.500.0000</v>
      </c>
    </row>
    <row r="1242" spans="1:7" hidden="1" x14ac:dyDescent="0.25">
      <c r="A1242" s="6" t="s">
        <v>3308</v>
      </c>
      <c r="B1242" s="28">
        <v>79664.679699999993</v>
      </c>
      <c r="C1242" s="6" t="s">
        <v>2293</v>
      </c>
      <c r="D1242" t="str">
        <f t="shared" si="57"/>
        <v>14.005.04.131.0002.2.005.3.3.90.39.00</v>
      </c>
      <c r="E1242" t="str">
        <f>VLOOKUP(LEFT(A1242,2),ConsolidadoLoa27_ATIVIDADES!A:I,9,0)</f>
        <v>14 - SECRETARIA DE ASSISTÊNCIA SOCIAL</v>
      </c>
      <c r="F1242" t="str">
        <f t="shared" si="58"/>
        <v>2.005</v>
      </c>
      <c r="G1242" t="str">
        <f t="shared" si="59"/>
        <v>02.500.1402</v>
      </c>
    </row>
    <row r="1243" spans="1:7" hidden="1" x14ac:dyDescent="0.25">
      <c r="A1243" s="6" t="s">
        <v>3308</v>
      </c>
      <c r="B1243" s="28">
        <v>79664.679699999993</v>
      </c>
      <c r="C1243" s="6" t="s">
        <v>196</v>
      </c>
      <c r="D1243" t="str">
        <f t="shared" si="57"/>
        <v>14.005.04.131.0002.2.005.3.3.90.39.00</v>
      </c>
      <c r="E1243" t="str">
        <f>VLOOKUP(LEFT(A1243,2),ConsolidadoLoa27_ATIVIDADES!A:I,9,0)</f>
        <v>14 - SECRETARIA DE ASSISTÊNCIA SOCIAL</v>
      </c>
      <c r="F1243" t="str">
        <f t="shared" si="58"/>
        <v>2.005</v>
      </c>
      <c r="G1243" t="str">
        <f t="shared" si="59"/>
        <v>02.500.1402</v>
      </c>
    </row>
    <row r="1244" spans="1:7" hidden="1" x14ac:dyDescent="0.25">
      <c r="A1244" s="6" t="s">
        <v>3309</v>
      </c>
      <c r="B1244" s="28">
        <v>79664.679699999993</v>
      </c>
      <c r="C1244" s="6" t="s">
        <v>2293</v>
      </c>
      <c r="D1244" t="str">
        <f t="shared" si="57"/>
        <v>14.005.04.131.0002.2.005.3.3.90.39.00</v>
      </c>
      <c r="E1244" t="str">
        <f>VLOOKUP(LEFT(A1244,2),ConsolidadoLoa27_ATIVIDADES!A:I,9,0)</f>
        <v>14 - SECRETARIA DE ASSISTÊNCIA SOCIAL</v>
      </c>
      <c r="F1244" t="str">
        <f t="shared" si="58"/>
        <v>2.005</v>
      </c>
      <c r="G1244" t="str">
        <f t="shared" si="59"/>
        <v>05.500.0000</v>
      </c>
    </row>
    <row r="1245" spans="1:7" hidden="1" x14ac:dyDescent="0.25">
      <c r="A1245" s="6" t="s">
        <v>3309</v>
      </c>
      <c r="B1245" s="28">
        <v>79664.679699999993</v>
      </c>
      <c r="C1245" s="6" t="s">
        <v>196</v>
      </c>
      <c r="D1245" t="str">
        <f t="shared" si="57"/>
        <v>14.005.04.131.0002.2.005.3.3.90.39.00</v>
      </c>
      <c r="E1245" t="str">
        <f>VLOOKUP(LEFT(A1245,2),ConsolidadoLoa27_ATIVIDADES!A:I,9,0)</f>
        <v>14 - SECRETARIA DE ASSISTÊNCIA SOCIAL</v>
      </c>
      <c r="F1245" t="str">
        <f t="shared" si="58"/>
        <v>2.005</v>
      </c>
      <c r="G1245" t="str">
        <f t="shared" si="59"/>
        <v>05.500.0000</v>
      </c>
    </row>
    <row r="1246" spans="1:7" hidden="1" x14ac:dyDescent="0.25">
      <c r="A1246" s="6" t="s">
        <v>3310</v>
      </c>
      <c r="B1246" s="28">
        <v>12988.75</v>
      </c>
      <c r="C1246" s="6" t="s">
        <v>3311</v>
      </c>
      <c r="D1246" t="str">
        <f t="shared" si="57"/>
        <v>14.005.08.122.0018.2.011.3.3.90.30.00</v>
      </c>
      <c r="E1246" t="str">
        <f>VLOOKUP(LEFT(A1246,2),ConsolidadoLoa27_ATIVIDADES!A:I,9,0)</f>
        <v>14 - SECRETARIA DE ASSISTÊNCIA SOCIAL</v>
      </c>
      <c r="F1246" t="str">
        <f t="shared" si="58"/>
        <v>2.011</v>
      </c>
      <c r="G1246" t="str">
        <f t="shared" si="59"/>
        <v>05.510.0000</v>
      </c>
    </row>
    <row r="1247" spans="1:7" hidden="1" x14ac:dyDescent="0.25">
      <c r="A1247" s="6" t="s">
        <v>3312</v>
      </c>
      <c r="B1247" s="28">
        <v>12988.75</v>
      </c>
      <c r="C1247" s="6" t="s">
        <v>3311</v>
      </c>
      <c r="D1247" t="str">
        <f t="shared" si="57"/>
        <v>14.005.08.122.0018.2.011.3.3.90.39.00</v>
      </c>
      <c r="E1247" t="str">
        <f>VLOOKUP(LEFT(A1247,2),ConsolidadoLoa27_ATIVIDADES!A:I,9,0)</f>
        <v>14 - SECRETARIA DE ASSISTÊNCIA SOCIAL</v>
      </c>
      <c r="F1247" t="str">
        <f t="shared" si="58"/>
        <v>2.011</v>
      </c>
      <c r="G1247" t="str">
        <f t="shared" si="59"/>
        <v>05.510.0000</v>
      </c>
    </row>
    <row r="1248" spans="1:7" hidden="1" x14ac:dyDescent="0.25">
      <c r="A1248" s="6" t="s">
        <v>3313</v>
      </c>
      <c r="B1248" s="28">
        <v>12988.75</v>
      </c>
      <c r="C1248" s="6" t="s">
        <v>3311</v>
      </c>
      <c r="D1248" t="str">
        <f t="shared" si="57"/>
        <v>14.005.08.122.0018.2.011.4.4.90.52.00</v>
      </c>
      <c r="E1248" t="str">
        <f>VLOOKUP(LEFT(A1248,2),ConsolidadoLoa27_ATIVIDADES!A:I,9,0)</f>
        <v>14 - SECRETARIA DE ASSISTÊNCIA SOCIAL</v>
      </c>
      <c r="F1248" t="str">
        <f t="shared" si="58"/>
        <v>2.011</v>
      </c>
      <c r="G1248" t="str">
        <f t="shared" si="59"/>
        <v>05.510.0000</v>
      </c>
    </row>
    <row r="1249" spans="1:7" hidden="1" x14ac:dyDescent="0.25">
      <c r="A1249" s="6" t="s">
        <v>3314</v>
      </c>
      <c r="B1249" s="28">
        <v>0</v>
      </c>
      <c r="C1249" s="6" t="s">
        <v>3315</v>
      </c>
      <c r="D1249" t="str">
        <f t="shared" si="57"/>
        <v>14.005.08.241.0018.2.015.4.4.90.52.00</v>
      </c>
      <c r="E1249" t="str">
        <f>VLOOKUP(LEFT(A1249,2),ConsolidadoLoa27_ATIVIDADES!A:I,9,0)</f>
        <v>14 - SECRETARIA DE ASSISTÊNCIA SOCIAL</v>
      </c>
      <c r="F1249" t="str">
        <f t="shared" si="58"/>
        <v>2.015</v>
      </c>
      <c r="G1249" t="str">
        <f t="shared" si="59"/>
        <v>08.110.0000</v>
      </c>
    </row>
    <row r="1250" spans="1:7" hidden="1" x14ac:dyDescent="0.25">
      <c r="A1250" s="6" t="s">
        <v>3316</v>
      </c>
      <c r="B1250" s="28">
        <v>155865</v>
      </c>
      <c r="C1250" s="6" t="s">
        <v>245</v>
      </c>
      <c r="D1250" t="str">
        <f t="shared" si="57"/>
        <v>14.005.08.245.0018.2.005.3.3.90.30.00</v>
      </c>
      <c r="E1250" t="str">
        <f>VLOOKUP(LEFT(A1250,2),ConsolidadoLoa27_ATIVIDADES!A:I,9,0)</f>
        <v>14 - SECRETARIA DE ASSISTÊNCIA SOCIAL</v>
      </c>
      <c r="F1250" t="str">
        <f t="shared" si="58"/>
        <v>2.005</v>
      </c>
      <c r="G1250" t="str">
        <f t="shared" si="59"/>
        <v>01.500.0000</v>
      </c>
    </row>
    <row r="1251" spans="1:7" hidden="1" x14ac:dyDescent="0.25">
      <c r="A1251" s="6" t="s">
        <v>3317</v>
      </c>
      <c r="B1251" s="28">
        <v>467595</v>
      </c>
      <c r="C1251" s="6" t="s">
        <v>245</v>
      </c>
      <c r="D1251" t="str">
        <f t="shared" si="57"/>
        <v>14.005.08.245.0018.2.005.3.3.90.30.00</v>
      </c>
      <c r="E1251" t="str">
        <f>VLOOKUP(LEFT(A1251,2),ConsolidadoLoa27_ATIVIDADES!A:I,9,0)</f>
        <v>14 - SECRETARIA DE ASSISTÊNCIA SOCIAL</v>
      </c>
      <c r="F1251" t="str">
        <f t="shared" si="58"/>
        <v>2.005</v>
      </c>
      <c r="G1251" t="str">
        <f t="shared" si="59"/>
        <v>02.500.1402</v>
      </c>
    </row>
    <row r="1252" spans="1:7" hidden="1" x14ac:dyDescent="0.25">
      <c r="A1252" s="6" t="s">
        <v>3318</v>
      </c>
      <c r="B1252" s="28">
        <v>10391</v>
      </c>
      <c r="C1252" s="6" t="s">
        <v>245</v>
      </c>
      <c r="D1252" t="str">
        <f t="shared" si="57"/>
        <v>14.005.08.245.0018.2.005.3.3.90.30.00</v>
      </c>
      <c r="E1252" t="str">
        <f>VLOOKUP(LEFT(A1252,2),ConsolidadoLoa27_ATIVIDADES!A:I,9,0)</f>
        <v>14 - SECRETARIA DE ASSISTÊNCIA SOCIAL</v>
      </c>
      <c r="F1252" t="str">
        <f t="shared" si="58"/>
        <v>2.005</v>
      </c>
      <c r="G1252" t="str">
        <f t="shared" si="59"/>
        <v>05.500.0000</v>
      </c>
    </row>
    <row r="1253" spans="1:7" hidden="1" x14ac:dyDescent="0.25">
      <c r="A1253" s="6" t="s">
        <v>3319</v>
      </c>
      <c r="B1253" s="28">
        <v>155865</v>
      </c>
      <c r="C1253" s="6" t="s">
        <v>198</v>
      </c>
      <c r="D1253" t="str">
        <f t="shared" si="57"/>
        <v>14.005.08.245.0018.2.005.3.3.90.39.00</v>
      </c>
      <c r="E1253" t="str">
        <f>VLOOKUP(LEFT(A1253,2),ConsolidadoLoa27_ATIVIDADES!A:I,9,0)</f>
        <v>14 - SECRETARIA DE ASSISTÊNCIA SOCIAL</v>
      </c>
      <c r="F1253" t="str">
        <f t="shared" si="58"/>
        <v>2.005</v>
      </c>
      <c r="G1253" t="str">
        <f t="shared" si="59"/>
        <v>01.500.0000</v>
      </c>
    </row>
    <row r="1254" spans="1:7" hidden="1" x14ac:dyDescent="0.25">
      <c r="A1254" s="6" t="s">
        <v>3319</v>
      </c>
      <c r="B1254" s="28">
        <v>2</v>
      </c>
      <c r="C1254" s="6" t="s">
        <v>196</v>
      </c>
      <c r="D1254" t="str">
        <f t="shared" si="57"/>
        <v>14.005.08.245.0018.2.005.3.3.90.39.00</v>
      </c>
      <c r="E1254" t="str">
        <f>VLOOKUP(LEFT(A1254,2),ConsolidadoLoa27_ATIVIDADES!A:I,9,0)</f>
        <v>14 - SECRETARIA DE ASSISTÊNCIA SOCIAL</v>
      </c>
      <c r="F1254" t="str">
        <f t="shared" si="58"/>
        <v>2.005</v>
      </c>
      <c r="G1254" t="str">
        <f t="shared" si="59"/>
        <v>01.500.0000</v>
      </c>
    </row>
    <row r="1255" spans="1:7" hidden="1" x14ac:dyDescent="0.25">
      <c r="A1255" s="6" t="s">
        <v>3320</v>
      </c>
      <c r="B1255" s="28">
        <v>155865</v>
      </c>
      <c r="C1255" s="6" t="s">
        <v>198</v>
      </c>
      <c r="D1255" t="str">
        <f t="shared" si="57"/>
        <v>14.005.08.245.0018.2.005.3.3.90.39.00</v>
      </c>
      <c r="E1255" t="str">
        <f>VLOOKUP(LEFT(A1255,2),ConsolidadoLoa27_ATIVIDADES!A:I,9,0)</f>
        <v>14 - SECRETARIA DE ASSISTÊNCIA SOCIAL</v>
      </c>
      <c r="F1255" t="str">
        <f t="shared" si="58"/>
        <v>2.005</v>
      </c>
      <c r="G1255" t="str">
        <f t="shared" si="59"/>
        <v>02.500.1402</v>
      </c>
    </row>
    <row r="1256" spans="1:7" hidden="1" x14ac:dyDescent="0.25">
      <c r="A1256" s="6" t="s">
        <v>3320</v>
      </c>
      <c r="B1256" s="28">
        <v>155865</v>
      </c>
      <c r="C1256" s="6" t="s">
        <v>196</v>
      </c>
      <c r="D1256" t="str">
        <f t="shared" si="57"/>
        <v>14.005.08.245.0018.2.005.3.3.90.39.00</v>
      </c>
      <c r="E1256" t="str">
        <f>VLOOKUP(LEFT(A1256,2),ConsolidadoLoa27_ATIVIDADES!A:I,9,0)</f>
        <v>14 - SECRETARIA DE ASSISTÊNCIA SOCIAL</v>
      </c>
      <c r="F1256" t="str">
        <f t="shared" si="58"/>
        <v>2.005</v>
      </c>
      <c r="G1256" t="str">
        <f t="shared" si="59"/>
        <v>02.500.1402</v>
      </c>
    </row>
    <row r="1257" spans="1:7" hidden="1" x14ac:dyDescent="0.25">
      <c r="A1257" s="6" t="s">
        <v>3321</v>
      </c>
      <c r="B1257" s="28">
        <v>51955</v>
      </c>
      <c r="C1257" s="6" t="s">
        <v>198</v>
      </c>
      <c r="D1257" t="str">
        <f t="shared" si="57"/>
        <v>14.005.08.245.0018.2.005.3.3.90.39.00</v>
      </c>
      <c r="E1257" t="str">
        <f>VLOOKUP(LEFT(A1257,2),ConsolidadoLoa27_ATIVIDADES!A:I,9,0)</f>
        <v>14 - SECRETARIA DE ASSISTÊNCIA SOCIAL</v>
      </c>
      <c r="F1257" t="str">
        <f t="shared" si="58"/>
        <v>2.005</v>
      </c>
      <c r="G1257" t="str">
        <f t="shared" si="59"/>
        <v>05.500.0000</v>
      </c>
    </row>
    <row r="1258" spans="1:7" hidden="1" x14ac:dyDescent="0.25">
      <c r="A1258" s="6" t="s">
        <v>3321</v>
      </c>
      <c r="B1258" s="28">
        <v>1</v>
      </c>
      <c r="C1258" s="6" t="s">
        <v>196</v>
      </c>
      <c r="D1258" t="str">
        <f t="shared" si="57"/>
        <v>14.005.08.245.0018.2.005.3.3.90.39.00</v>
      </c>
      <c r="E1258" t="str">
        <f>VLOOKUP(LEFT(A1258,2),ConsolidadoLoa27_ATIVIDADES!A:I,9,0)</f>
        <v>14 - SECRETARIA DE ASSISTÊNCIA SOCIAL</v>
      </c>
      <c r="F1258" t="str">
        <f t="shared" si="58"/>
        <v>2.005</v>
      </c>
      <c r="G1258" t="str">
        <f t="shared" si="59"/>
        <v>05.500.0000</v>
      </c>
    </row>
    <row r="1259" spans="1:7" hidden="1" x14ac:dyDescent="0.25">
      <c r="A1259" s="6" t="s">
        <v>3322</v>
      </c>
      <c r="B1259" s="28">
        <v>2065826</v>
      </c>
      <c r="C1259" s="6" t="s">
        <v>3323</v>
      </c>
      <c r="D1259" t="str">
        <f t="shared" si="57"/>
        <v>14.005.08.245.0018.2.015.3.3.50.39.00</v>
      </c>
      <c r="E1259" t="str">
        <f>VLOOKUP(LEFT(A1259,2),ConsolidadoLoa27_ATIVIDADES!A:I,9,0)</f>
        <v>14 - SECRETARIA DE ASSISTÊNCIA SOCIAL</v>
      </c>
      <c r="F1259" t="str">
        <f t="shared" si="58"/>
        <v>2.015</v>
      </c>
      <c r="G1259" t="str">
        <f t="shared" si="59"/>
        <v>01.500.0000</v>
      </c>
    </row>
    <row r="1260" spans="1:7" hidden="1" x14ac:dyDescent="0.25">
      <c r="A1260" s="6" t="s">
        <v>3324</v>
      </c>
      <c r="B1260" s="28">
        <v>2535174</v>
      </c>
      <c r="C1260" s="6" t="s">
        <v>3323</v>
      </c>
      <c r="D1260" t="str">
        <f t="shared" si="57"/>
        <v>14.005.08.245.0018.2.015.3.3.50.39.00</v>
      </c>
      <c r="E1260" t="str">
        <f>VLOOKUP(LEFT(A1260,2),ConsolidadoLoa27_ATIVIDADES!A:I,9,0)</f>
        <v>14 - SECRETARIA DE ASSISTÊNCIA SOCIAL</v>
      </c>
      <c r="F1260" t="str">
        <f t="shared" si="58"/>
        <v>2.015</v>
      </c>
      <c r="G1260" t="str">
        <f t="shared" si="59"/>
        <v>05.500.1402</v>
      </c>
    </row>
    <row r="1261" spans="1:7" hidden="1" x14ac:dyDescent="0.25">
      <c r="A1261" s="6" t="s">
        <v>3325</v>
      </c>
      <c r="B1261" s="28">
        <v>102832.74</v>
      </c>
      <c r="C1261" s="6" t="s">
        <v>2324</v>
      </c>
      <c r="D1261" t="str">
        <f t="shared" si="57"/>
        <v>14.005.08.245.0018.2.015.3.3.90.30.00</v>
      </c>
      <c r="E1261" t="str">
        <f>VLOOKUP(LEFT(A1261,2),ConsolidadoLoa27_ATIVIDADES!A:I,9,0)</f>
        <v>14 - SECRETARIA DE ASSISTÊNCIA SOCIAL</v>
      </c>
      <c r="F1261" t="str">
        <f t="shared" si="58"/>
        <v>2.015</v>
      </c>
      <c r="G1261" t="str">
        <f t="shared" si="59"/>
        <v>01.500.0000</v>
      </c>
    </row>
    <row r="1262" spans="1:7" hidden="1" x14ac:dyDescent="0.25">
      <c r="A1262" s="6" t="s">
        <v>3325</v>
      </c>
      <c r="B1262" s="28">
        <v>103910</v>
      </c>
      <c r="C1262" s="6" t="s">
        <v>2295</v>
      </c>
      <c r="D1262" t="str">
        <f t="shared" si="57"/>
        <v>14.005.08.245.0018.2.015.3.3.90.30.00</v>
      </c>
      <c r="E1262" t="str">
        <f>VLOOKUP(LEFT(A1262,2),ConsolidadoLoa27_ATIVIDADES!A:I,9,0)</f>
        <v>14 - SECRETARIA DE ASSISTÊNCIA SOCIAL</v>
      </c>
      <c r="F1262" t="str">
        <f t="shared" si="58"/>
        <v>2.015</v>
      </c>
      <c r="G1262" t="str">
        <f t="shared" si="59"/>
        <v>01.500.0000</v>
      </c>
    </row>
    <row r="1263" spans="1:7" hidden="1" x14ac:dyDescent="0.25">
      <c r="A1263" s="6" t="s">
        <v>3325</v>
      </c>
      <c r="B1263" s="28">
        <v>72737</v>
      </c>
      <c r="C1263" s="6" t="s">
        <v>387</v>
      </c>
      <c r="D1263" t="str">
        <f t="shared" si="57"/>
        <v>14.005.08.245.0018.2.015.3.3.90.30.00</v>
      </c>
      <c r="E1263" t="str">
        <f>VLOOKUP(LEFT(A1263,2),ConsolidadoLoa27_ATIVIDADES!A:I,9,0)</f>
        <v>14 - SECRETARIA DE ASSISTÊNCIA SOCIAL</v>
      </c>
      <c r="F1263" t="str">
        <f t="shared" si="58"/>
        <v>2.015</v>
      </c>
      <c r="G1263" t="str">
        <f t="shared" si="59"/>
        <v>01.500.0000</v>
      </c>
    </row>
    <row r="1264" spans="1:7" hidden="1" x14ac:dyDescent="0.25">
      <c r="A1264" s="6" t="s">
        <v>3325</v>
      </c>
      <c r="B1264" s="28">
        <v>31173</v>
      </c>
      <c r="C1264" s="6" t="s">
        <v>2289</v>
      </c>
      <c r="D1264" t="str">
        <f t="shared" si="57"/>
        <v>14.005.08.245.0018.2.015.3.3.90.30.00</v>
      </c>
      <c r="E1264" t="str">
        <f>VLOOKUP(LEFT(A1264,2),ConsolidadoLoa27_ATIVIDADES!A:I,9,0)</f>
        <v>14 - SECRETARIA DE ASSISTÊNCIA SOCIAL</v>
      </c>
      <c r="F1264" t="str">
        <f t="shared" si="58"/>
        <v>2.015</v>
      </c>
      <c r="G1264" t="str">
        <f t="shared" si="59"/>
        <v>01.500.0000</v>
      </c>
    </row>
    <row r="1265" spans="1:7" hidden="1" x14ac:dyDescent="0.25">
      <c r="A1265" s="6" t="s">
        <v>3325</v>
      </c>
      <c r="B1265" s="28">
        <v>51955</v>
      </c>
      <c r="C1265" s="6" t="s">
        <v>3236</v>
      </c>
      <c r="D1265" t="str">
        <f t="shared" si="57"/>
        <v>14.005.08.245.0018.2.015.3.3.90.30.00</v>
      </c>
      <c r="E1265" t="str">
        <f>VLOOKUP(LEFT(A1265,2),ConsolidadoLoa27_ATIVIDADES!A:I,9,0)</f>
        <v>14 - SECRETARIA DE ASSISTÊNCIA SOCIAL</v>
      </c>
      <c r="F1265" t="str">
        <f t="shared" si="58"/>
        <v>2.015</v>
      </c>
      <c r="G1265" t="str">
        <f t="shared" si="59"/>
        <v>01.500.0000</v>
      </c>
    </row>
    <row r="1266" spans="1:7" hidden="1" x14ac:dyDescent="0.25">
      <c r="A1266" s="6" t="s">
        <v>3326</v>
      </c>
      <c r="B1266" s="28">
        <v>167906.09080000001</v>
      </c>
      <c r="C1266" s="6" t="s">
        <v>2318</v>
      </c>
      <c r="D1266" t="str">
        <f t="shared" si="57"/>
        <v>14.005.08.245.0018.2.015.3.3.90.30.00</v>
      </c>
      <c r="E1266" t="str">
        <f>VLOOKUP(LEFT(A1266,2),ConsolidadoLoa27_ATIVIDADES!A:I,9,0)</f>
        <v>14 - SECRETARIA DE ASSISTÊNCIA SOCIAL</v>
      </c>
      <c r="F1266" t="str">
        <f t="shared" si="58"/>
        <v>2.015</v>
      </c>
      <c r="G1266" t="str">
        <f t="shared" si="59"/>
        <v>02.500.1402</v>
      </c>
    </row>
    <row r="1267" spans="1:7" hidden="1" x14ac:dyDescent="0.25">
      <c r="A1267" s="6" t="s">
        <v>3327</v>
      </c>
      <c r="B1267" s="28">
        <v>154249.12</v>
      </c>
      <c r="C1267" s="15" t="s">
        <v>2324</v>
      </c>
      <c r="D1267" t="str">
        <f t="shared" si="57"/>
        <v>14.005.08.245.0018.2.015.3.3.90.30.00</v>
      </c>
      <c r="E1267" t="str">
        <f>VLOOKUP(LEFT(A1267,2),ConsolidadoLoa27_ATIVIDADES!A:I,9,0)</f>
        <v>14 - SECRETARIA DE ASSISTÊNCIA SOCIAL</v>
      </c>
      <c r="F1267" t="str">
        <f t="shared" si="58"/>
        <v>2.015</v>
      </c>
      <c r="G1267" t="str">
        <f t="shared" si="59"/>
        <v>05.500.0000</v>
      </c>
    </row>
    <row r="1268" spans="1:7" hidden="1" x14ac:dyDescent="0.25">
      <c r="A1268" s="6" t="s">
        <v>3328</v>
      </c>
      <c r="B1268" s="28">
        <v>1</v>
      </c>
      <c r="C1268" s="6" t="s">
        <v>3329</v>
      </c>
      <c r="D1268" t="str">
        <f t="shared" si="57"/>
        <v>14.005.08.245.0018.2.015.3.3.90.39.00</v>
      </c>
      <c r="E1268" t="str">
        <f>VLOOKUP(LEFT(A1268,2),ConsolidadoLoa27_ATIVIDADES!A:I,9,0)</f>
        <v>14 - SECRETARIA DE ASSISTÊNCIA SOCIAL</v>
      </c>
      <c r="F1268" t="str">
        <f t="shared" si="58"/>
        <v>2.015</v>
      </c>
      <c r="G1268" t="str">
        <f t="shared" si="59"/>
        <v>01.500.0000</v>
      </c>
    </row>
    <row r="1269" spans="1:7" hidden="1" x14ac:dyDescent="0.25">
      <c r="A1269" s="6" t="s">
        <v>3328</v>
      </c>
      <c r="B1269" s="28">
        <v>1</v>
      </c>
      <c r="C1269" s="14" t="s">
        <v>95</v>
      </c>
      <c r="D1269" t="str">
        <f t="shared" si="57"/>
        <v>14.005.08.245.0018.2.015.3.3.90.39.00</v>
      </c>
      <c r="E1269" t="str">
        <f>VLOOKUP(LEFT(A1269,2),ConsolidadoLoa27_ATIVIDADES!A:I,9,0)</f>
        <v>14 - SECRETARIA DE ASSISTÊNCIA SOCIAL</v>
      </c>
      <c r="F1269" t="str">
        <f t="shared" si="58"/>
        <v>2.015</v>
      </c>
      <c r="G1269" t="str">
        <f t="shared" si="59"/>
        <v>01.500.0000</v>
      </c>
    </row>
    <row r="1270" spans="1:7" hidden="1" x14ac:dyDescent="0.25">
      <c r="A1270" s="6" t="s">
        <v>3330</v>
      </c>
      <c r="B1270" s="28">
        <v>1</v>
      </c>
      <c r="C1270" s="14" t="s">
        <v>95</v>
      </c>
      <c r="D1270" t="str">
        <f t="shared" si="57"/>
        <v>14.005.08.245.0018.2.015.3.3.90.39.00</v>
      </c>
      <c r="E1270" t="str">
        <f>VLOOKUP(LEFT(A1270,2),ConsolidadoLoa27_ATIVIDADES!A:I,9,0)</f>
        <v>14 - SECRETARIA DE ASSISTÊNCIA SOCIAL</v>
      </c>
      <c r="F1270" t="str">
        <f t="shared" si="58"/>
        <v>2.015</v>
      </c>
      <c r="G1270" t="str">
        <f t="shared" si="59"/>
        <v>02.500.1402</v>
      </c>
    </row>
    <row r="1271" spans="1:7" hidden="1" x14ac:dyDescent="0.25">
      <c r="A1271" s="6" t="s">
        <v>3330</v>
      </c>
      <c r="B1271" s="28">
        <v>207820</v>
      </c>
      <c r="C1271" s="6" t="s">
        <v>3331</v>
      </c>
      <c r="D1271" t="str">
        <f t="shared" si="57"/>
        <v>14.005.08.245.0018.2.015.3.3.90.39.00</v>
      </c>
      <c r="E1271" t="str">
        <f>VLOOKUP(LEFT(A1271,2),ConsolidadoLoa27_ATIVIDADES!A:I,9,0)</f>
        <v>14 - SECRETARIA DE ASSISTÊNCIA SOCIAL</v>
      </c>
      <c r="F1271" t="str">
        <f t="shared" si="58"/>
        <v>2.015</v>
      </c>
      <c r="G1271" t="str">
        <f t="shared" si="59"/>
        <v>02.500.1402</v>
      </c>
    </row>
    <row r="1272" spans="1:7" hidden="1" x14ac:dyDescent="0.25">
      <c r="A1272" s="6" t="s">
        <v>3332</v>
      </c>
      <c r="B1272" s="28">
        <v>20782</v>
      </c>
      <c r="C1272" s="6" t="s">
        <v>314</v>
      </c>
      <c r="D1272" t="str">
        <f t="shared" si="57"/>
        <v>14.005.08.245.0018.2.015.3.3.90.39.00</v>
      </c>
      <c r="E1272" t="str">
        <f>VLOOKUP(LEFT(A1272,2),ConsolidadoLoa27_ATIVIDADES!A:I,9,0)</f>
        <v>14 - SECRETARIA DE ASSISTÊNCIA SOCIAL</v>
      </c>
      <c r="F1272" t="str">
        <f t="shared" si="58"/>
        <v>2.015</v>
      </c>
      <c r="G1272" t="str">
        <f t="shared" si="59"/>
        <v>05.500.0000</v>
      </c>
    </row>
    <row r="1273" spans="1:7" hidden="1" x14ac:dyDescent="0.25">
      <c r="A1273" s="6" t="s">
        <v>3332</v>
      </c>
      <c r="B1273" s="28">
        <v>155865</v>
      </c>
      <c r="C1273" s="6" t="s">
        <v>3333</v>
      </c>
      <c r="D1273" t="str">
        <f t="shared" si="57"/>
        <v>14.005.08.245.0018.2.015.3.3.90.39.00</v>
      </c>
      <c r="E1273" t="str">
        <f>VLOOKUP(LEFT(A1273,2),ConsolidadoLoa27_ATIVIDADES!A:I,9,0)</f>
        <v>14 - SECRETARIA DE ASSISTÊNCIA SOCIAL</v>
      </c>
      <c r="F1273" t="str">
        <f t="shared" si="58"/>
        <v>2.015</v>
      </c>
      <c r="G1273" t="str">
        <f t="shared" si="59"/>
        <v>05.500.0000</v>
      </c>
    </row>
    <row r="1274" spans="1:7" hidden="1" x14ac:dyDescent="0.25">
      <c r="A1274" s="6" t="s">
        <v>3334</v>
      </c>
      <c r="B1274" s="28">
        <v>197792.59</v>
      </c>
      <c r="C1274" s="14" t="s">
        <v>95</v>
      </c>
      <c r="D1274" t="str">
        <f t="shared" si="57"/>
        <v>14.001.08.245.0018.2.015.3.3.90.39.00</v>
      </c>
      <c r="E1274" t="str">
        <f>VLOOKUP(LEFT(A1274,2),ConsolidadoLoa27_ATIVIDADES!A:I,9,0)</f>
        <v>14 - SECRETARIA DE ASSISTÊNCIA SOCIAL</v>
      </c>
      <c r="F1274" t="str">
        <f t="shared" si="58"/>
        <v>2.015</v>
      </c>
      <c r="G1274" t="str">
        <f t="shared" si="59"/>
        <v>01.110.0000</v>
      </c>
    </row>
    <row r="1275" spans="1:7" hidden="1" x14ac:dyDescent="0.25">
      <c r="A1275" s="6" t="s">
        <v>3332</v>
      </c>
      <c r="B1275" s="28">
        <v>16743.410000000003</v>
      </c>
      <c r="C1275" s="14" t="s">
        <v>95</v>
      </c>
      <c r="D1275" t="str">
        <f t="shared" si="57"/>
        <v>14.005.08.245.0018.2.015.3.3.90.39.00</v>
      </c>
      <c r="E1275" t="str">
        <f>VLOOKUP(LEFT(A1275,2),ConsolidadoLoa27_ATIVIDADES!A:I,9,0)</f>
        <v>14 - SECRETARIA DE ASSISTÊNCIA SOCIAL</v>
      </c>
      <c r="F1275" t="str">
        <f t="shared" si="58"/>
        <v>2.015</v>
      </c>
      <c r="G1275" t="str">
        <f t="shared" si="59"/>
        <v>05.500.0000</v>
      </c>
    </row>
    <row r="1276" spans="1:7" hidden="1" x14ac:dyDescent="0.25">
      <c r="A1276" s="6" t="s">
        <v>3334</v>
      </c>
      <c r="B1276" s="28">
        <v>207820</v>
      </c>
      <c r="C1276" s="6" t="s">
        <v>3335</v>
      </c>
      <c r="D1276" t="str">
        <f t="shared" si="57"/>
        <v>14.001.08.245.0018.2.015.3.3.90.39.00</v>
      </c>
      <c r="E1276" t="str">
        <f>VLOOKUP(LEFT(A1276,2),ConsolidadoLoa27_ATIVIDADES!A:I,9,0)</f>
        <v>14 - SECRETARIA DE ASSISTÊNCIA SOCIAL</v>
      </c>
      <c r="F1276" t="str">
        <f t="shared" si="58"/>
        <v>2.015</v>
      </c>
      <c r="G1276" t="str">
        <f t="shared" si="59"/>
        <v>01.110.0000</v>
      </c>
    </row>
    <row r="1277" spans="1:7" hidden="1" x14ac:dyDescent="0.25">
      <c r="A1277" s="6" t="s">
        <v>3332</v>
      </c>
      <c r="B1277" s="28">
        <v>0</v>
      </c>
      <c r="C1277" s="6" t="s">
        <v>3335</v>
      </c>
      <c r="D1277" t="str">
        <f t="shared" si="57"/>
        <v>14.005.08.245.0018.2.015.3.3.90.39.00</v>
      </c>
      <c r="E1277" t="str">
        <f>VLOOKUP(LEFT(A1277,2),ConsolidadoLoa27_ATIVIDADES!A:I,9,0)</f>
        <v>14 - SECRETARIA DE ASSISTÊNCIA SOCIAL</v>
      </c>
      <c r="F1277" t="str">
        <f t="shared" si="58"/>
        <v>2.015</v>
      </c>
      <c r="G1277" t="str">
        <f t="shared" si="59"/>
        <v>05.500.0000</v>
      </c>
    </row>
    <row r="1278" spans="1:7" hidden="1" x14ac:dyDescent="0.25">
      <c r="A1278" s="6" t="s">
        <v>3332</v>
      </c>
      <c r="B1278" s="28">
        <v>207820</v>
      </c>
      <c r="C1278" s="6" t="s">
        <v>3331</v>
      </c>
      <c r="D1278" t="str">
        <f t="shared" si="57"/>
        <v>14.005.08.245.0018.2.015.3.3.90.39.00</v>
      </c>
      <c r="E1278" t="str">
        <f>VLOOKUP(LEFT(A1278,2),ConsolidadoLoa27_ATIVIDADES!A:I,9,0)</f>
        <v>14 - SECRETARIA DE ASSISTÊNCIA SOCIAL</v>
      </c>
      <c r="F1278" t="str">
        <f t="shared" si="58"/>
        <v>2.015</v>
      </c>
      <c r="G1278" t="str">
        <f t="shared" si="59"/>
        <v>05.500.0000</v>
      </c>
    </row>
    <row r="1279" spans="1:7" hidden="1" x14ac:dyDescent="0.25">
      <c r="A1279" s="6" t="s">
        <v>3336</v>
      </c>
      <c r="B1279" s="28">
        <v>5195.5</v>
      </c>
      <c r="C1279" s="6" t="s">
        <v>2706</v>
      </c>
      <c r="D1279" t="str">
        <f t="shared" si="57"/>
        <v>14.005.08.245.0018.2.015.3.3.90.93.00</v>
      </c>
      <c r="E1279" t="str">
        <f>VLOOKUP(LEFT(A1279,2),ConsolidadoLoa27_ATIVIDADES!A:I,9,0)</f>
        <v>14 - SECRETARIA DE ASSISTÊNCIA SOCIAL</v>
      </c>
      <c r="F1279" t="str">
        <f t="shared" si="58"/>
        <v>2.015</v>
      </c>
      <c r="G1279" t="str">
        <f t="shared" si="59"/>
        <v>01.500.0000</v>
      </c>
    </row>
    <row r="1280" spans="1:7" hidden="1" x14ac:dyDescent="0.25">
      <c r="A1280" s="6" t="s">
        <v>3337</v>
      </c>
      <c r="B1280" s="28">
        <v>10391</v>
      </c>
      <c r="C1280" s="6" t="s">
        <v>3338</v>
      </c>
      <c r="D1280" t="str">
        <f t="shared" si="57"/>
        <v>14.005.08.245.0018.2.015.3.3.90.93.00</v>
      </c>
      <c r="E1280" t="str">
        <f>VLOOKUP(LEFT(A1280,2),ConsolidadoLoa27_ATIVIDADES!A:I,9,0)</f>
        <v>14 - SECRETARIA DE ASSISTÊNCIA SOCIAL</v>
      </c>
      <c r="F1280" t="str">
        <f t="shared" si="58"/>
        <v>2.015</v>
      </c>
      <c r="G1280" t="str">
        <f t="shared" si="59"/>
        <v>02.500.1402</v>
      </c>
    </row>
    <row r="1281" spans="1:7" hidden="1" x14ac:dyDescent="0.25">
      <c r="A1281" s="6" t="s">
        <v>3339</v>
      </c>
      <c r="B1281" s="28">
        <v>10391</v>
      </c>
      <c r="C1281" s="6" t="s">
        <v>2706</v>
      </c>
      <c r="D1281" t="str">
        <f t="shared" si="57"/>
        <v>14.005.08.245.0018.2.015.3.3.90.93.00</v>
      </c>
      <c r="E1281" t="str">
        <f>VLOOKUP(LEFT(A1281,2),ConsolidadoLoa27_ATIVIDADES!A:I,9,0)</f>
        <v>14 - SECRETARIA DE ASSISTÊNCIA SOCIAL</v>
      </c>
      <c r="F1281" t="str">
        <f t="shared" si="58"/>
        <v>2.015</v>
      </c>
      <c r="G1281" t="str">
        <f t="shared" si="59"/>
        <v>01.110.0000</v>
      </c>
    </row>
    <row r="1282" spans="1:7" hidden="1" x14ac:dyDescent="0.25">
      <c r="A1282" s="6" t="s">
        <v>3340</v>
      </c>
      <c r="B1282" s="28">
        <v>0</v>
      </c>
      <c r="C1282" s="6" t="s">
        <v>2706</v>
      </c>
      <c r="D1282" t="str">
        <f t="shared" si="57"/>
        <v>14.005.08.245.0018.2.015.3.3.90.93.00</v>
      </c>
      <c r="E1282" t="str">
        <f>VLOOKUP(LEFT(A1282,2),ConsolidadoLoa27_ATIVIDADES!A:I,9,0)</f>
        <v>14 - SECRETARIA DE ASSISTÊNCIA SOCIAL</v>
      </c>
      <c r="F1282" t="str">
        <f t="shared" si="58"/>
        <v>2.015</v>
      </c>
      <c r="G1282" t="str">
        <f t="shared" si="59"/>
        <v>03.500.1402</v>
      </c>
    </row>
    <row r="1283" spans="1:7" hidden="1" x14ac:dyDescent="0.25">
      <c r="A1283" s="6" t="s">
        <v>3341</v>
      </c>
      <c r="B1283" s="28">
        <v>10391</v>
      </c>
      <c r="C1283" s="6" t="s">
        <v>2706</v>
      </c>
      <c r="D1283" t="str">
        <f t="shared" ref="D1283:D1346" si="60">_xlfn.CONCAT(LEFT(A1283,34),".00")</f>
        <v>14.005.08.245.0018.2.015.3.3.90.93.00</v>
      </c>
      <c r="E1283" t="str">
        <f>VLOOKUP(LEFT(A1283,2),ConsolidadoLoa27_ATIVIDADES!A:I,9,0)</f>
        <v>14 - SECRETARIA DE ASSISTÊNCIA SOCIAL</v>
      </c>
      <c r="F1283" t="str">
        <f t="shared" ref="F1283:F1346" si="61">MID(A1283,20,5)</f>
        <v>2.015</v>
      </c>
      <c r="G1283" t="str">
        <f t="shared" ref="G1283:G1346" si="62">RIGHT(A1283,11)</f>
        <v>05.500.0000</v>
      </c>
    </row>
    <row r="1284" spans="1:7" hidden="1" x14ac:dyDescent="0.25">
      <c r="A1284" s="6" t="s">
        <v>3342</v>
      </c>
      <c r="B1284" s="28">
        <v>1</v>
      </c>
      <c r="C1284" s="6" t="s">
        <v>419</v>
      </c>
      <c r="D1284" t="str">
        <f t="shared" si="60"/>
        <v>14.005.08.245.0018.2.015.4.4.50.52.00</v>
      </c>
      <c r="E1284" t="str">
        <f>VLOOKUP(LEFT(A1284,2),ConsolidadoLoa27_ATIVIDADES!A:I,9,0)</f>
        <v>14 - SECRETARIA DE ASSISTÊNCIA SOCIAL</v>
      </c>
      <c r="F1284" t="str">
        <f t="shared" si="61"/>
        <v>2.015</v>
      </c>
      <c r="G1284" t="str">
        <f t="shared" si="62"/>
        <v>01.500.0000</v>
      </c>
    </row>
    <row r="1285" spans="1:7" hidden="1" x14ac:dyDescent="0.25">
      <c r="A1285" s="6" t="s">
        <v>3343</v>
      </c>
      <c r="B1285" s="28">
        <v>31173</v>
      </c>
      <c r="C1285" s="6" t="s">
        <v>3241</v>
      </c>
      <c r="D1285" t="str">
        <f t="shared" si="60"/>
        <v>14.005.08.245.0018.2.015.4.4.90.52.00</v>
      </c>
      <c r="E1285" t="str">
        <f>VLOOKUP(LEFT(A1285,2),ConsolidadoLoa27_ATIVIDADES!A:I,9,0)</f>
        <v>14 - SECRETARIA DE ASSISTÊNCIA SOCIAL</v>
      </c>
      <c r="F1285" t="str">
        <f t="shared" si="61"/>
        <v>2.015</v>
      </c>
      <c r="G1285" t="str">
        <f t="shared" si="62"/>
        <v>01.500.0000</v>
      </c>
    </row>
    <row r="1286" spans="1:7" hidden="1" x14ac:dyDescent="0.25">
      <c r="A1286" s="6" t="s">
        <v>3343</v>
      </c>
      <c r="B1286" s="28">
        <v>176647</v>
      </c>
      <c r="C1286" s="6" t="s">
        <v>2500</v>
      </c>
      <c r="D1286" t="str">
        <f t="shared" si="60"/>
        <v>14.005.08.245.0018.2.015.4.4.90.52.00</v>
      </c>
      <c r="E1286" t="str">
        <f>VLOOKUP(LEFT(A1286,2),ConsolidadoLoa27_ATIVIDADES!A:I,9,0)</f>
        <v>14 - SECRETARIA DE ASSISTÊNCIA SOCIAL</v>
      </c>
      <c r="F1286" t="str">
        <f t="shared" si="61"/>
        <v>2.015</v>
      </c>
      <c r="G1286" t="str">
        <f t="shared" si="62"/>
        <v>01.500.0000</v>
      </c>
    </row>
    <row r="1287" spans="1:7" hidden="1" x14ac:dyDescent="0.25">
      <c r="A1287" s="6" t="s">
        <v>3344</v>
      </c>
      <c r="B1287" s="28">
        <v>1</v>
      </c>
      <c r="C1287" s="6" t="s">
        <v>3345</v>
      </c>
      <c r="D1287" t="str">
        <f t="shared" si="60"/>
        <v>14.005.08.245.0018.2.016.3.3.50.39.00</v>
      </c>
      <c r="E1287" t="str">
        <f>VLOOKUP(LEFT(A1287,2),ConsolidadoLoa27_ATIVIDADES!A:I,9,0)</f>
        <v>14 - SECRETARIA DE ASSISTÊNCIA SOCIAL</v>
      </c>
      <c r="F1287" t="str">
        <f t="shared" si="61"/>
        <v>2.016</v>
      </c>
      <c r="G1287" t="str">
        <f t="shared" si="62"/>
        <v>01.500.0000</v>
      </c>
    </row>
    <row r="1288" spans="1:7" hidden="1" x14ac:dyDescent="0.25">
      <c r="A1288" s="6" t="s">
        <v>3344</v>
      </c>
      <c r="B1288" s="28">
        <v>0</v>
      </c>
      <c r="C1288" s="6" t="s">
        <v>3346</v>
      </c>
      <c r="D1288" t="str">
        <f t="shared" si="60"/>
        <v>14.005.08.245.0018.2.016.3.3.50.39.00</v>
      </c>
      <c r="E1288" t="str">
        <f>VLOOKUP(LEFT(A1288,2),ConsolidadoLoa27_ATIVIDADES!A:I,9,0)</f>
        <v>14 - SECRETARIA DE ASSISTÊNCIA SOCIAL</v>
      </c>
      <c r="F1288" t="str">
        <f t="shared" si="61"/>
        <v>2.016</v>
      </c>
      <c r="G1288" t="str">
        <f t="shared" si="62"/>
        <v>01.500.0000</v>
      </c>
    </row>
    <row r="1289" spans="1:7" hidden="1" x14ac:dyDescent="0.25">
      <c r="A1289" s="6" t="s">
        <v>3344</v>
      </c>
      <c r="B1289" s="28">
        <v>1087872</v>
      </c>
      <c r="C1289" s="6" t="s">
        <v>3347</v>
      </c>
      <c r="D1289" t="str">
        <f t="shared" si="60"/>
        <v>14.005.08.245.0018.2.016.3.3.50.39.00</v>
      </c>
      <c r="E1289" t="str">
        <f>VLOOKUP(LEFT(A1289,2),ConsolidadoLoa27_ATIVIDADES!A:I,9,0)</f>
        <v>14 - SECRETARIA DE ASSISTÊNCIA SOCIAL</v>
      </c>
      <c r="F1289" t="str">
        <f t="shared" si="61"/>
        <v>2.016</v>
      </c>
      <c r="G1289" t="str">
        <f t="shared" si="62"/>
        <v>01.500.0000</v>
      </c>
    </row>
    <row r="1290" spans="1:7" hidden="1" x14ac:dyDescent="0.25">
      <c r="A1290" s="6" t="s">
        <v>3344</v>
      </c>
      <c r="B1290" s="28">
        <v>666210.19999999995</v>
      </c>
      <c r="C1290" s="6" t="s">
        <v>3348</v>
      </c>
      <c r="D1290" t="str">
        <f t="shared" si="60"/>
        <v>14.005.08.245.0018.2.016.3.3.50.39.00</v>
      </c>
      <c r="E1290" t="str">
        <f>VLOOKUP(LEFT(A1290,2),ConsolidadoLoa27_ATIVIDADES!A:I,9,0)</f>
        <v>14 - SECRETARIA DE ASSISTÊNCIA SOCIAL</v>
      </c>
      <c r="F1290" t="str">
        <f t="shared" si="61"/>
        <v>2.016</v>
      </c>
      <c r="G1290" t="str">
        <f t="shared" si="62"/>
        <v>01.500.0000</v>
      </c>
    </row>
    <row r="1291" spans="1:7" hidden="1" x14ac:dyDescent="0.25">
      <c r="A1291" s="6" t="s">
        <v>3344</v>
      </c>
      <c r="B1291" s="28">
        <v>1</v>
      </c>
      <c r="C1291" s="6" t="s">
        <v>3349</v>
      </c>
      <c r="D1291" t="str">
        <f t="shared" si="60"/>
        <v>14.005.08.245.0018.2.016.3.3.50.39.00</v>
      </c>
      <c r="E1291" t="str">
        <f>VLOOKUP(LEFT(A1291,2),ConsolidadoLoa27_ATIVIDADES!A:I,9,0)</f>
        <v>14 - SECRETARIA DE ASSISTÊNCIA SOCIAL</v>
      </c>
      <c r="F1291" t="str">
        <f t="shared" si="61"/>
        <v>2.016</v>
      </c>
      <c r="G1291" t="str">
        <f t="shared" si="62"/>
        <v>01.500.0000</v>
      </c>
    </row>
    <row r="1292" spans="1:7" hidden="1" x14ac:dyDescent="0.25">
      <c r="A1292" s="6" t="s">
        <v>3344</v>
      </c>
      <c r="B1292" s="28">
        <v>1760386.9100000001</v>
      </c>
      <c r="C1292" s="6" t="s">
        <v>3350</v>
      </c>
      <c r="D1292" t="str">
        <f t="shared" si="60"/>
        <v>14.005.08.245.0018.2.016.3.3.50.39.00</v>
      </c>
      <c r="E1292" t="str">
        <f>VLOOKUP(LEFT(A1292,2),ConsolidadoLoa27_ATIVIDADES!A:I,9,0)</f>
        <v>14 - SECRETARIA DE ASSISTÊNCIA SOCIAL</v>
      </c>
      <c r="F1292" t="str">
        <f t="shared" si="61"/>
        <v>2.016</v>
      </c>
      <c r="G1292" t="str">
        <f t="shared" si="62"/>
        <v>01.500.0000</v>
      </c>
    </row>
    <row r="1293" spans="1:7" hidden="1" x14ac:dyDescent="0.25">
      <c r="A1293" s="6" t="s">
        <v>3344</v>
      </c>
      <c r="B1293" s="28">
        <v>2081747.6</v>
      </c>
      <c r="C1293" s="6" t="s">
        <v>3350</v>
      </c>
      <c r="D1293" t="str">
        <f t="shared" si="60"/>
        <v>14.005.08.245.0018.2.016.3.3.50.39.00</v>
      </c>
      <c r="E1293" t="str">
        <f>VLOOKUP(LEFT(A1293,2),ConsolidadoLoa27_ATIVIDADES!A:I,9,0)</f>
        <v>14 - SECRETARIA DE ASSISTÊNCIA SOCIAL</v>
      </c>
      <c r="F1293" t="str">
        <f t="shared" si="61"/>
        <v>2.016</v>
      </c>
      <c r="G1293" t="str">
        <f t="shared" si="62"/>
        <v>01.500.0000</v>
      </c>
    </row>
    <row r="1294" spans="1:7" hidden="1" x14ac:dyDescent="0.25">
      <c r="A1294" s="6" t="s">
        <v>3344</v>
      </c>
      <c r="B1294" s="28">
        <v>1844679.2</v>
      </c>
      <c r="C1294" s="6" t="s">
        <v>3351</v>
      </c>
      <c r="D1294" t="str">
        <f t="shared" si="60"/>
        <v>14.005.08.245.0018.2.016.3.3.50.39.00</v>
      </c>
      <c r="E1294" t="str">
        <f>VLOOKUP(LEFT(A1294,2),ConsolidadoLoa27_ATIVIDADES!A:I,9,0)</f>
        <v>14 - SECRETARIA DE ASSISTÊNCIA SOCIAL</v>
      </c>
      <c r="F1294" t="str">
        <f t="shared" si="61"/>
        <v>2.016</v>
      </c>
      <c r="G1294" t="str">
        <f t="shared" si="62"/>
        <v>01.500.0000</v>
      </c>
    </row>
    <row r="1295" spans="1:7" hidden="1" x14ac:dyDescent="0.25">
      <c r="A1295" s="6" t="s">
        <v>3344</v>
      </c>
      <c r="B1295" s="28">
        <v>1</v>
      </c>
      <c r="C1295" s="15" t="s">
        <v>3352</v>
      </c>
      <c r="D1295" t="str">
        <f t="shared" si="60"/>
        <v>14.005.08.245.0018.2.016.3.3.50.39.00</v>
      </c>
      <c r="E1295" t="str">
        <f>VLOOKUP(LEFT(A1295,2),ConsolidadoLoa27_ATIVIDADES!A:I,9,0)</f>
        <v>14 - SECRETARIA DE ASSISTÊNCIA SOCIAL</v>
      </c>
      <c r="F1295" t="str">
        <f t="shared" si="61"/>
        <v>2.016</v>
      </c>
      <c r="G1295" t="str">
        <f t="shared" si="62"/>
        <v>01.500.0000</v>
      </c>
    </row>
    <row r="1296" spans="1:7" hidden="1" x14ac:dyDescent="0.25">
      <c r="A1296" s="6" t="s">
        <v>3344</v>
      </c>
      <c r="B1296" s="28">
        <v>1338339.72</v>
      </c>
      <c r="C1296" s="6" t="s">
        <v>3353</v>
      </c>
      <c r="D1296" t="str">
        <f t="shared" si="60"/>
        <v>14.005.08.245.0018.2.016.3.3.50.39.00</v>
      </c>
      <c r="E1296" t="str">
        <f>VLOOKUP(LEFT(A1296,2),ConsolidadoLoa27_ATIVIDADES!A:I,9,0)</f>
        <v>14 - SECRETARIA DE ASSISTÊNCIA SOCIAL</v>
      </c>
      <c r="F1296" t="str">
        <f t="shared" si="61"/>
        <v>2.016</v>
      </c>
      <c r="G1296" t="str">
        <f t="shared" si="62"/>
        <v>01.500.0000</v>
      </c>
    </row>
    <row r="1297" spans="1:7" hidden="1" x14ac:dyDescent="0.25">
      <c r="A1297" s="6" t="s">
        <v>3344</v>
      </c>
      <c r="B1297" s="28">
        <v>1502262.4</v>
      </c>
      <c r="C1297" s="6" t="s">
        <v>3354</v>
      </c>
      <c r="D1297" t="str">
        <f t="shared" si="60"/>
        <v>14.005.08.245.0018.2.016.3.3.50.39.00</v>
      </c>
      <c r="E1297" t="str">
        <f>VLOOKUP(LEFT(A1297,2),ConsolidadoLoa27_ATIVIDADES!A:I,9,0)</f>
        <v>14 - SECRETARIA DE ASSISTÊNCIA SOCIAL</v>
      </c>
      <c r="F1297" t="str">
        <f t="shared" si="61"/>
        <v>2.016</v>
      </c>
      <c r="G1297" t="str">
        <f t="shared" si="62"/>
        <v>01.500.0000</v>
      </c>
    </row>
    <row r="1298" spans="1:7" hidden="1" x14ac:dyDescent="0.25">
      <c r="A1298" s="6" t="s">
        <v>3344</v>
      </c>
      <c r="B1298" s="28">
        <v>2714512</v>
      </c>
      <c r="C1298" s="6" t="s">
        <v>3355</v>
      </c>
      <c r="D1298" t="str">
        <f t="shared" si="60"/>
        <v>14.005.08.245.0018.2.016.3.3.50.39.00</v>
      </c>
      <c r="E1298" t="str">
        <f>VLOOKUP(LEFT(A1298,2),ConsolidadoLoa27_ATIVIDADES!A:I,9,0)</f>
        <v>14 - SECRETARIA DE ASSISTÊNCIA SOCIAL</v>
      </c>
      <c r="F1298" t="str">
        <f t="shared" si="61"/>
        <v>2.016</v>
      </c>
      <c r="G1298" t="str">
        <f t="shared" si="62"/>
        <v>01.500.0000</v>
      </c>
    </row>
    <row r="1299" spans="1:7" hidden="1" x14ac:dyDescent="0.25">
      <c r="A1299" s="6" t="s">
        <v>3344</v>
      </c>
      <c r="B1299" s="28">
        <v>4071024.7</v>
      </c>
      <c r="C1299" s="6" t="s">
        <v>3356</v>
      </c>
      <c r="D1299" t="str">
        <f t="shared" si="60"/>
        <v>14.005.08.245.0018.2.016.3.3.50.39.00</v>
      </c>
      <c r="E1299" t="str">
        <f>VLOOKUP(LEFT(A1299,2),ConsolidadoLoa27_ATIVIDADES!A:I,9,0)</f>
        <v>14 - SECRETARIA DE ASSISTÊNCIA SOCIAL</v>
      </c>
      <c r="F1299" t="str">
        <f t="shared" si="61"/>
        <v>2.016</v>
      </c>
      <c r="G1299" t="str">
        <f t="shared" si="62"/>
        <v>01.500.0000</v>
      </c>
    </row>
    <row r="1300" spans="1:7" hidden="1" x14ac:dyDescent="0.25">
      <c r="A1300" s="6" t="s">
        <v>3344</v>
      </c>
      <c r="B1300" s="28">
        <v>2998524.8</v>
      </c>
      <c r="C1300" s="6" t="s">
        <v>3357</v>
      </c>
      <c r="D1300" t="str">
        <f t="shared" si="60"/>
        <v>14.005.08.245.0018.2.016.3.3.50.39.00</v>
      </c>
      <c r="E1300" t="str">
        <f>VLOOKUP(LEFT(A1300,2),ConsolidadoLoa27_ATIVIDADES!A:I,9,0)</f>
        <v>14 - SECRETARIA DE ASSISTÊNCIA SOCIAL</v>
      </c>
      <c r="F1300" t="str">
        <f t="shared" si="61"/>
        <v>2.016</v>
      </c>
      <c r="G1300" t="str">
        <f t="shared" si="62"/>
        <v>01.500.0000</v>
      </c>
    </row>
    <row r="1301" spans="1:7" hidden="1" x14ac:dyDescent="0.25">
      <c r="A1301" s="6" t="s">
        <v>3344</v>
      </c>
      <c r="B1301" s="28">
        <v>604799</v>
      </c>
      <c r="C1301" s="6" t="s">
        <v>3358</v>
      </c>
      <c r="D1301" t="str">
        <f t="shared" si="60"/>
        <v>14.005.08.245.0018.2.016.3.3.50.39.00</v>
      </c>
      <c r="E1301" t="str">
        <f>VLOOKUP(LEFT(A1301,2),ConsolidadoLoa27_ATIVIDADES!A:I,9,0)</f>
        <v>14 - SECRETARIA DE ASSISTÊNCIA SOCIAL</v>
      </c>
      <c r="F1301" t="str">
        <f t="shared" si="61"/>
        <v>2.016</v>
      </c>
      <c r="G1301" t="str">
        <f t="shared" si="62"/>
        <v>01.500.0000</v>
      </c>
    </row>
    <row r="1302" spans="1:7" hidden="1" x14ac:dyDescent="0.25">
      <c r="A1302" s="6" t="s">
        <v>3359</v>
      </c>
      <c r="B1302" s="28">
        <v>81049.8</v>
      </c>
      <c r="C1302" s="6" t="s">
        <v>2285</v>
      </c>
      <c r="D1302" t="str">
        <f t="shared" si="60"/>
        <v>14.005.08.245.0018.2.016.3.3.71.70.00</v>
      </c>
      <c r="E1302" t="str">
        <f>VLOOKUP(LEFT(A1302,2),ConsolidadoLoa27_ATIVIDADES!A:I,9,0)</f>
        <v>14 - SECRETARIA DE ASSISTÊNCIA SOCIAL</v>
      </c>
      <c r="F1302" t="str">
        <f t="shared" si="61"/>
        <v>2.016</v>
      </c>
      <c r="G1302" t="str">
        <f t="shared" si="62"/>
        <v>02.500.1402</v>
      </c>
    </row>
    <row r="1303" spans="1:7" hidden="1" x14ac:dyDescent="0.25">
      <c r="A1303" s="6" t="s">
        <v>3360</v>
      </c>
      <c r="B1303" s="28">
        <v>102832.74</v>
      </c>
      <c r="C1303" s="6" t="s">
        <v>2324</v>
      </c>
      <c r="D1303" t="str">
        <f t="shared" si="60"/>
        <v>14.005.08.245.0018.2.016.3.3.90.30.00</v>
      </c>
      <c r="E1303" t="str">
        <f>VLOOKUP(LEFT(A1303,2),ConsolidadoLoa27_ATIVIDADES!A:I,9,0)</f>
        <v>14 - SECRETARIA DE ASSISTÊNCIA SOCIAL</v>
      </c>
      <c r="F1303" t="str">
        <f t="shared" si="61"/>
        <v>2.016</v>
      </c>
      <c r="G1303" t="str">
        <f t="shared" si="62"/>
        <v>01.500.0000</v>
      </c>
    </row>
    <row r="1304" spans="1:7" hidden="1" x14ac:dyDescent="0.25">
      <c r="A1304" s="6" t="s">
        <v>3360</v>
      </c>
      <c r="B1304" s="28">
        <v>623460</v>
      </c>
      <c r="C1304" s="6" t="s">
        <v>2295</v>
      </c>
      <c r="D1304" t="str">
        <f t="shared" si="60"/>
        <v>14.005.08.245.0018.2.016.3.3.90.30.00</v>
      </c>
      <c r="E1304" t="str">
        <f>VLOOKUP(LEFT(A1304,2),ConsolidadoLoa27_ATIVIDADES!A:I,9,0)</f>
        <v>14 - SECRETARIA DE ASSISTÊNCIA SOCIAL</v>
      </c>
      <c r="F1304" t="str">
        <f t="shared" si="61"/>
        <v>2.016</v>
      </c>
      <c r="G1304" t="str">
        <f t="shared" si="62"/>
        <v>01.500.0000</v>
      </c>
    </row>
    <row r="1305" spans="1:7" hidden="1" x14ac:dyDescent="0.25">
      <c r="A1305" s="6" t="s">
        <v>3360</v>
      </c>
      <c r="B1305" s="28">
        <v>311730</v>
      </c>
      <c r="C1305" s="6" t="s">
        <v>3361</v>
      </c>
      <c r="D1305" t="str">
        <f t="shared" si="60"/>
        <v>14.005.08.245.0018.2.016.3.3.90.30.00</v>
      </c>
      <c r="E1305" t="str">
        <f>VLOOKUP(LEFT(A1305,2),ConsolidadoLoa27_ATIVIDADES!A:I,9,0)</f>
        <v>14 - SECRETARIA DE ASSISTÊNCIA SOCIAL</v>
      </c>
      <c r="F1305" t="str">
        <f t="shared" si="61"/>
        <v>2.016</v>
      </c>
      <c r="G1305" t="str">
        <f t="shared" si="62"/>
        <v>01.500.0000</v>
      </c>
    </row>
    <row r="1306" spans="1:7" hidden="1" x14ac:dyDescent="0.25">
      <c r="A1306" s="6" t="s">
        <v>3360</v>
      </c>
      <c r="B1306" s="28">
        <v>124357.61762</v>
      </c>
      <c r="C1306" s="6" t="s">
        <v>387</v>
      </c>
      <c r="D1306" t="str">
        <f t="shared" si="60"/>
        <v>14.005.08.245.0018.2.016.3.3.90.30.00</v>
      </c>
      <c r="E1306" t="str">
        <f>VLOOKUP(LEFT(A1306,2),ConsolidadoLoa27_ATIVIDADES!A:I,9,0)</f>
        <v>14 - SECRETARIA DE ASSISTÊNCIA SOCIAL</v>
      </c>
      <c r="F1306" t="str">
        <f t="shared" si="61"/>
        <v>2.016</v>
      </c>
      <c r="G1306" t="str">
        <f t="shared" si="62"/>
        <v>01.500.0000</v>
      </c>
    </row>
    <row r="1307" spans="1:7" hidden="1" x14ac:dyDescent="0.25">
      <c r="A1307" s="6" t="s">
        <v>3360</v>
      </c>
      <c r="B1307" s="28">
        <v>31507.382379999999</v>
      </c>
      <c r="C1307" s="6" t="s">
        <v>2289</v>
      </c>
      <c r="D1307" t="str">
        <f t="shared" si="60"/>
        <v>14.005.08.245.0018.2.016.3.3.90.30.00</v>
      </c>
      <c r="E1307" t="str">
        <f>VLOOKUP(LEFT(A1307,2),ConsolidadoLoa27_ATIVIDADES!A:I,9,0)</f>
        <v>14 - SECRETARIA DE ASSISTÊNCIA SOCIAL</v>
      </c>
      <c r="F1307" t="str">
        <f t="shared" si="61"/>
        <v>2.016</v>
      </c>
      <c r="G1307" t="str">
        <f t="shared" si="62"/>
        <v>01.500.0000</v>
      </c>
    </row>
    <row r="1308" spans="1:7" hidden="1" x14ac:dyDescent="0.25">
      <c r="A1308" s="6" t="s">
        <v>3360</v>
      </c>
      <c r="B1308" s="28">
        <v>51955</v>
      </c>
      <c r="C1308" s="6" t="s">
        <v>3236</v>
      </c>
      <c r="D1308" t="str">
        <f t="shared" si="60"/>
        <v>14.005.08.245.0018.2.016.3.3.90.30.00</v>
      </c>
      <c r="E1308" t="str">
        <f>VLOOKUP(LEFT(A1308,2),ConsolidadoLoa27_ATIVIDADES!A:I,9,0)</f>
        <v>14 - SECRETARIA DE ASSISTÊNCIA SOCIAL</v>
      </c>
      <c r="F1308" t="str">
        <f t="shared" si="61"/>
        <v>2.016</v>
      </c>
      <c r="G1308" t="str">
        <f t="shared" si="62"/>
        <v>01.500.0000</v>
      </c>
    </row>
    <row r="1309" spans="1:7" hidden="1" x14ac:dyDescent="0.25">
      <c r="A1309" s="6" t="s">
        <v>3362</v>
      </c>
      <c r="B1309" s="28">
        <v>514163.72</v>
      </c>
      <c r="C1309" s="6" t="s">
        <v>2324</v>
      </c>
      <c r="D1309" t="str">
        <f t="shared" si="60"/>
        <v>14.005.08.245.0018.2.016.3.3.90.30.00</v>
      </c>
      <c r="E1309" t="str">
        <f>VLOOKUP(LEFT(A1309,2),ConsolidadoLoa27_ATIVIDADES!A:I,9,0)</f>
        <v>14 - SECRETARIA DE ASSISTÊNCIA SOCIAL</v>
      </c>
      <c r="F1309" t="str">
        <f t="shared" si="61"/>
        <v>2.016</v>
      </c>
      <c r="G1309" t="str">
        <f t="shared" si="62"/>
        <v>02.500.1402</v>
      </c>
    </row>
    <row r="1310" spans="1:7" hidden="1" x14ac:dyDescent="0.25">
      <c r="A1310" s="6" t="s">
        <v>3363</v>
      </c>
      <c r="B1310" s="28">
        <v>103910</v>
      </c>
      <c r="C1310" s="6" t="s">
        <v>2318</v>
      </c>
      <c r="D1310" t="str">
        <f t="shared" si="60"/>
        <v>14.005.08.245.0018.2.016.3.3.90.30.00</v>
      </c>
      <c r="E1310" t="str">
        <f>VLOOKUP(LEFT(A1310,2),ConsolidadoLoa27_ATIVIDADES!A:I,9,0)</f>
        <v>14 - SECRETARIA DE ASSISTÊNCIA SOCIAL</v>
      </c>
      <c r="F1310" t="str">
        <f t="shared" si="61"/>
        <v>2.016</v>
      </c>
      <c r="G1310" t="str">
        <f t="shared" si="62"/>
        <v>05.500.0000</v>
      </c>
    </row>
    <row r="1311" spans="1:7" hidden="1" x14ac:dyDescent="0.25">
      <c r="A1311" s="6" t="s">
        <v>3363</v>
      </c>
      <c r="B1311" s="28">
        <v>506766.36</v>
      </c>
      <c r="C1311" s="6" t="s">
        <v>2324</v>
      </c>
      <c r="D1311" t="str">
        <f t="shared" si="60"/>
        <v>14.005.08.245.0018.2.016.3.3.90.30.00</v>
      </c>
      <c r="E1311" t="str">
        <f>VLOOKUP(LEFT(A1311,2),ConsolidadoLoa27_ATIVIDADES!A:I,9,0)</f>
        <v>14 - SECRETARIA DE ASSISTÊNCIA SOCIAL</v>
      </c>
      <c r="F1311" t="str">
        <f t="shared" si="61"/>
        <v>2.016</v>
      </c>
      <c r="G1311" t="str">
        <f t="shared" si="62"/>
        <v>05.500.0000</v>
      </c>
    </row>
    <row r="1312" spans="1:7" hidden="1" x14ac:dyDescent="0.25">
      <c r="A1312" s="6" t="s">
        <v>3364</v>
      </c>
      <c r="B1312" s="28">
        <v>88789.016799999998</v>
      </c>
      <c r="C1312" s="6" t="s">
        <v>3365</v>
      </c>
      <c r="D1312" t="str">
        <f t="shared" si="60"/>
        <v>14.005.08.245.0018.2.016.3.3.90.39.00</v>
      </c>
      <c r="E1312" t="str">
        <f>VLOOKUP(LEFT(A1312,2),ConsolidadoLoa27_ATIVIDADES!A:I,9,0)</f>
        <v>14 - SECRETARIA DE ASSISTÊNCIA SOCIAL</v>
      </c>
      <c r="F1312" t="str">
        <f t="shared" si="61"/>
        <v>2.016</v>
      </c>
      <c r="G1312" t="str">
        <f t="shared" si="62"/>
        <v>01.500.0000</v>
      </c>
    </row>
    <row r="1313" spans="1:7" hidden="1" x14ac:dyDescent="0.25">
      <c r="A1313" s="6" t="s">
        <v>3364</v>
      </c>
      <c r="B1313" s="28">
        <v>32461.484</v>
      </c>
      <c r="C1313" s="6" t="s">
        <v>2496</v>
      </c>
      <c r="D1313" t="str">
        <f t="shared" si="60"/>
        <v>14.005.08.245.0018.2.016.3.3.90.39.00</v>
      </c>
      <c r="E1313" t="str">
        <f>VLOOKUP(LEFT(A1313,2),ConsolidadoLoa27_ATIVIDADES!A:I,9,0)</f>
        <v>14 - SECRETARIA DE ASSISTÊNCIA SOCIAL</v>
      </c>
      <c r="F1313" t="str">
        <f t="shared" si="61"/>
        <v>2.016</v>
      </c>
      <c r="G1313" t="str">
        <f t="shared" si="62"/>
        <v>01.500.0000</v>
      </c>
    </row>
    <row r="1314" spans="1:7" hidden="1" x14ac:dyDescent="0.25">
      <c r="A1314" s="6" t="s">
        <v>3364</v>
      </c>
      <c r="B1314" s="28">
        <v>0</v>
      </c>
      <c r="C1314" s="6" t="s">
        <v>3366</v>
      </c>
      <c r="D1314" t="str">
        <f t="shared" si="60"/>
        <v>14.005.08.245.0018.2.016.3.3.90.39.00</v>
      </c>
      <c r="E1314" t="str">
        <f>VLOOKUP(LEFT(A1314,2),ConsolidadoLoa27_ATIVIDADES!A:I,9,0)</f>
        <v>14 - SECRETARIA DE ASSISTÊNCIA SOCIAL</v>
      </c>
      <c r="F1314" t="str">
        <f t="shared" si="61"/>
        <v>2.016</v>
      </c>
      <c r="G1314" t="str">
        <f t="shared" si="62"/>
        <v>01.500.0000</v>
      </c>
    </row>
    <row r="1315" spans="1:7" hidden="1" x14ac:dyDescent="0.25">
      <c r="A1315" s="6" t="s">
        <v>3367</v>
      </c>
      <c r="B1315" s="28">
        <v>1</v>
      </c>
      <c r="C1315" s="14" t="s">
        <v>95</v>
      </c>
      <c r="D1315" t="str">
        <f t="shared" si="60"/>
        <v>14.005.08.245.0018.2.016.3.3.90.39.00</v>
      </c>
      <c r="E1315" t="str">
        <f>VLOOKUP(LEFT(A1315,2),ConsolidadoLoa27_ATIVIDADES!A:I,9,0)</f>
        <v>14 - SECRETARIA DE ASSISTÊNCIA SOCIAL</v>
      </c>
      <c r="F1315" t="str">
        <f t="shared" si="61"/>
        <v>2.016</v>
      </c>
      <c r="G1315" t="str">
        <f t="shared" si="62"/>
        <v>02.500.1402</v>
      </c>
    </row>
    <row r="1316" spans="1:7" hidden="1" x14ac:dyDescent="0.25">
      <c r="A1316" s="6" t="s">
        <v>3367</v>
      </c>
      <c r="B1316" s="28">
        <v>207820</v>
      </c>
      <c r="C1316" s="6" t="s">
        <v>388</v>
      </c>
      <c r="D1316" t="str">
        <f t="shared" si="60"/>
        <v>14.005.08.245.0018.2.016.3.3.90.39.00</v>
      </c>
      <c r="E1316" t="str">
        <f>VLOOKUP(LEFT(A1316,2),ConsolidadoLoa27_ATIVIDADES!A:I,9,0)</f>
        <v>14 - SECRETARIA DE ASSISTÊNCIA SOCIAL</v>
      </c>
      <c r="F1316" t="str">
        <f t="shared" si="61"/>
        <v>2.016</v>
      </c>
      <c r="G1316" t="str">
        <f t="shared" si="62"/>
        <v>02.500.1402</v>
      </c>
    </row>
    <row r="1317" spans="1:7" hidden="1" x14ac:dyDescent="0.25">
      <c r="A1317" s="6" t="s">
        <v>3368</v>
      </c>
      <c r="B1317" s="28">
        <v>20782</v>
      </c>
      <c r="C1317" s="6" t="s">
        <v>314</v>
      </c>
      <c r="D1317" t="str">
        <f t="shared" si="60"/>
        <v>14.005.08.245.0018.2.016.3.3.90.39.00</v>
      </c>
      <c r="E1317" t="str">
        <f>VLOOKUP(LEFT(A1317,2),ConsolidadoLoa27_ATIVIDADES!A:I,9,0)</f>
        <v>14 - SECRETARIA DE ASSISTÊNCIA SOCIAL</v>
      </c>
      <c r="F1317" t="str">
        <f t="shared" si="61"/>
        <v>2.016</v>
      </c>
      <c r="G1317" t="str">
        <f t="shared" si="62"/>
        <v>05.500.0000</v>
      </c>
    </row>
    <row r="1318" spans="1:7" hidden="1" x14ac:dyDescent="0.25">
      <c r="A1318" s="6" t="s">
        <v>3368</v>
      </c>
      <c r="B1318" s="28">
        <v>377495</v>
      </c>
      <c r="C1318" s="14" t="s">
        <v>95</v>
      </c>
      <c r="D1318" t="str">
        <f t="shared" si="60"/>
        <v>14.005.08.245.0018.2.016.3.3.90.39.00</v>
      </c>
      <c r="E1318" t="str">
        <f>VLOOKUP(LEFT(A1318,2),ConsolidadoLoa27_ATIVIDADES!A:I,9,0)</f>
        <v>14 - SECRETARIA DE ASSISTÊNCIA SOCIAL</v>
      </c>
      <c r="F1318" t="str">
        <f t="shared" si="61"/>
        <v>2.016</v>
      </c>
      <c r="G1318" t="str">
        <f t="shared" si="62"/>
        <v>05.500.0000</v>
      </c>
    </row>
    <row r="1319" spans="1:7" hidden="1" x14ac:dyDescent="0.25">
      <c r="A1319" s="6" t="s">
        <v>3369</v>
      </c>
      <c r="B1319" s="28">
        <v>580001</v>
      </c>
      <c r="C1319" s="6" t="s">
        <v>3370</v>
      </c>
      <c r="D1319" t="str">
        <f t="shared" si="60"/>
        <v>14.005.08.245.0018.2.016.3.3.90.48.00</v>
      </c>
      <c r="E1319" t="str">
        <f>VLOOKUP(LEFT(A1319,2),ConsolidadoLoa27_ATIVIDADES!A:I,9,0)</f>
        <v>14 - SECRETARIA DE ASSISTÊNCIA SOCIAL</v>
      </c>
      <c r="F1319" t="str">
        <f t="shared" si="61"/>
        <v>2.016</v>
      </c>
      <c r="G1319" t="str">
        <f t="shared" si="62"/>
        <v>01.110.0000</v>
      </c>
    </row>
    <row r="1320" spans="1:7" hidden="1" x14ac:dyDescent="0.25">
      <c r="A1320" s="6" t="s">
        <v>3371</v>
      </c>
      <c r="B1320" s="28">
        <v>706586.96089999995</v>
      </c>
      <c r="C1320" s="6" t="s">
        <v>3370</v>
      </c>
      <c r="D1320" t="str">
        <f t="shared" si="60"/>
        <v>14.005.08.245.0018.2.016.3.3.90.48.00</v>
      </c>
      <c r="E1320" t="str">
        <f>VLOOKUP(LEFT(A1320,2),ConsolidadoLoa27_ATIVIDADES!A:I,9,0)</f>
        <v>14 - SECRETARIA DE ASSISTÊNCIA SOCIAL</v>
      </c>
      <c r="F1320" t="str">
        <f t="shared" si="61"/>
        <v>2.016</v>
      </c>
      <c r="G1320" t="str">
        <f t="shared" si="62"/>
        <v>02.500.1402</v>
      </c>
    </row>
    <row r="1321" spans="1:7" hidden="1" x14ac:dyDescent="0.25">
      <c r="A1321" s="6" t="s">
        <v>3372</v>
      </c>
      <c r="B1321" s="28">
        <v>150001</v>
      </c>
      <c r="C1321" s="6" t="s">
        <v>3370</v>
      </c>
      <c r="D1321" t="str">
        <f t="shared" si="60"/>
        <v>14.005.08.245.0018.2.016.3.3.90.48.00</v>
      </c>
      <c r="E1321" t="str">
        <f>VLOOKUP(LEFT(A1321,2),ConsolidadoLoa27_ATIVIDADES!A:I,9,0)</f>
        <v>14 - SECRETARIA DE ASSISTÊNCIA SOCIAL</v>
      </c>
      <c r="F1321" t="str">
        <f t="shared" si="61"/>
        <v>2.016</v>
      </c>
      <c r="G1321" t="str">
        <f t="shared" si="62"/>
        <v>05.500.0000</v>
      </c>
    </row>
    <row r="1322" spans="1:7" hidden="1" x14ac:dyDescent="0.25">
      <c r="A1322" s="6" t="s">
        <v>3373</v>
      </c>
      <c r="B1322" s="28">
        <v>51955</v>
      </c>
      <c r="C1322" s="6" t="s">
        <v>2342</v>
      </c>
      <c r="D1322" t="str">
        <f t="shared" si="60"/>
        <v>14.005.08.245.0018.2.016.3.3.90.93.00</v>
      </c>
      <c r="E1322" t="str">
        <f>VLOOKUP(LEFT(A1322,2),ConsolidadoLoa27_ATIVIDADES!A:I,9,0)</f>
        <v>14 - SECRETARIA DE ASSISTÊNCIA SOCIAL</v>
      </c>
      <c r="F1322" t="str">
        <f t="shared" si="61"/>
        <v>2.016</v>
      </c>
      <c r="G1322" t="str">
        <f t="shared" si="62"/>
        <v>01.500.0000</v>
      </c>
    </row>
    <row r="1323" spans="1:7" hidden="1" x14ac:dyDescent="0.25">
      <c r="A1323" s="6" t="s">
        <v>3374</v>
      </c>
      <c r="B1323" s="28">
        <v>10391</v>
      </c>
      <c r="C1323" s="6" t="s">
        <v>3338</v>
      </c>
      <c r="D1323" t="str">
        <f t="shared" si="60"/>
        <v>14.005.08.245.0018.2.016.3.3.90.93.00</v>
      </c>
      <c r="E1323" t="str">
        <f>VLOOKUP(LEFT(A1323,2),ConsolidadoLoa27_ATIVIDADES!A:I,9,0)</f>
        <v>14 - SECRETARIA DE ASSISTÊNCIA SOCIAL</v>
      </c>
      <c r="F1323" t="str">
        <f t="shared" si="61"/>
        <v>2.016</v>
      </c>
      <c r="G1323" t="str">
        <f t="shared" si="62"/>
        <v>02.500.1402</v>
      </c>
    </row>
    <row r="1324" spans="1:7" hidden="1" x14ac:dyDescent="0.25">
      <c r="A1324" s="6" t="s">
        <v>3375</v>
      </c>
      <c r="B1324" s="28">
        <v>10391</v>
      </c>
      <c r="C1324" s="6" t="s">
        <v>3338</v>
      </c>
      <c r="D1324" t="str">
        <f t="shared" si="60"/>
        <v>14.005.08.245.0018.2.016.3.3.90.93.00</v>
      </c>
      <c r="E1324" t="str">
        <f>VLOOKUP(LEFT(A1324,2),ConsolidadoLoa27_ATIVIDADES!A:I,9,0)</f>
        <v>14 - SECRETARIA DE ASSISTÊNCIA SOCIAL</v>
      </c>
      <c r="F1324" t="str">
        <f t="shared" si="61"/>
        <v>2.016</v>
      </c>
      <c r="G1324" t="str">
        <f t="shared" si="62"/>
        <v>05.500.0000</v>
      </c>
    </row>
    <row r="1325" spans="1:7" hidden="1" x14ac:dyDescent="0.25">
      <c r="A1325" s="6" t="s">
        <v>3376</v>
      </c>
      <c r="B1325" s="28">
        <v>10391</v>
      </c>
      <c r="C1325" s="6" t="s">
        <v>3338</v>
      </c>
      <c r="D1325" t="str">
        <f t="shared" si="60"/>
        <v>14.005.08.245.0018.2.016.3.3.90.93.00</v>
      </c>
      <c r="E1325" t="str">
        <f>VLOOKUP(LEFT(A1325,2),ConsolidadoLoa27_ATIVIDADES!A:I,9,0)</f>
        <v>14 - SECRETARIA DE ASSISTÊNCIA SOCIAL</v>
      </c>
      <c r="F1325" t="str">
        <f t="shared" si="61"/>
        <v>2.016</v>
      </c>
      <c r="G1325" t="str">
        <f t="shared" si="62"/>
        <v>05.500.1402</v>
      </c>
    </row>
    <row r="1326" spans="1:7" hidden="1" x14ac:dyDescent="0.25">
      <c r="A1326" s="6" t="s">
        <v>3377</v>
      </c>
      <c r="B1326" s="28">
        <v>1</v>
      </c>
      <c r="C1326" s="15" t="s">
        <v>3345</v>
      </c>
      <c r="D1326" t="str">
        <f t="shared" si="60"/>
        <v>14.005.08.245.0018.2.016.4.4.50.52.00</v>
      </c>
      <c r="E1326" t="str">
        <f>VLOOKUP(LEFT(A1326,2),ConsolidadoLoa27_ATIVIDADES!A:I,9,0)</f>
        <v>14 - SECRETARIA DE ASSISTÊNCIA SOCIAL</v>
      </c>
      <c r="F1326" t="str">
        <f t="shared" si="61"/>
        <v>2.016</v>
      </c>
      <c r="G1326" t="str">
        <f t="shared" si="62"/>
        <v>01.500.0000</v>
      </c>
    </row>
    <row r="1327" spans="1:7" hidden="1" x14ac:dyDescent="0.25">
      <c r="A1327" s="6" t="s">
        <v>3377</v>
      </c>
      <c r="B1327" s="28">
        <v>1</v>
      </c>
      <c r="C1327" s="6" t="s">
        <v>3346</v>
      </c>
      <c r="D1327" t="str">
        <f t="shared" si="60"/>
        <v>14.005.08.245.0018.2.016.4.4.50.52.00</v>
      </c>
      <c r="E1327" t="str">
        <f>VLOOKUP(LEFT(A1327,2),ConsolidadoLoa27_ATIVIDADES!A:I,9,0)</f>
        <v>14 - SECRETARIA DE ASSISTÊNCIA SOCIAL</v>
      </c>
      <c r="F1327" t="str">
        <f t="shared" si="61"/>
        <v>2.016</v>
      </c>
      <c r="G1327" t="str">
        <f t="shared" si="62"/>
        <v>01.500.0000</v>
      </c>
    </row>
    <row r="1328" spans="1:7" hidden="1" x14ac:dyDescent="0.25">
      <c r="A1328" s="6" t="s">
        <v>3377</v>
      </c>
      <c r="B1328" s="28">
        <v>1</v>
      </c>
      <c r="C1328" s="6" t="s">
        <v>3347</v>
      </c>
      <c r="D1328" t="str">
        <f t="shared" si="60"/>
        <v>14.005.08.245.0018.2.016.4.4.50.52.00</v>
      </c>
      <c r="E1328" t="str">
        <f>VLOOKUP(LEFT(A1328,2),ConsolidadoLoa27_ATIVIDADES!A:I,9,0)</f>
        <v>14 - SECRETARIA DE ASSISTÊNCIA SOCIAL</v>
      </c>
      <c r="F1328" t="str">
        <f t="shared" si="61"/>
        <v>2.016</v>
      </c>
      <c r="G1328" t="str">
        <f t="shared" si="62"/>
        <v>01.500.0000</v>
      </c>
    </row>
    <row r="1329" spans="1:7" hidden="1" x14ac:dyDescent="0.25">
      <c r="A1329" s="6" t="s">
        <v>3377</v>
      </c>
      <c r="B1329" s="28">
        <v>1</v>
      </c>
      <c r="C1329" s="6" t="s">
        <v>3348</v>
      </c>
      <c r="D1329" t="str">
        <f t="shared" si="60"/>
        <v>14.005.08.245.0018.2.016.4.4.50.52.00</v>
      </c>
      <c r="E1329" t="str">
        <f>VLOOKUP(LEFT(A1329,2),ConsolidadoLoa27_ATIVIDADES!A:I,9,0)</f>
        <v>14 - SECRETARIA DE ASSISTÊNCIA SOCIAL</v>
      </c>
      <c r="F1329" t="str">
        <f t="shared" si="61"/>
        <v>2.016</v>
      </c>
      <c r="G1329" t="str">
        <f t="shared" si="62"/>
        <v>01.500.0000</v>
      </c>
    </row>
    <row r="1330" spans="1:7" hidden="1" x14ac:dyDescent="0.25">
      <c r="A1330" s="6" t="s">
        <v>3377</v>
      </c>
      <c r="B1330" s="28">
        <v>1</v>
      </c>
      <c r="C1330" s="6" t="s">
        <v>3349</v>
      </c>
      <c r="D1330" t="str">
        <f t="shared" si="60"/>
        <v>14.005.08.245.0018.2.016.4.4.50.52.00</v>
      </c>
      <c r="E1330" t="str">
        <f>VLOOKUP(LEFT(A1330,2),ConsolidadoLoa27_ATIVIDADES!A:I,9,0)</f>
        <v>14 - SECRETARIA DE ASSISTÊNCIA SOCIAL</v>
      </c>
      <c r="F1330" t="str">
        <f t="shared" si="61"/>
        <v>2.016</v>
      </c>
      <c r="G1330" t="str">
        <f t="shared" si="62"/>
        <v>01.500.0000</v>
      </c>
    </row>
    <row r="1331" spans="1:7" hidden="1" x14ac:dyDescent="0.25">
      <c r="A1331" s="6" t="s">
        <v>3377</v>
      </c>
      <c r="B1331" s="28">
        <v>379168.69</v>
      </c>
      <c r="C1331" s="6" t="s">
        <v>3350</v>
      </c>
      <c r="D1331" t="str">
        <f t="shared" si="60"/>
        <v>14.005.08.245.0018.2.016.4.4.50.52.00</v>
      </c>
      <c r="E1331" t="str">
        <f>VLOOKUP(LEFT(A1331,2),ConsolidadoLoa27_ATIVIDADES!A:I,9,0)</f>
        <v>14 - SECRETARIA DE ASSISTÊNCIA SOCIAL</v>
      </c>
      <c r="F1331" t="str">
        <f t="shared" si="61"/>
        <v>2.016</v>
      </c>
      <c r="G1331" t="str">
        <f t="shared" si="62"/>
        <v>01.500.0000</v>
      </c>
    </row>
    <row r="1332" spans="1:7" hidden="1" x14ac:dyDescent="0.25">
      <c r="A1332" s="6" t="s">
        <v>3377</v>
      </c>
      <c r="B1332" s="28">
        <v>361677.48</v>
      </c>
      <c r="C1332" s="6" t="s">
        <v>3353</v>
      </c>
      <c r="D1332" t="str">
        <f t="shared" si="60"/>
        <v>14.005.08.245.0018.2.016.4.4.50.52.00</v>
      </c>
      <c r="E1332" t="str">
        <f>VLOOKUP(LEFT(A1332,2),ConsolidadoLoa27_ATIVIDADES!A:I,9,0)</f>
        <v>14 - SECRETARIA DE ASSISTÊNCIA SOCIAL</v>
      </c>
      <c r="F1332" t="str">
        <f t="shared" si="61"/>
        <v>2.016</v>
      </c>
      <c r="G1332" t="str">
        <f t="shared" si="62"/>
        <v>01.500.0000</v>
      </c>
    </row>
    <row r="1333" spans="1:7" hidden="1" x14ac:dyDescent="0.25">
      <c r="A1333" s="6" t="s">
        <v>3377</v>
      </c>
      <c r="B1333" s="28">
        <v>6000</v>
      </c>
      <c r="C1333" s="6" t="s">
        <v>3354</v>
      </c>
      <c r="D1333" t="str">
        <f t="shared" si="60"/>
        <v>14.005.08.245.0018.2.016.4.4.50.52.00</v>
      </c>
      <c r="E1333" t="str">
        <f>VLOOKUP(LEFT(A1333,2),ConsolidadoLoa27_ATIVIDADES!A:I,9,0)</f>
        <v>14 - SECRETARIA DE ASSISTÊNCIA SOCIAL</v>
      </c>
      <c r="F1333" t="str">
        <f t="shared" si="61"/>
        <v>2.016</v>
      </c>
      <c r="G1333" t="str">
        <f t="shared" si="62"/>
        <v>01.500.0000</v>
      </c>
    </row>
    <row r="1334" spans="1:7" hidden="1" x14ac:dyDescent="0.25">
      <c r="A1334" s="6" t="s">
        <v>3377</v>
      </c>
      <c r="B1334" s="28">
        <v>36000.799999999814</v>
      </c>
      <c r="C1334" s="6" t="s">
        <v>3355</v>
      </c>
      <c r="D1334" t="str">
        <f t="shared" si="60"/>
        <v>14.005.08.245.0018.2.016.4.4.50.52.00</v>
      </c>
      <c r="E1334" t="str">
        <f>VLOOKUP(LEFT(A1334,2),ConsolidadoLoa27_ATIVIDADES!A:I,9,0)</f>
        <v>14 - SECRETARIA DE ASSISTÊNCIA SOCIAL</v>
      </c>
      <c r="F1334" t="str">
        <f t="shared" si="61"/>
        <v>2.016</v>
      </c>
      <c r="G1334" t="str">
        <f t="shared" si="62"/>
        <v>01.500.0000</v>
      </c>
    </row>
    <row r="1335" spans="1:7" hidden="1" x14ac:dyDescent="0.25">
      <c r="A1335" s="6" t="s">
        <v>3377</v>
      </c>
      <c r="B1335" s="28">
        <v>120000</v>
      </c>
      <c r="C1335" s="6" t="s">
        <v>3356</v>
      </c>
      <c r="D1335" t="str">
        <f t="shared" si="60"/>
        <v>14.005.08.245.0018.2.016.4.4.50.52.00</v>
      </c>
      <c r="E1335" t="str">
        <f>VLOOKUP(LEFT(A1335,2),ConsolidadoLoa27_ATIVIDADES!A:I,9,0)</f>
        <v>14 - SECRETARIA DE ASSISTÊNCIA SOCIAL</v>
      </c>
      <c r="F1335" t="str">
        <f t="shared" si="61"/>
        <v>2.016</v>
      </c>
      <c r="G1335" t="str">
        <f t="shared" si="62"/>
        <v>01.500.0000</v>
      </c>
    </row>
    <row r="1336" spans="1:7" hidden="1" x14ac:dyDescent="0.25">
      <c r="A1336" s="6" t="s">
        <v>3377</v>
      </c>
      <c r="B1336" s="28">
        <v>18000</v>
      </c>
      <c r="C1336" s="16" t="s">
        <v>3357</v>
      </c>
      <c r="D1336" t="str">
        <f t="shared" si="60"/>
        <v>14.005.08.245.0018.2.016.4.4.50.52.00</v>
      </c>
      <c r="E1336" t="str">
        <f>VLOOKUP(LEFT(A1336,2),ConsolidadoLoa27_ATIVIDADES!A:I,9,0)</f>
        <v>14 - SECRETARIA DE ASSISTÊNCIA SOCIAL</v>
      </c>
      <c r="F1336" t="str">
        <f t="shared" si="61"/>
        <v>2.016</v>
      </c>
      <c r="G1336" t="str">
        <f t="shared" si="62"/>
        <v>01.500.0000</v>
      </c>
    </row>
    <row r="1337" spans="1:7" hidden="1" x14ac:dyDescent="0.25">
      <c r="A1337" s="6" t="s">
        <v>3377</v>
      </c>
      <c r="B1337" s="28">
        <v>1</v>
      </c>
      <c r="C1337" s="6" t="s">
        <v>3358</v>
      </c>
      <c r="D1337" t="str">
        <f t="shared" si="60"/>
        <v>14.005.08.245.0018.2.016.4.4.50.52.00</v>
      </c>
      <c r="E1337" t="str">
        <f>VLOOKUP(LEFT(A1337,2),ConsolidadoLoa27_ATIVIDADES!A:I,9,0)</f>
        <v>14 - SECRETARIA DE ASSISTÊNCIA SOCIAL</v>
      </c>
      <c r="F1337" t="str">
        <f t="shared" si="61"/>
        <v>2.016</v>
      </c>
      <c r="G1337" t="str">
        <f t="shared" si="62"/>
        <v>01.500.0000</v>
      </c>
    </row>
    <row r="1338" spans="1:7" hidden="1" x14ac:dyDescent="0.25">
      <c r="A1338" s="6" t="s">
        <v>3378</v>
      </c>
      <c r="B1338" s="28">
        <v>9351.9</v>
      </c>
      <c r="C1338" s="6" t="s">
        <v>2285</v>
      </c>
      <c r="D1338" t="str">
        <f t="shared" si="60"/>
        <v>14.005.08.245.0018.2.016.4.4.71.70.00</v>
      </c>
      <c r="E1338" t="str">
        <f>VLOOKUP(LEFT(A1338,2),ConsolidadoLoa27_ATIVIDADES!A:I,9,0)</f>
        <v>14 - SECRETARIA DE ASSISTÊNCIA SOCIAL</v>
      </c>
      <c r="F1338" t="str">
        <f t="shared" si="61"/>
        <v>2.016</v>
      </c>
      <c r="G1338" t="str">
        <f t="shared" si="62"/>
        <v>05.500.0000</v>
      </c>
    </row>
    <row r="1339" spans="1:7" hidden="1" x14ac:dyDescent="0.25">
      <c r="A1339" s="6" t="s">
        <v>3379</v>
      </c>
      <c r="B1339" s="28">
        <v>51955</v>
      </c>
      <c r="C1339" s="6" t="s">
        <v>419</v>
      </c>
      <c r="D1339" t="str">
        <f t="shared" si="60"/>
        <v>14.005.08.245.0018.2.016.4.4.90.52.00</v>
      </c>
      <c r="E1339" t="str">
        <f>VLOOKUP(LEFT(A1339,2),ConsolidadoLoa27_ATIVIDADES!A:I,9,0)</f>
        <v>14 - SECRETARIA DE ASSISTÊNCIA SOCIAL</v>
      </c>
      <c r="F1339" t="str">
        <f t="shared" si="61"/>
        <v>2.016</v>
      </c>
      <c r="G1339" t="str">
        <f t="shared" si="62"/>
        <v>01.500.0000</v>
      </c>
    </row>
    <row r="1340" spans="1:7" hidden="1" x14ac:dyDescent="0.25">
      <c r="A1340" s="6" t="s">
        <v>3379</v>
      </c>
      <c r="B1340" s="28">
        <v>10389.9609</v>
      </c>
      <c r="C1340" s="6" t="s">
        <v>3241</v>
      </c>
      <c r="D1340" t="str">
        <f t="shared" si="60"/>
        <v>14.005.08.245.0018.2.016.4.4.90.52.00</v>
      </c>
      <c r="E1340" t="str">
        <f>VLOOKUP(LEFT(A1340,2),ConsolidadoLoa27_ATIVIDADES!A:I,9,0)</f>
        <v>14 - SECRETARIA DE ASSISTÊNCIA SOCIAL</v>
      </c>
      <c r="F1340" t="str">
        <f t="shared" si="61"/>
        <v>2.016</v>
      </c>
      <c r="G1340" t="str">
        <f t="shared" si="62"/>
        <v>01.500.0000</v>
      </c>
    </row>
    <row r="1341" spans="1:7" hidden="1" x14ac:dyDescent="0.25">
      <c r="A1341" s="6" t="s">
        <v>3379</v>
      </c>
      <c r="B1341" s="28">
        <v>145474</v>
      </c>
      <c r="C1341" s="6" t="s">
        <v>2500</v>
      </c>
      <c r="D1341" t="str">
        <f t="shared" si="60"/>
        <v>14.005.08.245.0018.2.016.4.4.90.52.00</v>
      </c>
      <c r="E1341" t="str">
        <f>VLOOKUP(LEFT(A1341,2),ConsolidadoLoa27_ATIVIDADES!A:I,9,0)</f>
        <v>14 - SECRETARIA DE ASSISTÊNCIA SOCIAL</v>
      </c>
      <c r="F1341" t="str">
        <f t="shared" si="61"/>
        <v>2.016</v>
      </c>
      <c r="G1341" t="str">
        <f t="shared" si="62"/>
        <v>01.500.0000</v>
      </c>
    </row>
    <row r="1342" spans="1:7" hidden="1" x14ac:dyDescent="0.25">
      <c r="A1342" s="6" t="s">
        <v>3379</v>
      </c>
      <c r="B1342" s="28">
        <v>1</v>
      </c>
      <c r="C1342" s="6" t="s">
        <v>3352</v>
      </c>
      <c r="D1342" t="str">
        <f t="shared" si="60"/>
        <v>14.005.08.245.0018.2.016.4.4.90.52.00</v>
      </c>
      <c r="E1342" t="str">
        <f>VLOOKUP(LEFT(A1342,2),ConsolidadoLoa27_ATIVIDADES!A:I,9,0)</f>
        <v>14 - SECRETARIA DE ASSISTÊNCIA SOCIAL</v>
      </c>
      <c r="F1342" t="str">
        <f t="shared" si="61"/>
        <v>2.016</v>
      </c>
      <c r="G1342" t="str">
        <f t="shared" si="62"/>
        <v>01.500.0000</v>
      </c>
    </row>
    <row r="1343" spans="1:7" hidden="1" x14ac:dyDescent="0.25">
      <c r="A1343" s="6" t="s">
        <v>3380</v>
      </c>
      <c r="B1343" s="28">
        <v>41564</v>
      </c>
      <c r="C1343" s="6" t="s">
        <v>2459</v>
      </c>
      <c r="D1343" t="str">
        <f t="shared" si="60"/>
        <v>14.005.08.245.0018.2.016.4.4.90.52.00</v>
      </c>
      <c r="E1343" t="str">
        <f>VLOOKUP(LEFT(A1343,2),ConsolidadoLoa27_ATIVIDADES!A:I,9,0)</f>
        <v>14 - SECRETARIA DE ASSISTÊNCIA SOCIAL</v>
      </c>
      <c r="F1343" t="str">
        <f t="shared" si="61"/>
        <v>2.016</v>
      </c>
      <c r="G1343" t="str">
        <f t="shared" si="62"/>
        <v>05.500.0000</v>
      </c>
    </row>
    <row r="1344" spans="1:7" hidden="1" x14ac:dyDescent="0.25">
      <c r="A1344" s="6" t="s">
        <v>3380</v>
      </c>
      <c r="B1344" s="28">
        <v>20782</v>
      </c>
      <c r="C1344" s="6" t="s">
        <v>3241</v>
      </c>
      <c r="D1344" t="str">
        <f t="shared" si="60"/>
        <v>14.005.08.245.0018.2.016.4.4.90.52.00</v>
      </c>
      <c r="E1344" t="str">
        <f>VLOOKUP(LEFT(A1344,2),ConsolidadoLoa27_ATIVIDADES!A:I,9,0)</f>
        <v>14 - SECRETARIA DE ASSISTÊNCIA SOCIAL</v>
      </c>
      <c r="F1344" t="str">
        <f t="shared" si="61"/>
        <v>2.016</v>
      </c>
      <c r="G1344" t="str">
        <f t="shared" si="62"/>
        <v>05.500.0000</v>
      </c>
    </row>
    <row r="1345" spans="1:7" hidden="1" x14ac:dyDescent="0.25">
      <c r="A1345" s="6" t="s">
        <v>3380</v>
      </c>
      <c r="B1345" s="28">
        <v>41564</v>
      </c>
      <c r="C1345" s="6" t="s">
        <v>2500</v>
      </c>
      <c r="D1345" t="str">
        <f t="shared" si="60"/>
        <v>14.005.08.245.0018.2.016.4.4.90.52.00</v>
      </c>
      <c r="E1345" t="str">
        <f>VLOOKUP(LEFT(A1345,2),ConsolidadoLoa27_ATIVIDADES!A:I,9,0)</f>
        <v>14 - SECRETARIA DE ASSISTÊNCIA SOCIAL</v>
      </c>
      <c r="F1345" t="str">
        <f t="shared" si="61"/>
        <v>2.016</v>
      </c>
      <c r="G1345" t="str">
        <f t="shared" si="62"/>
        <v>05.500.0000</v>
      </c>
    </row>
    <row r="1346" spans="1:7" hidden="1" x14ac:dyDescent="0.25">
      <c r="A1346" s="6" t="s">
        <v>3381</v>
      </c>
      <c r="B1346" s="28">
        <v>34123.0049</v>
      </c>
      <c r="C1346" s="6" t="s">
        <v>2288</v>
      </c>
      <c r="D1346" t="str">
        <f t="shared" si="60"/>
        <v>14.005.08.246.0018.2.024.3.3.90.30.00</v>
      </c>
      <c r="E1346" t="str">
        <f>VLOOKUP(LEFT(A1346,2),ConsolidadoLoa27_ATIVIDADES!A:I,9,0)</f>
        <v>14 - SECRETARIA DE ASSISTÊNCIA SOCIAL</v>
      </c>
      <c r="F1346" t="str">
        <f t="shared" si="61"/>
        <v>2.024</v>
      </c>
      <c r="G1346" t="str">
        <f t="shared" si="62"/>
        <v>05.500.0000</v>
      </c>
    </row>
    <row r="1347" spans="1:7" hidden="1" x14ac:dyDescent="0.25">
      <c r="A1347" s="6" t="s">
        <v>3381</v>
      </c>
      <c r="B1347" s="28">
        <v>34123.0049</v>
      </c>
      <c r="C1347" s="6" t="s">
        <v>2295</v>
      </c>
      <c r="D1347" t="str">
        <f t="shared" ref="D1347:D1410" si="63">_xlfn.CONCAT(LEFT(A1347,34),".00")</f>
        <v>14.005.08.246.0018.2.024.3.3.90.30.00</v>
      </c>
      <c r="E1347" t="str">
        <f>VLOOKUP(LEFT(A1347,2),ConsolidadoLoa27_ATIVIDADES!A:I,9,0)</f>
        <v>14 - SECRETARIA DE ASSISTÊNCIA SOCIAL</v>
      </c>
      <c r="F1347" t="str">
        <f t="shared" ref="F1347:F1410" si="64">MID(A1347,20,5)</f>
        <v>2.024</v>
      </c>
      <c r="G1347" t="str">
        <f t="shared" ref="G1347:G1410" si="65">RIGHT(A1347,11)</f>
        <v>05.500.0000</v>
      </c>
    </row>
    <row r="1348" spans="1:7" hidden="1" x14ac:dyDescent="0.25">
      <c r="A1348" s="6" t="s">
        <v>3381</v>
      </c>
      <c r="B1348" s="28">
        <v>34123.0049</v>
      </c>
      <c r="C1348" s="6" t="s">
        <v>2289</v>
      </c>
      <c r="D1348" t="str">
        <f t="shared" si="63"/>
        <v>14.005.08.246.0018.2.024.3.3.90.30.00</v>
      </c>
      <c r="E1348" t="str">
        <f>VLOOKUP(LEFT(A1348,2),ConsolidadoLoa27_ATIVIDADES!A:I,9,0)</f>
        <v>14 - SECRETARIA DE ASSISTÊNCIA SOCIAL</v>
      </c>
      <c r="F1348" t="str">
        <f t="shared" si="64"/>
        <v>2.024</v>
      </c>
      <c r="G1348" t="str">
        <f t="shared" si="65"/>
        <v>05.500.0000</v>
      </c>
    </row>
    <row r="1349" spans="1:7" hidden="1" x14ac:dyDescent="0.25">
      <c r="A1349" s="6" t="s">
        <v>3382</v>
      </c>
      <c r="B1349" s="28">
        <v>12466.082700000001</v>
      </c>
      <c r="C1349" s="6" t="s">
        <v>314</v>
      </c>
      <c r="D1349" t="str">
        <f t="shared" si="63"/>
        <v>14.005.08.246.0018.2.024.3.3.90.39.00</v>
      </c>
      <c r="E1349" t="str">
        <f>VLOOKUP(LEFT(A1349,2),ConsolidadoLoa27_ATIVIDADES!A:I,9,0)</f>
        <v>14 - SECRETARIA DE ASSISTÊNCIA SOCIAL</v>
      </c>
      <c r="F1349" t="str">
        <f t="shared" si="64"/>
        <v>2.024</v>
      </c>
      <c r="G1349" t="str">
        <f t="shared" si="65"/>
        <v>05.500.0000</v>
      </c>
    </row>
    <row r="1350" spans="1:7" hidden="1" x14ac:dyDescent="0.25">
      <c r="A1350" s="6" t="s">
        <v>3382</v>
      </c>
      <c r="B1350" s="28">
        <v>44328</v>
      </c>
      <c r="C1350" s="14" t="s">
        <v>95</v>
      </c>
      <c r="D1350" t="str">
        <f t="shared" si="63"/>
        <v>14.005.08.246.0018.2.024.3.3.90.39.00</v>
      </c>
      <c r="E1350" t="str">
        <f>VLOOKUP(LEFT(A1350,2),ConsolidadoLoa27_ATIVIDADES!A:I,9,0)</f>
        <v>14 - SECRETARIA DE ASSISTÊNCIA SOCIAL</v>
      </c>
      <c r="F1350" t="str">
        <f t="shared" si="64"/>
        <v>2.024</v>
      </c>
      <c r="G1350" t="str">
        <f t="shared" si="65"/>
        <v>05.500.0000</v>
      </c>
    </row>
    <row r="1351" spans="1:7" hidden="1" x14ac:dyDescent="0.25">
      <c r="A1351" s="6" t="s">
        <v>3382</v>
      </c>
      <c r="B1351" s="28">
        <v>477600</v>
      </c>
      <c r="C1351" s="6" t="s">
        <v>3383</v>
      </c>
      <c r="D1351" t="str">
        <f t="shared" si="63"/>
        <v>14.005.08.246.0018.2.024.3.3.90.39.00</v>
      </c>
      <c r="E1351" t="str">
        <f>VLOOKUP(LEFT(A1351,2),ConsolidadoLoa27_ATIVIDADES!A:I,9,0)</f>
        <v>14 - SECRETARIA DE ASSISTÊNCIA SOCIAL</v>
      </c>
      <c r="F1351" t="str">
        <f t="shared" si="64"/>
        <v>2.024</v>
      </c>
      <c r="G1351" t="str">
        <f t="shared" si="65"/>
        <v>05.500.0000</v>
      </c>
    </row>
    <row r="1352" spans="1:7" hidden="1" x14ac:dyDescent="0.25">
      <c r="A1352" s="6" t="s">
        <v>3382</v>
      </c>
      <c r="B1352" s="28">
        <v>238800</v>
      </c>
      <c r="C1352" s="6" t="s">
        <v>3384</v>
      </c>
      <c r="D1352" t="str">
        <f t="shared" si="63"/>
        <v>14.005.08.246.0018.2.024.3.3.90.39.00</v>
      </c>
      <c r="E1352" t="str">
        <f>VLOOKUP(LEFT(A1352,2),ConsolidadoLoa27_ATIVIDADES!A:I,9,0)</f>
        <v>14 - SECRETARIA DE ASSISTÊNCIA SOCIAL</v>
      </c>
      <c r="F1352" t="str">
        <f t="shared" si="64"/>
        <v>2.024</v>
      </c>
      <c r="G1352" t="str">
        <f t="shared" si="65"/>
        <v>05.500.0000</v>
      </c>
    </row>
    <row r="1353" spans="1:7" hidden="1" x14ac:dyDescent="0.25">
      <c r="A1353" s="6" t="s">
        <v>3385</v>
      </c>
      <c r="B1353" s="28">
        <v>10391</v>
      </c>
      <c r="C1353" s="6" t="s">
        <v>2706</v>
      </c>
      <c r="D1353" t="str">
        <f t="shared" si="63"/>
        <v>14.005.08.246.0018.2.024.3.3.90.93.00</v>
      </c>
      <c r="E1353" t="str">
        <f>VLOOKUP(LEFT(A1353,2),ConsolidadoLoa27_ATIVIDADES!A:I,9,0)</f>
        <v>14 - SECRETARIA DE ASSISTÊNCIA SOCIAL</v>
      </c>
      <c r="F1353" t="str">
        <f t="shared" si="64"/>
        <v>2.024</v>
      </c>
      <c r="G1353" t="str">
        <f t="shared" si="65"/>
        <v>05.500.0000</v>
      </c>
    </row>
    <row r="1354" spans="1:7" hidden="1" x14ac:dyDescent="0.25">
      <c r="A1354" s="6" t="s">
        <v>3386</v>
      </c>
      <c r="B1354" s="28">
        <v>36368.5</v>
      </c>
      <c r="C1354" s="6" t="s">
        <v>3241</v>
      </c>
      <c r="D1354" t="str">
        <f t="shared" si="63"/>
        <v>14.005.08.246.0018.2.024.4.4.90.52.00</v>
      </c>
      <c r="E1354" t="str">
        <f>VLOOKUP(LEFT(A1354,2),ConsolidadoLoa27_ATIVIDADES!A:I,9,0)</f>
        <v>14 - SECRETARIA DE ASSISTÊNCIA SOCIAL</v>
      </c>
      <c r="F1354" t="str">
        <f t="shared" si="64"/>
        <v>2.024</v>
      </c>
      <c r="G1354" t="str">
        <f t="shared" si="65"/>
        <v>05.500.0000</v>
      </c>
    </row>
    <row r="1355" spans="1:7" hidden="1" x14ac:dyDescent="0.25">
      <c r="A1355" s="6" t="s">
        <v>3387</v>
      </c>
      <c r="B1355" s="28">
        <v>145474</v>
      </c>
      <c r="C1355" s="6" t="s">
        <v>2500</v>
      </c>
      <c r="D1355" t="str">
        <f t="shared" si="63"/>
        <v>14.005.08.246.0018.2.024.4.4.90.52.00</v>
      </c>
      <c r="E1355" t="str">
        <f>VLOOKUP(LEFT(A1355,2),ConsolidadoLoa27_ATIVIDADES!A:I,9,0)</f>
        <v>14 - SECRETARIA DE ASSISTÊNCIA SOCIAL</v>
      </c>
      <c r="F1355" t="str">
        <f t="shared" si="64"/>
        <v>2.024</v>
      </c>
      <c r="G1355" t="str">
        <f t="shared" si="65"/>
        <v>01.110.0000</v>
      </c>
    </row>
    <row r="1356" spans="1:7" hidden="1" x14ac:dyDescent="0.25">
      <c r="A1356" s="6" t="s">
        <v>3386</v>
      </c>
      <c r="B1356" s="28">
        <v>0</v>
      </c>
      <c r="C1356" s="6" t="s">
        <v>2500</v>
      </c>
      <c r="D1356" t="str">
        <f t="shared" si="63"/>
        <v>14.005.08.246.0018.2.024.4.4.90.52.00</v>
      </c>
      <c r="E1356" t="str">
        <f>VLOOKUP(LEFT(A1356,2),ConsolidadoLoa27_ATIVIDADES!A:I,9,0)</f>
        <v>14 - SECRETARIA DE ASSISTÊNCIA SOCIAL</v>
      </c>
      <c r="F1356" t="str">
        <f t="shared" si="64"/>
        <v>2.024</v>
      </c>
      <c r="G1356" t="str">
        <f t="shared" si="65"/>
        <v>05.500.0000</v>
      </c>
    </row>
    <row r="1357" spans="1:7" hidden="1" x14ac:dyDescent="0.25">
      <c r="A1357" s="6" t="s">
        <v>3388</v>
      </c>
      <c r="B1357" s="28">
        <v>103910</v>
      </c>
      <c r="C1357" s="6" t="s">
        <v>3329</v>
      </c>
      <c r="D1357" t="str">
        <f t="shared" si="63"/>
        <v>14.007.08.245.0018.1.003.3.3.90.39.00</v>
      </c>
      <c r="E1357" t="str">
        <f>VLOOKUP(LEFT(A1357,2),ConsolidadoLoa27_ATIVIDADES!A:I,9,0)</f>
        <v>14 - SECRETARIA DE ASSISTÊNCIA SOCIAL</v>
      </c>
      <c r="F1357" t="str">
        <f t="shared" si="64"/>
        <v>1.003</v>
      </c>
      <c r="G1357" t="str">
        <f t="shared" si="65"/>
        <v>01.110.0000</v>
      </c>
    </row>
    <row r="1358" spans="1:7" hidden="1" x14ac:dyDescent="0.25">
      <c r="A1358" s="6" t="s">
        <v>3388</v>
      </c>
      <c r="B1358" s="28">
        <v>103910</v>
      </c>
      <c r="C1358" s="6" t="s">
        <v>3389</v>
      </c>
      <c r="D1358" t="str">
        <f t="shared" si="63"/>
        <v>14.007.08.245.0018.1.003.3.3.90.39.00</v>
      </c>
      <c r="E1358" t="str">
        <f>VLOOKUP(LEFT(A1358,2),ConsolidadoLoa27_ATIVIDADES!A:I,9,0)</f>
        <v>14 - SECRETARIA DE ASSISTÊNCIA SOCIAL</v>
      </c>
      <c r="F1358" t="str">
        <f t="shared" si="64"/>
        <v>1.003</v>
      </c>
      <c r="G1358" t="str">
        <f t="shared" si="65"/>
        <v>01.110.0000</v>
      </c>
    </row>
    <row r="1359" spans="1:7" hidden="1" x14ac:dyDescent="0.25">
      <c r="A1359" s="6" t="s">
        <v>3388</v>
      </c>
      <c r="B1359" s="28">
        <v>103910</v>
      </c>
      <c r="C1359" s="6" t="s">
        <v>3390</v>
      </c>
      <c r="D1359" t="str">
        <f t="shared" si="63"/>
        <v>14.007.08.245.0018.1.003.3.3.90.39.00</v>
      </c>
      <c r="E1359" t="str">
        <f>VLOOKUP(LEFT(A1359,2),ConsolidadoLoa27_ATIVIDADES!A:I,9,0)</f>
        <v>14 - SECRETARIA DE ASSISTÊNCIA SOCIAL</v>
      </c>
      <c r="F1359" t="str">
        <f t="shared" si="64"/>
        <v>1.003</v>
      </c>
      <c r="G1359" t="str">
        <f t="shared" si="65"/>
        <v>01.110.0000</v>
      </c>
    </row>
    <row r="1360" spans="1:7" hidden="1" x14ac:dyDescent="0.25">
      <c r="A1360" s="6" t="s">
        <v>3391</v>
      </c>
      <c r="B1360" s="28">
        <v>62346</v>
      </c>
      <c r="C1360" s="6" t="s">
        <v>245</v>
      </c>
      <c r="D1360" t="str">
        <f t="shared" si="63"/>
        <v>14.007.08.245.0018.2.005.3.3.90.30.00</v>
      </c>
      <c r="E1360" t="str">
        <f>VLOOKUP(LEFT(A1360,2),ConsolidadoLoa27_ATIVIDADES!A:I,9,0)</f>
        <v>14 - SECRETARIA DE ASSISTÊNCIA SOCIAL</v>
      </c>
      <c r="F1360" t="str">
        <f t="shared" si="64"/>
        <v>2.005</v>
      </c>
      <c r="G1360" t="str">
        <f t="shared" si="65"/>
        <v>01.110.0000</v>
      </c>
    </row>
    <row r="1361" spans="1:7" hidden="1" x14ac:dyDescent="0.25">
      <c r="A1361" s="6" t="s">
        <v>3392</v>
      </c>
      <c r="B1361" s="28">
        <v>5195.5</v>
      </c>
      <c r="C1361" s="6" t="s">
        <v>198</v>
      </c>
      <c r="D1361" t="str">
        <f t="shared" si="63"/>
        <v>14.007.08.245.0018.2.005.3.3.90.39.00</v>
      </c>
      <c r="E1361" t="str">
        <f>VLOOKUP(LEFT(A1361,2),ConsolidadoLoa27_ATIVIDADES!A:I,9,0)</f>
        <v>14 - SECRETARIA DE ASSISTÊNCIA SOCIAL</v>
      </c>
      <c r="F1361" t="str">
        <f t="shared" si="64"/>
        <v>2.005</v>
      </c>
      <c r="G1361" t="str">
        <f t="shared" si="65"/>
        <v>01.110.0000</v>
      </c>
    </row>
    <row r="1362" spans="1:7" hidden="1" x14ac:dyDescent="0.25">
      <c r="A1362" s="6" t="s">
        <v>3392</v>
      </c>
      <c r="B1362" s="28">
        <v>1</v>
      </c>
      <c r="C1362" s="6" t="s">
        <v>196</v>
      </c>
      <c r="D1362" t="str">
        <f t="shared" si="63"/>
        <v>14.007.08.245.0018.2.005.3.3.90.39.00</v>
      </c>
      <c r="E1362" t="str">
        <f>VLOOKUP(LEFT(A1362,2),ConsolidadoLoa27_ATIVIDADES!A:I,9,0)</f>
        <v>14 - SECRETARIA DE ASSISTÊNCIA SOCIAL</v>
      </c>
      <c r="F1362" t="str">
        <f t="shared" si="64"/>
        <v>2.005</v>
      </c>
      <c r="G1362" t="str">
        <f t="shared" si="65"/>
        <v>01.110.0000</v>
      </c>
    </row>
    <row r="1363" spans="1:7" hidden="1" x14ac:dyDescent="0.25">
      <c r="A1363" s="6" t="s">
        <v>3393</v>
      </c>
      <c r="B1363" s="28">
        <v>1</v>
      </c>
      <c r="C1363" s="6" t="s">
        <v>2324</v>
      </c>
      <c r="D1363" t="str">
        <f t="shared" si="63"/>
        <v>14.007.08.245.0018.2.015.3.3.90.30.00</v>
      </c>
      <c r="E1363" t="str">
        <f>VLOOKUP(LEFT(A1363,2),ConsolidadoLoa27_ATIVIDADES!A:I,9,0)</f>
        <v>14 - SECRETARIA DE ASSISTÊNCIA SOCIAL</v>
      </c>
      <c r="F1363" t="str">
        <f t="shared" si="64"/>
        <v>2.015</v>
      </c>
      <c r="G1363" t="str">
        <f t="shared" si="65"/>
        <v>01.110.0000</v>
      </c>
    </row>
    <row r="1364" spans="1:7" hidden="1" x14ac:dyDescent="0.25">
      <c r="A1364" s="6" t="s">
        <v>3393</v>
      </c>
      <c r="B1364" s="28">
        <v>20782</v>
      </c>
      <c r="C1364" s="6" t="s">
        <v>2295</v>
      </c>
      <c r="D1364" t="str">
        <f t="shared" si="63"/>
        <v>14.007.08.245.0018.2.015.3.3.90.30.00</v>
      </c>
      <c r="E1364" t="str">
        <f>VLOOKUP(LEFT(A1364,2),ConsolidadoLoa27_ATIVIDADES!A:I,9,0)</f>
        <v>14 - SECRETARIA DE ASSISTÊNCIA SOCIAL</v>
      </c>
      <c r="F1364" t="str">
        <f t="shared" si="64"/>
        <v>2.015</v>
      </c>
      <c r="G1364" t="str">
        <f t="shared" si="65"/>
        <v>01.110.0000</v>
      </c>
    </row>
    <row r="1365" spans="1:7" hidden="1" x14ac:dyDescent="0.25">
      <c r="A1365" s="6" t="s">
        <v>3393</v>
      </c>
      <c r="B1365" s="28">
        <v>51955</v>
      </c>
      <c r="C1365" s="6" t="s">
        <v>387</v>
      </c>
      <c r="D1365" t="str">
        <f t="shared" si="63"/>
        <v>14.007.08.245.0018.2.015.3.3.90.30.00</v>
      </c>
      <c r="E1365" t="str">
        <f>VLOOKUP(LEFT(A1365,2),ConsolidadoLoa27_ATIVIDADES!A:I,9,0)</f>
        <v>14 - SECRETARIA DE ASSISTÊNCIA SOCIAL</v>
      </c>
      <c r="F1365" t="str">
        <f t="shared" si="64"/>
        <v>2.015</v>
      </c>
      <c r="G1365" t="str">
        <f t="shared" si="65"/>
        <v>01.110.0000</v>
      </c>
    </row>
    <row r="1366" spans="1:7" hidden="1" x14ac:dyDescent="0.25">
      <c r="A1366" s="6" t="s">
        <v>3393</v>
      </c>
      <c r="B1366" s="28">
        <v>15586.5</v>
      </c>
      <c r="C1366" s="6" t="s">
        <v>2289</v>
      </c>
      <c r="D1366" t="str">
        <f t="shared" si="63"/>
        <v>14.007.08.245.0018.2.015.3.3.90.30.00</v>
      </c>
      <c r="E1366" t="str">
        <f>VLOOKUP(LEFT(A1366,2),ConsolidadoLoa27_ATIVIDADES!A:I,9,0)</f>
        <v>14 - SECRETARIA DE ASSISTÊNCIA SOCIAL</v>
      </c>
      <c r="F1366" t="str">
        <f t="shared" si="64"/>
        <v>2.015</v>
      </c>
      <c r="G1366" t="str">
        <f t="shared" si="65"/>
        <v>01.110.0000</v>
      </c>
    </row>
    <row r="1367" spans="1:7" hidden="1" x14ac:dyDescent="0.25">
      <c r="A1367" s="6" t="s">
        <v>3393</v>
      </c>
      <c r="B1367" s="28">
        <v>10391</v>
      </c>
      <c r="C1367" s="6" t="s">
        <v>3236</v>
      </c>
      <c r="D1367" t="str">
        <f t="shared" si="63"/>
        <v>14.007.08.245.0018.2.015.3.3.90.30.00</v>
      </c>
      <c r="E1367" t="str">
        <f>VLOOKUP(LEFT(A1367,2),ConsolidadoLoa27_ATIVIDADES!A:I,9,0)</f>
        <v>14 - SECRETARIA DE ASSISTÊNCIA SOCIAL</v>
      </c>
      <c r="F1367" t="str">
        <f t="shared" si="64"/>
        <v>2.015</v>
      </c>
      <c r="G1367" t="str">
        <f t="shared" si="65"/>
        <v>01.110.0000</v>
      </c>
    </row>
    <row r="1368" spans="1:7" hidden="1" x14ac:dyDescent="0.25">
      <c r="A1368" s="6" t="s">
        <v>3394</v>
      </c>
      <c r="B1368" s="28">
        <v>10282.76</v>
      </c>
      <c r="C1368" s="15" t="s">
        <v>2324</v>
      </c>
      <c r="D1368" t="str">
        <f t="shared" si="63"/>
        <v>14.007.08.245.0018.2.015.3.3.90.30.00</v>
      </c>
      <c r="E1368" t="str">
        <f>VLOOKUP(LEFT(A1368,2),ConsolidadoLoa27_ATIVIDADES!A:I,9,0)</f>
        <v>14 - SECRETARIA DE ASSISTÊNCIA SOCIAL</v>
      </c>
      <c r="F1368" t="str">
        <f t="shared" si="64"/>
        <v>2.015</v>
      </c>
      <c r="G1368" t="str">
        <f t="shared" si="65"/>
        <v>02.500.1402</v>
      </c>
    </row>
    <row r="1369" spans="1:7" hidden="1" x14ac:dyDescent="0.25">
      <c r="A1369" s="6" t="s">
        <v>3395</v>
      </c>
      <c r="B1369" s="28">
        <v>1</v>
      </c>
      <c r="C1369" s="14" t="s">
        <v>95</v>
      </c>
      <c r="D1369" t="str">
        <f t="shared" si="63"/>
        <v>14.007.08.245.0018.2.015.3.3.90.39.00</v>
      </c>
      <c r="E1369" t="str">
        <f>VLOOKUP(LEFT(A1369,2),ConsolidadoLoa27_ATIVIDADES!A:I,9,0)</f>
        <v>14 - SECRETARIA DE ASSISTÊNCIA SOCIAL</v>
      </c>
      <c r="F1369" t="str">
        <f t="shared" si="64"/>
        <v>2.015</v>
      </c>
      <c r="G1369" t="str">
        <f t="shared" si="65"/>
        <v>02.500.1402</v>
      </c>
    </row>
    <row r="1370" spans="1:7" hidden="1" x14ac:dyDescent="0.25">
      <c r="A1370" s="6" t="s">
        <v>3396</v>
      </c>
      <c r="B1370" s="28">
        <v>5195.5</v>
      </c>
      <c r="C1370" s="6" t="s">
        <v>2706</v>
      </c>
      <c r="D1370" t="str">
        <f t="shared" si="63"/>
        <v>14.007.08.245.0018.2.015.3.3.90.93.00</v>
      </c>
      <c r="E1370" t="str">
        <f>VLOOKUP(LEFT(A1370,2),ConsolidadoLoa27_ATIVIDADES!A:I,9,0)</f>
        <v>14 - SECRETARIA DE ASSISTÊNCIA SOCIAL</v>
      </c>
      <c r="F1370" t="str">
        <f t="shared" si="64"/>
        <v>2.015</v>
      </c>
      <c r="G1370" t="str">
        <f t="shared" si="65"/>
        <v>01.110.0000</v>
      </c>
    </row>
    <row r="1371" spans="1:7" hidden="1" x14ac:dyDescent="0.25">
      <c r="A1371" s="6" t="s">
        <v>3397</v>
      </c>
      <c r="B1371" s="28">
        <v>10389.9609</v>
      </c>
      <c r="C1371" s="16" t="s">
        <v>2459</v>
      </c>
      <c r="D1371" t="str">
        <f t="shared" si="63"/>
        <v>14.007.08.245.0018.2.015.4.4.90.52.00</v>
      </c>
      <c r="E1371" t="str">
        <f>VLOOKUP(LEFT(A1371,2),ConsolidadoLoa27_ATIVIDADES!A:I,9,0)</f>
        <v>14 - SECRETARIA DE ASSISTÊNCIA SOCIAL</v>
      </c>
      <c r="F1371" t="str">
        <f t="shared" si="64"/>
        <v>2.015</v>
      </c>
      <c r="G1371" t="str">
        <f t="shared" si="65"/>
        <v>01.110.0000</v>
      </c>
    </row>
    <row r="1372" spans="1:7" hidden="1" x14ac:dyDescent="0.25">
      <c r="A1372" s="6" t="s">
        <v>3397</v>
      </c>
      <c r="B1372" s="28">
        <v>1</v>
      </c>
      <c r="C1372" s="6" t="s">
        <v>3241</v>
      </c>
      <c r="D1372" t="str">
        <f t="shared" si="63"/>
        <v>14.007.08.245.0018.2.015.4.4.90.52.00</v>
      </c>
      <c r="E1372" t="str">
        <f>VLOOKUP(LEFT(A1372,2),ConsolidadoLoa27_ATIVIDADES!A:I,9,0)</f>
        <v>14 - SECRETARIA DE ASSISTÊNCIA SOCIAL</v>
      </c>
      <c r="F1372" t="str">
        <f t="shared" si="64"/>
        <v>2.015</v>
      </c>
      <c r="G1372" t="str">
        <f t="shared" si="65"/>
        <v>01.110.0000</v>
      </c>
    </row>
    <row r="1373" spans="1:7" hidden="1" x14ac:dyDescent="0.25">
      <c r="A1373" s="6" t="s">
        <v>3397</v>
      </c>
      <c r="B1373" s="28">
        <v>51954.96</v>
      </c>
      <c r="C1373" s="6" t="s">
        <v>2500</v>
      </c>
      <c r="D1373" t="str">
        <f t="shared" si="63"/>
        <v>14.007.08.245.0018.2.015.4.4.90.52.00</v>
      </c>
      <c r="E1373" t="str">
        <f>VLOOKUP(LEFT(A1373,2),ConsolidadoLoa27_ATIVIDADES!A:I,9,0)</f>
        <v>14 - SECRETARIA DE ASSISTÊNCIA SOCIAL</v>
      </c>
      <c r="F1373" t="str">
        <f t="shared" si="64"/>
        <v>2.015</v>
      </c>
      <c r="G1373" t="str">
        <f t="shared" si="65"/>
        <v>01.110.0000</v>
      </c>
    </row>
    <row r="1374" spans="1:7" hidden="1" x14ac:dyDescent="0.25">
      <c r="A1374" s="6" t="s">
        <v>3398</v>
      </c>
      <c r="B1374" s="28">
        <v>8.9999999909196049E-4</v>
      </c>
      <c r="C1374" s="6" t="s">
        <v>2500</v>
      </c>
      <c r="D1374" t="str">
        <f t="shared" si="63"/>
        <v>14.007.08.245.0018.2.015.4.4.90.52.00</v>
      </c>
      <c r="E1374" t="str">
        <f>VLOOKUP(LEFT(A1374,2),ConsolidadoLoa27_ATIVIDADES!A:I,9,0)</f>
        <v>14 - SECRETARIA DE ASSISTÊNCIA SOCIAL</v>
      </c>
      <c r="F1374" t="str">
        <f t="shared" si="64"/>
        <v>2.015</v>
      </c>
      <c r="G1374" t="str">
        <f t="shared" si="65"/>
        <v>03.500.1402</v>
      </c>
    </row>
    <row r="1375" spans="1:7" hidden="1" x14ac:dyDescent="0.25">
      <c r="A1375" s="6" t="s">
        <v>3399</v>
      </c>
      <c r="B1375" s="28">
        <v>1</v>
      </c>
      <c r="C1375" s="6" t="s">
        <v>3400</v>
      </c>
      <c r="D1375" t="str">
        <f t="shared" si="63"/>
        <v>14.008.08.245.0018.1.002.3.3.90.30.00</v>
      </c>
      <c r="E1375" t="str">
        <f>VLOOKUP(LEFT(A1375,2),ConsolidadoLoa27_ATIVIDADES!A:I,9,0)</f>
        <v>14 - SECRETARIA DE ASSISTÊNCIA SOCIAL</v>
      </c>
      <c r="F1375" t="str">
        <f t="shared" si="64"/>
        <v>1.002</v>
      </c>
      <c r="G1375" t="str">
        <f t="shared" si="65"/>
        <v>01.110.0000</v>
      </c>
    </row>
    <row r="1376" spans="1:7" hidden="1" x14ac:dyDescent="0.25">
      <c r="A1376" s="6" t="s">
        <v>3401</v>
      </c>
      <c r="B1376" s="28">
        <v>157013.20550000001</v>
      </c>
      <c r="C1376" s="6" t="s">
        <v>198</v>
      </c>
      <c r="D1376" t="str">
        <f t="shared" si="63"/>
        <v>14.008.08.245.0018.2.005.3.3.90.39.00</v>
      </c>
      <c r="E1376" t="str">
        <f>VLOOKUP(LEFT(A1376,2),ConsolidadoLoa27_ATIVIDADES!A:I,9,0)</f>
        <v>14 - SECRETARIA DE ASSISTÊNCIA SOCIAL</v>
      </c>
      <c r="F1376" t="str">
        <f t="shared" si="64"/>
        <v>2.005</v>
      </c>
      <c r="G1376" t="str">
        <f t="shared" si="65"/>
        <v>01.110.0000</v>
      </c>
    </row>
    <row r="1377" spans="1:7" hidden="1" x14ac:dyDescent="0.25">
      <c r="A1377" s="6" t="s">
        <v>3401</v>
      </c>
      <c r="B1377" s="28">
        <v>1</v>
      </c>
      <c r="C1377" s="6" t="s">
        <v>196</v>
      </c>
      <c r="D1377" t="str">
        <f t="shared" si="63"/>
        <v>14.008.08.245.0018.2.005.3.3.90.39.00</v>
      </c>
      <c r="E1377" t="str">
        <f>VLOOKUP(LEFT(A1377,2),ConsolidadoLoa27_ATIVIDADES!A:I,9,0)</f>
        <v>14 - SECRETARIA DE ASSISTÊNCIA SOCIAL</v>
      </c>
      <c r="F1377" t="str">
        <f t="shared" si="64"/>
        <v>2.005</v>
      </c>
      <c r="G1377" t="str">
        <f t="shared" si="65"/>
        <v>01.110.0000</v>
      </c>
    </row>
    <row r="1378" spans="1:7" hidden="1" x14ac:dyDescent="0.25">
      <c r="A1378" s="6" t="s">
        <v>3402</v>
      </c>
      <c r="B1378" s="28">
        <v>1</v>
      </c>
      <c r="C1378" s="6" t="s">
        <v>2324</v>
      </c>
      <c r="D1378" t="str">
        <f t="shared" si="63"/>
        <v>14.008.08.245.0018.2.016.3.3.90.30.00</v>
      </c>
      <c r="E1378" t="str">
        <f>VLOOKUP(LEFT(A1378,2),ConsolidadoLoa27_ATIVIDADES!A:I,9,0)</f>
        <v>14 - SECRETARIA DE ASSISTÊNCIA SOCIAL</v>
      </c>
      <c r="F1378" t="str">
        <f t="shared" si="64"/>
        <v>2.016</v>
      </c>
      <c r="G1378" t="str">
        <f t="shared" si="65"/>
        <v>01.110.0000</v>
      </c>
    </row>
    <row r="1379" spans="1:7" hidden="1" x14ac:dyDescent="0.25">
      <c r="A1379" s="6" t="s">
        <v>3402</v>
      </c>
      <c r="B1379" s="28">
        <v>280557</v>
      </c>
      <c r="C1379" s="6" t="s">
        <v>2295</v>
      </c>
      <c r="D1379" t="str">
        <f t="shared" si="63"/>
        <v>14.008.08.245.0018.2.016.3.3.90.30.00</v>
      </c>
      <c r="E1379" t="str">
        <f>VLOOKUP(LEFT(A1379,2),ConsolidadoLoa27_ATIVIDADES!A:I,9,0)</f>
        <v>14 - SECRETARIA DE ASSISTÊNCIA SOCIAL</v>
      </c>
      <c r="F1379" t="str">
        <f t="shared" si="64"/>
        <v>2.016</v>
      </c>
      <c r="G1379" t="str">
        <f t="shared" si="65"/>
        <v>01.110.0000</v>
      </c>
    </row>
    <row r="1380" spans="1:7" hidden="1" x14ac:dyDescent="0.25">
      <c r="A1380" s="6" t="s">
        <v>3402</v>
      </c>
      <c r="B1380" s="28">
        <v>10391</v>
      </c>
      <c r="C1380" s="6" t="s">
        <v>387</v>
      </c>
      <c r="D1380" t="str">
        <f t="shared" si="63"/>
        <v>14.008.08.245.0018.2.016.3.3.90.30.00</v>
      </c>
      <c r="E1380" t="str">
        <f>VLOOKUP(LEFT(A1380,2),ConsolidadoLoa27_ATIVIDADES!A:I,9,0)</f>
        <v>14 - SECRETARIA DE ASSISTÊNCIA SOCIAL</v>
      </c>
      <c r="F1380" t="str">
        <f t="shared" si="64"/>
        <v>2.016</v>
      </c>
      <c r="G1380" t="str">
        <f t="shared" si="65"/>
        <v>01.110.0000</v>
      </c>
    </row>
    <row r="1381" spans="1:7" hidden="1" x14ac:dyDescent="0.25">
      <c r="A1381" s="6" t="s">
        <v>3402</v>
      </c>
      <c r="B1381" s="28">
        <v>31173</v>
      </c>
      <c r="C1381" s="6" t="s">
        <v>2289</v>
      </c>
      <c r="D1381" t="str">
        <f t="shared" si="63"/>
        <v>14.008.08.245.0018.2.016.3.3.90.30.00</v>
      </c>
      <c r="E1381" t="str">
        <f>VLOOKUP(LEFT(A1381,2),ConsolidadoLoa27_ATIVIDADES!A:I,9,0)</f>
        <v>14 - SECRETARIA DE ASSISTÊNCIA SOCIAL</v>
      </c>
      <c r="F1381" t="str">
        <f t="shared" si="64"/>
        <v>2.016</v>
      </c>
      <c r="G1381" t="str">
        <f t="shared" si="65"/>
        <v>01.110.0000</v>
      </c>
    </row>
    <row r="1382" spans="1:7" hidden="1" x14ac:dyDescent="0.25">
      <c r="A1382" s="6" t="s">
        <v>3402</v>
      </c>
      <c r="B1382" s="28">
        <v>10391</v>
      </c>
      <c r="C1382" s="6" t="s">
        <v>3236</v>
      </c>
      <c r="D1382" t="str">
        <f t="shared" si="63"/>
        <v>14.008.08.245.0018.2.016.3.3.90.30.00</v>
      </c>
      <c r="E1382" t="str">
        <f>VLOOKUP(LEFT(A1382,2),ConsolidadoLoa27_ATIVIDADES!A:I,9,0)</f>
        <v>14 - SECRETARIA DE ASSISTÊNCIA SOCIAL</v>
      </c>
      <c r="F1382" t="str">
        <f t="shared" si="64"/>
        <v>2.016</v>
      </c>
      <c r="G1382" t="str">
        <f t="shared" si="65"/>
        <v>01.110.0000</v>
      </c>
    </row>
    <row r="1383" spans="1:7" hidden="1" x14ac:dyDescent="0.25">
      <c r="A1383" s="6" t="s">
        <v>3403</v>
      </c>
      <c r="B1383" s="28">
        <v>77124.05</v>
      </c>
      <c r="C1383" s="15" t="s">
        <v>2324</v>
      </c>
      <c r="D1383" t="str">
        <f t="shared" si="63"/>
        <v>14.008.08.245.0018.2.016.3.3.90.30.00</v>
      </c>
      <c r="E1383" t="str">
        <f>VLOOKUP(LEFT(A1383,2),ConsolidadoLoa27_ATIVIDADES!A:I,9,0)</f>
        <v>14 - SECRETARIA DE ASSISTÊNCIA SOCIAL</v>
      </c>
      <c r="F1383" t="str">
        <f t="shared" si="64"/>
        <v>2.016</v>
      </c>
      <c r="G1383" t="str">
        <f t="shared" si="65"/>
        <v>02.500.1402</v>
      </c>
    </row>
    <row r="1384" spans="1:7" hidden="1" x14ac:dyDescent="0.25">
      <c r="A1384" s="6" t="s">
        <v>3404</v>
      </c>
      <c r="B1384" s="28">
        <v>171109.96000000002</v>
      </c>
      <c r="C1384" s="6" t="s">
        <v>3405</v>
      </c>
      <c r="D1384" t="str">
        <f t="shared" si="63"/>
        <v>14.008.08.245.0018.2.016.3.3.90.48.00</v>
      </c>
      <c r="E1384" t="str">
        <f>VLOOKUP(LEFT(A1384,2),ConsolidadoLoa27_ATIVIDADES!A:I,9,0)</f>
        <v>14 - SECRETARIA DE ASSISTÊNCIA SOCIAL</v>
      </c>
      <c r="F1384" t="str">
        <f t="shared" si="64"/>
        <v>2.016</v>
      </c>
      <c r="G1384" t="str">
        <f t="shared" si="65"/>
        <v>01.110.0000</v>
      </c>
    </row>
    <row r="1385" spans="1:7" hidden="1" x14ac:dyDescent="0.25">
      <c r="A1385" s="6" t="s">
        <v>3406</v>
      </c>
      <c r="B1385" s="28">
        <v>8.9999999909196049E-4</v>
      </c>
      <c r="C1385" s="6" t="s">
        <v>3405</v>
      </c>
      <c r="D1385" t="str">
        <f t="shared" si="63"/>
        <v>14.008.08.245.0018.2.016.3.3.90.48.00</v>
      </c>
      <c r="E1385" t="str">
        <f>VLOOKUP(LEFT(A1385,2),ConsolidadoLoa27_ATIVIDADES!A:I,9,0)</f>
        <v>14 - SECRETARIA DE ASSISTÊNCIA SOCIAL</v>
      </c>
      <c r="F1385" t="str">
        <f t="shared" si="64"/>
        <v>2.016</v>
      </c>
      <c r="G1385" t="str">
        <f t="shared" si="65"/>
        <v>03.500.1402</v>
      </c>
    </row>
    <row r="1386" spans="1:7" hidden="1" x14ac:dyDescent="0.25">
      <c r="A1386" s="6" t="s">
        <v>3407</v>
      </c>
      <c r="B1386" s="28">
        <v>10391</v>
      </c>
      <c r="C1386" s="16" t="s">
        <v>3408</v>
      </c>
      <c r="D1386" t="str">
        <f t="shared" si="63"/>
        <v>14.008.08.245.0018.2.016.3.3.90.93.00</v>
      </c>
      <c r="E1386" t="str">
        <f>VLOOKUP(LEFT(A1386,2),ConsolidadoLoa27_ATIVIDADES!A:I,9,0)</f>
        <v>14 - SECRETARIA DE ASSISTÊNCIA SOCIAL</v>
      </c>
      <c r="F1386" t="str">
        <f t="shared" si="64"/>
        <v>2.016</v>
      </c>
      <c r="G1386" t="str">
        <f t="shared" si="65"/>
        <v>01.110.0000</v>
      </c>
    </row>
    <row r="1387" spans="1:7" hidden="1" x14ac:dyDescent="0.25">
      <c r="A1387" s="6" t="s">
        <v>3409</v>
      </c>
      <c r="B1387" s="28">
        <v>46759.5</v>
      </c>
      <c r="C1387" s="6" t="s">
        <v>2459</v>
      </c>
      <c r="D1387" t="str">
        <f t="shared" si="63"/>
        <v>14.008.08.245.0018.2.016.4.4.90.52.00</v>
      </c>
      <c r="E1387" t="str">
        <f>VLOOKUP(LEFT(A1387,2),ConsolidadoLoa27_ATIVIDADES!A:I,9,0)</f>
        <v>14 - SECRETARIA DE ASSISTÊNCIA SOCIAL</v>
      </c>
      <c r="F1387" t="str">
        <f t="shared" si="64"/>
        <v>2.016</v>
      </c>
      <c r="G1387" t="str">
        <f t="shared" si="65"/>
        <v>01.110.0000</v>
      </c>
    </row>
    <row r="1388" spans="1:7" hidden="1" x14ac:dyDescent="0.25">
      <c r="A1388" s="6" t="s">
        <v>3409</v>
      </c>
      <c r="B1388" s="28">
        <v>5195.5</v>
      </c>
      <c r="C1388" s="6" t="s">
        <v>3241</v>
      </c>
      <c r="D1388" t="str">
        <f t="shared" si="63"/>
        <v>14.008.08.245.0018.2.016.4.4.90.52.00</v>
      </c>
      <c r="E1388" t="str">
        <f>VLOOKUP(LEFT(A1388,2),ConsolidadoLoa27_ATIVIDADES!A:I,9,0)</f>
        <v>14 - SECRETARIA DE ASSISTÊNCIA SOCIAL</v>
      </c>
      <c r="F1388" t="str">
        <f t="shared" si="64"/>
        <v>2.016</v>
      </c>
      <c r="G1388" t="str">
        <f t="shared" si="65"/>
        <v>01.110.0000</v>
      </c>
    </row>
    <row r="1389" spans="1:7" hidden="1" x14ac:dyDescent="0.25">
      <c r="A1389" s="6" t="s">
        <v>3409</v>
      </c>
      <c r="B1389" s="28">
        <v>24510.290799999999</v>
      </c>
      <c r="C1389" s="6" t="s">
        <v>2500</v>
      </c>
      <c r="D1389" t="str">
        <f t="shared" si="63"/>
        <v>14.008.08.245.0018.2.016.4.4.90.52.00</v>
      </c>
      <c r="E1389" t="str">
        <f>VLOOKUP(LEFT(A1389,2),ConsolidadoLoa27_ATIVIDADES!A:I,9,0)</f>
        <v>14 - SECRETARIA DE ASSISTÊNCIA SOCIAL</v>
      </c>
      <c r="F1389" t="str">
        <f t="shared" si="64"/>
        <v>2.016</v>
      </c>
      <c r="G1389" t="str">
        <f t="shared" si="65"/>
        <v>01.110.0000</v>
      </c>
    </row>
    <row r="1390" spans="1:7" hidden="1" x14ac:dyDescent="0.25">
      <c r="A1390" s="6" t="s">
        <v>3410</v>
      </c>
      <c r="B1390" s="28">
        <v>183309.70920000001</v>
      </c>
      <c r="C1390" s="6" t="s">
        <v>2500</v>
      </c>
      <c r="D1390" t="str">
        <f t="shared" si="63"/>
        <v>14.008.08.245.0018.2.016.4.4.90.52.00</v>
      </c>
      <c r="E1390" t="str">
        <f>VLOOKUP(LEFT(A1390,2),ConsolidadoLoa27_ATIVIDADES!A:I,9,0)</f>
        <v>14 - SECRETARIA DE ASSISTÊNCIA SOCIAL</v>
      </c>
      <c r="F1390" t="str">
        <f t="shared" si="64"/>
        <v>2.016</v>
      </c>
      <c r="G1390" t="str">
        <f t="shared" si="65"/>
        <v>02.500.1402</v>
      </c>
    </row>
    <row r="1391" spans="1:7" hidden="1" x14ac:dyDescent="0.25">
      <c r="A1391" s="6" t="s">
        <v>3411</v>
      </c>
      <c r="B1391" s="28">
        <v>1</v>
      </c>
      <c r="C1391" s="14" t="s">
        <v>2271</v>
      </c>
      <c r="D1391" t="str">
        <f t="shared" si="63"/>
        <v>15.001.04.121.0004.1.001.3.3.90.35.00</v>
      </c>
      <c r="E1391" t="str">
        <f>VLOOKUP(LEFT(A1391,2),ConsolidadoLoa27_ATIVIDADES!A:I,9,0)</f>
        <v>15 - SECRETARIA DA CULTURA</v>
      </c>
      <c r="F1391" t="str">
        <f t="shared" si="64"/>
        <v>1.001</v>
      </c>
      <c r="G1391" t="str">
        <f t="shared" si="65"/>
        <v>01.110.0000</v>
      </c>
    </row>
    <row r="1392" spans="1:7" hidden="1" x14ac:dyDescent="0.25">
      <c r="A1392" s="6" t="s">
        <v>3412</v>
      </c>
      <c r="B1392" s="28">
        <v>8686851.4600000009</v>
      </c>
      <c r="C1392" s="14" t="s">
        <v>847</v>
      </c>
      <c r="D1392" t="str">
        <f t="shared" si="63"/>
        <v>15.001.04.122.0001.2.001.3.1.90.11.00</v>
      </c>
      <c r="E1392" t="str">
        <f>VLOOKUP(LEFT(A1392,2),ConsolidadoLoa27_ATIVIDADES!A:I,9,0)</f>
        <v>15 - SECRETARIA DA CULTURA</v>
      </c>
      <c r="F1392" t="str">
        <f t="shared" si="64"/>
        <v>2.001</v>
      </c>
      <c r="G1392" t="str">
        <f t="shared" si="65"/>
        <v>01.110.0000</v>
      </c>
    </row>
    <row r="1393" spans="1:7" hidden="1" x14ac:dyDescent="0.25">
      <c r="A1393" s="6" t="s">
        <v>3413</v>
      </c>
      <c r="B1393" s="28">
        <v>710124.51</v>
      </c>
      <c r="C1393" s="14" t="s">
        <v>847</v>
      </c>
      <c r="D1393" t="str">
        <f t="shared" si="63"/>
        <v>15.001.04.122.0001.2.001.3.1.90.13.00</v>
      </c>
      <c r="E1393" t="str">
        <f>VLOOKUP(LEFT(A1393,2),ConsolidadoLoa27_ATIVIDADES!A:I,9,0)</f>
        <v>15 - SECRETARIA DA CULTURA</v>
      </c>
      <c r="F1393" t="str">
        <f t="shared" si="64"/>
        <v>2.001</v>
      </c>
      <c r="G1393" t="str">
        <f t="shared" si="65"/>
        <v>01.110.0000</v>
      </c>
    </row>
    <row r="1394" spans="1:7" hidden="1" x14ac:dyDescent="0.25">
      <c r="A1394" s="6" t="s">
        <v>3414</v>
      </c>
      <c r="B1394" s="28">
        <v>1085610.23</v>
      </c>
      <c r="C1394" s="12" t="s">
        <v>847</v>
      </c>
      <c r="D1394" t="str">
        <f t="shared" si="63"/>
        <v>15.001.04.122.0001.2.001.3.1.91.13.00</v>
      </c>
      <c r="E1394" t="str">
        <f>VLOOKUP(LEFT(A1394,2),ConsolidadoLoa27_ATIVIDADES!A:I,9,0)</f>
        <v>15 - SECRETARIA DA CULTURA</v>
      </c>
      <c r="F1394" t="str">
        <f t="shared" si="64"/>
        <v>2.001</v>
      </c>
      <c r="G1394" t="str">
        <f t="shared" si="65"/>
        <v>01.110.0000</v>
      </c>
    </row>
    <row r="1395" spans="1:7" hidden="1" x14ac:dyDescent="0.25">
      <c r="A1395" s="6" t="s">
        <v>3415</v>
      </c>
      <c r="B1395" s="28">
        <v>3.23</v>
      </c>
      <c r="C1395" s="6" t="s">
        <v>2278</v>
      </c>
      <c r="D1395" t="str">
        <f t="shared" si="63"/>
        <v>15.001.04.122.0001.2.001.3.3.90.46.00</v>
      </c>
      <c r="E1395" t="str">
        <f>VLOOKUP(LEFT(A1395,2),ConsolidadoLoa27_ATIVIDADES!A:I,9,0)</f>
        <v>15 - SECRETARIA DA CULTURA</v>
      </c>
      <c r="F1395" t="str">
        <f t="shared" si="64"/>
        <v>2.001</v>
      </c>
      <c r="G1395" t="str">
        <f t="shared" si="65"/>
        <v>01.110.0000</v>
      </c>
    </row>
    <row r="1396" spans="1:7" hidden="1" x14ac:dyDescent="0.25">
      <c r="A1396" s="6" t="s">
        <v>3416</v>
      </c>
      <c r="B1396" s="28">
        <v>114722.68</v>
      </c>
      <c r="C1396" s="6" t="s">
        <v>2280</v>
      </c>
      <c r="D1396" t="str">
        <f t="shared" si="63"/>
        <v>15.001.04.122.0001.2.001.3.3.90.49.00</v>
      </c>
      <c r="E1396" t="str">
        <f>VLOOKUP(LEFT(A1396,2),ConsolidadoLoa27_ATIVIDADES!A:I,9,0)</f>
        <v>15 - SECRETARIA DA CULTURA</v>
      </c>
      <c r="F1396" t="str">
        <f t="shared" si="64"/>
        <v>2.001</v>
      </c>
      <c r="G1396" t="str">
        <f t="shared" si="65"/>
        <v>01.110.0000</v>
      </c>
    </row>
    <row r="1397" spans="1:7" hidden="1" x14ac:dyDescent="0.25">
      <c r="A1397" s="6" t="s">
        <v>3417</v>
      </c>
      <c r="B1397" s="28">
        <v>1</v>
      </c>
      <c r="C1397" s="6" t="s">
        <v>2282</v>
      </c>
      <c r="D1397" t="str">
        <f t="shared" si="63"/>
        <v>15.001.04.122.0001.2.006.3.3.90.33.00</v>
      </c>
      <c r="E1397" t="str">
        <f>VLOOKUP(LEFT(A1397,2),ConsolidadoLoa27_ATIVIDADES!A:I,9,0)</f>
        <v>15 - SECRETARIA DA CULTURA</v>
      </c>
      <c r="F1397" t="str">
        <f t="shared" si="64"/>
        <v>2.006</v>
      </c>
      <c r="G1397" t="str">
        <f t="shared" si="65"/>
        <v>01.110.0000</v>
      </c>
    </row>
    <row r="1398" spans="1:7" hidden="1" x14ac:dyDescent="0.25">
      <c r="A1398" s="6" t="s">
        <v>3418</v>
      </c>
      <c r="B1398" s="28">
        <v>1</v>
      </c>
      <c r="C1398" s="14" t="s">
        <v>421</v>
      </c>
      <c r="D1398" t="str">
        <f t="shared" si="63"/>
        <v>15.001.04.122.0001.2.006.3.3.90.39.00</v>
      </c>
      <c r="E1398" t="str">
        <f>VLOOKUP(LEFT(A1398,2),ConsolidadoLoa27_ATIVIDADES!A:I,9,0)</f>
        <v>15 - SECRETARIA DA CULTURA</v>
      </c>
      <c r="F1398" t="str">
        <f t="shared" si="64"/>
        <v>2.006</v>
      </c>
      <c r="G1398" t="str">
        <f t="shared" si="65"/>
        <v>01.110.0000</v>
      </c>
    </row>
    <row r="1399" spans="1:7" hidden="1" x14ac:dyDescent="0.25">
      <c r="A1399" s="6" t="s">
        <v>3419</v>
      </c>
      <c r="B1399" s="28">
        <v>1</v>
      </c>
      <c r="C1399" s="14" t="s">
        <v>318</v>
      </c>
      <c r="D1399" t="str">
        <f t="shared" si="63"/>
        <v>15.001.04.128.0002.2.003.3.3.90.36.00</v>
      </c>
      <c r="E1399" t="str">
        <f>VLOOKUP(LEFT(A1399,2),ConsolidadoLoa27_ATIVIDADES!A:I,9,0)</f>
        <v>15 - SECRETARIA DA CULTURA</v>
      </c>
      <c r="F1399" t="str">
        <f t="shared" si="64"/>
        <v>2.003</v>
      </c>
      <c r="G1399" t="str">
        <f t="shared" si="65"/>
        <v>01.110.0000</v>
      </c>
    </row>
    <row r="1400" spans="1:7" hidden="1" x14ac:dyDescent="0.25">
      <c r="A1400" s="6" t="s">
        <v>3420</v>
      </c>
      <c r="B1400" s="28">
        <v>1</v>
      </c>
      <c r="C1400" s="14" t="s">
        <v>318</v>
      </c>
      <c r="D1400" t="str">
        <f t="shared" si="63"/>
        <v>15.001.04.128.0002.2.003.3.3.90.39.00</v>
      </c>
      <c r="E1400" t="str">
        <f>VLOOKUP(LEFT(A1400,2),ConsolidadoLoa27_ATIVIDADES!A:I,9,0)</f>
        <v>15 - SECRETARIA DA CULTURA</v>
      </c>
      <c r="F1400" t="str">
        <f t="shared" si="64"/>
        <v>2.003</v>
      </c>
      <c r="G1400" t="str">
        <f t="shared" si="65"/>
        <v>01.110.0000</v>
      </c>
    </row>
    <row r="1401" spans="1:7" hidden="1" x14ac:dyDescent="0.25">
      <c r="A1401" s="6" t="s">
        <v>3421</v>
      </c>
      <c r="B1401" s="28">
        <v>0</v>
      </c>
      <c r="C1401" s="14" t="s">
        <v>3422</v>
      </c>
      <c r="D1401" t="str">
        <f t="shared" si="63"/>
        <v>15.001.04.131.0002.2.005.3.3.50.39.00</v>
      </c>
      <c r="E1401" t="str">
        <f>VLOOKUP(LEFT(A1401,2),ConsolidadoLoa27_ATIVIDADES!A:I,9,0)</f>
        <v>15 - SECRETARIA DA CULTURA</v>
      </c>
      <c r="F1401" t="str">
        <f t="shared" si="64"/>
        <v>2.005</v>
      </c>
      <c r="G1401" t="str">
        <f t="shared" si="65"/>
        <v>08.110.0000</v>
      </c>
    </row>
    <row r="1402" spans="1:7" hidden="1" x14ac:dyDescent="0.25">
      <c r="A1402" s="6" t="s">
        <v>3423</v>
      </c>
      <c r="B1402" s="28">
        <v>311730</v>
      </c>
      <c r="C1402" s="14" t="s">
        <v>245</v>
      </c>
      <c r="D1402" t="str">
        <f t="shared" si="63"/>
        <v>15.001.04.131.0002.2.005.3.3.90.30.00</v>
      </c>
      <c r="E1402" t="str">
        <f>VLOOKUP(LEFT(A1402,2),ConsolidadoLoa27_ATIVIDADES!A:I,9,0)</f>
        <v>15 - SECRETARIA DA CULTURA</v>
      </c>
      <c r="F1402" t="str">
        <f t="shared" si="64"/>
        <v>2.005</v>
      </c>
      <c r="G1402" t="str">
        <f t="shared" si="65"/>
        <v>01.110.0000</v>
      </c>
    </row>
    <row r="1403" spans="1:7" hidden="1" x14ac:dyDescent="0.25">
      <c r="A1403" s="6" t="s">
        <v>3424</v>
      </c>
      <c r="B1403" s="28">
        <v>207820</v>
      </c>
      <c r="C1403" s="6" t="s">
        <v>198</v>
      </c>
      <c r="D1403" t="str">
        <f t="shared" si="63"/>
        <v>15.001.04.131.0002.2.005.3.3.90.39.00</v>
      </c>
      <c r="E1403" t="str">
        <f>VLOOKUP(LEFT(A1403,2),ConsolidadoLoa27_ATIVIDADES!A:I,9,0)</f>
        <v>15 - SECRETARIA DA CULTURA</v>
      </c>
      <c r="F1403" t="str">
        <f t="shared" si="64"/>
        <v>2.005</v>
      </c>
      <c r="G1403" t="str">
        <f t="shared" si="65"/>
        <v>01.110.0000</v>
      </c>
    </row>
    <row r="1404" spans="1:7" hidden="1" x14ac:dyDescent="0.25">
      <c r="A1404" s="6" t="s">
        <v>3424</v>
      </c>
      <c r="B1404" s="28">
        <v>772024.9299999997</v>
      </c>
      <c r="C1404" s="14" t="s">
        <v>2293</v>
      </c>
      <c r="D1404" t="str">
        <f t="shared" si="63"/>
        <v>15.001.04.131.0002.2.005.3.3.90.39.00</v>
      </c>
      <c r="E1404" t="str">
        <f>VLOOKUP(LEFT(A1404,2),ConsolidadoLoa27_ATIVIDADES!A:I,9,0)</f>
        <v>15 - SECRETARIA DA CULTURA</v>
      </c>
      <c r="F1404" t="str">
        <f t="shared" si="64"/>
        <v>2.005</v>
      </c>
      <c r="G1404" t="str">
        <f t="shared" si="65"/>
        <v>01.110.0000</v>
      </c>
    </row>
    <row r="1405" spans="1:7" hidden="1" x14ac:dyDescent="0.25">
      <c r="A1405" s="6" t="s">
        <v>3424</v>
      </c>
      <c r="B1405" s="28">
        <v>1</v>
      </c>
      <c r="C1405" s="6" t="s">
        <v>196</v>
      </c>
      <c r="D1405" t="str">
        <f t="shared" si="63"/>
        <v>15.001.04.131.0002.2.005.3.3.90.39.00</v>
      </c>
      <c r="E1405" t="str">
        <f>VLOOKUP(LEFT(A1405,2),ConsolidadoLoa27_ATIVIDADES!A:I,9,0)</f>
        <v>15 - SECRETARIA DA CULTURA</v>
      </c>
      <c r="F1405" t="str">
        <f t="shared" si="64"/>
        <v>2.005</v>
      </c>
      <c r="G1405" t="str">
        <f t="shared" si="65"/>
        <v>01.110.0000</v>
      </c>
    </row>
    <row r="1406" spans="1:7" hidden="1" x14ac:dyDescent="0.25">
      <c r="A1406" s="6" t="s">
        <v>3425</v>
      </c>
      <c r="B1406" s="28">
        <v>0</v>
      </c>
      <c r="C1406" s="14" t="s">
        <v>3426</v>
      </c>
      <c r="D1406" t="str">
        <f t="shared" si="63"/>
        <v>15.001.04.131.0002.2.005.3.3.90.39.00</v>
      </c>
      <c r="E1406" t="str">
        <f>VLOOKUP(LEFT(A1406,2),ConsolidadoLoa27_ATIVIDADES!A:I,9,0)</f>
        <v>15 - SECRETARIA DA CULTURA</v>
      </c>
      <c r="F1406" t="str">
        <f t="shared" si="64"/>
        <v>2.005</v>
      </c>
      <c r="G1406" t="str">
        <f t="shared" si="65"/>
        <v>08.110.0000</v>
      </c>
    </row>
    <row r="1407" spans="1:7" hidden="1" x14ac:dyDescent="0.25">
      <c r="A1407" s="6" t="s">
        <v>3425</v>
      </c>
      <c r="B1407" s="28">
        <v>0</v>
      </c>
      <c r="C1407" s="14" t="s">
        <v>3427</v>
      </c>
      <c r="D1407" t="str">
        <f t="shared" si="63"/>
        <v>15.001.04.131.0002.2.005.3.3.90.39.00</v>
      </c>
      <c r="E1407" t="str">
        <f>VLOOKUP(LEFT(A1407,2),ConsolidadoLoa27_ATIVIDADES!A:I,9,0)</f>
        <v>15 - SECRETARIA DA CULTURA</v>
      </c>
      <c r="F1407" t="str">
        <f t="shared" si="64"/>
        <v>2.005</v>
      </c>
      <c r="G1407" t="str">
        <f t="shared" si="65"/>
        <v>08.110.0000</v>
      </c>
    </row>
    <row r="1408" spans="1:7" hidden="1" x14ac:dyDescent="0.25">
      <c r="A1408" s="6" t="s">
        <v>3425</v>
      </c>
      <c r="B1408" s="28">
        <v>0</v>
      </c>
      <c r="C1408" s="14" t="s">
        <v>3428</v>
      </c>
      <c r="D1408" t="str">
        <f t="shared" si="63"/>
        <v>15.001.04.131.0002.2.005.3.3.90.39.00</v>
      </c>
      <c r="E1408" t="str">
        <f>VLOOKUP(LEFT(A1408,2),ConsolidadoLoa27_ATIVIDADES!A:I,9,0)</f>
        <v>15 - SECRETARIA DA CULTURA</v>
      </c>
      <c r="F1408" t="str">
        <f t="shared" si="64"/>
        <v>2.005</v>
      </c>
      <c r="G1408" t="str">
        <f t="shared" si="65"/>
        <v>08.110.0000</v>
      </c>
    </row>
    <row r="1409" spans="1:7" hidden="1" x14ac:dyDescent="0.25">
      <c r="A1409" s="6" t="s">
        <v>3429</v>
      </c>
      <c r="B1409" s="28">
        <v>48639.231899999999</v>
      </c>
      <c r="C1409" s="14" t="s">
        <v>2318</v>
      </c>
      <c r="D1409" t="str">
        <f t="shared" si="63"/>
        <v>15.001.13.334.0009.2.033.3.3.90.30.00</v>
      </c>
      <c r="E1409" t="str">
        <f>VLOOKUP(LEFT(A1409,2),ConsolidadoLoa27_ATIVIDADES!A:I,9,0)</f>
        <v>15 - SECRETARIA DA CULTURA</v>
      </c>
      <c r="F1409" t="str">
        <f t="shared" si="64"/>
        <v>2.033</v>
      </c>
      <c r="G1409" t="str">
        <f t="shared" si="65"/>
        <v>01.110.0000</v>
      </c>
    </row>
    <row r="1410" spans="1:7" hidden="1" x14ac:dyDescent="0.25">
      <c r="A1410" s="6" t="s">
        <v>3430</v>
      </c>
      <c r="B1410" s="28">
        <v>1</v>
      </c>
      <c r="C1410" s="14" t="s">
        <v>3431</v>
      </c>
      <c r="D1410" t="str">
        <f t="shared" si="63"/>
        <v>15.001.13.391.0009.2.029.3.3.50.43.00</v>
      </c>
      <c r="E1410" t="str">
        <f>VLOOKUP(LEFT(A1410,2),ConsolidadoLoa27_ATIVIDADES!A:I,9,0)</f>
        <v>15 - SECRETARIA DA CULTURA</v>
      </c>
      <c r="F1410" t="str">
        <f t="shared" si="64"/>
        <v>2.029</v>
      </c>
      <c r="G1410" t="str">
        <f t="shared" si="65"/>
        <v>01.110.0000</v>
      </c>
    </row>
    <row r="1411" spans="1:7" hidden="1" x14ac:dyDescent="0.25">
      <c r="A1411" s="6" t="s">
        <v>3432</v>
      </c>
      <c r="B1411" s="28">
        <v>1</v>
      </c>
      <c r="C1411" s="14" t="s">
        <v>3433</v>
      </c>
      <c r="D1411" t="str">
        <f t="shared" ref="D1411:D1474" si="66">_xlfn.CONCAT(LEFT(A1411,34),".00")</f>
        <v>15.001.13.391.0009.2.029.3.3.90.39.00</v>
      </c>
      <c r="E1411" t="str">
        <f>VLOOKUP(LEFT(A1411,2),ConsolidadoLoa27_ATIVIDADES!A:I,9,0)</f>
        <v>15 - SECRETARIA DA CULTURA</v>
      </c>
      <c r="F1411" t="str">
        <f t="shared" ref="F1411:F1474" si="67">MID(A1411,20,5)</f>
        <v>2.029</v>
      </c>
      <c r="G1411" t="str">
        <f t="shared" ref="G1411:G1474" si="68">RIGHT(A1411,11)</f>
        <v>01.110.0000</v>
      </c>
    </row>
    <row r="1412" spans="1:7" hidden="1" x14ac:dyDescent="0.25">
      <c r="A1412" s="6" t="s">
        <v>3432</v>
      </c>
      <c r="B1412" s="28">
        <v>4547.1062000000093</v>
      </c>
      <c r="C1412" s="14" t="s">
        <v>3434</v>
      </c>
      <c r="D1412" t="str">
        <f t="shared" si="66"/>
        <v>15.001.13.391.0009.2.029.3.3.90.39.00</v>
      </c>
      <c r="E1412" t="str">
        <f>VLOOKUP(LEFT(A1412,2),ConsolidadoLoa27_ATIVIDADES!A:I,9,0)</f>
        <v>15 - SECRETARIA DA CULTURA</v>
      </c>
      <c r="F1412" t="str">
        <f t="shared" si="67"/>
        <v>2.029</v>
      </c>
      <c r="G1412" t="str">
        <f t="shared" si="68"/>
        <v>01.110.0000</v>
      </c>
    </row>
    <row r="1413" spans="1:7" hidden="1" x14ac:dyDescent="0.25">
      <c r="A1413" s="6" t="s">
        <v>3435</v>
      </c>
      <c r="B1413" s="28">
        <v>176964.96</v>
      </c>
      <c r="C1413" s="14" t="s">
        <v>3434</v>
      </c>
      <c r="D1413" t="str">
        <f t="shared" si="66"/>
        <v>15.002.13.391.0009.2.029.3.3.90.39.00</v>
      </c>
      <c r="E1413" t="str">
        <f>VLOOKUP(LEFT(A1413,2),ConsolidadoLoa27_ATIVIDADES!A:I,9,0)</f>
        <v>15 - SECRETARIA DA CULTURA</v>
      </c>
      <c r="F1413" t="str">
        <f t="shared" si="67"/>
        <v>2.029</v>
      </c>
      <c r="G1413" t="str">
        <f t="shared" si="68"/>
        <v>05.100.1501</v>
      </c>
    </row>
    <row r="1414" spans="1:7" hidden="1" x14ac:dyDescent="0.25">
      <c r="A1414" s="6" t="s">
        <v>3436</v>
      </c>
      <c r="B1414" s="28">
        <v>420001</v>
      </c>
      <c r="C1414" s="14" t="s">
        <v>3437</v>
      </c>
      <c r="D1414" t="str">
        <f t="shared" si="66"/>
        <v>15.001.13.392.0009.1.002.3.3.90.39.00</v>
      </c>
      <c r="E1414" t="str">
        <f>VLOOKUP(LEFT(A1414,2),ConsolidadoLoa27_ATIVIDADES!A:I,9,0)</f>
        <v>15 - SECRETARIA DA CULTURA</v>
      </c>
      <c r="F1414" t="str">
        <f t="shared" si="67"/>
        <v>1.002</v>
      </c>
      <c r="G1414" t="str">
        <f t="shared" si="68"/>
        <v>01.110.0000</v>
      </c>
    </row>
    <row r="1415" spans="1:7" hidden="1" x14ac:dyDescent="0.25">
      <c r="A1415" s="6" t="s">
        <v>3438</v>
      </c>
      <c r="B1415" s="28">
        <v>0</v>
      </c>
      <c r="C1415" s="14" t="s">
        <v>3437</v>
      </c>
      <c r="D1415" t="str">
        <f t="shared" si="66"/>
        <v>15.001.13.392.0009.1.002.3.3.90.39.00</v>
      </c>
      <c r="E1415" t="str">
        <f>VLOOKUP(LEFT(A1415,2),ConsolidadoLoa27_ATIVIDADES!A:I,9,0)</f>
        <v>15 - SECRETARIA DA CULTURA</v>
      </c>
      <c r="F1415" t="str">
        <f t="shared" si="67"/>
        <v>1.002</v>
      </c>
      <c r="G1415" t="str">
        <f t="shared" si="68"/>
        <v>01.700.0000</v>
      </c>
    </row>
    <row r="1416" spans="1:7" hidden="1" x14ac:dyDescent="0.25">
      <c r="A1416" s="6" t="s">
        <v>3439</v>
      </c>
      <c r="B1416" s="28">
        <v>0</v>
      </c>
      <c r="C1416" s="14" t="s">
        <v>3440</v>
      </c>
      <c r="D1416" t="str">
        <f t="shared" si="66"/>
        <v>15.001.13.392.0009.1.002.3.3.90.39.00</v>
      </c>
      <c r="E1416" t="str">
        <f>VLOOKUP(LEFT(A1416,2),ConsolidadoLoa27_ATIVIDADES!A:I,9,0)</f>
        <v>15 - SECRETARIA DA CULTURA</v>
      </c>
      <c r="F1416" t="str">
        <f t="shared" si="67"/>
        <v>1.002</v>
      </c>
      <c r="G1416" t="str">
        <f t="shared" si="68"/>
        <v>08.110.0000</v>
      </c>
    </row>
    <row r="1417" spans="1:7" hidden="1" x14ac:dyDescent="0.25">
      <c r="A1417" s="6" t="s">
        <v>3439</v>
      </c>
      <c r="B1417" s="28">
        <v>0</v>
      </c>
      <c r="C1417" s="14" t="s">
        <v>3441</v>
      </c>
      <c r="D1417" t="str">
        <f t="shared" si="66"/>
        <v>15.001.13.392.0009.1.002.3.3.90.39.00</v>
      </c>
      <c r="E1417" t="str">
        <f>VLOOKUP(LEFT(A1417,2),ConsolidadoLoa27_ATIVIDADES!A:I,9,0)</f>
        <v>15 - SECRETARIA DA CULTURA</v>
      </c>
      <c r="F1417" t="str">
        <f t="shared" si="67"/>
        <v>1.002</v>
      </c>
      <c r="G1417" t="str">
        <f t="shared" si="68"/>
        <v>08.110.0000</v>
      </c>
    </row>
    <row r="1418" spans="1:7" hidden="1" x14ac:dyDescent="0.25">
      <c r="A1418" s="6" t="s">
        <v>3442</v>
      </c>
      <c r="B1418" s="28">
        <v>0</v>
      </c>
      <c r="C1418" s="6" t="s">
        <v>3443</v>
      </c>
      <c r="D1418" t="str">
        <f t="shared" si="66"/>
        <v>15.001.13.392.0009.1.002.4.4.50.51.00</v>
      </c>
      <c r="E1418" t="str">
        <f>VLOOKUP(LEFT(A1418,2),ConsolidadoLoa27_ATIVIDADES!A:I,9,0)</f>
        <v>15 - SECRETARIA DA CULTURA</v>
      </c>
      <c r="F1418" t="str">
        <f t="shared" si="67"/>
        <v>1.002</v>
      </c>
      <c r="G1418" t="str">
        <f t="shared" si="68"/>
        <v>01.110.0000</v>
      </c>
    </row>
    <row r="1419" spans="1:7" hidden="1" x14ac:dyDescent="0.25">
      <c r="A1419" s="6" t="s">
        <v>3444</v>
      </c>
      <c r="B1419" s="28">
        <v>0</v>
      </c>
      <c r="C1419" s="14" t="s">
        <v>3440</v>
      </c>
      <c r="D1419" t="str">
        <f t="shared" si="66"/>
        <v>15.001.13.392.0009.1.002.4.4.90.52.00</v>
      </c>
      <c r="E1419" t="str">
        <f>VLOOKUP(LEFT(A1419,2),ConsolidadoLoa27_ATIVIDADES!A:I,9,0)</f>
        <v>15 - SECRETARIA DA CULTURA</v>
      </c>
      <c r="F1419" t="str">
        <f t="shared" si="67"/>
        <v>1.002</v>
      </c>
      <c r="G1419" t="str">
        <f t="shared" si="68"/>
        <v>08.110.0000</v>
      </c>
    </row>
    <row r="1420" spans="1:7" hidden="1" x14ac:dyDescent="0.25">
      <c r="A1420" s="6" t="s">
        <v>3445</v>
      </c>
      <c r="B1420" s="28">
        <v>30133.9</v>
      </c>
      <c r="C1420" s="14" t="s">
        <v>2288</v>
      </c>
      <c r="D1420" t="str">
        <f t="shared" si="66"/>
        <v>15.001.13.392.0009.2.011.3.3.90.30.00</v>
      </c>
      <c r="E1420" t="str">
        <f>VLOOKUP(LEFT(A1420,2),ConsolidadoLoa27_ATIVIDADES!A:I,9,0)</f>
        <v>15 - SECRETARIA DA CULTURA</v>
      </c>
      <c r="F1420" t="str">
        <f t="shared" si="67"/>
        <v>2.011</v>
      </c>
      <c r="G1420" t="str">
        <f t="shared" si="68"/>
        <v>01.110.0000</v>
      </c>
    </row>
    <row r="1421" spans="1:7" hidden="1" x14ac:dyDescent="0.25">
      <c r="A1421" s="6" t="s">
        <v>3445</v>
      </c>
      <c r="B1421" s="28">
        <v>30133.9</v>
      </c>
      <c r="C1421" s="14" t="s">
        <v>2295</v>
      </c>
      <c r="D1421" t="str">
        <f t="shared" si="66"/>
        <v>15.001.13.392.0009.2.011.3.3.90.30.00</v>
      </c>
      <c r="E1421" t="str">
        <f>VLOOKUP(LEFT(A1421,2),ConsolidadoLoa27_ATIVIDADES!A:I,9,0)</f>
        <v>15 - SECRETARIA DA CULTURA</v>
      </c>
      <c r="F1421" t="str">
        <f t="shared" si="67"/>
        <v>2.011</v>
      </c>
      <c r="G1421" t="str">
        <f t="shared" si="68"/>
        <v>01.110.0000</v>
      </c>
    </row>
    <row r="1422" spans="1:7" hidden="1" x14ac:dyDescent="0.25">
      <c r="A1422" s="6" t="s">
        <v>3445</v>
      </c>
      <c r="B1422" s="28">
        <v>0</v>
      </c>
      <c r="C1422" s="14" t="s">
        <v>3446</v>
      </c>
      <c r="D1422" t="str">
        <f t="shared" si="66"/>
        <v>15.001.13.392.0009.2.011.3.3.90.30.00</v>
      </c>
      <c r="E1422" t="str">
        <f>VLOOKUP(LEFT(A1422,2),ConsolidadoLoa27_ATIVIDADES!A:I,9,0)</f>
        <v>15 - SECRETARIA DA CULTURA</v>
      </c>
      <c r="F1422" t="str">
        <f t="shared" si="67"/>
        <v>2.011</v>
      </c>
      <c r="G1422" t="str">
        <f t="shared" si="68"/>
        <v>01.110.0000</v>
      </c>
    </row>
    <row r="1423" spans="1:7" hidden="1" x14ac:dyDescent="0.25">
      <c r="A1423" s="6" t="s">
        <v>3447</v>
      </c>
      <c r="B1423" s="28">
        <v>4156.3999999999996</v>
      </c>
      <c r="C1423" s="14" t="s">
        <v>3446</v>
      </c>
      <c r="D1423" t="str">
        <f t="shared" si="66"/>
        <v>15.002.13.392.0009.2.011.3.3.90.30.00</v>
      </c>
      <c r="E1423" t="str">
        <f>VLOOKUP(LEFT(A1423,2),ConsolidadoLoa27_ATIVIDADES!A:I,9,0)</f>
        <v>15 - SECRETARIA DA CULTURA</v>
      </c>
      <c r="F1423" t="str">
        <f t="shared" si="67"/>
        <v>2.011</v>
      </c>
      <c r="G1423" t="str">
        <f t="shared" si="68"/>
        <v>05.100.1501</v>
      </c>
    </row>
    <row r="1424" spans="1:7" hidden="1" x14ac:dyDescent="0.25">
      <c r="A1424" s="6" t="s">
        <v>3445</v>
      </c>
      <c r="B1424" s="28">
        <v>19742.900000000001</v>
      </c>
      <c r="C1424" s="14" t="s">
        <v>107</v>
      </c>
      <c r="D1424" t="str">
        <f t="shared" si="66"/>
        <v>15.001.13.392.0009.2.011.3.3.90.30.00</v>
      </c>
      <c r="E1424" t="str">
        <f>VLOOKUP(LEFT(A1424,2),ConsolidadoLoa27_ATIVIDADES!A:I,9,0)</f>
        <v>15 - SECRETARIA DA CULTURA</v>
      </c>
      <c r="F1424" t="str">
        <f t="shared" si="67"/>
        <v>2.011</v>
      </c>
      <c r="G1424" t="str">
        <f t="shared" si="68"/>
        <v>01.110.0000</v>
      </c>
    </row>
    <row r="1425" spans="1:7" hidden="1" x14ac:dyDescent="0.25">
      <c r="A1425" s="6" t="s">
        <v>3445</v>
      </c>
      <c r="B1425" s="28">
        <v>14547.4</v>
      </c>
      <c r="C1425" s="14" t="s">
        <v>2289</v>
      </c>
      <c r="D1425" t="str">
        <f t="shared" si="66"/>
        <v>15.001.13.392.0009.2.011.3.3.90.30.00</v>
      </c>
      <c r="E1425" t="str">
        <f>VLOOKUP(LEFT(A1425,2),ConsolidadoLoa27_ATIVIDADES!A:I,9,0)</f>
        <v>15 - SECRETARIA DA CULTURA</v>
      </c>
      <c r="F1425" t="str">
        <f t="shared" si="67"/>
        <v>2.011</v>
      </c>
      <c r="G1425" t="str">
        <f t="shared" si="68"/>
        <v>01.110.0000</v>
      </c>
    </row>
    <row r="1426" spans="1:7" hidden="1" x14ac:dyDescent="0.25">
      <c r="A1426" s="6" t="s">
        <v>3448</v>
      </c>
      <c r="B1426" s="28">
        <v>48000</v>
      </c>
      <c r="C1426" s="14" t="s">
        <v>95</v>
      </c>
      <c r="D1426" t="str">
        <f t="shared" si="66"/>
        <v>15.001.13.392.0009.2.011.3.3.90.39.00</v>
      </c>
      <c r="E1426" t="str">
        <f>VLOOKUP(LEFT(A1426,2),ConsolidadoLoa27_ATIVIDADES!A:I,9,0)</f>
        <v>15 - SECRETARIA DA CULTURA</v>
      </c>
      <c r="F1426" t="str">
        <f t="shared" si="67"/>
        <v>2.011</v>
      </c>
      <c r="G1426" t="str">
        <f t="shared" si="68"/>
        <v>01.110.0000</v>
      </c>
    </row>
    <row r="1427" spans="1:7" hidden="1" x14ac:dyDescent="0.25">
      <c r="A1427" s="6" t="s">
        <v>3448</v>
      </c>
      <c r="B1427" s="28">
        <v>20782</v>
      </c>
      <c r="C1427" s="14" t="s">
        <v>107</v>
      </c>
      <c r="D1427" t="str">
        <f t="shared" si="66"/>
        <v>15.001.13.392.0009.2.011.3.3.90.39.00</v>
      </c>
      <c r="E1427" t="str">
        <f>VLOOKUP(LEFT(A1427,2),ConsolidadoLoa27_ATIVIDADES!A:I,9,0)</f>
        <v>15 - SECRETARIA DA CULTURA</v>
      </c>
      <c r="F1427" t="str">
        <f t="shared" si="67"/>
        <v>2.011</v>
      </c>
      <c r="G1427" t="str">
        <f t="shared" si="68"/>
        <v>01.110.0000</v>
      </c>
    </row>
    <row r="1428" spans="1:7" hidden="1" x14ac:dyDescent="0.25">
      <c r="A1428" s="6" t="s">
        <v>3448</v>
      </c>
      <c r="B1428" s="28">
        <v>44681.3</v>
      </c>
      <c r="C1428" s="6" t="s">
        <v>106</v>
      </c>
      <c r="D1428" t="str">
        <f t="shared" si="66"/>
        <v>15.001.13.392.0009.2.011.3.3.90.39.00</v>
      </c>
      <c r="E1428" t="str">
        <f>VLOOKUP(LEFT(A1428,2),ConsolidadoLoa27_ATIVIDADES!A:I,9,0)</f>
        <v>15 - SECRETARIA DA CULTURA</v>
      </c>
      <c r="F1428" t="str">
        <f t="shared" si="67"/>
        <v>2.011</v>
      </c>
      <c r="G1428" t="str">
        <f t="shared" si="68"/>
        <v>01.110.0000</v>
      </c>
    </row>
    <row r="1429" spans="1:7" hidden="1" x14ac:dyDescent="0.25">
      <c r="A1429" s="6" t="s">
        <v>3449</v>
      </c>
      <c r="B1429" s="28">
        <v>4465879.0599999996</v>
      </c>
      <c r="C1429" s="14" t="s">
        <v>3450</v>
      </c>
      <c r="D1429" t="str">
        <f t="shared" si="66"/>
        <v>15.001.13.392.0009.2.023.3.3.50.39.00</v>
      </c>
      <c r="E1429" t="str">
        <f>VLOOKUP(LEFT(A1429,2),ConsolidadoLoa27_ATIVIDADES!A:I,9,0)</f>
        <v>15 - SECRETARIA DA CULTURA</v>
      </c>
      <c r="F1429" t="str">
        <f t="shared" si="67"/>
        <v>2.023</v>
      </c>
      <c r="G1429" t="str">
        <f t="shared" si="68"/>
        <v>01.110.0000</v>
      </c>
    </row>
    <row r="1430" spans="1:7" hidden="1" x14ac:dyDescent="0.25">
      <c r="A1430" s="6" t="s">
        <v>3449</v>
      </c>
      <c r="B1430" s="28">
        <v>4468641.5599999996</v>
      </c>
      <c r="C1430" s="14" t="s">
        <v>3451</v>
      </c>
      <c r="D1430" t="str">
        <f t="shared" si="66"/>
        <v>15.001.13.392.0009.2.023.3.3.50.39.00</v>
      </c>
      <c r="E1430" t="str">
        <f>VLOOKUP(LEFT(A1430,2),ConsolidadoLoa27_ATIVIDADES!A:I,9,0)</f>
        <v>15 - SECRETARIA DA CULTURA</v>
      </c>
      <c r="F1430" t="str">
        <f t="shared" si="67"/>
        <v>2.023</v>
      </c>
      <c r="G1430" t="str">
        <f t="shared" si="68"/>
        <v>01.110.0000</v>
      </c>
    </row>
    <row r="1431" spans="1:7" hidden="1" x14ac:dyDescent="0.25">
      <c r="A1431" s="6" t="s">
        <v>3452</v>
      </c>
      <c r="B1431" s="28">
        <v>0</v>
      </c>
      <c r="C1431" s="14" t="s">
        <v>3453</v>
      </c>
      <c r="D1431" t="str">
        <f t="shared" si="66"/>
        <v>15.001.13.392.0009.2.023.3.3.50.39.00</v>
      </c>
      <c r="E1431" t="str">
        <f>VLOOKUP(LEFT(A1431,2),ConsolidadoLoa27_ATIVIDADES!A:I,9,0)</f>
        <v>15 - SECRETARIA DA CULTURA</v>
      </c>
      <c r="F1431" t="str">
        <f t="shared" si="67"/>
        <v>2.023</v>
      </c>
      <c r="G1431" t="str">
        <f t="shared" si="68"/>
        <v>08.110.0000</v>
      </c>
    </row>
    <row r="1432" spans="1:7" hidden="1" x14ac:dyDescent="0.25">
      <c r="A1432" s="6" t="s">
        <v>3454</v>
      </c>
      <c r="B1432" s="28">
        <v>1</v>
      </c>
      <c r="C1432" s="14" t="s">
        <v>3450</v>
      </c>
      <c r="D1432" t="str">
        <f t="shared" si="66"/>
        <v>15.001.13.392.0009.2.023.4.4.50.51.00</v>
      </c>
      <c r="E1432" t="str">
        <f>VLOOKUP(LEFT(A1432,2),ConsolidadoLoa27_ATIVIDADES!A:I,9,0)</f>
        <v>15 - SECRETARIA DA CULTURA</v>
      </c>
      <c r="F1432" t="str">
        <f t="shared" si="67"/>
        <v>2.023</v>
      </c>
      <c r="G1432" t="str">
        <f t="shared" si="68"/>
        <v>01.110.0000</v>
      </c>
    </row>
    <row r="1433" spans="1:7" hidden="1" x14ac:dyDescent="0.25">
      <c r="A1433" s="6" t="s">
        <v>3454</v>
      </c>
      <c r="B1433" s="28">
        <v>2678.07</v>
      </c>
      <c r="C1433" s="14" t="s">
        <v>3451</v>
      </c>
      <c r="D1433" t="str">
        <f t="shared" si="66"/>
        <v>15.001.13.392.0009.2.023.4.4.50.51.00</v>
      </c>
      <c r="E1433" t="str">
        <f>VLOOKUP(LEFT(A1433,2),ConsolidadoLoa27_ATIVIDADES!A:I,9,0)</f>
        <v>15 - SECRETARIA DA CULTURA</v>
      </c>
      <c r="F1433" t="str">
        <f t="shared" si="67"/>
        <v>2.023</v>
      </c>
      <c r="G1433" t="str">
        <f t="shared" si="68"/>
        <v>01.110.0000</v>
      </c>
    </row>
    <row r="1434" spans="1:7" hidden="1" x14ac:dyDescent="0.25">
      <c r="A1434" s="6" t="s">
        <v>3455</v>
      </c>
      <c r="B1434" s="28">
        <v>84024.85</v>
      </c>
      <c r="C1434" s="14" t="s">
        <v>3450</v>
      </c>
      <c r="D1434" t="str">
        <f t="shared" si="66"/>
        <v>15.001.13.392.0009.2.023.4.4.50.52.00</v>
      </c>
      <c r="E1434" t="str">
        <f>VLOOKUP(LEFT(A1434,2),ConsolidadoLoa27_ATIVIDADES!A:I,9,0)</f>
        <v>15 - SECRETARIA DA CULTURA</v>
      </c>
      <c r="F1434" t="str">
        <f t="shared" si="67"/>
        <v>2.023</v>
      </c>
      <c r="G1434" t="str">
        <f t="shared" si="68"/>
        <v>01.110.0000</v>
      </c>
    </row>
    <row r="1435" spans="1:7" hidden="1" x14ac:dyDescent="0.25">
      <c r="A1435" s="6" t="s">
        <v>3455</v>
      </c>
      <c r="B1435" s="28">
        <v>78672.099999999991</v>
      </c>
      <c r="C1435" s="14" t="s">
        <v>3451</v>
      </c>
      <c r="D1435" t="str">
        <f t="shared" si="66"/>
        <v>15.001.13.392.0009.2.023.4.4.50.52.00</v>
      </c>
      <c r="E1435" t="str">
        <f>VLOOKUP(LEFT(A1435,2),ConsolidadoLoa27_ATIVIDADES!A:I,9,0)</f>
        <v>15 - SECRETARIA DA CULTURA</v>
      </c>
      <c r="F1435" t="str">
        <f t="shared" si="67"/>
        <v>2.023</v>
      </c>
      <c r="G1435" t="str">
        <f t="shared" si="68"/>
        <v>01.110.0000</v>
      </c>
    </row>
    <row r="1436" spans="1:7" hidden="1" x14ac:dyDescent="0.25">
      <c r="A1436" s="6" t="s">
        <v>3456</v>
      </c>
      <c r="B1436" s="28">
        <v>0</v>
      </c>
      <c r="C1436" s="14" t="s">
        <v>3457</v>
      </c>
      <c r="D1436" t="str">
        <f t="shared" si="66"/>
        <v>15.001.13.392.0009.2.028.3.3.50.39.00</v>
      </c>
      <c r="E1436" t="str">
        <f>VLOOKUP(LEFT(A1436,2),ConsolidadoLoa27_ATIVIDADES!A:I,9,0)</f>
        <v>15 - SECRETARIA DA CULTURA</v>
      </c>
      <c r="F1436" t="str">
        <f t="shared" si="67"/>
        <v>2.028</v>
      </c>
      <c r="G1436" t="str">
        <f t="shared" si="68"/>
        <v>08.110.0000</v>
      </c>
    </row>
    <row r="1437" spans="1:7" hidden="1" x14ac:dyDescent="0.25">
      <c r="A1437" s="6" t="s">
        <v>3456</v>
      </c>
      <c r="B1437" s="28">
        <v>0</v>
      </c>
      <c r="C1437" s="14" t="s">
        <v>3458</v>
      </c>
      <c r="D1437" t="str">
        <f t="shared" si="66"/>
        <v>15.001.13.392.0009.2.028.3.3.50.39.00</v>
      </c>
      <c r="E1437" t="str">
        <f>VLOOKUP(LEFT(A1437,2),ConsolidadoLoa27_ATIVIDADES!A:I,9,0)</f>
        <v>15 - SECRETARIA DA CULTURA</v>
      </c>
      <c r="F1437" t="str">
        <f t="shared" si="67"/>
        <v>2.028</v>
      </c>
      <c r="G1437" t="str">
        <f t="shared" si="68"/>
        <v>08.110.0000</v>
      </c>
    </row>
    <row r="1438" spans="1:7" hidden="1" x14ac:dyDescent="0.25">
      <c r="A1438" s="6" t="s">
        <v>3459</v>
      </c>
      <c r="B1438" s="28">
        <v>677103.8</v>
      </c>
      <c r="C1438" s="14" t="s">
        <v>3460</v>
      </c>
      <c r="D1438" t="str">
        <f t="shared" si="66"/>
        <v>15.001.13.392.0009.2.028.3.3.90.36.00</v>
      </c>
      <c r="E1438" t="str">
        <f>VLOOKUP(LEFT(A1438,2),ConsolidadoLoa27_ATIVIDADES!A:I,9,0)</f>
        <v>15 - SECRETARIA DA CULTURA</v>
      </c>
      <c r="F1438" t="str">
        <f t="shared" si="67"/>
        <v>2.028</v>
      </c>
      <c r="G1438" t="str">
        <f t="shared" si="68"/>
        <v>01.110.0000</v>
      </c>
    </row>
    <row r="1439" spans="1:7" hidden="1" x14ac:dyDescent="0.25">
      <c r="A1439" s="6" t="s">
        <v>3461</v>
      </c>
      <c r="B1439" s="28">
        <v>214000</v>
      </c>
      <c r="C1439" s="14" t="s">
        <v>3460</v>
      </c>
      <c r="D1439" t="str">
        <f t="shared" si="66"/>
        <v>15.001.13.392.0009.2.028.3.3.90.39.00</v>
      </c>
      <c r="E1439" t="str">
        <f>VLOOKUP(LEFT(A1439,2),ConsolidadoLoa27_ATIVIDADES!A:I,9,0)</f>
        <v>15 - SECRETARIA DA CULTURA</v>
      </c>
      <c r="F1439" t="str">
        <f t="shared" si="67"/>
        <v>2.028</v>
      </c>
      <c r="G1439" t="str">
        <f t="shared" si="68"/>
        <v>01.110.0000</v>
      </c>
    </row>
    <row r="1440" spans="1:7" hidden="1" x14ac:dyDescent="0.25">
      <c r="A1440" s="6" t="s">
        <v>3461</v>
      </c>
      <c r="B1440" s="28">
        <v>10391</v>
      </c>
      <c r="C1440" s="14" t="s">
        <v>3333</v>
      </c>
      <c r="D1440" t="str">
        <f t="shared" si="66"/>
        <v>15.001.13.392.0009.2.028.3.3.90.39.00</v>
      </c>
      <c r="E1440" t="str">
        <f>VLOOKUP(LEFT(A1440,2),ConsolidadoLoa27_ATIVIDADES!A:I,9,0)</f>
        <v>15 - SECRETARIA DA CULTURA</v>
      </c>
      <c r="F1440" t="str">
        <f t="shared" si="67"/>
        <v>2.028</v>
      </c>
      <c r="G1440" t="str">
        <f t="shared" si="68"/>
        <v>01.110.0000</v>
      </c>
    </row>
    <row r="1441" spans="1:7" hidden="1" x14ac:dyDescent="0.25">
      <c r="A1441" s="6" t="s">
        <v>3462</v>
      </c>
      <c r="B1441" s="28">
        <v>0</v>
      </c>
      <c r="C1441" s="14" t="s">
        <v>3463</v>
      </c>
      <c r="D1441" t="str">
        <f t="shared" si="66"/>
        <v>15.001.13.392.0009.2.028.3.3.90.39.00</v>
      </c>
      <c r="E1441" t="str">
        <f>VLOOKUP(LEFT(A1441,2),ConsolidadoLoa27_ATIVIDADES!A:I,9,0)</f>
        <v>15 - SECRETARIA DA CULTURA</v>
      </c>
      <c r="F1441" t="str">
        <f t="shared" si="67"/>
        <v>2.028</v>
      </c>
      <c r="G1441" t="str">
        <f t="shared" si="68"/>
        <v>08.110.0000</v>
      </c>
    </row>
    <row r="1442" spans="1:7" hidden="1" x14ac:dyDescent="0.25">
      <c r="A1442" s="6" t="s">
        <v>3462</v>
      </c>
      <c r="B1442" s="28">
        <v>0</v>
      </c>
      <c r="C1442" s="14" t="s">
        <v>3464</v>
      </c>
      <c r="D1442" t="str">
        <f t="shared" si="66"/>
        <v>15.001.13.392.0009.2.028.3.3.90.39.00</v>
      </c>
      <c r="E1442" t="str">
        <f>VLOOKUP(LEFT(A1442,2),ConsolidadoLoa27_ATIVIDADES!A:I,9,0)</f>
        <v>15 - SECRETARIA DA CULTURA</v>
      </c>
      <c r="F1442" t="str">
        <f t="shared" si="67"/>
        <v>2.028</v>
      </c>
      <c r="G1442" t="str">
        <f t="shared" si="68"/>
        <v>08.110.0000</v>
      </c>
    </row>
    <row r="1443" spans="1:7" hidden="1" x14ac:dyDescent="0.25">
      <c r="A1443" s="6" t="s">
        <v>3465</v>
      </c>
      <c r="B1443" s="28">
        <v>555341.76089999999</v>
      </c>
      <c r="C1443" s="14" t="s">
        <v>3460</v>
      </c>
      <c r="D1443" t="str">
        <f t="shared" si="66"/>
        <v>15.002.13.392.0009.2.028.3.3.90.36.00</v>
      </c>
      <c r="E1443" t="str">
        <f>VLOOKUP(LEFT(A1443,2),ConsolidadoLoa27_ATIVIDADES!A:I,9,0)</f>
        <v>15 - SECRETARIA DA CULTURA</v>
      </c>
      <c r="F1443" t="str">
        <f t="shared" si="67"/>
        <v>2.028</v>
      </c>
      <c r="G1443" t="str">
        <f t="shared" si="68"/>
        <v>03.100.1501</v>
      </c>
    </row>
    <row r="1444" spans="1:7" hidden="1" x14ac:dyDescent="0.25">
      <c r="A1444" s="6" t="s">
        <v>3466</v>
      </c>
      <c r="B1444" s="28">
        <v>1</v>
      </c>
      <c r="C1444" s="14" t="s">
        <v>3460</v>
      </c>
      <c r="D1444" t="str">
        <f t="shared" si="66"/>
        <v>15.002.13.392.0009.2.028.3.3.90.39.00</v>
      </c>
      <c r="E1444" t="str">
        <f>VLOOKUP(LEFT(A1444,2),ConsolidadoLoa27_ATIVIDADES!A:I,9,0)</f>
        <v>15 - SECRETARIA DA CULTURA</v>
      </c>
      <c r="F1444" t="str">
        <f t="shared" si="67"/>
        <v>2.028</v>
      </c>
      <c r="G1444" t="str">
        <f t="shared" si="68"/>
        <v>03.100.1501</v>
      </c>
    </row>
    <row r="1445" spans="1:7" hidden="1" x14ac:dyDescent="0.25">
      <c r="A1445" s="6" t="s">
        <v>3467</v>
      </c>
      <c r="B1445" s="28">
        <v>1</v>
      </c>
      <c r="C1445" s="6" t="s">
        <v>3468</v>
      </c>
      <c r="D1445" t="str">
        <f t="shared" si="66"/>
        <v>16.001.04.121.0004.1.001.3.3.90.35.00</v>
      </c>
      <c r="E1445" t="str">
        <f>VLOOKUP(LEFT(A1445,2),ConsolidadoLoa27_ATIVIDADES!A:I,9,0)</f>
        <v>16 - SECRETARIA DE TECNOLOGIA, INOVAÇÃO E DESENVOLVIMENTO ECONÔMICO</v>
      </c>
      <c r="F1445" t="str">
        <f t="shared" si="67"/>
        <v>1.001</v>
      </c>
      <c r="G1445" t="str">
        <f t="shared" si="68"/>
        <v>01.110.0000</v>
      </c>
    </row>
    <row r="1446" spans="1:7" hidden="1" x14ac:dyDescent="0.25">
      <c r="A1446" s="6" t="s">
        <v>3469</v>
      </c>
      <c r="B1446" s="28">
        <v>1</v>
      </c>
      <c r="C1446" s="6" t="s">
        <v>388</v>
      </c>
      <c r="D1446" t="str">
        <f t="shared" si="66"/>
        <v>16.001.04.122.0001.1.002.3.3.90.39.00</v>
      </c>
      <c r="E1446" t="str">
        <f>VLOOKUP(LEFT(A1446,2),ConsolidadoLoa27_ATIVIDADES!A:I,9,0)</f>
        <v>16 - SECRETARIA DE TECNOLOGIA, INOVAÇÃO E DESENVOLVIMENTO ECONÔMICO</v>
      </c>
      <c r="F1446" t="str">
        <f t="shared" si="67"/>
        <v>1.002</v>
      </c>
      <c r="G1446" t="str">
        <f t="shared" si="68"/>
        <v>01.110.0000</v>
      </c>
    </row>
    <row r="1447" spans="1:7" hidden="1" x14ac:dyDescent="0.25">
      <c r="A1447" s="6" t="s">
        <v>3470</v>
      </c>
      <c r="B1447" s="28">
        <v>19242878.93</v>
      </c>
      <c r="C1447" s="6" t="s">
        <v>847</v>
      </c>
      <c r="D1447" t="str">
        <f t="shared" si="66"/>
        <v>16.001.04.122.0001.2.001.3.1.90.11.00</v>
      </c>
      <c r="E1447" t="str">
        <f>VLOOKUP(LEFT(A1447,2),ConsolidadoLoa27_ATIVIDADES!A:I,9,0)</f>
        <v>16 - SECRETARIA DE TECNOLOGIA, INOVAÇÃO E DESENVOLVIMENTO ECONÔMICO</v>
      </c>
      <c r="F1447" t="str">
        <f t="shared" si="67"/>
        <v>2.001</v>
      </c>
      <c r="G1447" t="str">
        <f t="shared" si="68"/>
        <v>01.110.0000</v>
      </c>
    </row>
    <row r="1448" spans="1:7" hidden="1" x14ac:dyDescent="0.25">
      <c r="A1448" s="6" t="s">
        <v>3471</v>
      </c>
      <c r="B1448" s="28">
        <v>3117698.55</v>
      </c>
      <c r="C1448" s="6" t="s">
        <v>847</v>
      </c>
      <c r="D1448" t="str">
        <f t="shared" si="66"/>
        <v>16.001.04.122.0001.2.001.3.1.90.13.00</v>
      </c>
      <c r="E1448" t="str">
        <f>VLOOKUP(LEFT(A1448,2),ConsolidadoLoa27_ATIVIDADES!A:I,9,0)</f>
        <v>16 - SECRETARIA DE TECNOLOGIA, INOVAÇÃO E DESENVOLVIMENTO ECONÔMICO</v>
      </c>
      <c r="F1448" t="str">
        <f t="shared" si="67"/>
        <v>2.001</v>
      </c>
      <c r="G1448" t="str">
        <f t="shared" si="68"/>
        <v>01.110.0000</v>
      </c>
    </row>
    <row r="1449" spans="1:7" hidden="1" x14ac:dyDescent="0.25">
      <c r="A1449" s="6" t="s">
        <v>3472</v>
      </c>
      <c r="B1449" s="28">
        <v>1009116.35</v>
      </c>
      <c r="C1449" s="12" t="s">
        <v>847</v>
      </c>
      <c r="D1449" t="str">
        <f t="shared" si="66"/>
        <v>16.001.04.122.0001.2.001.3.1.91.13.00</v>
      </c>
      <c r="E1449" t="str">
        <f>VLOOKUP(LEFT(A1449,2),ConsolidadoLoa27_ATIVIDADES!A:I,9,0)</f>
        <v>16 - SECRETARIA DE TECNOLOGIA, INOVAÇÃO E DESENVOLVIMENTO ECONÔMICO</v>
      </c>
      <c r="F1449" t="str">
        <f t="shared" si="67"/>
        <v>2.001</v>
      </c>
      <c r="G1449" t="str">
        <f t="shared" si="68"/>
        <v>01.110.0000</v>
      </c>
    </row>
    <row r="1450" spans="1:7" hidden="1" x14ac:dyDescent="0.25">
      <c r="A1450" s="6" t="s">
        <v>3473</v>
      </c>
      <c r="B1450" s="28">
        <v>3.41</v>
      </c>
      <c r="C1450" s="6" t="s">
        <v>2278</v>
      </c>
      <c r="D1450" t="str">
        <f t="shared" si="66"/>
        <v>16.001.04.122.0001.2.001.3.3.90.46.00</v>
      </c>
      <c r="E1450" t="str">
        <f>VLOOKUP(LEFT(A1450,2),ConsolidadoLoa27_ATIVIDADES!A:I,9,0)</f>
        <v>16 - SECRETARIA DE TECNOLOGIA, INOVAÇÃO E DESENVOLVIMENTO ECONÔMICO</v>
      </c>
      <c r="F1450" t="str">
        <f t="shared" si="67"/>
        <v>2.001</v>
      </c>
      <c r="G1450" t="str">
        <f t="shared" si="68"/>
        <v>01.110.0000</v>
      </c>
    </row>
    <row r="1451" spans="1:7" hidden="1" x14ac:dyDescent="0.25">
      <c r="A1451" s="6" t="s">
        <v>3474</v>
      </c>
      <c r="B1451" s="28">
        <v>106636.18</v>
      </c>
      <c r="C1451" s="6" t="s">
        <v>2280</v>
      </c>
      <c r="D1451" t="str">
        <f t="shared" si="66"/>
        <v>16.001.04.122.0001.2.001.3.3.90.49.00</v>
      </c>
      <c r="E1451" t="str">
        <f>VLOOKUP(LEFT(A1451,2),ConsolidadoLoa27_ATIVIDADES!A:I,9,0)</f>
        <v>16 - SECRETARIA DE TECNOLOGIA, INOVAÇÃO E DESENVOLVIMENTO ECONÔMICO</v>
      </c>
      <c r="F1451" t="str">
        <f t="shared" si="67"/>
        <v>2.001</v>
      </c>
      <c r="G1451" t="str">
        <f t="shared" si="68"/>
        <v>01.110.0000</v>
      </c>
    </row>
    <row r="1452" spans="1:7" hidden="1" x14ac:dyDescent="0.25">
      <c r="A1452" s="6" t="s">
        <v>3475</v>
      </c>
      <c r="B1452" s="28">
        <v>1</v>
      </c>
      <c r="C1452" s="6" t="s">
        <v>2282</v>
      </c>
      <c r="D1452" t="str">
        <f t="shared" si="66"/>
        <v>16.001.04.122.0001.2.006.3.3.90.36.00</v>
      </c>
      <c r="E1452" t="str">
        <f>VLOOKUP(LEFT(A1452,2),ConsolidadoLoa27_ATIVIDADES!A:I,9,0)</f>
        <v>16 - SECRETARIA DE TECNOLOGIA, INOVAÇÃO E DESENVOLVIMENTO ECONÔMICO</v>
      </c>
      <c r="F1452" t="str">
        <f t="shared" si="67"/>
        <v>2.006</v>
      </c>
      <c r="G1452" t="str">
        <f t="shared" si="68"/>
        <v>01.110.0000</v>
      </c>
    </row>
    <row r="1453" spans="1:7" hidden="1" x14ac:dyDescent="0.25">
      <c r="A1453" s="6" t="s">
        <v>3476</v>
      </c>
      <c r="B1453" s="28">
        <v>1</v>
      </c>
      <c r="C1453" s="14" t="s">
        <v>421</v>
      </c>
      <c r="D1453" t="str">
        <f t="shared" si="66"/>
        <v>16.001.04.122.0001.2.006.3.3.90.39.00</v>
      </c>
      <c r="E1453" t="str">
        <f>VLOOKUP(LEFT(A1453,2),ConsolidadoLoa27_ATIVIDADES!A:I,9,0)</f>
        <v>16 - SECRETARIA DE TECNOLOGIA, INOVAÇÃO E DESENVOLVIMENTO ECONÔMICO</v>
      </c>
      <c r="F1453" t="str">
        <f t="shared" si="67"/>
        <v>2.006</v>
      </c>
      <c r="G1453" t="str">
        <f t="shared" si="68"/>
        <v>01.110.0000</v>
      </c>
    </row>
    <row r="1454" spans="1:7" hidden="1" x14ac:dyDescent="0.25">
      <c r="A1454" s="6" t="s">
        <v>3477</v>
      </c>
      <c r="B1454" s="28">
        <v>1</v>
      </c>
      <c r="C1454" s="6" t="s">
        <v>318</v>
      </c>
      <c r="D1454" t="str">
        <f t="shared" si="66"/>
        <v>16.001.04.128.0002.2.003.3.3.90.36.00</v>
      </c>
      <c r="E1454" t="str">
        <f>VLOOKUP(LEFT(A1454,2),ConsolidadoLoa27_ATIVIDADES!A:I,9,0)</f>
        <v>16 - SECRETARIA DE TECNOLOGIA, INOVAÇÃO E DESENVOLVIMENTO ECONÔMICO</v>
      </c>
      <c r="F1454" t="str">
        <f t="shared" si="67"/>
        <v>2.003</v>
      </c>
      <c r="G1454" t="str">
        <f t="shared" si="68"/>
        <v>01.110.0000</v>
      </c>
    </row>
    <row r="1455" spans="1:7" hidden="1" x14ac:dyDescent="0.25">
      <c r="A1455" s="6" t="s">
        <v>3478</v>
      </c>
      <c r="B1455" s="28">
        <v>1</v>
      </c>
      <c r="C1455" s="6" t="s">
        <v>318</v>
      </c>
      <c r="D1455" t="str">
        <f t="shared" si="66"/>
        <v>16.001.04.128.0002.2.003.3.3.90.39.00</v>
      </c>
      <c r="E1455" t="str">
        <f>VLOOKUP(LEFT(A1455,2),ConsolidadoLoa27_ATIVIDADES!A:I,9,0)</f>
        <v>16 - SECRETARIA DE TECNOLOGIA, INOVAÇÃO E DESENVOLVIMENTO ECONÔMICO</v>
      </c>
      <c r="F1455" t="str">
        <f t="shared" si="67"/>
        <v>2.003</v>
      </c>
      <c r="G1455" t="str">
        <f t="shared" si="68"/>
        <v>01.110.0000</v>
      </c>
    </row>
    <row r="1456" spans="1:7" hidden="1" x14ac:dyDescent="0.25">
      <c r="A1456" s="6" t="s">
        <v>3479</v>
      </c>
      <c r="B1456" s="28">
        <v>1</v>
      </c>
      <c r="C1456" s="6" t="s">
        <v>245</v>
      </c>
      <c r="D1456" t="str">
        <f t="shared" si="66"/>
        <v>16.001.04.131.0002.2.005.3.3.90.30.00</v>
      </c>
      <c r="E1456" t="str">
        <f>VLOOKUP(LEFT(A1456,2),ConsolidadoLoa27_ATIVIDADES!A:I,9,0)</f>
        <v>16 - SECRETARIA DE TECNOLOGIA, INOVAÇÃO E DESENVOLVIMENTO ECONÔMICO</v>
      </c>
      <c r="F1456" t="str">
        <f t="shared" si="67"/>
        <v>2.005</v>
      </c>
      <c r="G1456" t="str">
        <f t="shared" si="68"/>
        <v>01.110.0000</v>
      </c>
    </row>
    <row r="1457" spans="1:7" hidden="1" x14ac:dyDescent="0.25">
      <c r="A1457" s="6" t="s">
        <v>3480</v>
      </c>
      <c r="B1457" s="28">
        <v>2077.1608999999999</v>
      </c>
      <c r="C1457" s="6" t="s">
        <v>198</v>
      </c>
      <c r="D1457" t="str">
        <f t="shared" si="66"/>
        <v>16.001.04.131.0002.2.005.3.3.90.39.00</v>
      </c>
      <c r="E1457" t="str">
        <f>VLOOKUP(LEFT(A1457,2),ConsolidadoLoa27_ATIVIDADES!A:I,9,0)</f>
        <v>16 - SECRETARIA DE TECNOLOGIA, INOVAÇÃO E DESENVOLVIMENTO ECONÔMICO</v>
      </c>
      <c r="F1457" t="str">
        <f t="shared" si="67"/>
        <v>2.005</v>
      </c>
      <c r="G1457" t="str">
        <f t="shared" si="68"/>
        <v>01.110.0000</v>
      </c>
    </row>
    <row r="1458" spans="1:7" hidden="1" x14ac:dyDescent="0.25">
      <c r="A1458" s="6" t="s">
        <v>3480</v>
      </c>
      <c r="B1458" s="28">
        <v>10183.18</v>
      </c>
      <c r="C1458" s="6" t="s">
        <v>2293</v>
      </c>
      <c r="D1458" t="str">
        <f t="shared" si="66"/>
        <v>16.001.04.131.0002.2.005.3.3.90.39.00</v>
      </c>
      <c r="E1458" t="str">
        <f>VLOOKUP(LEFT(A1458,2),ConsolidadoLoa27_ATIVIDADES!A:I,9,0)</f>
        <v>16 - SECRETARIA DE TECNOLOGIA, INOVAÇÃO E DESENVOLVIMENTO ECONÔMICO</v>
      </c>
      <c r="F1458" t="str">
        <f t="shared" si="67"/>
        <v>2.005</v>
      </c>
      <c r="G1458" t="str">
        <f t="shared" si="68"/>
        <v>01.110.0000</v>
      </c>
    </row>
    <row r="1459" spans="1:7" hidden="1" x14ac:dyDescent="0.25">
      <c r="A1459" s="6" t="s">
        <v>3480</v>
      </c>
      <c r="B1459" s="28">
        <v>1</v>
      </c>
      <c r="C1459" s="6" t="s">
        <v>196</v>
      </c>
      <c r="D1459" t="str">
        <f t="shared" si="66"/>
        <v>16.001.04.131.0002.2.005.3.3.90.39.00</v>
      </c>
      <c r="E1459" t="str">
        <f>VLOOKUP(LEFT(A1459,2),ConsolidadoLoa27_ATIVIDADES!A:I,9,0)</f>
        <v>16 - SECRETARIA DE TECNOLOGIA, INOVAÇÃO E DESENVOLVIMENTO ECONÔMICO</v>
      </c>
      <c r="F1459" t="str">
        <f t="shared" si="67"/>
        <v>2.005</v>
      </c>
      <c r="G1459" t="str">
        <f t="shared" si="68"/>
        <v>01.110.0000</v>
      </c>
    </row>
    <row r="1460" spans="1:7" hidden="1" x14ac:dyDescent="0.25">
      <c r="A1460" s="6" t="s">
        <v>3481</v>
      </c>
      <c r="B1460" s="28">
        <v>10391</v>
      </c>
      <c r="C1460" s="6" t="s">
        <v>2288</v>
      </c>
      <c r="D1460" t="str">
        <f t="shared" si="66"/>
        <v>16.001.23.334.0008.2.011.3.3.90.30.00</v>
      </c>
      <c r="E1460" t="str">
        <f>VLOOKUP(LEFT(A1460,2),ConsolidadoLoa27_ATIVIDADES!A:I,9,0)</f>
        <v>16 - SECRETARIA DE TECNOLOGIA, INOVAÇÃO E DESENVOLVIMENTO ECONÔMICO</v>
      </c>
      <c r="F1460" t="str">
        <f t="shared" si="67"/>
        <v>2.011</v>
      </c>
      <c r="G1460" t="str">
        <f t="shared" si="68"/>
        <v>01.110.0000</v>
      </c>
    </row>
    <row r="1461" spans="1:7" hidden="1" x14ac:dyDescent="0.25">
      <c r="A1461" s="6" t="s">
        <v>3481</v>
      </c>
      <c r="B1461" s="28">
        <v>15586.5</v>
      </c>
      <c r="C1461" s="6" t="s">
        <v>2295</v>
      </c>
      <c r="D1461" t="str">
        <f t="shared" si="66"/>
        <v>16.001.23.334.0008.2.011.3.3.90.30.00</v>
      </c>
      <c r="E1461" t="str">
        <f>VLOOKUP(LEFT(A1461,2),ConsolidadoLoa27_ATIVIDADES!A:I,9,0)</f>
        <v>16 - SECRETARIA DE TECNOLOGIA, INOVAÇÃO E DESENVOLVIMENTO ECONÔMICO</v>
      </c>
      <c r="F1461" t="str">
        <f t="shared" si="67"/>
        <v>2.011</v>
      </c>
      <c r="G1461" t="str">
        <f t="shared" si="68"/>
        <v>01.110.0000</v>
      </c>
    </row>
    <row r="1462" spans="1:7" hidden="1" x14ac:dyDescent="0.25">
      <c r="A1462" s="6" t="s">
        <v>3481</v>
      </c>
      <c r="B1462" s="28">
        <v>10391</v>
      </c>
      <c r="C1462" s="14" t="s">
        <v>107</v>
      </c>
      <c r="D1462" t="str">
        <f t="shared" si="66"/>
        <v>16.001.23.334.0008.2.011.3.3.90.30.00</v>
      </c>
      <c r="E1462" t="str">
        <f>VLOOKUP(LEFT(A1462,2),ConsolidadoLoa27_ATIVIDADES!A:I,9,0)</f>
        <v>16 - SECRETARIA DE TECNOLOGIA, INOVAÇÃO E DESENVOLVIMENTO ECONÔMICO</v>
      </c>
      <c r="F1462" t="str">
        <f t="shared" si="67"/>
        <v>2.011</v>
      </c>
      <c r="G1462" t="str">
        <f t="shared" si="68"/>
        <v>01.110.0000</v>
      </c>
    </row>
    <row r="1463" spans="1:7" hidden="1" x14ac:dyDescent="0.25">
      <c r="A1463" s="6" t="s">
        <v>3481</v>
      </c>
      <c r="B1463" s="28">
        <v>5195.5</v>
      </c>
      <c r="C1463" s="6" t="s">
        <v>2289</v>
      </c>
      <c r="D1463" t="str">
        <f t="shared" si="66"/>
        <v>16.001.23.334.0008.2.011.3.3.90.30.00</v>
      </c>
      <c r="E1463" t="str">
        <f>VLOOKUP(LEFT(A1463,2),ConsolidadoLoa27_ATIVIDADES!A:I,9,0)</f>
        <v>16 - SECRETARIA DE TECNOLOGIA, INOVAÇÃO E DESENVOLVIMENTO ECONÔMICO</v>
      </c>
      <c r="F1463" t="str">
        <f t="shared" si="67"/>
        <v>2.011</v>
      </c>
      <c r="G1463" t="str">
        <f t="shared" si="68"/>
        <v>01.110.0000</v>
      </c>
    </row>
    <row r="1464" spans="1:7" hidden="1" x14ac:dyDescent="0.25">
      <c r="A1464" s="6" t="s">
        <v>3482</v>
      </c>
      <c r="B1464" s="28">
        <v>103910</v>
      </c>
      <c r="C1464" s="6" t="s">
        <v>3483</v>
      </c>
      <c r="D1464" t="str">
        <f t="shared" si="66"/>
        <v>16.001.23.334.0008.2.011.3.3.90.31.00</v>
      </c>
      <c r="E1464" t="str">
        <f>VLOOKUP(LEFT(A1464,2),ConsolidadoLoa27_ATIVIDADES!A:I,9,0)</f>
        <v>16 - SECRETARIA DE TECNOLOGIA, INOVAÇÃO E DESENVOLVIMENTO ECONÔMICO</v>
      </c>
      <c r="F1464" t="str">
        <f t="shared" si="67"/>
        <v>2.011</v>
      </c>
      <c r="G1464" t="str">
        <f t="shared" si="68"/>
        <v>01.110.0000</v>
      </c>
    </row>
    <row r="1465" spans="1:7" hidden="1" x14ac:dyDescent="0.25">
      <c r="A1465" s="6" t="s">
        <v>3484</v>
      </c>
      <c r="B1465" s="28">
        <v>2597.75</v>
      </c>
      <c r="C1465" s="14" t="s">
        <v>95</v>
      </c>
      <c r="D1465" t="str">
        <f t="shared" si="66"/>
        <v>16.001.23.334.0008.2.011.3.3.90.39.00</v>
      </c>
      <c r="E1465" t="str">
        <f>VLOOKUP(LEFT(A1465,2),ConsolidadoLoa27_ATIVIDADES!A:I,9,0)</f>
        <v>16 - SECRETARIA DE TECNOLOGIA, INOVAÇÃO E DESENVOLVIMENTO ECONÔMICO</v>
      </c>
      <c r="F1465" t="str">
        <f t="shared" si="67"/>
        <v>2.011</v>
      </c>
      <c r="G1465" t="str">
        <f t="shared" si="68"/>
        <v>01.110.0000</v>
      </c>
    </row>
    <row r="1466" spans="1:7" hidden="1" x14ac:dyDescent="0.25">
      <c r="A1466" s="6" t="s">
        <v>3484</v>
      </c>
      <c r="B1466" s="28">
        <v>7793.25</v>
      </c>
      <c r="C1466" s="14" t="s">
        <v>107</v>
      </c>
      <c r="D1466" t="str">
        <f t="shared" si="66"/>
        <v>16.001.23.334.0008.2.011.3.3.90.39.00</v>
      </c>
      <c r="E1466" t="str">
        <f>VLOOKUP(LEFT(A1466,2),ConsolidadoLoa27_ATIVIDADES!A:I,9,0)</f>
        <v>16 - SECRETARIA DE TECNOLOGIA, INOVAÇÃO E DESENVOLVIMENTO ECONÔMICO</v>
      </c>
      <c r="F1466" t="str">
        <f t="shared" si="67"/>
        <v>2.011</v>
      </c>
      <c r="G1466" t="str">
        <f t="shared" si="68"/>
        <v>01.110.0000</v>
      </c>
    </row>
    <row r="1467" spans="1:7" hidden="1" x14ac:dyDescent="0.25">
      <c r="A1467" s="6" t="s">
        <v>3484</v>
      </c>
      <c r="B1467" s="28">
        <v>2597.75</v>
      </c>
      <c r="C1467" s="6" t="s">
        <v>388</v>
      </c>
      <c r="D1467" t="str">
        <f t="shared" si="66"/>
        <v>16.001.23.334.0008.2.011.3.3.90.39.00</v>
      </c>
      <c r="E1467" t="str">
        <f>VLOOKUP(LEFT(A1467,2),ConsolidadoLoa27_ATIVIDADES!A:I,9,0)</f>
        <v>16 - SECRETARIA DE TECNOLOGIA, INOVAÇÃO E DESENVOLVIMENTO ECONÔMICO</v>
      </c>
      <c r="F1467" t="str">
        <f t="shared" si="67"/>
        <v>2.011</v>
      </c>
      <c r="G1467" t="str">
        <f t="shared" si="68"/>
        <v>01.110.0000</v>
      </c>
    </row>
    <row r="1468" spans="1:7" hidden="1" x14ac:dyDescent="0.25">
      <c r="A1468" s="6" t="s">
        <v>3484</v>
      </c>
      <c r="B1468" s="28">
        <v>7793.25</v>
      </c>
      <c r="C1468" s="6" t="s">
        <v>106</v>
      </c>
      <c r="D1468" t="str">
        <f t="shared" si="66"/>
        <v>16.001.23.334.0008.2.011.3.3.90.39.00</v>
      </c>
      <c r="E1468" t="str">
        <f>VLOOKUP(LEFT(A1468,2),ConsolidadoLoa27_ATIVIDADES!A:I,9,0)</f>
        <v>16 - SECRETARIA DE TECNOLOGIA, INOVAÇÃO E DESENVOLVIMENTO ECONÔMICO</v>
      </c>
      <c r="F1468" t="str">
        <f t="shared" si="67"/>
        <v>2.011</v>
      </c>
      <c r="G1468" t="str">
        <f t="shared" si="68"/>
        <v>01.110.0000</v>
      </c>
    </row>
    <row r="1469" spans="1:7" hidden="1" x14ac:dyDescent="0.25">
      <c r="A1469" s="6" t="s">
        <v>3484</v>
      </c>
      <c r="B1469" s="28">
        <v>5590.3580000000002</v>
      </c>
      <c r="C1469" s="6" t="s">
        <v>100</v>
      </c>
      <c r="D1469" t="str">
        <f t="shared" si="66"/>
        <v>16.001.23.334.0008.2.011.3.3.90.39.00</v>
      </c>
      <c r="E1469" t="str">
        <f>VLOOKUP(LEFT(A1469,2),ConsolidadoLoa27_ATIVIDADES!A:I,9,0)</f>
        <v>16 - SECRETARIA DE TECNOLOGIA, INOVAÇÃO E DESENVOLVIMENTO ECONÔMICO</v>
      </c>
      <c r="F1469" t="str">
        <f t="shared" si="67"/>
        <v>2.011</v>
      </c>
      <c r="G1469" t="str">
        <f t="shared" si="68"/>
        <v>01.110.0000</v>
      </c>
    </row>
    <row r="1470" spans="1:7" hidden="1" x14ac:dyDescent="0.25">
      <c r="A1470" s="6" t="s">
        <v>3485</v>
      </c>
      <c r="B1470" s="28">
        <v>1</v>
      </c>
      <c r="C1470" s="6" t="s">
        <v>2333</v>
      </c>
      <c r="D1470" t="str">
        <f t="shared" si="66"/>
        <v>16.001.23.692.0008.1.002.3.3.90.39.00</v>
      </c>
      <c r="E1470" t="str">
        <f>VLOOKUP(LEFT(A1470,2),ConsolidadoLoa27_ATIVIDADES!A:I,9,0)</f>
        <v>16 - SECRETARIA DE TECNOLOGIA, INOVAÇÃO E DESENVOLVIMENTO ECONÔMICO</v>
      </c>
      <c r="F1470" t="str">
        <f t="shared" si="67"/>
        <v>1.002</v>
      </c>
      <c r="G1470" t="str">
        <f t="shared" si="68"/>
        <v>01.110.0000</v>
      </c>
    </row>
    <row r="1471" spans="1:7" hidden="1" x14ac:dyDescent="0.25">
      <c r="A1471" s="6" t="s">
        <v>3486</v>
      </c>
      <c r="B1471" s="28">
        <v>1</v>
      </c>
      <c r="C1471" s="6" t="s">
        <v>3487</v>
      </c>
      <c r="D1471" t="str">
        <f t="shared" si="66"/>
        <v>16.001.23.692.0008.1.003.4.4.90.52.00</v>
      </c>
      <c r="E1471" t="str">
        <f>VLOOKUP(LEFT(A1471,2),ConsolidadoLoa27_ATIVIDADES!A:I,9,0)</f>
        <v>16 - SECRETARIA DE TECNOLOGIA, INOVAÇÃO E DESENVOLVIMENTO ECONÔMICO</v>
      </c>
      <c r="F1471" t="str">
        <f t="shared" si="67"/>
        <v>1.003</v>
      </c>
      <c r="G1471" t="str">
        <f t="shared" si="68"/>
        <v>01.110.0000</v>
      </c>
    </row>
    <row r="1472" spans="1:7" hidden="1" x14ac:dyDescent="0.25">
      <c r="A1472" s="6" t="s">
        <v>3488</v>
      </c>
      <c r="B1472" s="28">
        <v>9452593.8800000008</v>
      </c>
      <c r="C1472" s="6" t="s">
        <v>847</v>
      </c>
      <c r="D1472" t="str">
        <f t="shared" si="66"/>
        <v>17.001.04.122.0001.2.001.3.1.90.11.00</v>
      </c>
      <c r="E1472" t="str">
        <f>VLOOKUP(LEFT(A1472,2),ConsolidadoLoa27_ATIVIDADES!A:I,9,0)</f>
        <v>17 - SECRETARIA DE MEIO AMBIENTE E RECURSOS HÍDRICOS</v>
      </c>
      <c r="F1472" t="str">
        <f t="shared" si="67"/>
        <v>2.001</v>
      </c>
      <c r="G1472" t="str">
        <f t="shared" si="68"/>
        <v>01.110.0000</v>
      </c>
    </row>
    <row r="1473" spans="1:7" hidden="1" x14ac:dyDescent="0.25">
      <c r="A1473" s="6" t="s">
        <v>3489</v>
      </c>
      <c r="B1473" s="28">
        <v>1024161.7</v>
      </c>
      <c r="C1473" s="6" t="s">
        <v>847</v>
      </c>
      <c r="D1473" t="str">
        <f t="shared" si="66"/>
        <v>17.001.04.122.0001.2.001.3.1.90.13.00</v>
      </c>
      <c r="E1473" t="str">
        <f>VLOOKUP(LEFT(A1473,2),ConsolidadoLoa27_ATIVIDADES!A:I,9,0)</f>
        <v>17 - SECRETARIA DE MEIO AMBIENTE E RECURSOS HÍDRICOS</v>
      </c>
      <c r="F1473" t="str">
        <f t="shared" si="67"/>
        <v>2.001</v>
      </c>
      <c r="G1473" t="str">
        <f t="shared" si="68"/>
        <v>01.110.0000</v>
      </c>
    </row>
    <row r="1474" spans="1:7" hidden="1" x14ac:dyDescent="0.25">
      <c r="A1474" s="6" t="s">
        <v>3490</v>
      </c>
      <c r="B1474" s="28">
        <v>790609.54</v>
      </c>
      <c r="C1474" s="12" t="s">
        <v>847</v>
      </c>
      <c r="D1474" t="str">
        <f t="shared" si="66"/>
        <v>17.001.04.122.0001.2.001.3.1.91.13.00</v>
      </c>
      <c r="E1474" t="str">
        <f>VLOOKUP(LEFT(A1474,2),ConsolidadoLoa27_ATIVIDADES!A:I,9,0)</f>
        <v>17 - SECRETARIA DE MEIO AMBIENTE E RECURSOS HÍDRICOS</v>
      </c>
      <c r="F1474" t="str">
        <f t="shared" si="67"/>
        <v>2.001</v>
      </c>
      <c r="G1474" t="str">
        <f t="shared" si="68"/>
        <v>01.110.0000</v>
      </c>
    </row>
    <row r="1475" spans="1:7" hidden="1" x14ac:dyDescent="0.25">
      <c r="A1475" s="6" t="s">
        <v>3491</v>
      </c>
      <c r="B1475" s="28">
        <v>2.2400000000000002</v>
      </c>
      <c r="C1475" s="6" t="s">
        <v>2278</v>
      </c>
      <c r="D1475" t="str">
        <f t="shared" ref="D1475:D1538" si="69">_xlfn.CONCAT(LEFT(A1475,34),".00")</f>
        <v>17.001.04.122.0001.2.001.3.3.90.46.00</v>
      </c>
      <c r="E1475" t="str">
        <f>VLOOKUP(LEFT(A1475,2),ConsolidadoLoa27_ATIVIDADES!A:I,9,0)</f>
        <v>17 - SECRETARIA DE MEIO AMBIENTE E RECURSOS HÍDRICOS</v>
      </c>
      <c r="F1475" t="str">
        <f t="shared" ref="F1475:F1538" si="70">MID(A1475,20,5)</f>
        <v>2.001</v>
      </c>
      <c r="G1475" t="str">
        <f t="shared" ref="G1475:G1538" si="71">RIGHT(A1475,11)</f>
        <v>01.110.0000</v>
      </c>
    </row>
    <row r="1476" spans="1:7" hidden="1" x14ac:dyDescent="0.25">
      <c r="A1476" s="6" t="s">
        <v>3492</v>
      </c>
      <c r="B1476" s="28">
        <v>129186.38</v>
      </c>
      <c r="C1476" s="6" t="s">
        <v>2280</v>
      </c>
      <c r="D1476" t="str">
        <f t="shared" si="69"/>
        <v>17.001.04.122.0001.2.001.3.3.90.49.00</v>
      </c>
      <c r="E1476" t="str">
        <f>VLOOKUP(LEFT(A1476,2),ConsolidadoLoa27_ATIVIDADES!A:I,9,0)</f>
        <v>17 - SECRETARIA DE MEIO AMBIENTE E RECURSOS HÍDRICOS</v>
      </c>
      <c r="F1476" t="str">
        <f t="shared" si="70"/>
        <v>2.001</v>
      </c>
      <c r="G1476" t="str">
        <f t="shared" si="71"/>
        <v>01.110.0000</v>
      </c>
    </row>
    <row r="1477" spans="1:7" hidden="1" x14ac:dyDescent="0.25">
      <c r="A1477" s="6" t="s">
        <v>3493</v>
      </c>
      <c r="B1477" s="28">
        <v>1</v>
      </c>
      <c r="C1477" s="6" t="s">
        <v>2282</v>
      </c>
      <c r="D1477" t="str">
        <f t="shared" si="69"/>
        <v>17.001.04.122.0001.2.006.3.3.90.33.00</v>
      </c>
      <c r="E1477" t="str">
        <f>VLOOKUP(LEFT(A1477,2),ConsolidadoLoa27_ATIVIDADES!A:I,9,0)</f>
        <v>17 - SECRETARIA DE MEIO AMBIENTE E RECURSOS HÍDRICOS</v>
      </c>
      <c r="F1477" t="str">
        <f t="shared" si="70"/>
        <v>2.006</v>
      </c>
      <c r="G1477" t="str">
        <f t="shared" si="71"/>
        <v>01.110.0000</v>
      </c>
    </row>
    <row r="1478" spans="1:7" hidden="1" x14ac:dyDescent="0.25">
      <c r="A1478" s="6" t="s">
        <v>3494</v>
      </c>
      <c r="B1478" s="28">
        <v>1</v>
      </c>
      <c r="C1478" s="14" t="s">
        <v>421</v>
      </c>
      <c r="D1478" t="str">
        <f t="shared" si="69"/>
        <v>17.001.04.122.0001.2.006.3.3.90.39.00</v>
      </c>
      <c r="E1478" t="str">
        <f>VLOOKUP(LEFT(A1478,2),ConsolidadoLoa27_ATIVIDADES!A:I,9,0)</f>
        <v>17 - SECRETARIA DE MEIO AMBIENTE E RECURSOS HÍDRICOS</v>
      </c>
      <c r="F1478" t="str">
        <f t="shared" si="70"/>
        <v>2.006</v>
      </c>
      <c r="G1478" t="str">
        <f t="shared" si="71"/>
        <v>01.110.0000</v>
      </c>
    </row>
    <row r="1479" spans="1:7" hidden="1" x14ac:dyDescent="0.25">
      <c r="A1479" s="6" t="s">
        <v>3495</v>
      </c>
      <c r="B1479" s="28">
        <v>1</v>
      </c>
      <c r="C1479" s="6" t="s">
        <v>318</v>
      </c>
      <c r="D1479" t="str">
        <f t="shared" si="69"/>
        <v>17.001.04.128.0002.2.003.3.3.90.36.00</v>
      </c>
      <c r="E1479" t="str">
        <f>VLOOKUP(LEFT(A1479,2),ConsolidadoLoa27_ATIVIDADES!A:I,9,0)</f>
        <v>17 - SECRETARIA DE MEIO AMBIENTE E RECURSOS HÍDRICOS</v>
      </c>
      <c r="F1479" t="str">
        <f t="shared" si="70"/>
        <v>2.003</v>
      </c>
      <c r="G1479" t="str">
        <f t="shared" si="71"/>
        <v>01.110.0000</v>
      </c>
    </row>
    <row r="1480" spans="1:7" hidden="1" x14ac:dyDescent="0.25">
      <c r="A1480" s="6" t="s">
        <v>3496</v>
      </c>
      <c r="B1480" s="28">
        <v>1</v>
      </c>
      <c r="C1480" s="6" t="s">
        <v>318</v>
      </c>
      <c r="D1480" t="str">
        <f t="shared" si="69"/>
        <v>17.001.04.128.0002.2.003.3.3.90.39.00</v>
      </c>
      <c r="E1480" t="str">
        <f>VLOOKUP(LEFT(A1480,2),ConsolidadoLoa27_ATIVIDADES!A:I,9,0)</f>
        <v>17 - SECRETARIA DE MEIO AMBIENTE E RECURSOS HÍDRICOS</v>
      </c>
      <c r="F1480" t="str">
        <f t="shared" si="70"/>
        <v>2.003</v>
      </c>
      <c r="G1480" t="str">
        <f t="shared" si="71"/>
        <v>01.110.0000</v>
      </c>
    </row>
    <row r="1481" spans="1:7" hidden="1" x14ac:dyDescent="0.25">
      <c r="A1481" s="6" t="s">
        <v>3497</v>
      </c>
      <c r="B1481" s="28">
        <v>51955</v>
      </c>
      <c r="C1481" s="6" t="s">
        <v>245</v>
      </c>
      <c r="D1481" t="str">
        <f t="shared" si="69"/>
        <v>17.001.04.131.0002.2.005.3.3.90.30.00</v>
      </c>
      <c r="E1481" t="str">
        <f>VLOOKUP(LEFT(A1481,2),ConsolidadoLoa27_ATIVIDADES!A:I,9,0)</f>
        <v>17 - SECRETARIA DE MEIO AMBIENTE E RECURSOS HÍDRICOS</v>
      </c>
      <c r="F1481" t="str">
        <f t="shared" si="70"/>
        <v>2.005</v>
      </c>
      <c r="G1481" t="str">
        <f t="shared" si="71"/>
        <v>01.110.0000</v>
      </c>
    </row>
    <row r="1482" spans="1:7" hidden="1" x14ac:dyDescent="0.25">
      <c r="A1482" s="6" t="s">
        <v>3498</v>
      </c>
      <c r="B1482" s="28">
        <v>50000</v>
      </c>
      <c r="C1482" s="6" t="s">
        <v>198</v>
      </c>
      <c r="D1482" t="str">
        <f t="shared" si="69"/>
        <v>17.001.04.131.0002.2.005.3.3.90.39.00</v>
      </c>
      <c r="E1482" t="str">
        <f>VLOOKUP(LEFT(A1482,2),ConsolidadoLoa27_ATIVIDADES!A:I,9,0)</f>
        <v>17 - SECRETARIA DE MEIO AMBIENTE E RECURSOS HÍDRICOS</v>
      </c>
      <c r="F1482" t="str">
        <f t="shared" si="70"/>
        <v>2.005</v>
      </c>
      <c r="G1482" t="str">
        <f t="shared" si="71"/>
        <v>01.110.0000</v>
      </c>
    </row>
    <row r="1483" spans="1:7" hidden="1" x14ac:dyDescent="0.25">
      <c r="A1483" s="6" t="s">
        <v>3498</v>
      </c>
      <c r="B1483" s="28">
        <v>51955</v>
      </c>
      <c r="C1483" s="6" t="s">
        <v>2293</v>
      </c>
      <c r="D1483" t="str">
        <f t="shared" si="69"/>
        <v>17.001.04.131.0002.2.005.3.3.90.39.00</v>
      </c>
      <c r="E1483" t="str">
        <f>VLOOKUP(LEFT(A1483,2),ConsolidadoLoa27_ATIVIDADES!A:I,9,0)</f>
        <v>17 - SECRETARIA DE MEIO AMBIENTE E RECURSOS HÍDRICOS</v>
      </c>
      <c r="F1483" t="str">
        <f t="shared" si="70"/>
        <v>2.005</v>
      </c>
      <c r="G1483" t="str">
        <f t="shared" si="71"/>
        <v>01.110.0000</v>
      </c>
    </row>
    <row r="1484" spans="1:7" hidden="1" x14ac:dyDescent="0.25">
      <c r="A1484" s="6" t="s">
        <v>3498</v>
      </c>
      <c r="B1484" s="28">
        <v>1</v>
      </c>
      <c r="C1484" s="6" t="s">
        <v>196</v>
      </c>
      <c r="D1484" t="str">
        <f t="shared" si="69"/>
        <v>17.001.04.131.0002.2.005.3.3.90.39.00</v>
      </c>
      <c r="E1484" t="str">
        <f>VLOOKUP(LEFT(A1484,2),ConsolidadoLoa27_ATIVIDADES!A:I,9,0)</f>
        <v>17 - SECRETARIA DE MEIO AMBIENTE E RECURSOS HÍDRICOS</v>
      </c>
      <c r="F1484" t="str">
        <f t="shared" si="70"/>
        <v>2.005</v>
      </c>
      <c r="G1484" t="str">
        <f t="shared" si="71"/>
        <v>01.110.0000</v>
      </c>
    </row>
    <row r="1485" spans="1:7" hidden="1" x14ac:dyDescent="0.25">
      <c r="A1485" s="6" t="s">
        <v>3499</v>
      </c>
      <c r="B1485" s="28">
        <v>5195.5</v>
      </c>
      <c r="C1485" s="6" t="s">
        <v>245</v>
      </c>
      <c r="D1485" t="str">
        <f t="shared" si="69"/>
        <v>17.001.18.422.0007.2.021.3.3.90.30.00</v>
      </c>
      <c r="E1485" t="str">
        <f>VLOOKUP(LEFT(A1485,2),ConsolidadoLoa27_ATIVIDADES!A:I,9,0)</f>
        <v>17 - SECRETARIA DE MEIO AMBIENTE E RECURSOS HÍDRICOS</v>
      </c>
      <c r="F1485" t="str">
        <f t="shared" si="70"/>
        <v>2.021</v>
      </c>
      <c r="G1485" t="str">
        <f t="shared" si="71"/>
        <v>01.110.0000</v>
      </c>
    </row>
    <row r="1486" spans="1:7" hidden="1" x14ac:dyDescent="0.25">
      <c r="A1486" s="6" t="s">
        <v>3499</v>
      </c>
      <c r="B1486" s="28">
        <v>1</v>
      </c>
      <c r="C1486" s="6" t="s">
        <v>3236</v>
      </c>
      <c r="D1486" t="str">
        <f t="shared" si="69"/>
        <v>17.001.18.422.0007.2.021.3.3.90.30.00</v>
      </c>
      <c r="E1486" t="str">
        <f>VLOOKUP(LEFT(A1486,2),ConsolidadoLoa27_ATIVIDADES!A:I,9,0)</f>
        <v>17 - SECRETARIA DE MEIO AMBIENTE E RECURSOS HÍDRICOS</v>
      </c>
      <c r="F1486" t="str">
        <f t="shared" si="70"/>
        <v>2.021</v>
      </c>
      <c r="G1486" t="str">
        <f t="shared" si="71"/>
        <v>01.110.0000</v>
      </c>
    </row>
    <row r="1487" spans="1:7" hidden="1" x14ac:dyDescent="0.25">
      <c r="A1487" s="6" t="s">
        <v>3500</v>
      </c>
      <c r="B1487" s="28">
        <v>5194.4609</v>
      </c>
      <c r="C1487" s="6" t="s">
        <v>3236</v>
      </c>
      <c r="D1487" t="str">
        <f t="shared" si="69"/>
        <v>17.001.18.422.0007.2.021.3.3.90.30.00</v>
      </c>
      <c r="E1487" t="str">
        <f>VLOOKUP(LEFT(A1487,2),ConsolidadoLoa27_ATIVIDADES!A:I,9,0)</f>
        <v>17 - SECRETARIA DE MEIO AMBIENTE E RECURSOS HÍDRICOS</v>
      </c>
      <c r="F1487" t="str">
        <f t="shared" si="70"/>
        <v>2.021</v>
      </c>
      <c r="G1487" t="str">
        <f t="shared" si="71"/>
        <v>03.100.1702</v>
      </c>
    </row>
    <row r="1488" spans="1:7" hidden="1" x14ac:dyDescent="0.25">
      <c r="A1488" s="6" t="s">
        <v>3501</v>
      </c>
      <c r="B1488" s="28">
        <v>5195.5</v>
      </c>
      <c r="C1488" s="6" t="s">
        <v>198</v>
      </c>
      <c r="D1488" t="str">
        <f t="shared" si="69"/>
        <v>17.001.18.422.0007.2.021.3.3.90.39.00</v>
      </c>
      <c r="E1488" t="str">
        <f>VLOOKUP(LEFT(A1488,2),ConsolidadoLoa27_ATIVIDADES!A:I,9,0)</f>
        <v>17 - SECRETARIA DE MEIO AMBIENTE E RECURSOS HÍDRICOS</v>
      </c>
      <c r="F1488" t="str">
        <f t="shared" si="70"/>
        <v>2.021</v>
      </c>
      <c r="G1488" t="str">
        <f t="shared" si="71"/>
        <v>01.110.0000</v>
      </c>
    </row>
    <row r="1489" spans="1:7" hidden="1" x14ac:dyDescent="0.25">
      <c r="A1489" s="6" t="s">
        <v>3501</v>
      </c>
      <c r="B1489" s="28">
        <v>1</v>
      </c>
      <c r="C1489" s="6" t="s">
        <v>3333</v>
      </c>
      <c r="D1489" t="str">
        <f t="shared" si="69"/>
        <v>17.001.18.422.0007.2.021.3.3.90.39.00</v>
      </c>
      <c r="E1489" t="str">
        <f>VLOOKUP(LEFT(A1489,2),ConsolidadoLoa27_ATIVIDADES!A:I,9,0)</f>
        <v>17 - SECRETARIA DE MEIO AMBIENTE E RECURSOS HÍDRICOS</v>
      </c>
      <c r="F1489" t="str">
        <f t="shared" si="70"/>
        <v>2.021</v>
      </c>
      <c r="G1489" t="str">
        <f t="shared" si="71"/>
        <v>01.110.0000</v>
      </c>
    </row>
    <row r="1490" spans="1:7" hidden="1" x14ac:dyDescent="0.25">
      <c r="A1490" s="6" t="s">
        <v>3501</v>
      </c>
      <c r="B1490" s="28">
        <v>1</v>
      </c>
      <c r="C1490" s="6" t="s">
        <v>196</v>
      </c>
      <c r="D1490" t="str">
        <f t="shared" si="69"/>
        <v>17.001.18.422.0007.2.021.3.3.90.39.00</v>
      </c>
      <c r="E1490" t="str">
        <f>VLOOKUP(LEFT(A1490,2),ConsolidadoLoa27_ATIVIDADES!A:I,9,0)</f>
        <v>17 - SECRETARIA DE MEIO AMBIENTE E RECURSOS HÍDRICOS</v>
      </c>
      <c r="F1490" t="str">
        <f t="shared" si="70"/>
        <v>2.021</v>
      </c>
      <c r="G1490" t="str">
        <f t="shared" si="71"/>
        <v>01.110.0000</v>
      </c>
    </row>
    <row r="1491" spans="1:7" hidden="1" x14ac:dyDescent="0.25">
      <c r="A1491" s="6" t="s">
        <v>3502</v>
      </c>
      <c r="B1491" s="28">
        <v>25976.460899999998</v>
      </c>
      <c r="C1491" s="6" t="s">
        <v>3333</v>
      </c>
      <c r="D1491" t="str">
        <f t="shared" si="69"/>
        <v>17.001.18.422.0007.2.021.3.3.90.39.00</v>
      </c>
      <c r="E1491" t="str">
        <f>VLOOKUP(LEFT(A1491,2),ConsolidadoLoa27_ATIVIDADES!A:I,9,0)</f>
        <v>17 - SECRETARIA DE MEIO AMBIENTE E RECURSOS HÍDRICOS</v>
      </c>
      <c r="F1491" t="str">
        <f t="shared" si="70"/>
        <v>2.021</v>
      </c>
      <c r="G1491" t="str">
        <f t="shared" si="71"/>
        <v>03.100.1702</v>
      </c>
    </row>
    <row r="1492" spans="1:7" hidden="1" x14ac:dyDescent="0.25">
      <c r="A1492" s="6" t="s">
        <v>3503</v>
      </c>
      <c r="B1492" s="28">
        <v>1</v>
      </c>
      <c r="C1492" s="6" t="s">
        <v>3504</v>
      </c>
      <c r="D1492" t="str">
        <f t="shared" si="69"/>
        <v>17.001.18.541.0007.1.002.3.3.90.39.00</v>
      </c>
      <c r="E1492" t="str">
        <f>VLOOKUP(LEFT(A1492,2),ConsolidadoLoa27_ATIVIDADES!A:I,9,0)</f>
        <v>17 - SECRETARIA DE MEIO AMBIENTE E RECURSOS HÍDRICOS</v>
      </c>
      <c r="F1492" t="str">
        <f t="shared" si="70"/>
        <v>1.002</v>
      </c>
      <c r="G1492" t="str">
        <f t="shared" si="71"/>
        <v>01.110.0000</v>
      </c>
    </row>
    <row r="1493" spans="1:7" hidden="1" x14ac:dyDescent="0.25">
      <c r="A1493" s="6" t="s">
        <v>3503</v>
      </c>
      <c r="B1493" s="28">
        <v>11000</v>
      </c>
      <c r="C1493" s="6" t="s">
        <v>3505</v>
      </c>
      <c r="D1493" t="str">
        <f t="shared" si="69"/>
        <v>17.001.18.541.0007.1.002.3.3.90.39.00</v>
      </c>
      <c r="E1493" t="str">
        <f>VLOOKUP(LEFT(A1493,2),ConsolidadoLoa27_ATIVIDADES!A:I,9,0)</f>
        <v>17 - SECRETARIA DE MEIO AMBIENTE E RECURSOS HÍDRICOS</v>
      </c>
      <c r="F1493" t="str">
        <f t="shared" si="70"/>
        <v>1.002</v>
      </c>
      <c r="G1493" t="str">
        <f t="shared" si="71"/>
        <v>01.110.0000</v>
      </c>
    </row>
    <row r="1494" spans="1:7" hidden="1" x14ac:dyDescent="0.25">
      <c r="A1494" s="6" t="s">
        <v>3506</v>
      </c>
      <c r="B1494" s="28">
        <v>0</v>
      </c>
      <c r="C1494" s="6" t="s">
        <v>3505</v>
      </c>
      <c r="D1494" t="str">
        <f t="shared" si="69"/>
        <v>17.001.18.541.0007.1.002.3.3.90.39.00</v>
      </c>
      <c r="E1494" t="str">
        <f>VLOOKUP(LEFT(A1494,2),ConsolidadoLoa27_ATIVIDADES!A:I,9,0)</f>
        <v>17 - SECRETARIA DE MEIO AMBIENTE E RECURSOS HÍDRICOS</v>
      </c>
      <c r="F1494" t="str">
        <f t="shared" si="70"/>
        <v>1.002</v>
      </c>
      <c r="G1494" t="str">
        <f t="shared" si="71"/>
        <v>05.802.0000</v>
      </c>
    </row>
    <row r="1495" spans="1:7" hidden="1" x14ac:dyDescent="0.25">
      <c r="A1495" s="6" t="s">
        <v>3507</v>
      </c>
      <c r="B1495" s="28">
        <v>0</v>
      </c>
      <c r="C1495" s="6" t="s">
        <v>3508</v>
      </c>
      <c r="D1495" t="str">
        <f t="shared" si="69"/>
        <v>17.001.18.541.0007.1.002.3.3.90.39.00</v>
      </c>
      <c r="E1495" t="str">
        <f>VLOOKUP(LEFT(A1495,2),ConsolidadoLoa27_ATIVIDADES!A:I,9,0)</f>
        <v>17 - SECRETARIA DE MEIO AMBIENTE E RECURSOS HÍDRICOS</v>
      </c>
      <c r="F1495" t="str">
        <f t="shared" si="70"/>
        <v>1.002</v>
      </c>
      <c r="G1495" t="str">
        <f t="shared" si="71"/>
        <v>08.110.0000</v>
      </c>
    </row>
    <row r="1496" spans="1:7" hidden="1" x14ac:dyDescent="0.25">
      <c r="A1496" s="6" t="s">
        <v>3509</v>
      </c>
      <c r="B1496" s="28">
        <v>0</v>
      </c>
      <c r="C1496" s="6" t="s">
        <v>3510</v>
      </c>
      <c r="D1496" t="str">
        <f t="shared" si="69"/>
        <v>17.001.18.541.0007.2.011.3.3.50.39.00</v>
      </c>
      <c r="E1496" t="str">
        <f>VLOOKUP(LEFT(A1496,2),ConsolidadoLoa27_ATIVIDADES!A:I,9,0)</f>
        <v>17 - SECRETARIA DE MEIO AMBIENTE E RECURSOS HÍDRICOS</v>
      </c>
      <c r="F1496" t="str">
        <f t="shared" si="70"/>
        <v>2.011</v>
      </c>
      <c r="G1496" t="str">
        <f t="shared" si="71"/>
        <v>08.110.0000</v>
      </c>
    </row>
    <row r="1497" spans="1:7" hidden="1" x14ac:dyDescent="0.25">
      <c r="A1497" s="6" t="s">
        <v>3509</v>
      </c>
      <c r="B1497" s="28">
        <v>0</v>
      </c>
      <c r="C1497" s="6" t="s">
        <v>3511</v>
      </c>
      <c r="D1497" t="str">
        <f t="shared" si="69"/>
        <v>17.001.18.541.0007.2.011.3.3.50.39.00</v>
      </c>
      <c r="E1497" t="str">
        <f>VLOOKUP(LEFT(A1497,2),ConsolidadoLoa27_ATIVIDADES!A:I,9,0)</f>
        <v>17 - SECRETARIA DE MEIO AMBIENTE E RECURSOS HÍDRICOS</v>
      </c>
      <c r="F1497" t="str">
        <f t="shared" si="70"/>
        <v>2.011</v>
      </c>
      <c r="G1497" t="str">
        <f t="shared" si="71"/>
        <v>08.110.0000</v>
      </c>
    </row>
    <row r="1498" spans="1:7" hidden="1" x14ac:dyDescent="0.25">
      <c r="A1498" s="6" t="s">
        <v>3509</v>
      </c>
      <c r="B1498" s="28">
        <v>0</v>
      </c>
      <c r="C1498" s="6" t="s">
        <v>3512</v>
      </c>
      <c r="D1498" t="str">
        <f t="shared" si="69"/>
        <v>17.001.18.541.0007.2.011.3.3.50.39.00</v>
      </c>
      <c r="E1498" t="str">
        <f>VLOOKUP(LEFT(A1498,2),ConsolidadoLoa27_ATIVIDADES!A:I,9,0)</f>
        <v>17 - SECRETARIA DE MEIO AMBIENTE E RECURSOS HÍDRICOS</v>
      </c>
      <c r="F1498" t="str">
        <f t="shared" si="70"/>
        <v>2.011</v>
      </c>
      <c r="G1498" t="str">
        <f t="shared" si="71"/>
        <v>08.110.0000</v>
      </c>
    </row>
    <row r="1499" spans="1:7" hidden="1" x14ac:dyDescent="0.25">
      <c r="A1499" s="6" t="s">
        <v>3509</v>
      </c>
      <c r="B1499" s="28">
        <v>0</v>
      </c>
      <c r="C1499" s="6" t="s">
        <v>3513</v>
      </c>
      <c r="D1499" t="str">
        <f t="shared" si="69"/>
        <v>17.001.18.541.0007.2.011.3.3.50.39.00</v>
      </c>
      <c r="E1499" t="str">
        <f>VLOOKUP(LEFT(A1499,2),ConsolidadoLoa27_ATIVIDADES!A:I,9,0)</f>
        <v>17 - SECRETARIA DE MEIO AMBIENTE E RECURSOS HÍDRICOS</v>
      </c>
      <c r="F1499" t="str">
        <f t="shared" si="70"/>
        <v>2.011</v>
      </c>
      <c r="G1499" t="str">
        <f t="shared" si="71"/>
        <v>08.110.0000</v>
      </c>
    </row>
    <row r="1500" spans="1:7" hidden="1" x14ac:dyDescent="0.25">
      <c r="A1500" s="6" t="s">
        <v>3514</v>
      </c>
      <c r="B1500" s="28">
        <v>4014494.55</v>
      </c>
      <c r="C1500" s="6" t="s">
        <v>3515</v>
      </c>
      <c r="D1500" t="str">
        <f t="shared" si="69"/>
        <v>17.001.18.541.0007.2.011.3.3.50.85.00</v>
      </c>
      <c r="E1500" t="str">
        <f>VLOOKUP(LEFT(A1500,2),ConsolidadoLoa27_ATIVIDADES!A:I,9,0)</f>
        <v>17 - SECRETARIA DE MEIO AMBIENTE E RECURSOS HÍDRICOS</v>
      </c>
      <c r="F1500" t="str">
        <f t="shared" si="70"/>
        <v>2.011</v>
      </c>
      <c r="G1500" t="str">
        <f t="shared" si="71"/>
        <v>01.110.0000</v>
      </c>
    </row>
    <row r="1501" spans="1:7" hidden="1" x14ac:dyDescent="0.25">
      <c r="A1501" s="6" t="s">
        <v>3514</v>
      </c>
      <c r="B1501" s="28">
        <v>4014494.55</v>
      </c>
      <c r="C1501" s="6" t="s">
        <v>3516</v>
      </c>
      <c r="D1501" t="str">
        <f t="shared" si="69"/>
        <v>17.001.18.541.0007.2.011.3.3.50.85.00</v>
      </c>
      <c r="E1501" t="str">
        <f>VLOOKUP(LEFT(A1501,2),ConsolidadoLoa27_ATIVIDADES!A:I,9,0)</f>
        <v>17 - SECRETARIA DE MEIO AMBIENTE E RECURSOS HÍDRICOS</v>
      </c>
      <c r="F1501" t="str">
        <f t="shared" si="70"/>
        <v>2.011</v>
      </c>
      <c r="G1501" t="str">
        <f t="shared" si="71"/>
        <v>01.110.0000</v>
      </c>
    </row>
    <row r="1502" spans="1:7" hidden="1" x14ac:dyDescent="0.25">
      <c r="A1502" s="6" t="s">
        <v>3517</v>
      </c>
      <c r="B1502" s="28">
        <v>192824.1109</v>
      </c>
      <c r="C1502" s="6" t="s">
        <v>2318</v>
      </c>
      <c r="D1502" t="str">
        <f t="shared" si="69"/>
        <v>17.001.18.541.0007.2.011.3.3.90.30.00</v>
      </c>
      <c r="E1502" t="str">
        <f>VLOOKUP(LEFT(A1502,2),ConsolidadoLoa27_ATIVIDADES!A:I,9,0)</f>
        <v>17 - SECRETARIA DE MEIO AMBIENTE E RECURSOS HÍDRICOS</v>
      </c>
      <c r="F1502" t="str">
        <f t="shared" si="70"/>
        <v>2.011</v>
      </c>
      <c r="G1502" t="str">
        <f t="shared" si="71"/>
        <v>01.110.0000</v>
      </c>
    </row>
    <row r="1503" spans="1:7" hidden="1" x14ac:dyDescent="0.25">
      <c r="A1503" s="6" t="s">
        <v>3517</v>
      </c>
      <c r="B1503" s="28">
        <v>31173</v>
      </c>
      <c r="C1503" s="6" t="s">
        <v>2288</v>
      </c>
      <c r="D1503" t="str">
        <f t="shared" si="69"/>
        <v>17.001.18.541.0007.2.011.3.3.90.30.00</v>
      </c>
      <c r="E1503" t="str">
        <f>VLOOKUP(LEFT(A1503,2),ConsolidadoLoa27_ATIVIDADES!A:I,9,0)</f>
        <v>17 - SECRETARIA DE MEIO AMBIENTE E RECURSOS HÍDRICOS</v>
      </c>
      <c r="F1503" t="str">
        <f t="shared" si="70"/>
        <v>2.011</v>
      </c>
      <c r="G1503" t="str">
        <f t="shared" si="71"/>
        <v>01.110.0000</v>
      </c>
    </row>
    <row r="1504" spans="1:7" hidden="1" x14ac:dyDescent="0.25">
      <c r="A1504" s="6" t="s">
        <v>3517</v>
      </c>
      <c r="B1504" s="28">
        <v>259775</v>
      </c>
      <c r="C1504" s="6" t="s">
        <v>2295</v>
      </c>
      <c r="D1504" t="str">
        <f t="shared" si="69"/>
        <v>17.001.18.541.0007.2.011.3.3.90.30.00</v>
      </c>
      <c r="E1504" t="str">
        <f>VLOOKUP(LEFT(A1504,2),ConsolidadoLoa27_ATIVIDADES!A:I,9,0)</f>
        <v>17 - SECRETARIA DE MEIO AMBIENTE E RECURSOS HÍDRICOS</v>
      </c>
      <c r="F1504" t="str">
        <f t="shared" si="70"/>
        <v>2.011</v>
      </c>
      <c r="G1504" t="str">
        <f t="shared" si="71"/>
        <v>01.110.0000</v>
      </c>
    </row>
    <row r="1505" spans="1:7" hidden="1" x14ac:dyDescent="0.25">
      <c r="A1505" s="6" t="s">
        <v>3517</v>
      </c>
      <c r="B1505" s="28">
        <v>20782</v>
      </c>
      <c r="C1505" s="14" t="s">
        <v>107</v>
      </c>
      <c r="D1505" t="str">
        <f t="shared" si="69"/>
        <v>17.001.18.541.0007.2.011.3.3.90.30.00</v>
      </c>
      <c r="E1505" t="str">
        <f>VLOOKUP(LEFT(A1505,2),ConsolidadoLoa27_ATIVIDADES!A:I,9,0)</f>
        <v>17 - SECRETARIA DE MEIO AMBIENTE E RECURSOS HÍDRICOS</v>
      </c>
      <c r="F1505" t="str">
        <f t="shared" si="70"/>
        <v>2.011</v>
      </c>
      <c r="G1505" t="str">
        <f t="shared" si="71"/>
        <v>01.110.0000</v>
      </c>
    </row>
    <row r="1506" spans="1:7" hidden="1" x14ac:dyDescent="0.25">
      <c r="A1506" s="6" t="s">
        <v>3517</v>
      </c>
      <c r="B1506" s="28">
        <v>15586.5</v>
      </c>
      <c r="C1506" s="6" t="s">
        <v>2289</v>
      </c>
      <c r="D1506" t="str">
        <f t="shared" si="69"/>
        <v>17.001.18.541.0007.2.011.3.3.90.30.00</v>
      </c>
      <c r="E1506" t="str">
        <f>VLOOKUP(LEFT(A1506,2),ConsolidadoLoa27_ATIVIDADES!A:I,9,0)</f>
        <v>17 - SECRETARIA DE MEIO AMBIENTE E RECURSOS HÍDRICOS</v>
      </c>
      <c r="F1506" t="str">
        <f t="shared" si="70"/>
        <v>2.011</v>
      </c>
      <c r="G1506" t="str">
        <f t="shared" si="71"/>
        <v>01.110.0000</v>
      </c>
    </row>
    <row r="1507" spans="1:7" hidden="1" x14ac:dyDescent="0.25">
      <c r="A1507" s="6" t="s">
        <v>3517</v>
      </c>
      <c r="B1507" s="28">
        <v>5195.5</v>
      </c>
      <c r="C1507" s="6" t="s">
        <v>104</v>
      </c>
      <c r="D1507" t="str">
        <f t="shared" si="69"/>
        <v>17.001.18.541.0007.2.011.3.3.90.30.00</v>
      </c>
      <c r="E1507" t="str">
        <f>VLOOKUP(LEFT(A1507,2),ConsolidadoLoa27_ATIVIDADES!A:I,9,0)</f>
        <v>17 - SECRETARIA DE MEIO AMBIENTE E RECURSOS HÍDRICOS</v>
      </c>
      <c r="F1507" t="str">
        <f t="shared" si="70"/>
        <v>2.011</v>
      </c>
      <c r="G1507" t="str">
        <f t="shared" si="71"/>
        <v>01.110.0000</v>
      </c>
    </row>
    <row r="1508" spans="1:7" hidden="1" x14ac:dyDescent="0.25">
      <c r="A1508" s="6" t="s">
        <v>3518</v>
      </c>
      <c r="B1508" s="28">
        <v>118905.8891</v>
      </c>
      <c r="C1508" s="6" t="s">
        <v>2318</v>
      </c>
      <c r="D1508" t="str">
        <f t="shared" si="69"/>
        <v>17.001.18.541.0007.2.011.3.3.90.30.00</v>
      </c>
      <c r="E1508" t="str">
        <f>VLOOKUP(LEFT(A1508,2),ConsolidadoLoa27_ATIVIDADES!A:I,9,0)</f>
        <v>17 - SECRETARIA DE MEIO AMBIENTE E RECURSOS HÍDRICOS</v>
      </c>
      <c r="F1508" t="str">
        <f t="shared" si="70"/>
        <v>2.011</v>
      </c>
      <c r="G1508" t="str">
        <f t="shared" si="71"/>
        <v>03.100.1702</v>
      </c>
    </row>
    <row r="1509" spans="1:7" hidden="1" x14ac:dyDescent="0.25">
      <c r="A1509" s="6" t="s">
        <v>3519</v>
      </c>
      <c r="B1509" s="28">
        <v>3734148</v>
      </c>
      <c r="C1509" s="6" t="s">
        <v>3520</v>
      </c>
      <c r="D1509" t="str">
        <f t="shared" si="69"/>
        <v>17.001.18.541.0007.2.011.3.3.90.39.00</v>
      </c>
      <c r="E1509" t="str">
        <f>VLOOKUP(LEFT(A1509,2),ConsolidadoLoa27_ATIVIDADES!A:I,9,0)</f>
        <v>17 - SECRETARIA DE MEIO AMBIENTE E RECURSOS HÍDRICOS</v>
      </c>
      <c r="F1509" t="str">
        <f t="shared" si="70"/>
        <v>2.011</v>
      </c>
      <c r="G1509" t="str">
        <f t="shared" si="71"/>
        <v>01.110.0000</v>
      </c>
    </row>
    <row r="1510" spans="1:7" hidden="1" x14ac:dyDescent="0.25">
      <c r="A1510" s="6" t="s">
        <v>3519</v>
      </c>
      <c r="B1510" s="28">
        <v>711323.35</v>
      </c>
      <c r="C1510" s="6" t="s">
        <v>3521</v>
      </c>
      <c r="D1510" t="str">
        <f t="shared" si="69"/>
        <v>17.001.18.541.0007.2.011.3.3.90.39.00</v>
      </c>
      <c r="E1510" t="str">
        <f>VLOOKUP(LEFT(A1510,2),ConsolidadoLoa27_ATIVIDADES!A:I,9,0)</f>
        <v>17 - SECRETARIA DE MEIO AMBIENTE E RECURSOS HÍDRICOS</v>
      </c>
      <c r="F1510" t="str">
        <f t="shared" si="70"/>
        <v>2.011</v>
      </c>
      <c r="G1510" t="str">
        <f t="shared" si="71"/>
        <v>01.110.0000</v>
      </c>
    </row>
    <row r="1511" spans="1:7" hidden="1" x14ac:dyDescent="0.25">
      <c r="A1511" s="6" t="s">
        <v>3519</v>
      </c>
      <c r="B1511" s="28">
        <v>436176</v>
      </c>
      <c r="C1511" s="14" t="s">
        <v>95</v>
      </c>
      <c r="D1511" t="str">
        <f t="shared" si="69"/>
        <v>17.001.18.541.0007.2.011.3.3.90.39.00</v>
      </c>
      <c r="E1511" t="str">
        <f>VLOOKUP(LEFT(A1511,2),ConsolidadoLoa27_ATIVIDADES!A:I,9,0)</f>
        <v>17 - SECRETARIA DE MEIO AMBIENTE E RECURSOS HÍDRICOS</v>
      </c>
      <c r="F1511" t="str">
        <f t="shared" si="70"/>
        <v>2.011</v>
      </c>
      <c r="G1511" t="str">
        <f t="shared" si="71"/>
        <v>01.110.0000</v>
      </c>
    </row>
    <row r="1512" spans="1:7" hidden="1" x14ac:dyDescent="0.25">
      <c r="A1512" s="6" t="s">
        <v>3519</v>
      </c>
      <c r="B1512" s="28">
        <v>20782</v>
      </c>
      <c r="C1512" s="14" t="s">
        <v>107</v>
      </c>
      <c r="D1512" t="str">
        <f t="shared" si="69"/>
        <v>17.001.18.541.0007.2.011.3.3.90.39.00</v>
      </c>
      <c r="E1512" t="str">
        <f>VLOOKUP(LEFT(A1512,2),ConsolidadoLoa27_ATIVIDADES!A:I,9,0)</f>
        <v>17 - SECRETARIA DE MEIO AMBIENTE E RECURSOS HÍDRICOS</v>
      </c>
      <c r="F1512" t="str">
        <f t="shared" si="70"/>
        <v>2.011</v>
      </c>
      <c r="G1512" t="str">
        <f t="shared" si="71"/>
        <v>01.110.0000</v>
      </c>
    </row>
    <row r="1513" spans="1:7" hidden="1" x14ac:dyDescent="0.25">
      <c r="A1513" s="6" t="s">
        <v>3519</v>
      </c>
      <c r="B1513" s="28">
        <v>5195.5</v>
      </c>
      <c r="C1513" s="6" t="s">
        <v>106</v>
      </c>
      <c r="D1513" t="str">
        <f t="shared" si="69"/>
        <v>17.001.18.541.0007.2.011.3.3.90.39.00</v>
      </c>
      <c r="E1513" t="str">
        <f>VLOOKUP(LEFT(A1513,2),ConsolidadoLoa27_ATIVIDADES!A:I,9,0)</f>
        <v>17 - SECRETARIA DE MEIO AMBIENTE E RECURSOS HÍDRICOS</v>
      </c>
      <c r="F1513" t="str">
        <f t="shared" si="70"/>
        <v>2.011</v>
      </c>
      <c r="G1513" t="str">
        <f t="shared" si="71"/>
        <v>01.110.0000</v>
      </c>
    </row>
    <row r="1514" spans="1:7" hidden="1" x14ac:dyDescent="0.25">
      <c r="A1514" s="6" t="s">
        <v>3522</v>
      </c>
      <c r="B1514" s="28">
        <v>0</v>
      </c>
      <c r="C1514" s="6" t="s">
        <v>3521</v>
      </c>
      <c r="D1514" t="str">
        <f t="shared" si="69"/>
        <v>17.001.18.541.0007.2.011.3.3.90.39.00</v>
      </c>
      <c r="E1514" t="str">
        <f>VLOOKUP(LEFT(A1514,2),ConsolidadoLoa27_ATIVIDADES!A:I,9,0)</f>
        <v>17 - SECRETARIA DE MEIO AMBIENTE E RECURSOS HÍDRICOS</v>
      </c>
      <c r="F1514" t="str">
        <f t="shared" si="70"/>
        <v>2.011</v>
      </c>
      <c r="G1514" t="str">
        <f t="shared" si="71"/>
        <v>02.803.0000</v>
      </c>
    </row>
    <row r="1515" spans="1:7" hidden="1" x14ac:dyDescent="0.25">
      <c r="A1515" s="6" t="s">
        <v>3523</v>
      </c>
      <c r="B1515" s="28">
        <v>1515.6499999999996</v>
      </c>
      <c r="C1515" s="6" t="s">
        <v>3521</v>
      </c>
      <c r="D1515" t="str">
        <f t="shared" si="69"/>
        <v>17.001.18.541.0007.2.011.3.3.90.39.00</v>
      </c>
      <c r="E1515" t="str">
        <f>VLOOKUP(LEFT(A1515,2),ConsolidadoLoa27_ATIVIDADES!A:I,9,0)</f>
        <v>17 - SECRETARIA DE MEIO AMBIENTE E RECURSOS HÍDRICOS</v>
      </c>
      <c r="F1515" t="str">
        <f t="shared" si="70"/>
        <v>2.011</v>
      </c>
      <c r="G1515" t="str">
        <f t="shared" si="71"/>
        <v>03.100.1701</v>
      </c>
    </row>
    <row r="1516" spans="1:7" hidden="1" x14ac:dyDescent="0.25">
      <c r="A1516" s="6" t="s">
        <v>3524</v>
      </c>
      <c r="B1516" s="28">
        <v>62346</v>
      </c>
      <c r="C1516" s="6" t="s">
        <v>2706</v>
      </c>
      <c r="D1516" t="str">
        <f t="shared" si="69"/>
        <v>17.001.18.541.0007.2.011.3.3.90.93.00</v>
      </c>
      <c r="E1516" t="str">
        <f>VLOOKUP(LEFT(A1516,2),ConsolidadoLoa27_ATIVIDADES!A:I,9,0)</f>
        <v>17 - SECRETARIA DE MEIO AMBIENTE E RECURSOS HÍDRICOS</v>
      </c>
      <c r="F1516" t="str">
        <f t="shared" si="70"/>
        <v>2.011</v>
      </c>
      <c r="G1516" t="str">
        <f t="shared" si="71"/>
        <v>01.110.0000</v>
      </c>
    </row>
    <row r="1517" spans="1:7" hidden="1" x14ac:dyDescent="0.25">
      <c r="A1517" s="6" t="s">
        <v>3525</v>
      </c>
      <c r="B1517" s="28">
        <v>33251.199999999997</v>
      </c>
      <c r="C1517" s="6" t="s">
        <v>2502</v>
      </c>
      <c r="D1517" t="str">
        <f t="shared" si="69"/>
        <v>17.001.18.541.0007.2.011.4.4.90.52.00</v>
      </c>
      <c r="E1517" t="str">
        <f>VLOOKUP(LEFT(A1517,2),ConsolidadoLoa27_ATIVIDADES!A:I,9,0)</f>
        <v>17 - SECRETARIA DE MEIO AMBIENTE E RECURSOS HÍDRICOS</v>
      </c>
      <c r="F1517" t="str">
        <f t="shared" si="70"/>
        <v>2.011</v>
      </c>
      <c r="G1517" t="str">
        <f t="shared" si="71"/>
        <v>01.110.0000</v>
      </c>
    </row>
    <row r="1518" spans="1:7" hidden="1" x14ac:dyDescent="0.25">
      <c r="A1518" s="6" t="s">
        <v>3526</v>
      </c>
      <c r="B1518" s="28">
        <v>0</v>
      </c>
      <c r="C1518" s="6" t="s">
        <v>3510</v>
      </c>
      <c r="D1518" t="str">
        <f t="shared" si="69"/>
        <v>17.001.18.541.0007.2.011.4.4.90.52.00</v>
      </c>
      <c r="E1518" t="str">
        <f>VLOOKUP(LEFT(A1518,2),ConsolidadoLoa27_ATIVIDADES!A:I,9,0)</f>
        <v>17 - SECRETARIA DE MEIO AMBIENTE E RECURSOS HÍDRICOS</v>
      </c>
      <c r="F1518" t="str">
        <f t="shared" si="70"/>
        <v>2.011</v>
      </c>
      <c r="G1518" t="str">
        <f t="shared" si="71"/>
        <v>08.110.0000</v>
      </c>
    </row>
    <row r="1519" spans="1:7" hidden="1" x14ac:dyDescent="0.25">
      <c r="A1519" s="6" t="s">
        <v>3527</v>
      </c>
      <c r="B1519" s="28">
        <v>1</v>
      </c>
      <c r="C1519" s="6" t="s">
        <v>3528</v>
      </c>
      <c r="D1519" t="str">
        <f t="shared" si="69"/>
        <v>17.003.04.121.0004.1.001.3.3.90.35.00</v>
      </c>
      <c r="E1519" t="str">
        <f>VLOOKUP(LEFT(A1519,2),ConsolidadoLoa27_ATIVIDADES!A:I,9,0)</f>
        <v>17 - SECRETARIA DE MEIO AMBIENTE E RECURSOS HÍDRICOS</v>
      </c>
      <c r="F1519" t="str">
        <f t="shared" si="70"/>
        <v>1.001</v>
      </c>
      <c r="G1519" t="str">
        <f t="shared" si="71"/>
        <v>01.110.0000</v>
      </c>
    </row>
    <row r="1520" spans="1:7" hidden="1" x14ac:dyDescent="0.25">
      <c r="A1520" s="6" t="s">
        <v>3529</v>
      </c>
      <c r="B1520" s="28">
        <v>1</v>
      </c>
      <c r="C1520" s="6" t="s">
        <v>3528</v>
      </c>
      <c r="D1520" t="str">
        <f t="shared" si="69"/>
        <v>17.003.04.121.0004.1.001.3.3.90.35.00</v>
      </c>
      <c r="E1520" t="str">
        <f>VLOOKUP(LEFT(A1520,2),ConsolidadoLoa27_ATIVIDADES!A:I,9,0)</f>
        <v>17 - SECRETARIA DE MEIO AMBIENTE E RECURSOS HÍDRICOS</v>
      </c>
      <c r="F1520" t="str">
        <f t="shared" si="70"/>
        <v>1.001</v>
      </c>
      <c r="G1520" t="str">
        <f t="shared" si="71"/>
        <v>03.100.1702</v>
      </c>
    </row>
    <row r="1521" spans="1:7" hidden="1" x14ac:dyDescent="0.25">
      <c r="A1521" s="6" t="s">
        <v>3530</v>
      </c>
      <c r="B1521" s="28">
        <v>1</v>
      </c>
      <c r="C1521" s="6" t="s">
        <v>3528</v>
      </c>
      <c r="D1521" t="str">
        <f t="shared" si="69"/>
        <v>17.003.18.422.0007.2.021.3.3.90.35.00</v>
      </c>
      <c r="E1521" t="str">
        <f>VLOOKUP(LEFT(A1521,2),ConsolidadoLoa27_ATIVIDADES!A:I,9,0)</f>
        <v>17 - SECRETARIA DE MEIO AMBIENTE E RECURSOS HÍDRICOS</v>
      </c>
      <c r="F1521" t="str">
        <f t="shared" si="70"/>
        <v>2.021</v>
      </c>
      <c r="G1521" t="str">
        <f t="shared" si="71"/>
        <v>03.100.1701</v>
      </c>
    </row>
    <row r="1522" spans="1:7" hidden="1" x14ac:dyDescent="0.25">
      <c r="A1522" s="6" t="s">
        <v>3531</v>
      </c>
      <c r="B1522" s="28">
        <v>2000000</v>
      </c>
      <c r="C1522" s="6" t="s">
        <v>3532</v>
      </c>
      <c r="D1522" t="str">
        <f t="shared" si="69"/>
        <v>18.001.04.122.0001.2.011.3.3.90.39.00</v>
      </c>
      <c r="E1522" t="str">
        <f>VLOOKUP(LEFT(A1522,2),ConsolidadoLoa27_ATIVIDADES!A:I,9,0)</f>
        <v>18 - ENCARGOS/ADMINISTRAÇÃO</v>
      </c>
      <c r="F1522" t="str">
        <f t="shared" si="70"/>
        <v>2.011</v>
      </c>
      <c r="G1522" t="str">
        <f t="shared" si="71"/>
        <v>01.110.0000</v>
      </c>
    </row>
    <row r="1523" spans="1:7" hidden="1" x14ac:dyDescent="0.25">
      <c r="A1523" s="6" t="s">
        <v>3531</v>
      </c>
      <c r="B1523" s="28">
        <v>3598002</v>
      </c>
      <c r="C1523" s="6" t="s">
        <v>100</v>
      </c>
      <c r="D1523" t="str">
        <f t="shared" si="69"/>
        <v>18.001.04.122.0001.2.011.3.3.90.39.00</v>
      </c>
      <c r="E1523" t="str">
        <f>VLOOKUP(LEFT(A1523,2),ConsolidadoLoa27_ATIVIDADES!A:I,9,0)</f>
        <v>18 - ENCARGOS/ADMINISTRAÇÃO</v>
      </c>
      <c r="F1523" t="str">
        <f t="shared" si="70"/>
        <v>2.011</v>
      </c>
      <c r="G1523" t="str">
        <f t="shared" si="71"/>
        <v>01.110.0000</v>
      </c>
    </row>
    <row r="1524" spans="1:7" hidden="1" x14ac:dyDescent="0.25">
      <c r="A1524" s="6" t="s">
        <v>3533</v>
      </c>
      <c r="B1524" s="28">
        <v>0</v>
      </c>
      <c r="C1524" s="6" t="s">
        <v>100</v>
      </c>
      <c r="D1524" t="str">
        <f t="shared" si="69"/>
        <v>18.001.04.122.0001.2.011.3.3.90.39.00</v>
      </c>
      <c r="E1524" t="str">
        <f>VLOOKUP(LEFT(A1524,2),ConsolidadoLoa27_ATIVIDADES!A:I,9,0)</f>
        <v>18 - ENCARGOS/ADMINISTRAÇÃO</v>
      </c>
      <c r="F1524" t="str">
        <f t="shared" si="70"/>
        <v>2.011</v>
      </c>
      <c r="G1524" t="str">
        <f t="shared" si="71"/>
        <v>01.700.0000</v>
      </c>
    </row>
    <row r="1525" spans="1:7" hidden="1" x14ac:dyDescent="0.25">
      <c r="A1525" s="6" t="s">
        <v>3534</v>
      </c>
      <c r="B1525" s="28">
        <v>1558650</v>
      </c>
      <c r="C1525" s="6" t="s">
        <v>2706</v>
      </c>
      <c r="D1525" t="str">
        <f t="shared" si="69"/>
        <v>18.001.04.122.0001.2.011.3.3.90.93.00</v>
      </c>
      <c r="E1525" t="str">
        <f>VLOOKUP(LEFT(A1525,2),ConsolidadoLoa27_ATIVIDADES!A:I,9,0)</f>
        <v>18 - ENCARGOS/ADMINISTRAÇÃO</v>
      </c>
      <c r="F1525" t="str">
        <f t="shared" si="70"/>
        <v>2.011</v>
      </c>
      <c r="G1525" t="str">
        <f t="shared" si="71"/>
        <v>01.110.0000</v>
      </c>
    </row>
    <row r="1526" spans="1:7" hidden="1" x14ac:dyDescent="0.25">
      <c r="A1526" s="6" t="s">
        <v>3535</v>
      </c>
      <c r="B1526" s="28">
        <v>79447850.049999997</v>
      </c>
      <c r="C1526" s="6" t="s">
        <v>3536</v>
      </c>
      <c r="D1526" t="str">
        <f t="shared" si="69"/>
        <v>18.001.04.123.0021.0.001.3.2.90.21.00</v>
      </c>
      <c r="E1526" t="str">
        <f>VLOOKUP(LEFT(A1526,2),ConsolidadoLoa27_ATIVIDADES!A:I,9,0)</f>
        <v>18 - ENCARGOS/ADMINISTRAÇÃO</v>
      </c>
      <c r="F1526" t="str">
        <f t="shared" si="70"/>
        <v>0.001</v>
      </c>
      <c r="G1526" t="str">
        <f t="shared" si="71"/>
        <v>01.110.0000</v>
      </c>
    </row>
    <row r="1527" spans="1:7" hidden="1" x14ac:dyDescent="0.25">
      <c r="A1527" s="6" t="s">
        <v>3537</v>
      </c>
      <c r="B1527" s="28">
        <v>1000000</v>
      </c>
      <c r="C1527" s="6" t="s">
        <v>3536</v>
      </c>
      <c r="D1527" t="str">
        <f t="shared" si="69"/>
        <v>18.001.04.123.0021.0.001.3.2.90.22.00</v>
      </c>
      <c r="E1527" t="str">
        <f>VLOOKUP(LEFT(A1527,2),ConsolidadoLoa27_ATIVIDADES!A:I,9,0)</f>
        <v>18 - ENCARGOS/ADMINISTRAÇÃO</v>
      </c>
      <c r="F1527" t="str">
        <f t="shared" si="70"/>
        <v>0.001</v>
      </c>
      <c r="G1527" t="str">
        <f t="shared" si="71"/>
        <v>01.110.0000</v>
      </c>
    </row>
    <row r="1528" spans="1:7" hidden="1" x14ac:dyDescent="0.25">
      <c r="A1528" s="6" t="s">
        <v>3538</v>
      </c>
      <c r="B1528" s="28">
        <v>5544936.2699999996</v>
      </c>
      <c r="C1528" s="6" t="s">
        <v>3536</v>
      </c>
      <c r="D1528" t="str">
        <f t="shared" si="69"/>
        <v>18.001.04.123.0021.0.001.3.2.91.21.00</v>
      </c>
      <c r="E1528" t="str">
        <f>VLOOKUP(LEFT(A1528,2),ConsolidadoLoa27_ATIVIDADES!A:I,9,0)</f>
        <v>18 - ENCARGOS/ADMINISTRAÇÃO</v>
      </c>
      <c r="F1528" t="str">
        <f t="shared" si="70"/>
        <v>0.001</v>
      </c>
      <c r="G1528" t="str">
        <f t="shared" si="71"/>
        <v>01.110.0000</v>
      </c>
    </row>
    <row r="1529" spans="1:7" hidden="1" x14ac:dyDescent="0.25">
      <c r="A1529" s="6" t="s">
        <v>3539</v>
      </c>
      <c r="B1529" s="28">
        <v>142548168.24000001</v>
      </c>
      <c r="C1529" s="6" t="s">
        <v>3540</v>
      </c>
      <c r="D1529" t="str">
        <f t="shared" si="69"/>
        <v>18.001.04.123.0021.0.001.4.6.90.71.00</v>
      </c>
      <c r="E1529" t="str">
        <f>VLOOKUP(LEFT(A1529,2),ConsolidadoLoa27_ATIVIDADES!A:I,9,0)</f>
        <v>18 - ENCARGOS/ADMINISTRAÇÃO</v>
      </c>
      <c r="F1529" t="str">
        <f t="shared" si="70"/>
        <v>0.001</v>
      </c>
      <c r="G1529" t="str">
        <f t="shared" si="71"/>
        <v>01.110.0000</v>
      </c>
    </row>
    <row r="1530" spans="1:7" hidden="1" x14ac:dyDescent="0.25">
      <c r="A1530" s="6" t="s">
        <v>3541</v>
      </c>
      <c r="B1530" s="28">
        <v>714039.84</v>
      </c>
      <c r="C1530" s="6" t="s">
        <v>3542</v>
      </c>
      <c r="D1530" t="str">
        <f t="shared" si="69"/>
        <v>18.001.04.123.0021.0.001.4.6.91.71.00</v>
      </c>
      <c r="E1530" t="str">
        <f>VLOOKUP(LEFT(A1530,2),ConsolidadoLoa27_ATIVIDADES!A:I,9,0)</f>
        <v>18 - ENCARGOS/ADMINISTRAÇÃO</v>
      </c>
      <c r="F1530" t="str">
        <f t="shared" si="70"/>
        <v>0.001</v>
      </c>
      <c r="G1530" t="str">
        <f t="shared" si="71"/>
        <v>01.110.0000</v>
      </c>
    </row>
    <row r="1531" spans="1:7" hidden="1" x14ac:dyDescent="0.25">
      <c r="A1531" s="6" t="s">
        <v>3543</v>
      </c>
      <c r="B1531" s="28">
        <v>55020998</v>
      </c>
      <c r="C1531" s="6" t="s">
        <v>3544</v>
      </c>
      <c r="D1531" t="str">
        <f t="shared" si="69"/>
        <v>18.001.04.123.0021.0.002.3.3.90.47.00</v>
      </c>
      <c r="E1531" t="str">
        <f>VLOOKUP(LEFT(A1531,2),ConsolidadoLoa27_ATIVIDADES!A:I,9,0)</f>
        <v>18 - ENCARGOS/ADMINISTRAÇÃO</v>
      </c>
      <c r="F1531" t="str">
        <f t="shared" si="70"/>
        <v>0.002</v>
      </c>
      <c r="G1531" t="str">
        <f t="shared" si="71"/>
        <v>01.110.0000</v>
      </c>
    </row>
    <row r="1532" spans="1:7" hidden="1" x14ac:dyDescent="0.25">
      <c r="A1532" s="6" t="s">
        <v>3545</v>
      </c>
      <c r="B1532" s="28">
        <v>1</v>
      </c>
      <c r="C1532" s="6" t="s">
        <v>3544</v>
      </c>
      <c r="D1532" t="str">
        <f t="shared" si="69"/>
        <v>18.001.04.123.0021.0.002.3.3.90.47.00</v>
      </c>
      <c r="E1532" t="str">
        <f>VLOOKUP(LEFT(A1532,2),ConsolidadoLoa27_ATIVIDADES!A:I,9,0)</f>
        <v>18 - ENCARGOS/ADMINISTRAÇÃO</v>
      </c>
      <c r="F1532" t="str">
        <f t="shared" si="70"/>
        <v>0.002</v>
      </c>
      <c r="G1532" t="str">
        <f t="shared" si="71"/>
        <v>01.130.0000</v>
      </c>
    </row>
    <row r="1533" spans="1:7" hidden="1" x14ac:dyDescent="0.25">
      <c r="A1533" s="6" t="s">
        <v>3546</v>
      </c>
      <c r="B1533" s="28">
        <v>1</v>
      </c>
      <c r="C1533" s="6" t="s">
        <v>3544</v>
      </c>
      <c r="D1533" t="str">
        <f t="shared" si="69"/>
        <v>18.001.04.123.0021.0.002.3.3.90.47.00</v>
      </c>
      <c r="E1533" t="str">
        <f>VLOOKUP(LEFT(A1533,2),ConsolidadoLoa27_ATIVIDADES!A:I,9,0)</f>
        <v>18 - ENCARGOS/ADMINISTRAÇÃO</v>
      </c>
      <c r="F1533" t="str">
        <f t="shared" si="70"/>
        <v>0.002</v>
      </c>
      <c r="G1533" t="str">
        <f t="shared" si="71"/>
        <v>01.140.0000</v>
      </c>
    </row>
    <row r="1534" spans="1:7" hidden="1" x14ac:dyDescent="0.25">
      <c r="A1534" s="6" t="s">
        <v>3547</v>
      </c>
      <c r="B1534" s="28">
        <v>40000000</v>
      </c>
      <c r="C1534" s="6" t="s">
        <v>3548</v>
      </c>
      <c r="D1534" t="str">
        <f t="shared" si="69"/>
        <v>18.001.04.123.0021.0.002.3.3.91.97.00</v>
      </c>
      <c r="E1534" t="str">
        <f>VLOOKUP(LEFT(A1534,2),ConsolidadoLoa27_ATIVIDADES!A:I,9,0)</f>
        <v>18 - ENCARGOS/ADMINISTRAÇÃO</v>
      </c>
      <c r="F1534" t="str">
        <f t="shared" si="70"/>
        <v>0.002</v>
      </c>
      <c r="G1534" t="str">
        <f t="shared" si="71"/>
        <v>01.110.0000</v>
      </c>
    </row>
    <row r="1535" spans="1:7" hidden="1" x14ac:dyDescent="0.25">
      <c r="A1535" s="6" t="s">
        <v>3549</v>
      </c>
      <c r="B1535" s="28">
        <v>4485130.83</v>
      </c>
      <c r="C1535" s="6" t="s">
        <v>3550</v>
      </c>
      <c r="D1535" t="str">
        <f t="shared" si="69"/>
        <v>18.001.04.123.0021.0.003.3.1.90.91.00</v>
      </c>
      <c r="E1535" t="str">
        <f>VLOOKUP(LEFT(A1535,2),ConsolidadoLoa27_ATIVIDADES!A:I,9,0)</f>
        <v>18 - ENCARGOS/ADMINISTRAÇÃO</v>
      </c>
      <c r="F1535" t="str">
        <f t="shared" si="70"/>
        <v>0.003</v>
      </c>
      <c r="G1535" t="str">
        <f t="shared" si="71"/>
        <v>01.110.0000</v>
      </c>
    </row>
    <row r="1536" spans="1:7" hidden="1" x14ac:dyDescent="0.25">
      <c r="A1536" s="6" t="s">
        <v>3551</v>
      </c>
      <c r="B1536" s="28">
        <v>2691078.5</v>
      </c>
      <c r="C1536" s="6" t="s">
        <v>3552</v>
      </c>
      <c r="D1536" t="str">
        <f t="shared" si="69"/>
        <v>18.001.04.123.0021.0.003.3.3.90.91.00</v>
      </c>
      <c r="E1536" t="str">
        <f>VLOOKUP(LEFT(A1536,2),ConsolidadoLoa27_ATIVIDADES!A:I,9,0)</f>
        <v>18 - ENCARGOS/ADMINISTRAÇÃO</v>
      </c>
      <c r="F1536" t="str">
        <f t="shared" si="70"/>
        <v>0.003</v>
      </c>
      <c r="G1536" t="str">
        <f t="shared" si="71"/>
        <v>01.110.0000</v>
      </c>
    </row>
    <row r="1537" spans="1:7" hidden="1" x14ac:dyDescent="0.25">
      <c r="A1537" s="6" t="s">
        <v>3553</v>
      </c>
      <c r="B1537" s="28">
        <v>1</v>
      </c>
      <c r="C1537" s="6" t="s">
        <v>3554</v>
      </c>
      <c r="D1537" t="str">
        <f t="shared" si="69"/>
        <v>18.001.04.123.0021.0.003.4.4.90.91.00</v>
      </c>
      <c r="E1537" t="str">
        <f>VLOOKUP(LEFT(A1537,2),ConsolidadoLoa27_ATIVIDADES!A:I,9,0)</f>
        <v>18 - ENCARGOS/ADMINISTRAÇÃO</v>
      </c>
      <c r="F1537" t="str">
        <f t="shared" si="70"/>
        <v>0.003</v>
      </c>
      <c r="G1537" t="str">
        <f t="shared" si="71"/>
        <v>01.110.0000</v>
      </c>
    </row>
    <row r="1538" spans="1:7" hidden="1" x14ac:dyDescent="0.25">
      <c r="A1538" s="6" t="s">
        <v>3555</v>
      </c>
      <c r="B1538" s="28">
        <v>47185370.43</v>
      </c>
      <c r="C1538" s="6" t="s">
        <v>3556</v>
      </c>
      <c r="D1538" t="str">
        <f t="shared" si="69"/>
        <v>18.001.04.123.0021.0.003.4.6.90.91.00</v>
      </c>
      <c r="E1538" t="str">
        <f>VLOOKUP(LEFT(A1538,2),ConsolidadoLoa27_ATIVIDADES!A:I,9,0)</f>
        <v>18 - ENCARGOS/ADMINISTRAÇÃO</v>
      </c>
      <c r="F1538" t="str">
        <f t="shared" si="70"/>
        <v>0.003</v>
      </c>
      <c r="G1538" t="str">
        <f t="shared" si="71"/>
        <v>01.110.0000</v>
      </c>
    </row>
    <row r="1539" spans="1:7" hidden="1" x14ac:dyDescent="0.25">
      <c r="A1539" s="6" t="s">
        <v>3557</v>
      </c>
      <c r="B1539" s="28">
        <v>45414279.851516001</v>
      </c>
      <c r="C1539" s="6" t="s">
        <v>3558</v>
      </c>
      <c r="D1539" t="str">
        <f t="shared" ref="D1539:D1602" si="72">_xlfn.CONCAT(LEFT(A1539,34),".00")</f>
        <v>18.001.04.453.0013.2.010.3.3.90.93.00</v>
      </c>
      <c r="E1539" t="str">
        <f>VLOOKUP(LEFT(A1539,2),ConsolidadoLoa27_ATIVIDADES!A:I,9,0)</f>
        <v>18 - ENCARGOS/ADMINISTRAÇÃO</v>
      </c>
      <c r="F1539" t="str">
        <f t="shared" ref="F1539:F1602" si="73">MID(A1539,20,5)</f>
        <v>2.010</v>
      </c>
      <c r="G1539" t="str">
        <f t="shared" ref="G1539:G1602" si="74">RIGHT(A1539,11)</f>
        <v>01.110.0000</v>
      </c>
    </row>
    <row r="1540" spans="1:7" hidden="1" x14ac:dyDescent="0.25">
      <c r="A1540" s="6" t="s">
        <v>3559</v>
      </c>
      <c r="B1540" s="28">
        <v>179405.23</v>
      </c>
      <c r="C1540" s="6" t="s">
        <v>3554</v>
      </c>
      <c r="D1540" t="str">
        <f t="shared" si="72"/>
        <v>18.001.28.846.0021.0.003.3.1.90.13.00</v>
      </c>
      <c r="E1540" t="str">
        <f>VLOOKUP(LEFT(A1540,2),ConsolidadoLoa27_ATIVIDADES!A:I,9,0)</f>
        <v>18 - ENCARGOS/ADMINISTRAÇÃO</v>
      </c>
      <c r="F1540" t="str">
        <f t="shared" si="73"/>
        <v>0.003</v>
      </c>
      <c r="G1540" t="str">
        <f t="shared" si="74"/>
        <v>01.110.0000</v>
      </c>
    </row>
    <row r="1541" spans="1:7" hidden="1" x14ac:dyDescent="0.25">
      <c r="A1541" s="6" t="s">
        <v>3560</v>
      </c>
      <c r="B1541" s="28">
        <v>53818.9</v>
      </c>
      <c r="C1541" s="6" t="s">
        <v>3554</v>
      </c>
      <c r="D1541" t="str">
        <f t="shared" si="72"/>
        <v>18.001.28.846.0021.0.003.3.1.91.13.00</v>
      </c>
      <c r="E1541" t="str">
        <f>VLOOKUP(LEFT(A1541,2),ConsolidadoLoa27_ATIVIDADES!A:I,9,0)</f>
        <v>18 - ENCARGOS/ADMINISTRAÇÃO</v>
      </c>
      <c r="F1541" t="str">
        <f t="shared" si="73"/>
        <v>0.003</v>
      </c>
      <c r="G1541" t="str">
        <f t="shared" si="74"/>
        <v>01.110.0000</v>
      </c>
    </row>
    <row r="1542" spans="1:7" hidden="1" x14ac:dyDescent="0.25">
      <c r="A1542" s="6" t="s">
        <v>3561</v>
      </c>
      <c r="B1542" s="28">
        <v>426087.43</v>
      </c>
      <c r="C1542" s="6" t="s">
        <v>2706</v>
      </c>
      <c r="D1542" t="str">
        <f t="shared" si="72"/>
        <v>18.001.28.846.0021.0.003.3.3.90.93.00</v>
      </c>
      <c r="E1542" t="str">
        <f>VLOOKUP(LEFT(A1542,2),ConsolidadoLoa27_ATIVIDADES!A:I,9,0)</f>
        <v>18 - ENCARGOS/ADMINISTRAÇÃO</v>
      </c>
      <c r="F1542" t="str">
        <f t="shared" si="73"/>
        <v>0.003</v>
      </c>
      <c r="G1542" t="str">
        <f t="shared" si="74"/>
        <v>01.110.0000</v>
      </c>
    </row>
    <row r="1543" spans="1:7" hidden="1" x14ac:dyDescent="0.25">
      <c r="A1543" s="6" t="s">
        <v>3562</v>
      </c>
      <c r="B1543" s="28">
        <v>300000</v>
      </c>
      <c r="C1543" s="6" t="s">
        <v>3563</v>
      </c>
      <c r="D1543" t="str">
        <f t="shared" si="72"/>
        <v>18.002.04.122.0001.1.001.3.3.90.35.00</v>
      </c>
      <c r="E1543" t="str">
        <f>VLOOKUP(LEFT(A1543,2),ConsolidadoLoa27_ATIVIDADES!A:I,9,0)</f>
        <v>18 - ENCARGOS/ADMINISTRAÇÃO</v>
      </c>
      <c r="F1543" t="str">
        <f t="shared" si="73"/>
        <v>1.001</v>
      </c>
      <c r="G1543" t="str">
        <f t="shared" si="74"/>
        <v>01.110.0000</v>
      </c>
    </row>
    <row r="1544" spans="1:7" hidden="1" x14ac:dyDescent="0.25">
      <c r="A1544" s="6" t="s">
        <v>3564</v>
      </c>
      <c r="B1544" s="28">
        <v>1</v>
      </c>
      <c r="C1544" s="6" t="s">
        <v>3565</v>
      </c>
      <c r="D1544" t="str">
        <f t="shared" si="72"/>
        <v>18.002.04.122.0001.1.002.3.3.90.39.00</v>
      </c>
      <c r="E1544" t="str">
        <f>VLOOKUP(LEFT(A1544,2),ConsolidadoLoa27_ATIVIDADES!A:I,9,0)</f>
        <v>18 - ENCARGOS/ADMINISTRAÇÃO</v>
      </c>
      <c r="F1544" t="str">
        <f t="shared" si="73"/>
        <v>1.002</v>
      </c>
      <c r="G1544" t="str">
        <f t="shared" si="74"/>
        <v>01.110.0000</v>
      </c>
    </row>
    <row r="1545" spans="1:7" hidden="1" x14ac:dyDescent="0.25">
      <c r="A1545" s="6" t="s">
        <v>3566</v>
      </c>
      <c r="B1545" s="28">
        <v>1.73</v>
      </c>
      <c r="C1545" s="6" t="s">
        <v>847</v>
      </c>
      <c r="D1545" t="str">
        <f t="shared" si="72"/>
        <v>18.002.04.122.0001.2.001.3.1.90.11.00</v>
      </c>
      <c r="E1545" t="str">
        <f>VLOOKUP(LEFT(A1545,2),ConsolidadoLoa27_ATIVIDADES!A:I,9,0)</f>
        <v>18 - ENCARGOS/ADMINISTRAÇÃO</v>
      </c>
      <c r="F1545" t="str">
        <f t="shared" si="73"/>
        <v>2.001</v>
      </c>
      <c r="G1545" t="str">
        <f t="shared" si="74"/>
        <v>01.110.0000</v>
      </c>
    </row>
    <row r="1546" spans="1:7" hidden="1" x14ac:dyDescent="0.25">
      <c r="A1546" s="6" t="s">
        <v>3567</v>
      </c>
      <c r="B1546" s="28">
        <v>3.46</v>
      </c>
      <c r="C1546" s="6" t="s">
        <v>847</v>
      </c>
      <c r="D1546" t="str">
        <f t="shared" si="72"/>
        <v>18.002.04.122.0001.2.001.3.1.90.13.00</v>
      </c>
      <c r="E1546" t="str">
        <f>VLOOKUP(LEFT(A1546,2),ConsolidadoLoa27_ATIVIDADES!A:I,9,0)</f>
        <v>18 - ENCARGOS/ADMINISTRAÇÃO</v>
      </c>
      <c r="F1546" t="str">
        <f t="shared" si="73"/>
        <v>2.001</v>
      </c>
      <c r="G1546" t="str">
        <f t="shared" si="74"/>
        <v>01.110.0000</v>
      </c>
    </row>
    <row r="1547" spans="1:7" hidden="1" x14ac:dyDescent="0.25">
      <c r="A1547" s="6" t="s">
        <v>3568</v>
      </c>
      <c r="B1547" s="28">
        <v>529758.620307</v>
      </c>
      <c r="C1547" s="6" t="s">
        <v>2706</v>
      </c>
      <c r="D1547" t="str">
        <f t="shared" si="72"/>
        <v>18.002.04.122.0001.2.001.3.1.90.94.00</v>
      </c>
      <c r="E1547" t="str">
        <f>VLOOKUP(LEFT(A1547,2),ConsolidadoLoa27_ATIVIDADES!A:I,9,0)</f>
        <v>18 - ENCARGOS/ADMINISTRAÇÃO</v>
      </c>
      <c r="F1547" t="str">
        <f t="shared" si="73"/>
        <v>2.001</v>
      </c>
      <c r="G1547" t="str">
        <f t="shared" si="74"/>
        <v>01.110.0000</v>
      </c>
    </row>
    <row r="1548" spans="1:7" hidden="1" x14ac:dyDescent="0.25">
      <c r="A1548" s="6" t="s">
        <v>3569</v>
      </c>
      <c r="B1548" s="28">
        <v>3.46</v>
      </c>
      <c r="C1548" s="12" t="s">
        <v>847</v>
      </c>
      <c r="D1548" t="str">
        <f t="shared" si="72"/>
        <v>18.002.04.122.0001.2.001.3.1.91.13.00</v>
      </c>
      <c r="E1548" t="str">
        <f>VLOOKUP(LEFT(A1548,2),ConsolidadoLoa27_ATIVIDADES!A:I,9,0)</f>
        <v>18 - ENCARGOS/ADMINISTRAÇÃO</v>
      </c>
      <c r="F1548" t="str">
        <f t="shared" si="73"/>
        <v>2.001</v>
      </c>
      <c r="G1548" t="str">
        <f t="shared" si="74"/>
        <v>01.110.0000</v>
      </c>
    </row>
    <row r="1549" spans="1:7" hidden="1" x14ac:dyDescent="0.25">
      <c r="A1549" s="6" t="s">
        <v>3570</v>
      </c>
      <c r="B1549" s="28">
        <v>34466498.140000001</v>
      </c>
      <c r="C1549" s="6" t="s">
        <v>2278</v>
      </c>
      <c r="D1549" t="str">
        <f t="shared" si="72"/>
        <v>18.002.04.122.0001.2.001.3.3.90.46.00</v>
      </c>
      <c r="E1549" t="str">
        <f>VLOOKUP(LEFT(A1549,2),ConsolidadoLoa27_ATIVIDADES!A:I,9,0)</f>
        <v>18 - ENCARGOS/ADMINISTRAÇÃO</v>
      </c>
      <c r="F1549" t="str">
        <f t="shared" si="73"/>
        <v>2.001</v>
      </c>
      <c r="G1549" t="str">
        <f t="shared" si="74"/>
        <v>01.110.0000</v>
      </c>
    </row>
    <row r="1550" spans="1:7" hidden="1" x14ac:dyDescent="0.25">
      <c r="A1550" s="6" t="s">
        <v>3571</v>
      </c>
      <c r="B1550" s="28">
        <v>1.73</v>
      </c>
      <c r="C1550" s="6" t="s">
        <v>2280</v>
      </c>
      <c r="D1550" t="str">
        <f t="shared" si="72"/>
        <v>18.002.04.122.0001.2.001.3.3.90.49.00</v>
      </c>
      <c r="E1550" t="str">
        <f>VLOOKUP(LEFT(A1550,2),ConsolidadoLoa27_ATIVIDADES!A:I,9,0)</f>
        <v>18 - ENCARGOS/ADMINISTRAÇÃO</v>
      </c>
      <c r="F1550" t="str">
        <f t="shared" si="73"/>
        <v>2.001</v>
      </c>
      <c r="G1550" t="str">
        <f t="shared" si="74"/>
        <v>01.110.0000</v>
      </c>
    </row>
    <row r="1551" spans="1:7" hidden="1" x14ac:dyDescent="0.25">
      <c r="A1551" s="6" t="s">
        <v>3572</v>
      </c>
      <c r="B1551" s="28">
        <v>957848.22</v>
      </c>
      <c r="C1551" s="6" t="s">
        <v>847</v>
      </c>
      <c r="D1551" t="str">
        <f t="shared" si="72"/>
        <v>18.002.04.122.0001.2.001.3.3.91.39.00</v>
      </c>
      <c r="E1551" t="str">
        <f>VLOOKUP(LEFT(A1551,2),ConsolidadoLoa27_ATIVIDADES!A:I,9,0)</f>
        <v>18 - ENCARGOS/ADMINISTRAÇÃO</v>
      </c>
      <c r="F1551" t="str">
        <f t="shared" si="73"/>
        <v>2.001</v>
      </c>
      <c r="G1551" t="str">
        <f t="shared" si="74"/>
        <v>01.110.0000</v>
      </c>
    </row>
    <row r="1552" spans="1:7" hidden="1" x14ac:dyDescent="0.25">
      <c r="A1552" s="6" t="s">
        <v>3573</v>
      </c>
      <c r="B1552" s="28">
        <v>70800</v>
      </c>
      <c r="C1552" s="6" t="s">
        <v>3574</v>
      </c>
      <c r="D1552" t="str">
        <f t="shared" si="72"/>
        <v>18.002.04.122.0001.2.009.3.3.90.36.00</v>
      </c>
      <c r="E1552" t="str">
        <f>VLOOKUP(LEFT(A1552,2),ConsolidadoLoa27_ATIVIDADES!A:I,9,0)</f>
        <v>18 - ENCARGOS/ADMINISTRAÇÃO</v>
      </c>
      <c r="F1552" t="str">
        <f t="shared" si="73"/>
        <v>2.009</v>
      </c>
      <c r="G1552" t="str">
        <f t="shared" si="74"/>
        <v>01.110.0000</v>
      </c>
    </row>
    <row r="1553" spans="1:7" hidden="1" x14ac:dyDescent="0.25">
      <c r="A1553" s="6" t="s">
        <v>3573</v>
      </c>
      <c r="B1553" s="28">
        <v>133200</v>
      </c>
      <c r="C1553" s="6" t="s">
        <v>3575</v>
      </c>
      <c r="D1553" t="str">
        <f t="shared" si="72"/>
        <v>18.002.04.122.0001.2.009.3.3.90.36.00</v>
      </c>
      <c r="E1553" t="str">
        <f>VLOOKUP(LEFT(A1553,2),ConsolidadoLoa27_ATIVIDADES!A:I,9,0)</f>
        <v>18 - ENCARGOS/ADMINISTRAÇÃO</v>
      </c>
      <c r="F1553" t="str">
        <f t="shared" si="73"/>
        <v>2.009</v>
      </c>
      <c r="G1553" t="str">
        <f t="shared" si="74"/>
        <v>01.110.0000</v>
      </c>
    </row>
    <row r="1554" spans="1:7" hidden="1" x14ac:dyDescent="0.25">
      <c r="A1554" s="6" t="s">
        <v>3573</v>
      </c>
      <c r="B1554" s="28">
        <v>176400</v>
      </c>
      <c r="C1554" s="6" t="s">
        <v>3576</v>
      </c>
      <c r="D1554" t="str">
        <f t="shared" si="72"/>
        <v>18.002.04.122.0001.2.009.3.3.90.36.00</v>
      </c>
      <c r="E1554" t="str">
        <f>VLOOKUP(LEFT(A1554,2),ConsolidadoLoa27_ATIVIDADES!A:I,9,0)</f>
        <v>18 - ENCARGOS/ADMINISTRAÇÃO</v>
      </c>
      <c r="F1554" t="str">
        <f t="shared" si="73"/>
        <v>2.009</v>
      </c>
      <c r="G1554" t="str">
        <f t="shared" si="74"/>
        <v>01.110.0000</v>
      </c>
    </row>
    <row r="1555" spans="1:7" hidden="1" x14ac:dyDescent="0.25">
      <c r="A1555" s="6" t="s">
        <v>3573</v>
      </c>
      <c r="B1555" s="28">
        <v>104835.96</v>
      </c>
      <c r="C1555" s="6" t="s">
        <v>3577</v>
      </c>
      <c r="D1555" t="str">
        <f t="shared" si="72"/>
        <v>18.002.04.122.0001.2.009.3.3.90.36.00</v>
      </c>
      <c r="E1555" t="str">
        <f>VLOOKUP(LEFT(A1555,2),ConsolidadoLoa27_ATIVIDADES!A:I,9,0)</f>
        <v>18 - ENCARGOS/ADMINISTRAÇÃO</v>
      </c>
      <c r="F1555" t="str">
        <f t="shared" si="73"/>
        <v>2.009</v>
      </c>
      <c r="G1555" t="str">
        <f t="shared" si="74"/>
        <v>01.110.0000</v>
      </c>
    </row>
    <row r="1556" spans="1:7" hidden="1" x14ac:dyDescent="0.25">
      <c r="A1556" s="6" t="s">
        <v>3573</v>
      </c>
      <c r="B1556" s="28">
        <v>249600</v>
      </c>
      <c r="C1556" s="6" t="s">
        <v>3578</v>
      </c>
      <c r="D1556" t="str">
        <f t="shared" si="72"/>
        <v>18.002.04.122.0001.2.009.3.3.90.36.00</v>
      </c>
      <c r="E1556" t="str">
        <f>VLOOKUP(LEFT(A1556,2),ConsolidadoLoa27_ATIVIDADES!A:I,9,0)</f>
        <v>18 - ENCARGOS/ADMINISTRAÇÃO</v>
      </c>
      <c r="F1556" t="str">
        <f t="shared" si="73"/>
        <v>2.009</v>
      </c>
      <c r="G1556" t="str">
        <f t="shared" si="74"/>
        <v>01.110.0000</v>
      </c>
    </row>
    <row r="1557" spans="1:7" hidden="1" x14ac:dyDescent="0.25">
      <c r="A1557" s="6" t="s">
        <v>3573</v>
      </c>
      <c r="B1557" s="28">
        <v>73080</v>
      </c>
      <c r="C1557" s="6" t="s">
        <v>3579</v>
      </c>
      <c r="D1557" t="str">
        <f t="shared" si="72"/>
        <v>18.002.04.122.0001.2.009.3.3.90.36.00</v>
      </c>
      <c r="E1557" t="str">
        <f>VLOOKUP(LEFT(A1557,2),ConsolidadoLoa27_ATIVIDADES!A:I,9,0)</f>
        <v>18 - ENCARGOS/ADMINISTRAÇÃO</v>
      </c>
      <c r="F1557" t="str">
        <f t="shared" si="73"/>
        <v>2.009</v>
      </c>
      <c r="G1557" t="str">
        <f t="shared" si="74"/>
        <v>01.110.0000</v>
      </c>
    </row>
    <row r="1558" spans="1:7" hidden="1" x14ac:dyDescent="0.25">
      <c r="A1558" s="6" t="s">
        <v>3573</v>
      </c>
      <c r="B1558" s="28">
        <v>90000</v>
      </c>
      <c r="C1558" s="6" t="s">
        <v>3580</v>
      </c>
      <c r="D1558" t="str">
        <f t="shared" si="72"/>
        <v>18.002.04.122.0001.2.009.3.3.90.36.00</v>
      </c>
      <c r="E1558" t="str">
        <f>VLOOKUP(LEFT(A1558,2),ConsolidadoLoa27_ATIVIDADES!A:I,9,0)</f>
        <v>18 - ENCARGOS/ADMINISTRAÇÃO</v>
      </c>
      <c r="F1558" t="str">
        <f t="shared" si="73"/>
        <v>2.009</v>
      </c>
      <c r="G1558" t="str">
        <f t="shared" si="74"/>
        <v>01.110.0000</v>
      </c>
    </row>
    <row r="1559" spans="1:7" hidden="1" x14ac:dyDescent="0.25">
      <c r="A1559" s="6" t="s">
        <v>3573</v>
      </c>
      <c r="B1559" s="28">
        <v>142800</v>
      </c>
      <c r="C1559" s="6" t="s">
        <v>3581</v>
      </c>
      <c r="D1559" t="str">
        <f t="shared" si="72"/>
        <v>18.002.04.122.0001.2.009.3.3.90.36.00</v>
      </c>
      <c r="E1559" t="str">
        <f>VLOOKUP(LEFT(A1559,2),ConsolidadoLoa27_ATIVIDADES!A:I,9,0)</f>
        <v>18 - ENCARGOS/ADMINISTRAÇÃO</v>
      </c>
      <c r="F1559" t="str">
        <f t="shared" si="73"/>
        <v>2.009</v>
      </c>
      <c r="G1559" t="str">
        <f t="shared" si="74"/>
        <v>01.110.0000</v>
      </c>
    </row>
    <row r="1560" spans="1:7" hidden="1" x14ac:dyDescent="0.25">
      <c r="A1560" s="6" t="s">
        <v>3573</v>
      </c>
      <c r="B1560" s="28">
        <v>137760</v>
      </c>
      <c r="C1560" s="6" t="s">
        <v>3582</v>
      </c>
      <c r="D1560" t="str">
        <f t="shared" si="72"/>
        <v>18.002.04.122.0001.2.009.3.3.90.36.00</v>
      </c>
      <c r="E1560" t="str">
        <f>VLOOKUP(LEFT(A1560,2),ConsolidadoLoa27_ATIVIDADES!A:I,9,0)</f>
        <v>18 - ENCARGOS/ADMINISTRAÇÃO</v>
      </c>
      <c r="F1560" t="str">
        <f t="shared" si="73"/>
        <v>2.009</v>
      </c>
      <c r="G1560" t="str">
        <f t="shared" si="74"/>
        <v>01.110.0000</v>
      </c>
    </row>
    <row r="1561" spans="1:7" hidden="1" x14ac:dyDescent="0.25">
      <c r="A1561" s="6" t="s">
        <v>3573</v>
      </c>
      <c r="B1561" s="28">
        <v>107879.99999999999</v>
      </c>
      <c r="C1561" s="6" t="s">
        <v>3583</v>
      </c>
      <c r="D1561" t="str">
        <f t="shared" si="72"/>
        <v>18.002.04.122.0001.2.009.3.3.90.36.00</v>
      </c>
      <c r="E1561" t="str">
        <f>VLOOKUP(LEFT(A1561,2),ConsolidadoLoa27_ATIVIDADES!A:I,9,0)</f>
        <v>18 - ENCARGOS/ADMINISTRAÇÃO</v>
      </c>
      <c r="F1561" t="str">
        <f t="shared" si="73"/>
        <v>2.009</v>
      </c>
      <c r="G1561" t="str">
        <f t="shared" si="74"/>
        <v>01.110.0000</v>
      </c>
    </row>
    <row r="1562" spans="1:7" hidden="1" x14ac:dyDescent="0.25">
      <c r="A1562" s="6" t="s">
        <v>3573</v>
      </c>
      <c r="B1562" s="28">
        <v>61800</v>
      </c>
      <c r="C1562" s="6" t="s">
        <v>3584</v>
      </c>
      <c r="D1562" t="str">
        <f t="shared" si="72"/>
        <v>18.002.04.122.0001.2.009.3.3.90.36.00</v>
      </c>
      <c r="E1562" t="str">
        <f>VLOOKUP(LEFT(A1562,2),ConsolidadoLoa27_ATIVIDADES!A:I,9,0)</f>
        <v>18 - ENCARGOS/ADMINISTRAÇÃO</v>
      </c>
      <c r="F1562" t="str">
        <f t="shared" si="73"/>
        <v>2.009</v>
      </c>
      <c r="G1562" t="str">
        <f t="shared" si="74"/>
        <v>01.110.0000</v>
      </c>
    </row>
    <row r="1563" spans="1:7" hidden="1" x14ac:dyDescent="0.25">
      <c r="A1563" s="6" t="s">
        <v>3573</v>
      </c>
      <c r="B1563" s="28">
        <v>268980.95999999996</v>
      </c>
      <c r="C1563" s="6" t="s">
        <v>3585</v>
      </c>
      <c r="D1563" t="str">
        <f t="shared" si="72"/>
        <v>18.002.04.122.0001.2.009.3.3.90.36.00</v>
      </c>
      <c r="E1563" t="str">
        <f>VLOOKUP(LEFT(A1563,2),ConsolidadoLoa27_ATIVIDADES!A:I,9,0)</f>
        <v>18 - ENCARGOS/ADMINISTRAÇÃO</v>
      </c>
      <c r="F1563" t="str">
        <f t="shared" si="73"/>
        <v>2.009</v>
      </c>
      <c r="G1563" t="str">
        <f t="shared" si="74"/>
        <v>01.110.0000</v>
      </c>
    </row>
    <row r="1564" spans="1:7" hidden="1" x14ac:dyDescent="0.25">
      <c r="A1564" s="6" t="s">
        <v>3573</v>
      </c>
      <c r="B1564" s="28">
        <v>78000</v>
      </c>
      <c r="C1564" s="6" t="s">
        <v>3586</v>
      </c>
      <c r="D1564" t="str">
        <f t="shared" si="72"/>
        <v>18.002.04.122.0001.2.009.3.3.90.36.00</v>
      </c>
      <c r="E1564" t="str">
        <f>VLOOKUP(LEFT(A1564,2),ConsolidadoLoa27_ATIVIDADES!A:I,9,0)</f>
        <v>18 - ENCARGOS/ADMINISTRAÇÃO</v>
      </c>
      <c r="F1564" t="str">
        <f t="shared" si="73"/>
        <v>2.009</v>
      </c>
      <c r="G1564" t="str">
        <f t="shared" si="74"/>
        <v>01.110.0000</v>
      </c>
    </row>
    <row r="1565" spans="1:7" hidden="1" x14ac:dyDescent="0.25">
      <c r="A1565" s="6" t="s">
        <v>3573</v>
      </c>
      <c r="B1565" s="28">
        <v>57324</v>
      </c>
      <c r="C1565" s="6" t="s">
        <v>3587</v>
      </c>
      <c r="D1565" t="str">
        <f t="shared" si="72"/>
        <v>18.002.04.122.0001.2.009.3.3.90.36.00</v>
      </c>
      <c r="E1565" t="str">
        <f>VLOOKUP(LEFT(A1565,2),ConsolidadoLoa27_ATIVIDADES!A:I,9,0)</f>
        <v>18 - ENCARGOS/ADMINISTRAÇÃO</v>
      </c>
      <c r="F1565" t="str">
        <f t="shared" si="73"/>
        <v>2.009</v>
      </c>
      <c r="G1565" t="str">
        <f t="shared" si="74"/>
        <v>01.110.0000</v>
      </c>
    </row>
    <row r="1566" spans="1:7" hidden="1" x14ac:dyDescent="0.25">
      <c r="A1566" s="6" t="s">
        <v>3573</v>
      </c>
      <c r="B1566" s="28">
        <v>112201</v>
      </c>
      <c r="C1566" s="6" t="s">
        <v>3588</v>
      </c>
      <c r="D1566" t="str">
        <f t="shared" si="72"/>
        <v>18.002.04.122.0001.2.009.3.3.90.36.00</v>
      </c>
      <c r="E1566" t="str">
        <f>VLOOKUP(LEFT(A1566,2),ConsolidadoLoa27_ATIVIDADES!A:I,9,0)</f>
        <v>18 - ENCARGOS/ADMINISTRAÇÃO</v>
      </c>
      <c r="F1566" t="str">
        <f t="shared" si="73"/>
        <v>2.009</v>
      </c>
      <c r="G1566" t="str">
        <f t="shared" si="74"/>
        <v>01.110.0000</v>
      </c>
    </row>
    <row r="1567" spans="1:7" hidden="1" x14ac:dyDescent="0.25">
      <c r="A1567" s="6" t="s">
        <v>3573</v>
      </c>
      <c r="B1567" s="28">
        <v>108000</v>
      </c>
      <c r="C1567" s="6" t="s">
        <v>3589</v>
      </c>
      <c r="D1567" t="str">
        <f t="shared" si="72"/>
        <v>18.002.04.122.0001.2.009.3.3.90.36.00</v>
      </c>
      <c r="E1567" t="str">
        <f>VLOOKUP(LEFT(A1567,2),ConsolidadoLoa27_ATIVIDADES!A:I,9,0)</f>
        <v>18 - ENCARGOS/ADMINISTRAÇÃO</v>
      </c>
      <c r="F1567" t="str">
        <f t="shared" si="73"/>
        <v>2.009</v>
      </c>
      <c r="G1567" t="str">
        <f t="shared" si="74"/>
        <v>01.110.0000</v>
      </c>
    </row>
    <row r="1568" spans="1:7" hidden="1" x14ac:dyDescent="0.25">
      <c r="A1568" s="6" t="s">
        <v>3573</v>
      </c>
      <c r="B1568" s="28">
        <v>66120</v>
      </c>
      <c r="C1568" s="6" t="s">
        <v>3590</v>
      </c>
      <c r="D1568" t="str">
        <f t="shared" si="72"/>
        <v>18.002.04.122.0001.2.009.3.3.90.36.00</v>
      </c>
      <c r="E1568" t="str">
        <f>VLOOKUP(LEFT(A1568,2),ConsolidadoLoa27_ATIVIDADES!A:I,9,0)</f>
        <v>18 - ENCARGOS/ADMINISTRAÇÃO</v>
      </c>
      <c r="F1568" t="str">
        <f t="shared" si="73"/>
        <v>2.009</v>
      </c>
      <c r="G1568" t="str">
        <f t="shared" si="74"/>
        <v>01.110.0000</v>
      </c>
    </row>
    <row r="1569" spans="1:7" hidden="1" x14ac:dyDescent="0.25">
      <c r="A1569" s="6" t="s">
        <v>3573</v>
      </c>
      <c r="B1569" s="28">
        <v>163140</v>
      </c>
      <c r="C1569" s="6" t="s">
        <v>3591</v>
      </c>
      <c r="D1569" t="str">
        <f t="shared" si="72"/>
        <v>18.002.04.122.0001.2.009.3.3.90.36.00</v>
      </c>
      <c r="E1569" t="str">
        <f>VLOOKUP(LEFT(A1569,2),ConsolidadoLoa27_ATIVIDADES!A:I,9,0)</f>
        <v>18 - ENCARGOS/ADMINISTRAÇÃO</v>
      </c>
      <c r="F1569" t="str">
        <f t="shared" si="73"/>
        <v>2.009</v>
      </c>
      <c r="G1569" t="str">
        <f t="shared" si="74"/>
        <v>01.110.0000</v>
      </c>
    </row>
    <row r="1570" spans="1:7" hidden="1" x14ac:dyDescent="0.25">
      <c r="A1570" s="6" t="s">
        <v>3573</v>
      </c>
      <c r="B1570" s="28">
        <v>366000</v>
      </c>
      <c r="C1570" s="6" t="s">
        <v>3592</v>
      </c>
      <c r="D1570" t="str">
        <f t="shared" si="72"/>
        <v>18.002.04.122.0001.2.009.3.3.90.36.00</v>
      </c>
      <c r="E1570" t="str">
        <f>VLOOKUP(LEFT(A1570,2),ConsolidadoLoa27_ATIVIDADES!A:I,9,0)</f>
        <v>18 - ENCARGOS/ADMINISTRAÇÃO</v>
      </c>
      <c r="F1570" t="str">
        <f t="shared" si="73"/>
        <v>2.009</v>
      </c>
      <c r="G1570" t="str">
        <f t="shared" si="74"/>
        <v>01.110.0000</v>
      </c>
    </row>
    <row r="1571" spans="1:7" hidden="1" x14ac:dyDescent="0.25">
      <c r="A1571" s="6" t="s">
        <v>3573</v>
      </c>
      <c r="B1571" s="28">
        <v>57317.319999999992</v>
      </c>
      <c r="C1571" s="6" t="s">
        <v>3593</v>
      </c>
      <c r="D1571" t="str">
        <f t="shared" si="72"/>
        <v>18.002.04.122.0001.2.009.3.3.90.36.00</v>
      </c>
      <c r="E1571" t="str">
        <f>VLOOKUP(LEFT(A1571,2),ConsolidadoLoa27_ATIVIDADES!A:I,9,0)</f>
        <v>18 - ENCARGOS/ADMINISTRAÇÃO</v>
      </c>
      <c r="F1571" t="str">
        <f t="shared" si="73"/>
        <v>2.009</v>
      </c>
      <c r="G1571" t="str">
        <f t="shared" si="74"/>
        <v>01.110.0000</v>
      </c>
    </row>
    <row r="1572" spans="1:7" hidden="1" x14ac:dyDescent="0.25">
      <c r="A1572" s="6" t="s">
        <v>3573</v>
      </c>
      <c r="B1572" s="28">
        <v>45442.559999999998</v>
      </c>
      <c r="C1572" s="6" t="s">
        <v>3594</v>
      </c>
      <c r="D1572" t="str">
        <f t="shared" si="72"/>
        <v>18.002.04.122.0001.2.009.3.3.90.36.00</v>
      </c>
      <c r="E1572" t="str">
        <f>VLOOKUP(LEFT(A1572,2),ConsolidadoLoa27_ATIVIDADES!A:I,9,0)</f>
        <v>18 - ENCARGOS/ADMINISTRAÇÃO</v>
      </c>
      <c r="F1572" t="str">
        <f t="shared" si="73"/>
        <v>2.009</v>
      </c>
      <c r="G1572" t="str">
        <f t="shared" si="74"/>
        <v>01.110.0000</v>
      </c>
    </row>
    <row r="1573" spans="1:7" hidden="1" x14ac:dyDescent="0.25">
      <c r="A1573" s="6" t="s">
        <v>3573</v>
      </c>
      <c r="B1573" s="28">
        <v>55200</v>
      </c>
      <c r="C1573" s="6" t="s">
        <v>3595</v>
      </c>
      <c r="D1573" t="str">
        <f t="shared" si="72"/>
        <v>18.002.04.122.0001.2.009.3.3.90.36.00</v>
      </c>
      <c r="E1573" t="str">
        <f>VLOOKUP(LEFT(A1573,2),ConsolidadoLoa27_ATIVIDADES!A:I,9,0)</f>
        <v>18 - ENCARGOS/ADMINISTRAÇÃO</v>
      </c>
      <c r="F1573" t="str">
        <f t="shared" si="73"/>
        <v>2.009</v>
      </c>
      <c r="G1573" t="str">
        <f t="shared" si="74"/>
        <v>01.110.0000</v>
      </c>
    </row>
    <row r="1574" spans="1:7" hidden="1" x14ac:dyDescent="0.25">
      <c r="A1574" s="6" t="s">
        <v>3573</v>
      </c>
      <c r="B1574" s="28">
        <v>83784</v>
      </c>
      <c r="C1574" s="6" t="s">
        <v>3596</v>
      </c>
      <c r="D1574" t="str">
        <f t="shared" si="72"/>
        <v>18.002.04.122.0001.2.009.3.3.90.36.00</v>
      </c>
      <c r="E1574" t="str">
        <f>VLOOKUP(LEFT(A1574,2),ConsolidadoLoa27_ATIVIDADES!A:I,9,0)</f>
        <v>18 - ENCARGOS/ADMINISTRAÇÃO</v>
      </c>
      <c r="F1574" t="str">
        <f t="shared" si="73"/>
        <v>2.009</v>
      </c>
      <c r="G1574" t="str">
        <f t="shared" si="74"/>
        <v>01.110.0000</v>
      </c>
    </row>
    <row r="1575" spans="1:7" hidden="1" x14ac:dyDescent="0.25">
      <c r="A1575" s="6" t="s">
        <v>3573</v>
      </c>
      <c r="B1575" s="28">
        <v>84372</v>
      </c>
      <c r="C1575" s="6" t="s">
        <v>3597</v>
      </c>
      <c r="D1575" t="str">
        <f t="shared" si="72"/>
        <v>18.002.04.122.0001.2.009.3.3.90.36.00</v>
      </c>
      <c r="E1575" t="str">
        <f>VLOOKUP(LEFT(A1575,2),ConsolidadoLoa27_ATIVIDADES!A:I,9,0)</f>
        <v>18 - ENCARGOS/ADMINISTRAÇÃO</v>
      </c>
      <c r="F1575" t="str">
        <f t="shared" si="73"/>
        <v>2.009</v>
      </c>
      <c r="G1575" t="str">
        <f t="shared" si="74"/>
        <v>01.110.0000</v>
      </c>
    </row>
    <row r="1576" spans="1:7" hidden="1" x14ac:dyDescent="0.25">
      <c r="A1576" s="6" t="s">
        <v>3573</v>
      </c>
      <c r="B1576" s="28">
        <v>89760</v>
      </c>
      <c r="C1576" s="6" t="s">
        <v>3598</v>
      </c>
      <c r="D1576" t="str">
        <f t="shared" si="72"/>
        <v>18.002.04.122.0001.2.009.3.3.90.36.00</v>
      </c>
      <c r="E1576" t="str">
        <f>VLOOKUP(LEFT(A1576,2),ConsolidadoLoa27_ATIVIDADES!A:I,9,0)</f>
        <v>18 - ENCARGOS/ADMINISTRAÇÃO</v>
      </c>
      <c r="F1576" t="str">
        <f t="shared" si="73"/>
        <v>2.009</v>
      </c>
      <c r="G1576" t="str">
        <f t="shared" si="74"/>
        <v>01.110.0000</v>
      </c>
    </row>
    <row r="1577" spans="1:7" hidden="1" x14ac:dyDescent="0.25">
      <c r="A1577" s="6" t="s">
        <v>3573</v>
      </c>
      <c r="B1577" s="28">
        <v>136800</v>
      </c>
      <c r="C1577" s="6" t="s">
        <v>3599</v>
      </c>
      <c r="D1577" t="str">
        <f t="shared" si="72"/>
        <v>18.002.04.122.0001.2.009.3.3.90.36.00</v>
      </c>
      <c r="E1577" t="str">
        <f>VLOOKUP(LEFT(A1577,2),ConsolidadoLoa27_ATIVIDADES!A:I,9,0)</f>
        <v>18 - ENCARGOS/ADMINISTRAÇÃO</v>
      </c>
      <c r="F1577" t="str">
        <f t="shared" si="73"/>
        <v>2.009</v>
      </c>
      <c r="G1577" t="str">
        <f t="shared" si="74"/>
        <v>01.110.0000</v>
      </c>
    </row>
    <row r="1578" spans="1:7" hidden="1" x14ac:dyDescent="0.25">
      <c r="A1578" s="6" t="s">
        <v>3573</v>
      </c>
      <c r="B1578" s="28">
        <v>168149.52</v>
      </c>
      <c r="C1578" s="6" t="s">
        <v>3600</v>
      </c>
      <c r="D1578" t="str">
        <f t="shared" si="72"/>
        <v>18.002.04.122.0001.2.009.3.3.90.36.00</v>
      </c>
      <c r="E1578" t="str">
        <f>VLOOKUP(LEFT(A1578,2),ConsolidadoLoa27_ATIVIDADES!A:I,9,0)</f>
        <v>18 - ENCARGOS/ADMINISTRAÇÃO</v>
      </c>
      <c r="F1578" t="str">
        <f t="shared" si="73"/>
        <v>2.009</v>
      </c>
      <c r="G1578" t="str">
        <f t="shared" si="74"/>
        <v>01.110.0000</v>
      </c>
    </row>
    <row r="1579" spans="1:7" hidden="1" x14ac:dyDescent="0.25">
      <c r="A1579" s="6" t="s">
        <v>3573</v>
      </c>
      <c r="B1579" s="28">
        <v>193109.28</v>
      </c>
      <c r="C1579" s="6" t="s">
        <v>3601</v>
      </c>
      <c r="D1579" t="str">
        <f t="shared" si="72"/>
        <v>18.002.04.122.0001.2.009.3.3.90.36.00</v>
      </c>
      <c r="E1579" t="str">
        <f>VLOOKUP(LEFT(A1579,2),ConsolidadoLoa27_ATIVIDADES!A:I,9,0)</f>
        <v>18 - ENCARGOS/ADMINISTRAÇÃO</v>
      </c>
      <c r="F1579" t="str">
        <f t="shared" si="73"/>
        <v>2.009</v>
      </c>
      <c r="G1579" t="str">
        <f t="shared" si="74"/>
        <v>01.110.0000</v>
      </c>
    </row>
    <row r="1580" spans="1:7" hidden="1" x14ac:dyDescent="0.25">
      <c r="A1580" s="6" t="s">
        <v>3573</v>
      </c>
      <c r="B1580" s="28">
        <v>184320</v>
      </c>
      <c r="C1580" s="6" t="s">
        <v>3602</v>
      </c>
      <c r="D1580" t="str">
        <f t="shared" si="72"/>
        <v>18.002.04.122.0001.2.009.3.3.90.36.00</v>
      </c>
      <c r="E1580" t="str">
        <f>VLOOKUP(LEFT(A1580,2),ConsolidadoLoa27_ATIVIDADES!A:I,9,0)</f>
        <v>18 - ENCARGOS/ADMINISTRAÇÃO</v>
      </c>
      <c r="F1580" t="str">
        <f t="shared" si="73"/>
        <v>2.009</v>
      </c>
      <c r="G1580" t="str">
        <f t="shared" si="74"/>
        <v>01.110.0000</v>
      </c>
    </row>
    <row r="1581" spans="1:7" hidden="1" x14ac:dyDescent="0.25">
      <c r="A1581" s="6" t="s">
        <v>3573</v>
      </c>
      <c r="B1581" s="28">
        <v>399000.00000000006</v>
      </c>
      <c r="C1581" s="6" t="s">
        <v>3603</v>
      </c>
      <c r="D1581" t="str">
        <f t="shared" si="72"/>
        <v>18.002.04.122.0001.2.009.3.3.90.36.00</v>
      </c>
      <c r="E1581" t="str">
        <f>VLOOKUP(LEFT(A1581,2),ConsolidadoLoa27_ATIVIDADES!A:I,9,0)</f>
        <v>18 - ENCARGOS/ADMINISTRAÇÃO</v>
      </c>
      <c r="F1581" t="str">
        <f t="shared" si="73"/>
        <v>2.009</v>
      </c>
      <c r="G1581" t="str">
        <f t="shared" si="74"/>
        <v>01.110.0000</v>
      </c>
    </row>
    <row r="1582" spans="1:7" hidden="1" x14ac:dyDescent="0.25">
      <c r="A1582" s="6" t="s">
        <v>3573</v>
      </c>
      <c r="B1582" s="28">
        <v>180624</v>
      </c>
      <c r="C1582" s="6" t="s">
        <v>3604</v>
      </c>
      <c r="D1582" t="str">
        <f t="shared" si="72"/>
        <v>18.002.04.122.0001.2.009.3.3.90.36.00</v>
      </c>
      <c r="E1582" t="str">
        <f>VLOOKUP(LEFT(A1582,2),ConsolidadoLoa27_ATIVIDADES!A:I,9,0)</f>
        <v>18 - ENCARGOS/ADMINISTRAÇÃO</v>
      </c>
      <c r="F1582" t="str">
        <f t="shared" si="73"/>
        <v>2.009</v>
      </c>
      <c r="G1582" t="str">
        <f t="shared" si="74"/>
        <v>01.110.0000</v>
      </c>
    </row>
    <row r="1583" spans="1:7" hidden="1" x14ac:dyDescent="0.25">
      <c r="A1583" s="6" t="s">
        <v>3573</v>
      </c>
      <c r="B1583" s="28">
        <v>303336</v>
      </c>
      <c r="C1583" s="6" t="s">
        <v>3605</v>
      </c>
      <c r="D1583" t="str">
        <f t="shared" si="72"/>
        <v>18.002.04.122.0001.2.009.3.3.90.36.00</v>
      </c>
      <c r="E1583" t="str">
        <f>VLOOKUP(LEFT(A1583,2),ConsolidadoLoa27_ATIVIDADES!A:I,9,0)</f>
        <v>18 - ENCARGOS/ADMINISTRAÇÃO</v>
      </c>
      <c r="F1583" t="str">
        <f t="shared" si="73"/>
        <v>2.009</v>
      </c>
      <c r="G1583" t="str">
        <f t="shared" si="74"/>
        <v>01.110.0000</v>
      </c>
    </row>
    <row r="1584" spans="1:7" hidden="1" x14ac:dyDescent="0.25">
      <c r="A1584" s="6" t="s">
        <v>3573</v>
      </c>
      <c r="B1584" s="28">
        <v>82440</v>
      </c>
      <c r="C1584" s="6" t="s">
        <v>3606</v>
      </c>
      <c r="D1584" t="str">
        <f t="shared" si="72"/>
        <v>18.002.04.122.0001.2.009.3.3.90.36.00</v>
      </c>
      <c r="E1584" t="str">
        <f>VLOOKUP(LEFT(A1584,2),ConsolidadoLoa27_ATIVIDADES!A:I,9,0)</f>
        <v>18 - ENCARGOS/ADMINISTRAÇÃO</v>
      </c>
      <c r="F1584" t="str">
        <f t="shared" si="73"/>
        <v>2.009</v>
      </c>
      <c r="G1584" t="str">
        <f t="shared" si="74"/>
        <v>01.110.0000</v>
      </c>
    </row>
    <row r="1585" spans="1:7" hidden="1" x14ac:dyDescent="0.25">
      <c r="A1585" s="6" t="s">
        <v>3573</v>
      </c>
      <c r="B1585" s="28">
        <v>332400</v>
      </c>
      <c r="C1585" s="6" t="s">
        <v>3607</v>
      </c>
      <c r="D1585" t="str">
        <f t="shared" si="72"/>
        <v>18.002.04.122.0001.2.009.3.3.90.36.00</v>
      </c>
      <c r="E1585" t="str">
        <f>VLOOKUP(LEFT(A1585,2),ConsolidadoLoa27_ATIVIDADES!A:I,9,0)</f>
        <v>18 - ENCARGOS/ADMINISTRAÇÃO</v>
      </c>
      <c r="F1585" t="str">
        <f t="shared" si="73"/>
        <v>2.009</v>
      </c>
      <c r="G1585" t="str">
        <f t="shared" si="74"/>
        <v>01.110.0000</v>
      </c>
    </row>
    <row r="1586" spans="1:7" hidden="1" x14ac:dyDescent="0.25">
      <c r="A1586" s="6" t="s">
        <v>3573</v>
      </c>
      <c r="B1586" s="28">
        <v>91200</v>
      </c>
      <c r="C1586" s="6" t="s">
        <v>3608</v>
      </c>
      <c r="D1586" t="str">
        <f t="shared" si="72"/>
        <v>18.002.04.122.0001.2.009.3.3.90.36.00</v>
      </c>
      <c r="E1586" t="str">
        <f>VLOOKUP(LEFT(A1586,2),ConsolidadoLoa27_ATIVIDADES!A:I,9,0)</f>
        <v>18 - ENCARGOS/ADMINISTRAÇÃO</v>
      </c>
      <c r="F1586" t="str">
        <f t="shared" si="73"/>
        <v>2.009</v>
      </c>
      <c r="G1586" t="str">
        <f t="shared" si="74"/>
        <v>01.110.0000</v>
      </c>
    </row>
    <row r="1587" spans="1:7" hidden="1" x14ac:dyDescent="0.25">
      <c r="A1587" s="6" t="s">
        <v>3573</v>
      </c>
      <c r="B1587" s="28">
        <v>120960</v>
      </c>
      <c r="C1587" s="6" t="s">
        <v>3609</v>
      </c>
      <c r="D1587" t="str">
        <f t="shared" si="72"/>
        <v>18.002.04.122.0001.2.009.3.3.90.36.00</v>
      </c>
      <c r="E1587" t="str">
        <f>VLOOKUP(LEFT(A1587,2),ConsolidadoLoa27_ATIVIDADES!A:I,9,0)</f>
        <v>18 - ENCARGOS/ADMINISTRAÇÃO</v>
      </c>
      <c r="F1587" t="str">
        <f t="shared" si="73"/>
        <v>2.009</v>
      </c>
      <c r="G1587" t="str">
        <f t="shared" si="74"/>
        <v>01.110.0000</v>
      </c>
    </row>
    <row r="1588" spans="1:7" hidden="1" x14ac:dyDescent="0.25">
      <c r="A1588" s="6" t="s">
        <v>3573</v>
      </c>
      <c r="B1588" s="28">
        <v>261540</v>
      </c>
      <c r="C1588" s="6" t="s">
        <v>3610</v>
      </c>
      <c r="D1588" t="str">
        <f t="shared" si="72"/>
        <v>18.002.04.122.0001.2.009.3.3.90.36.00</v>
      </c>
      <c r="E1588" t="str">
        <f>VLOOKUP(LEFT(A1588,2),ConsolidadoLoa27_ATIVIDADES!A:I,9,0)</f>
        <v>18 - ENCARGOS/ADMINISTRAÇÃO</v>
      </c>
      <c r="F1588" t="str">
        <f t="shared" si="73"/>
        <v>2.009</v>
      </c>
      <c r="G1588" t="str">
        <f t="shared" si="74"/>
        <v>01.110.0000</v>
      </c>
    </row>
    <row r="1589" spans="1:7" hidden="1" x14ac:dyDescent="0.25">
      <c r="A1589" s="6" t="s">
        <v>3573</v>
      </c>
      <c r="B1589" s="28">
        <v>270000</v>
      </c>
      <c r="C1589" s="6" t="s">
        <v>3611</v>
      </c>
      <c r="D1589" t="str">
        <f t="shared" si="72"/>
        <v>18.002.04.122.0001.2.009.3.3.90.36.00</v>
      </c>
      <c r="E1589" t="str">
        <f>VLOOKUP(LEFT(A1589,2),ConsolidadoLoa27_ATIVIDADES!A:I,9,0)</f>
        <v>18 - ENCARGOS/ADMINISTRAÇÃO</v>
      </c>
      <c r="F1589" t="str">
        <f t="shared" si="73"/>
        <v>2.009</v>
      </c>
      <c r="G1589" t="str">
        <f t="shared" si="74"/>
        <v>01.110.0000</v>
      </c>
    </row>
    <row r="1590" spans="1:7" hidden="1" x14ac:dyDescent="0.25">
      <c r="A1590" s="6" t="s">
        <v>3573</v>
      </c>
      <c r="B1590" s="28">
        <v>148800</v>
      </c>
      <c r="C1590" s="6" t="s">
        <v>3612</v>
      </c>
      <c r="D1590" t="str">
        <f t="shared" si="72"/>
        <v>18.002.04.122.0001.2.009.3.3.90.36.00</v>
      </c>
      <c r="E1590" t="str">
        <f>VLOOKUP(LEFT(A1590,2),ConsolidadoLoa27_ATIVIDADES!A:I,9,0)</f>
        <v>18 - ENCARGOS/ADMINISTRAÇÃO</v>
      </c>
      <c r="F1590" t="str">
        <f t="shared" si="73"/>
        <v>2.009</v>
      </c>
      <c r="G1590" t="str">
        <f t="shared" si="74"/>
        <v>01.110.0000</v>
      </c>
    </row>
    <row r="1591" spans="1:7" hidden="1" x14ac:dyDescent="0.25">
      <c r="A1591" s="6" t="s">
        <v>3573</v>
      </c>
      <c r="B1591" s="28">
        <v>1</v>
      </c>
      <c r="C1591" s="6" t="s">
        <v>3613</v>
      </c>
      <c r="D1591" t="str">
        <f t="shared" si="72"/>
        <v>18.002.04.122.0001.2.009.3.3.90.36.00</v>
      </c>
      <c r="E1591" t="str">
        <f>VLOOKUP(LEFT(A1591,2),ConsolidadoLoa27_ATIVIDADES!A:I,9,0)</f>
        <v>18 - ENCARGOS/ADMINISTRAÇÃO</v>
      </c>
      <c r="F1591" t="str">
        <f t="shared" si="73"/>
        <v>2.009</v>
      </c>
      <c r="G1591" t="str">
        <f t="shared" si="74"/>
        <v>01.110.0000</v>
      </c>
    </row>
    <row r="1592" spans="1:7" hidden="1" x14ac:dyDescent="0.25">
      <c r="A1592" s="6" t="s">
        <v>3573</v>
      </c>
      <c r="B1592" s="28">
        <v>372000</v>
      </c>
      <c r="C1592" s="6" t="s">
        <v>3614</v>
      </c>
      <c r="D1592" t="str">
        <f t="shared" si="72"/>
        <v>18.002.04.122.0001.2.009.3.3.90.36.00</v>
      </c>
      <c r="E1592" t="str">
        <f>VLOOKUP(LEFT(A1592,2),ConsolidadoLoa27_ATIVIDADES!A:I,9,0)</f>
        <v>18 - ENCARGOS/ADMINISTRAÇÃO</v>
      </c>
      <c r="F1592" t="str">
        <f t="shared" si="73"/>
        <v>2.009</v>
      </c>
      <c r="G1592" t="str">
        <f t="shared" si="74"/>
        <v>01.110.0000</v>
      </c>
    </row>
    <row r="1593" spans="1:7" hidden="1" x14ac:dyDescent="0.25">
      <c r="A1593" s="6" t="s">
        <v>3573</v>
      </c>
      <c r="B1593" s="28">
        <v>522900</v>
      </c>
      <c r="C1593" s="6" t="s">
        <v>3615</v>
      </c>
      <c r="D1593" t="str">
        <f t="shared" si="72"/>
        <v>18.002.04.122.0001.2.009.3.3.90.36.00</v>
      </c>
      <c r="E1593" t="str">
        <f>VLOOKUP(LEFT(A1593,2),ConsolidadoLoa27_ATIVIDADES!A:I,9,0)</f>
        <v>18 - ENCARGOS/ADMINISTRAÇÃO</v>
      </c>
      <c r="F1593" t="str">
        <f t="shared" si="73"/>
        <v>2.009</v>
      </c>
      <c r="G1593" t="str">
        <f t="shared" si="74"/>
        <v>01.110.0000</v>
      </c>
    </row>
    <row r="1594" spans="1:7" hidden="1" x14ac:dyDescent="0.25">
      <c r="A1594" s="6" t="s">
        <v>3573</v>
      </c>
      <c r="B1594" s="28">
        <v>204000</v>
      </c>
      <c r="C1594" s="6" t="s">
        <v>3616</v>
      </c>
      <c r="D1594" t="str">
        <f t="shared" si="72"/>
        <v>18.002.04.122.0001.2.009.3.3.90.36.00</v>
      </c>
      <c r="E1594" t="str">
        <f>VLOOKUP(LEFT(A1594,2),ConsolidadoLoa27_ATIVIDADES!A:I,9,0)</f>
        <v>18 - ENCARGOS/ADMINISTRAÇÃO</v>
      </c>
      <c r="F1594" t="str">
        <f t="shared" si="73"/>
        <v>2.009</v>
      </c>
      <c r="G1594" t="str">
        <f t="shared" si="74"/>
        <v>01.110.0000</v>
      </c>
    </row>
    <row r="1595" spans="1:7" hidden="1" x14ac:dyDescent="0.25">
      <c r="A1595" s="6" t="s">
        <v>3573</v>
      </c>
      <c r="B1595" s="28">
        <v>90599.000000000015</v>
      </c>
      <c r="C1595" s="6" t="s">
        <v>3617</v>
      </c>
      <c r="D1595" t="str">
        <f t="shared" si="72"/>
        <v>18.002.04.122.0001.2.009.3.3.90.36.00</v>
      </c>
      <c r="E1595" t="str">
        <f>VLOOKUP(LEFT(A1595,2),ConsolidadoLoa27_ATIVIDADES!A:I,9,0)</f>
        <v>18 - ENCARGOS/ADMINISTRAÇÃO</v>
      </c>
      <c r="F1595" t="str">
        <f t="shared" si="73"/>
        <v>2.009</v>
      </c>
      <c r="G1595" t="str">
        <f t="shared" si="74"/>
        <v>01.110.0000</v>
      </c>
    </row>
    <row r="1596" spans="1:7" hidden="1" x14ac:dyDescent="0.25">
      <c r="A1596" s="6" t="s">
        <v>3573</v>
      </c>
      <c r="B1596" s="28">
        <v>80400</v>
      </c>
      <c r="C1596" s="6" t="s">
        <v>3618</v>
      </c>
      <c r="D1596" t="str">
        <f t="shared" si="72"/>
        <v>18.002.04.122.0001.2.009.3.3.90.36.00</v>
      </c>
      <c r="E1596" t="str">
        <f>VLOOKUP(LEFT(A1596,2),ConsolidadoLoa27_ATIVIDADES!A:I,9,0)</f>
        <v>18 - ENCARGOS/ADMINISTRAÇÃO</v>
      </c>
      <c r="F1596" t="str">
        <f t="shared" si="73"/>
        <v>2.009</v>
      </c>
      <c r="G1596" t="str">
        <f t="shared" si="74"/>
        <v>01.110.0000</v>
      </c>
    </row>
    <row r="1597" spans="1:7" hidden="1" x14ac:dyDescent="0.25">
      <c r="A1597" s="6" t="s">
        <v>3573</v>
      </c>
      <c r="B1597" s="28">
        <v>1.0000000000063665</v>
      </c>
      <c r="C1597" s="6" t="s">
        <v>3619</v>
      </c>
      <c r="D1597" t="str">
        <f t="shared" si="72"/>
        <v>18.002.04.122.0001.2.009.3.3.90.36.00</v>
      </c>
      <c r="E1597" t="str">
        <f>VLOOKUP(LEFT(A1597,2),ConsolidadoLoa27_ATIVIDADES!A:I,9,0)</f>
        <v>18 - ENCARGOS/ADMINISTRAÇÃO</v>
      </c>
      <c r="F1597" t="str">
        <f t="shared" si="73"/>
        <v>2.009</v>
      </c>
      <c r="G1597" t="str">
        <f t="shared" si="74"/>
        <v>01.110.0000</v>
      </c>
    </row>
    <row r="1598" spans="1:7" hidden="1" x14ac:dyDescent="0.25">
      <c r="A1598" s="6" t="s">
        <v>3573</v>
      </c>
      <c r="B1598" s="28">
        <v>87240</v>
      </c>
      <c r="C1598" s="6" t="s">
        <v>3620</v>
      </c>
      <c r="D1598" t="str">
        <f t="shared" si="72"/>
        <v>18.002.04.122.0001.2.009.3.3.90.36.00</v>
      </c>
      <c r="E1598" t="str">
        <f>VLOOKUP(LEFT(A1598,2),ConsolidadoLoa27_ATIVIDADES!A:I,9,0)</f>
        <v>18 - ENCARGOS/ADMINISTRAÇÃO</v>
      </c>
      <c r="F1598" t="str">
        <f t="shared" si="73"/>
        <v>2.009</v>
      </c>
      <c r="G1598" t="str">
        <f t="shared" si="74"/>
        <v>01.110.0000</v>
      </c>
    </row>
    <row r="1599" spans="1:7" hidden="1" x14ac:dyDescent="0.25">
      <c r="A1599" s="6" t="s">
        <v>3573</v>
      </c>
      <c r="B1599" s="28">
        <v>177120</v>
      </c>
      <c r="C1599" s="6" t="s">
        <v>3621</v>
      </c>
      <c r="D1599" t="str">
        <f t="shared" si="72"/>
        <v>18.002.04.122.0001.2.009.3.3.90.36.00</v>
      </c>
      <c r="E1599" t="str">
        <f>VLOOKUP(LEFT(A1599,2),ConsolidadoLoa27_ATIVIDADES!A:I,9,0)</f>
        <v>18 - ENCARGOS/ADMINISTRAÇÃO</v>
      </c>
      <c r="F1599" t="str">
        <f t="shared" si="73"/>
        <v>2.009</v>
      </c>
      <c r="G1599" t="str">
        <f t="shared" si="74"/>
        <v>01.110.0000</v>
      </c>
    </row>
    <row r="1600" spans="1:7" hidden="1" x14ac:dyDescent="0.25">
      <c r="A1600" s="6" t="s">
        <v>3573</v>
      </c>
      <c r="B1600" s="28">
        <v>126000</v>
      </c>
      <c r="C1600" s="6" t="s">
        <v>3622</v>
      </c>
      <c r="D1600" t="str">
        <f t="shared" si="72"/>
        <v>18.002.04.122.0001.2.009.3.3.90.36.00</v>
      </c>
      <c r="E1600" t="str">
        <f>VLOOKUP(LEFT(A1600,2),ConsolidadoLoa27_ATIVIDADES!A:I,9,0)</f>
        <v>18 - ENCARGOS/ADMINISTRAÇÃO</v>
      </c>
      <c r="F1600" t="str">
        <f t="shared" si="73"/>
        <v>2.009</v>
      </c>
      <c r="G1600" t="str">
        <f t="shared" si="74"/>
        <v>01.110.0000</v>
      </c>
    </row>
    <row r="1601" spans="1:7" hidden="1" x14ac:dyDescent="0.25">
      <c r="A1601" s="6" t="s">
        <v>3573</v>
      </c>
      <c r="B1601" s="28">
        <v>54180</v>
      </c>
      <c r="C1601" s="6" t="s">
        <v>3623</v>
      </c>
      <c r="D1601" t="str">
        <f t="shared" si="72"/>
        <v>18.002.04.122.0001.2.009.3.3.90.36.00</v>
      </c>
      <c r="E1601" t="str">
        <f>VLOOKUP(LEFT(A1601,2),ConsolidadoLoa27_ATIVIDADES!A:I,9,0)</f>
        <v>18 - ENCARGOS/ADMINISTRAÇÃO</v>
      </c>
      <c r="F1601" t="str">
        <f t="shared" si="73"/>
        <v>2.009</v>
      </c>
      <c r="G1601" t="str">
        <f t="shared" si="74"/>
        <v>01.110.0000</v>
      </c>
    </row>
    <row r="1602" spans="1:7" hidden="1" x14ac:dyDescent="0.25">
      <c r="A1602" s="6" t="s">
        <v>3624</v>
      </c>
      <c r="B1602" s="28">
        <v>138000</v>
      </c>
      <c r="C1602" s="6" t="s">
        <v>3625</v>
      </c>
      <c r="D1602" t="str">
        <f t="shared" si="72"/>
        <v>18.002.04.122.0001.2.009.3.3.90.39.00</v>
      </c>
      <c r="E1602" t="str">
        <f>VLOOKUP(LEFT(A1602,2),ConsolidadoLoa27_ATIVIDADES!A:I,9,0)</f>
        <v>18 - ENCARGOS/ADMINISTRAÇÃO</v>
      </c>
      <c r="F1602" t="str">
        <f t="shared" si="73"/>
        <v>2.009</v>
      </c>
      <c r="G1602" t="str">
        <f t="shared" si="74"/>
        <v>01.110.0000</v>
      </c>
    </row>
    <row r="1603" spans="1:7" hidden="1" x14ac:dyDescent="0.25">
      <c r="A1603" s="6" t="s">
        <v>3624</v>
      </c>
      <c r="B1603" s="28">
        <v>168000</v>
      </c>
      <c r="C1603" s="6" t="s">
        <v>3626</v>
      </c>
      <c r="D1603" t="str">
        <f t="shared" ref="D1603:D1666" si="75">_xlfn.CONCAT(LEFT(A1603,34),".00")</f>
        <v>18.002.04.122.0001.2.009.3.3.90.39.00</v>
      </c>
      <c r="E1603" t="str">
        <f>VLOOKUP(LEFT(A1603,2),ConsolidadoLoa27_ATIVIDADES!A:I,9,0)</f>
        <v>18 - ENCARGOS/ADMINISTRAÇÃO</v>
      </c>
      <c r="F1603" t="str">
        <f t="shared" ref="F1603:F1666" si="76">MID(A1603,20,5)</f>
        <v>2.009</v>
      </c>
      <c r="G1603" t="str">
        <f t="shared" ref="G1603:G1666" si="77">RIGHT(A1603,11)</f>
        <v>01.110.0000</v>
      </c>
    </row>
    <row r="1604" spans="1:7" hidden="1" x14ac:dyDescent="0.25">
      <c r="A1604" s="6" t="s">
        <v>3624</v>
      </c>
      <c r="B1604" s="28">
        <v>84000</v>
      </c>
      <c r="C1604" s="6" t="s">
        <v>3627</v>
      </c>
      <c r="D1604" t="str">
        <f t="shared" si="75"/>
        <v>18.002.04.122.0001.2.009.3.3.90.39.00</v>
      </c>
      <c r="E1604" t="str">
        <f>VLOOKUP(LEFT(A1604,2),ConsolidadoLoa27_ATIVIDADES!A:I,9,0)</f>
        <v>18 - ENCARGOS/ADMINISTRAÇÃO</v>
      </c>
      <c r="F1604" t="str">
        <f t="shared" si="76"/>
        <v>2.009</v>
      </c>
      <c r="G1604" t="str">
        <f t="shared" si="77"/>
        <v>01.110.0000</v>
      </c>
    </row>
    <row r="1605" spans="1:7" hidden="1" x14ac:dyDescent="0.25">
      <c r="A1605" s="6" t="s">
        <v>3624</v>
      </c>
      <c r="B1605" s="28">
        <v>537660</v>
      </c>
      <c r="C1605" s="6" t="s">
        <v>3628</v>
      </c>
      <c r="D1605" t="str">
        <f t="shared" si="75"/>
        <v>18.002.04.122.0001.2.009.3.3.90.39.00</v>
      </c>
      <c r="E1605" t="str">
        <f>VLOOKUP(LEFT(A1605,2),ConsolidadoLoa27_ATIVIDADES!A:I,9,0)</f>
        <v>18 - ENCARGOS/ADMINISTRAÇÃO</v>
      </c>
      <c r="F1605" t="str">
        <f t="shared" si="76"/>
        <v>2.009</v>
      </c>
      <c r="G1605" t="str">
        <f t="shared" si="77"/>
        <v>01.110.0000</v>
      </c>
    </row>
    <row r="1606" spans="1:7" hidden="1" x14ac:dyDescent="0.25">
      <c r="A1606" s="6" t="s">
        <v>3624</v>
      </c>
      <c r="B1606" s="28">
        <v>121200</v>
      </c>
      <c r="C1606" s="6" t="s">
        <v>3629</v>
      </c>
      <c r="D1606" t="str">
        <f t="shared" si="75"/>
        <v>18.002.04.122.0001.2.009.3.3.90.39.00</v>
      </c>
      <c r="E1606" t="str">
        <f>VLOOKUP(LEFT(A1606,2),ConsolidadoLoa27_ATIVIDADES!A:I,9,0)</f>
        <v>18 - ENCARGOS/ADMINISTRAÇÃO</v>
      </c>
      <c r="F1606" t="str">
        <f t="shared" si="76"/>
        <v>2.009</v>
      </c>
      <c r="G1606" t="str">
        <f t="shared" si="77"/>
        <v>01.110.0000</v>
      </c>
    </row>
    <row r="1607" spans="1:7" hidden="1" x14ac:dyDescent="0.25">
      <c r="A1607" s="6" t="s">
        <v>3624</v>
      </c>
      <c r="B1607" s="28">
        <v>744000</v>
      </c>
      <c r="C1607" s="6" t="s">
        <v>3630</v>
      </c>
      <c r="D1607" t="str">
        <f t="shared" si="75"/>
        <v>18.002.04.122.0001.2.009.3.3.90.39.00</v>
      </c>
      <c r="E1607" t="str">
        <f>VLOOKUP(LEFT(A1607,2),ConsolidadoLoa27_ATIVIDADES!A:I,9,0)</f>
        <v>18 - ENCARGOS/ADMINISTRAÇÃO</v>
      </c>
      <c r="F1607" t="str">
        <f t="shared" si="76"/>
        <v>2.009</v>
      </c>
      <c r="G1607" t="str">
        <f t="shared" si="77"/>
        <v>01.110.0000</v>
      </c>
    </row>
    <row r="1608" spans="1:7" hidden="1" x14ac:dyDescent="0.25">
      <c r="A1608" s="6" t="s">
        <v>3624</v>
      </c>
      <c r="B1608" s="28">
        <v>209160</v>
      </c>
      <c r="C1608" s="6" t="s">
        <v>3631</v>
      </c>
      <c r="D1608" t="str">
        <f t="shared" si="75"/>
        <v>18.002.04.122.0001.2.009.3.3.90.39.00</v>
      </c>
      <c r="E1608" t="str">
        <f>VLOOKUP(LEFT(A1608,2),ConsolidadoLoa27_ATIVIDADES!A:I,9,0)</f>
        <v>18 - ENCARGOS/ADMINISTRAÇÃO</v>
      </c>
      <c r="F1608" t="str">
        <f t="shared" si="76"/>
        <v>2.009</v>
      </c>
      <c r="G1608" t="str">
        <f t="shared" si="77"/>
        <v>01.110.0000</v>
      </c>
    </row>
    <row r="1609" spans="1:7" hidden="1" x14ac:dyDescent="0.25">
      <c r="A1609" s="6" t="s">
        <v>3624</v>
      </c>
      <c r="B1609" s="28">
        <v>167580</v>
      </c>
      <c r="C1609" s="6" t="s">
        <v>3632</v>
      </c>
      <c r="D1609" t="str">
        <f t="shared" si="75"/>
        <v>18.002.04.122.0001.2.009.3.3.90.39.00</v>
      </c>
      <c r="E1609" t="str">
        <f>VLOOKUP(LEFT(A1609,2),ConsolidadoLoa27_ATIVIDADES!A:I,9,0)</f>
        <v>18 - ENCARGOS/ADMINISTRAÇÃO</v>
      </c>
      <c r="F1609" t="str">
        <f t="shared" si="76"/>
        <v>2.009</v>
      </c>
      <c r="G1609" t="str">
        <f t="shared" si="77"/>
        <v>01.110.0000</v>
      </c>
    </row>
    <row r="1610" spans="1:7" hidden="1" x14ac:dyDescent="0.25">
      <c r="A1610" s="6" t="s">
        <v>3624</v>
      </c>
      <c r="B1610" s="28">
        <v>135030</v>
      </c>
      <c r="C1610" s="6" t="s">
        <v>3633</v>
      </c>
      <c r="D1610" t="str">
        <f t="shared" si="75"/>
        <v>18.002.04.122.0001.2.009.3.3.90.39.00</v>
      </c>
      <c r="E1610" t="str">
        <f>VLOOKUP(LEFT(A1610,2),ConsolidadoLoa27_ATIVIDADES!A:I,9,0)</f>
        <v>18 - ENCARGOS/ADMINISTRAÇÃO</v>
      </c>
      <c r="F1610" t="str">
        <f t="shared" si="76"/>
        <v>2.009</v>
      </c>
      <c r="G1610" t="str">
        <f t="shared" si="77"/>
        <v>01.110.0000</v>
      </c>
    </row>
    <row r="1611" spans="1:7" hidden="1" x14ac:dyDescent="0.25">
      <c r="A1611" s="6" t="s">
        <v>3624</v>
      </c>
      <c r="B1611" s="28">
        <v>167880</v>
      </c>
      <c r="C1611" s="6" t="s">
        <v>3634</v>
      </c>
      <c r="D1611" t="str">
        <f t="shared" si="75"/>
        <v>18.002.04.122.0001.2.009.3.3.90.39.00</v>
      </c>
      <c r="E1611" t="str">
        <f>VLOOKUP(LEFT(A1611,2),ConsolidadoLoa27_ATIVIDADES!A:I,9,0)</f>
        <v>18 - ENCARGOS/ADMINISTRAÇÃO</v>
      </c>
      <c r="F1611" t="str">
        <f t="shared" si="76"/>
        <v>2.009</v>
      </c>
      <c r="G1611" t="str">
        <f t="shared" si="77"/>
        <v>01.110.0000</v>
      </c>
    </row>
    <row r="1612" spans="1:7" hidden="1" x14ac:dyDescent="0.25">
      <c r="A1612" s="6" t="s">
        <v>3624</v>
      </c>
      <c r="B1612" s="28">
        <v>162000</v>
      </c>
      <c r="C1612" s="6" t="s">
        <v>3635</v>
      </c>
      <c r="D1612" t="str">
        <f t="shared" si="75"/>
        <v>18.002.04.122.0001.2.009.3.3.90.39.00</v>
      </c>
      <c r="E1612" t="str">
        <f>VLOOKUP(LEFT(A1612,2),ConsolidadoLoa27_ATIVIDADES!A:I,9,0)</f>
        <v>18 - ENCARGOS/ADMINISTRAÇÃO</v>
      </c>
      <c r="F1612" t="str">
        <f t="shared" si="76"/>
        <v>2.009</v>
      </c>
      <c r="G1612" t="str">
        <f t="shared" si="77"/>
        <v>01.110.0000</v>
      </c>
    </row>
    <row r="1613" spans="1:7" hidden="1" x14ac:dyDescent="0.25">
      <c r="A1613" s="6" t="s">
        <v>3624</v>
      </c>
      <c r="B1613" s="28">
        <v>153330.68</v>
      </c>
      <c r="C1613" s="6" t="s">
        <v>3593</v>
      </c>
      <c r="D1613" t="str">
        <f t="shared" si="75"/>
        <v>18.002.04.122.0001.2.009.3.3.90.39.00</v>
      </c>
      <c r="E1613" t="str">
        <f>VLOOKUP(LEFT(A1613,2),ConsolidadoLoa27_ATIVIDADES!A:I,9,0)</f>
        <v>18 - ENCARGOS/ADMINISTRAÇÃO</v>
      </c>
      <c r="F1613" t="str">
        <f t="shared" si="76"/>
        <v>2.009</v>
      </c>
      <c r="G1613" t="str">
        <f t="shared" si="77"/>
        <v>01.110.0000</v>
      </c>
    </row>
    <row r="1614" spans="1:7" hidden="1" x14ac:dyDescent="0.25">
      <c r="A1614" s="6" t="s">
        <v>3624</v>
      </c>
      <c r="B1614" s="28">
        <v>66000</v>
      </c>
      <c r="C1614" s="6" t="s">
        <v>3636</v>
      </c>
      <c r="D1614" t="str">
        <f t="shared" si="75"/>
        <v>18.002.04.122.0001.2.009.3.3.90.39.00</v>
      </c>
      <c r="E1614" t="str">
        <f>VLOOKUP(LEFT(A1614,2),ConsolidadoLoa27_ATIVIDADES!A:I,9,0)</f>
        <v>18 - ENCARGOS/ADMINISTRAÇÃO</v>
      </c>
      <c r="F1614" t="str">
        <f t="shared" si="76"/>
        <v>2.009</v>
      </c>
      <c r="G1614" t="str">
        <f t="shared" si="77"/>
        <v>01.110.0000</v>
      </c>
    </row>
    <row r="1615" spans="1:7" hidden="1" x14ac:dyDescent="0.25">
      <c r="A1615" s="6" t="s">
        <v>3624</v>
      </c>
      <c r="B1615" s="28">
        <v>140797.44</v>
      </c>
      <c r="C1615" s="6" t="s">
        <v>3637</v>
      </c>
      <c r="D1615" t="str">
        <f t="shared" si="75"/>
        <v>18.002.04.122.0001.2.009.3.3.90.39.00</v>
      </c>
      <c r="E1615" t="str">
        <f>VLOOKUP(LEFT(A1615,2),ConsolidadoLoa27_ATIVIDADES!A:I,9,0)</f>
        <v>18 - ENCARGOS/ADMINISTRAÇÃO</v>
      </c>
      <c r="F1615" t="str">
        <f t="shared" si="76"/>
        <v>2.009</v>
      </c>
      <c r="G1615" t="str">
        <f t="shared" si="77"/>
        <v>01.110.0000</v>
      </c>
    </row>
    <row r="1616" spans="1:7" hidden="1" x14ac:dyDescent="0.25">
      <c r="A1616" s="6" t="s">
        <v>3624</v>
      </c>
      <c r="B1616" s="28">
        <v>780000</v>
      </c>
      <c r="C1616" s="6" t="s">
        <v>3638</v>
      </c>
      <c r="D1616" t="str">
        <f t="shared" si="75"/>
        <v>18.002.04.122.0001.2.009.3.3.90.39.00</v>
      </c>
      <c r="E1616" t="str">
        <f>VLOOKUP(LEFT(A1616,2),ConsolidadoLoa27_ATIVIDADES!A:I,9,0)</f>
        <v>18 - ENCARGOS/ADMINISTRAÇÃO</v>
      </c>
      <c r="F1616" t="str">
        <f t="shared" si="76"/>
        <v>2.009</v>
      </c>
      <c r="G1616" t="str">
        <f t="shared" si="77"/>
        <v>01.110.0000</v>
      </c>
    </row>
    <row r="1617" spans="1:7" hidden="1" x14ac:dyDescent="0.25">
      <c r="A1617" s="6" t="s">
        <v>3624</v>
      </c>
      <c r="B1617" s="28">
        <v>102000</v>
      </c>
      <c r="C1617" s="6" t="s">
        <v>3639</v>
      </c>
      <c r="D1617" t="str">
        <f t="shared" si="75"/>
        <v>18.002.04.122.0001.2.009.3.3.90.39.00</v>
      </c>
      <c r="E1617" t="str">
        <f>VLOOKUP(LEFT(A1617,2),ConsolidadoLoa27_ATIVIDADES!A:I,9,0)</f>
        <v>18 - ENCARGOS/ADMINISTRAÇÃO</v>
      </c>
      <c r="F1617" t="str">
        <f t="shared" si="76"/>
        <v>2.009</v>
      </c>
      <c r="G1617" t="str">
        <f t="shared" si="77"/>
        <v>01.110.0000</v>
      </c>
    </row>
    <row r="1618" spans="1:7" hidden="1" x14ac:dyDescent="0.25">
      <c r="A1618" s="6" t="s">
        <v>3624</v>
      </c>
      <c r="B1618" s="28">
        <v>540000</v>
      </c>
      <c r="C1618" s="6" t="s">
        <v>3640</v>
      </c>
      <c r="D1618" t="str">
        <f t="shared" si="75"/>
        <v>18.002.04.122.0001.2.009.3.3.90.39.00</v>
      </c>
      <c r="E1618" t="str">
        <f>VLOOKUP(LEFT(A1618,2),ConsolidadoLoa27_ATIVIDADES!A:I,9,0)</f>
        <v>18 - ENCARGOS/ADMINISTRAÇÃO</v>
      </c>
      <c r="F1618" t="str">
        <f t="shared" si="76"/>
        <v>2.009</v>
      </c>
      <c r="G1618" t="str">
        <f t="shared" si="77"/>
        <v>01.110.0000</v>
      </c>
    </row>
    <row r="1619" spans="1:7" hidden="1" x14ac:dyDescent="0.25">
      <c r="A1619" s="6" t="s">
        <v>3624</v>
      </c>
      <c r="B1619" s="28">
        <v>826201</v>
      </c>
      <c r="C1619" s="6" t="s">
        <v>3641</v>
      </c>
      <c r="D1619" t="str">
        <f t="shared" si="75"/>
        <v>18.002.04.122.0001.2.009.3.3.90.39.00</v>
      </c>
      <c r="E1619" t="str">
        <f>VLOOKUP(LEFT(A1619,2),ConsolidadoLoa27_ATIVIDADES!A:I,9,0)</f>
        <v>18 - ENCARGOS/ADMINISTRAÇÃO</v>
      </c>
      <c r="F1619" t="str">
        <f t="shared" si="76"/>
        <v>2.009</v>
      </c>
      <c r="G1619" t="str">
        <f t="shared" si="77"/>
        <v>01.110.0000</v>
      </c>
    </row>
    <row r="1620" spans="1:7" hidden="1" x14ac:dyDescent="0.25">
      <c r="A1620" s="6" t="s">
        <v>3624</v>
      </c>
      <c r="B1620" s="28">
        <v>858000</v>
      </c>
      <c r="C1620" s="6" t="s">
        <v>3642</v>
      </c>
      <c r="D1620" t="str">
        <f t="shared" si="75"/>
        <v>18.002.04.122.0001.2.009.3.3.90.39.00</v>
      </c>
      <c r="E1620" t="str">
        <f>VLOOKUP(LEFT(A1620,2),ConsolidadoLoa27_ATIVIDADES!A:I,9,0)</f>
        <v>18 - ENCARGOS/ADMINISTRAÇÃO</v>
      </c>
      <c r="F1620" t="str">
        <f t="shared" si="76"/>
        <v>2.009</v>
      </c>
      <c r="G1620" t="str">
        <f t="shared" si="77"/>
        <v>01.110.0000</v>
      </c>
    </row>
    <row r="1621" spans="1:7" hidden="1" x14ac:dyDescent="0.25">
      <c r="A1621" s="6" t="s">
        <v>3624</v>
      </c>
      <c r="B1621" s="28">
        <v>288000</v>
      </c>
      <c r="C1621" s="6" t="s">
        <v>3643</v>
      </c>
      <c r="D1621" t="str">
        <f t="shared" si="75"/>
        <v>18.002.04.122.0001.2.009.3.3.90.39.00</v>
      </c>
      <c r="E1621" t="str">
        <f>VLOOKUP(LEFT(A1621,2),ConsolidadoLoa27_ATIVIDADES!A:I,9,0)</f>
        <v>18 - ENCARGOS/ADMINISTRAÇÃO</v>
      </c>
      <c r="F1621" t="str">
        <f t="shared" si="76"/>
        <v>2.009</v>
      </c>
      <c r="G1621" t="str">
        <f t="shared" si="77"/>
        <v>01.110.0000</v>
      </c>
    </row>
    <row r="1622" spans="1:7" hidden="1" x14ac:dyDescent="0.25">
      <c r="A1622" s="6" t="s">
        <v>3624</v>
      </c>
      <c r="B1622" s="28">
        <v>234744</v>
      </c>
      <c r="C1622" s="6" t="s">
        <v>3644</v>
      </c>
      <c r="D1622" t="str">
        <f t="shared" si="75"/>
        <v>18.002.04.122.0001.2.009.3.3.90.39.00</v>
      </c>
      <c r="E1622" t="str">
        <f>VLOOKUP(LEFT(A1622,2),ConsolidadoLoa27_ATIVIDADES!A:I,9,0)</f>
        <v>18 - ENCARGOS/ADMINISTRAÇÃO</v>
      </c>
      <c r="F1622" t="str">
        <f t="shared" si="76"/>
        <v>2.009</v>
      </c>
      <c r="G1622" t="str">
        <f t="shared" si="77"/>
        <v>01.110.0000</v>
      </c>
    </row>
    <row r="1623" spans="1:7" hidden="1" x14ac:dyDescent="0.25">
      <c r="A1623" s="6" t="s">
        <v>3624</v>
      </c>
      <c r="B1623" s="28">
        <v>126000</v>
      </c>
      <c r="C1623" s="6" t="s">
        <v>3645</v>
      </c>
      <c r="D1623" t="str">
        <f t="shared" si="75"/>
        <v>18.002.04.122.0001.2.009.3.3.90.39.00</v>
      </c>
      <c r="E1623" t="str">
        <f>VLOOKUP(LEFT(A1623,2),ConsolidadoLoa27_ATIVIDADES!A:I,9,0)</f>
        <v>18 - ENCARGOS/ADMINISTRAÇÃO</v>
      </c>
      <c r="F1623" t="str">
        <f t="shared" si="76"/>
        <v>2.009</v>
      </c>
      <c r="G1623" t="str">
        <f t="shared" si="77"/>
        <v>01.110.0000</v>
      </c>
    </row>
    <row r="1624" spans="1:7" hidden="1" x14ac:dyDescent="0.25">
      <c r="A1624" s="6" t="s">
        <v>3624</v>
      </c>
      <c r="B1624" s="28">
        <v>1080000</v>
      </c>
      <c r="C1624" s="6" t="s">
        <v>3646</v>
      </c>
      <c r="D1624" t="str">
        <f t="shared" si="75"/>
        <v>18.002.04.122.0001.2.009.3.3.90.39.00</v>
      </c>
      <c r="E1624" t="str">
        <f>VLOOKUP(LEFT(A1624,2),ConsolidadoLoa27_ATIVIDADES!A:I,9,0)</f>
        <v>18 - ENCARGOS/ADMINISTRAÇÃO</v>
      </c>
      <c r="F1624" t="str">
        <f t="shared" si="76"/>
        <v>2.009</v>
      </c>
      <c r="G1624" t="str">
        <f t="shared" si="77"/>
        <v>01.110.0000</v>
      </c>
    </row>
    <row r="1625" spans="1:7" hidden="1" x14ac:dyDescent="0.25">
      <c r="A1625" s="6" t="s">
        <v>3624</v>
      </c>
      <c r="B1625" s="28">
        <v>100000</v>
      </c>
      <c r="C1625" s="6" t="s">
        <v>3613</v>
      </c>
      <c r="D1625" t="str">
        <f t="shared" si="75"/>
        <v>18.002.04.122.0001.2.009.3.3.90.39.00</v>
      </c>
      <c r="E1625" t="str">
        <f>VLOOKUP(LEFT(A1625,2),ConsolidadoLoa27_ATIVIDADES!A:I,9,0)</f>
        <v>18 - ENCARGOS/ADMINISTRAÇÃO</v>
      </c>
      <c r="F1625" t="str">
        <f t="shared" si="76"/>
        <v>2.009</v>
      </c>
      <c r="G1625" t="str">
        <f t="shared" si="77"/>
        <v>01.110.0000</v>
      </c>
    </row>
    <row r="1626" spans="1:7" hidden="1" x14ac:dyDescent="0.25">
      <c r="A1626" s="6" t="s">
        <v>3624</v>
      </c>
      <c r="B1626" s="28">
        <v>689700</v>
      </c>
      <c r="C1626" s="6" t="s">
        <v>3647</v>
      </c>
      <c r="D1626" t="str">
        <f t="shared" si="75"/>
        <v>18.002.04.122.0001.2.009.3.3.90.39.00</v>
      </c>
      <c r="E1626" t="str">
        <f>VLOOKUP(LEFT(A1626,2),ConsolidadoLoa27_ATIVIDADES!A:I,9,0)</f>
        <v>18 - ENCARGOS/ADMINISTRAÇÃO</v>
      </c>
      <c r="F1626" t="str">
        <f t="shared" si="76"/>
        <v>2.009</v>
      </c>
      <c r="G1626" t="str">
        <f t="shared" si="77"/>
        <v>01.110.0000</v>
      </c>
    </row>
    <row r="1627" spans="1:7" hidden="1" x14ac:dyDescent="0.25">
      <c r="A1627" s="6" t="s">
        <v>3624</v>
      </c>
      <c r="B1627" s="28">
        <v>433800</v>
      </c>
      <c r="C1627" s="6" t="s">
        <v>3648</v>
      </c>
      <c r="D1627" t="str">
        <f t="shared" si="75"/>
        <v>18.002.04.122.0001.2.009.3.3.90.39.00</v>
      </c>
      <c r="E1627" t="str">
        <f>VLOOKUP(LEFT(A1627,2),ConsolidadoLoa27_ATIVIDADES!A:I,9,0)</f>
        <v>18 - ENCARGOS/ADMINISTRAÇÃO</v>
      </c>
      <c r="F1627" t="str">
        <f t="shared" si="76"/>
        <v>2.009</v>
      </c>
      <c r="G1627" t="str">
        <f t="shared" si="77"/>
        <v>01.110.0000</v>
      </c>
    </row>
    <row r="1628" spans="1:7" hidden="1" x14ac:dyDescent="0.25">
      <c r="A1628" s="6" t="s">
        <v>3624</v>
      </c>
      <c r="B1628" s="28">
        <v>606000</v>
      </c>
      <c r="C1628" s="6" t="s">
        <v>3649</v>
      </c>
      <c r="D1628" t="str">
        <f t="shared" si="75"/>
        <v>18.002.04.122.0001.2.009.3.3.90.39.00</v>
      </c>
      <c r="E1628" t="str">
        <f>VLOOKUP(LEFT(A1628,2),ConsolidadoLoa27_ATIVIDADES!A:I,9,0)</f>
        <v>18 - ENCARGOS/ADMINISTRAÇÃO</v>
      </c>
      <c r="F1628" t="str">
        <f t="shared" si="76"/>
        <v>2.009</v>
      </c>
      <c r="G1628" t="str">
        <f t="shared" si="77"/>
        <v>01.110.0000</v>
      </c>
    </row>
    <row r="1629" spans="1:7" hidden="1" x14ac:dyDescent="0.25">
      <c r="A1629" s="6" t="s">
        <v>3624</v>
      </c>
      <c r="B1629" s="28">
        <v>606000</v>
      </c>
      <c r="C1629" s="6" t="s">
        <v>3650</v>
      </c>
      <c r="D1629" t="str">
        <f t="shared" si="75"/>
        <v>18.002.04.122.0001.2.009.3.3.90.39.00</v>
      </c>
      <c r="E1629" t="str">
        <f>VLOOKUP(LEFT(A1629,2),ConsolidadoLoa27_ATIVIDADES!A:I,9,0)</f>
        <v>18 - ENCARGOS/ADMINISTRAÇÃO</v>
      </c>
      <c r="F1629" t="str">
        <f t="shared" si="76"/>
        <v>2.009</v>
      </c>
      <c r="G1629" t="str">
        <f t="shared" si="77"/>
        <v>01.110.0000</v>
      </c>
    </row>
    <row r="1630" spans="1:7" hidden="1" x14ac:dyDescent="0.25">
      <c r="A1630" s="6" t="s">
        <v>3624</v>
      </c>
      <c r="B1630" s="28">
        <v>806400</v>
      </c>
      <c r="C1630" s="6" t="s">
        <v>3651</v>
      </c>
      <c r="D1630" t="str">
        <f t="shared" si="75"/>
        <v>18.002.04.122.0001.2.009.3.3.90.39.00</v>
      </c>
      <c r="E1630" t="str">
        <f>VLOOKUP(LEFT(A1630,2),ConsolidadoLoa27_ATIVIDADES!A:I,9,0)</f>
        <v>18 - ENCARGOS/ADMINISTRAÇÃO</v>
      </c>
      <c r="F1630" t="str">
        <f t="shared" si="76"/>
        <v>2.009</v>
      </c>
      <c r="G1630" t="str">
        <f t="shared" si="77"/>
        <v>01.110.0000</v>
      </c>
    </row>
    <row r="1631" spans="1:7" hidden="1" x14ac:dyDescent="0.25">
      <c r="A1631" s="6" t="s">
        <v>3624</v>
      </c>
      <c r="B1631" s="28">
        <v>1044000</v>
      </c>
      <c r="C1631" s="6" t="s">
        <v>3652</v>
      </c>
      <c r="D1631" t="str">
        <f t="shared" si="75"/>
        <v>18.002.04.122.0001.2.009.3.3.90.39.00</v>
      </c>
      <c r="E1631" t="str">
        <f>VLOOKUP(LEFT(A1631,2),ConsolidadoLoa27_ATIVIDADES!A:I,9,0)</f>
        <v>18 - ENCARGOS/ADMINISTRAÇÃO</v>
      </c>
      <c r="F1631" t="str">
        <f t="shared" si="76"/>
        <v>2.009</v>
      </c>
      <c r="G1631" t="str">
        <f t="shared" si="77"/>
        <v>01.110.0000</v>
      </c>
    </row>
    <row r="1632" spans="1:7" hidden="1" x14ac:dyDescent="0.25">
      <c r="A1632" s="6" t="s">
        <v>3624</v>
      </c>
      <c r="B1632" s="28">
        <v>174300</v>
      </c>
      <c r="C1632" s="6" t="s">
        <v>3653</v>
      </c>
      <c r="D1632" t="str">
        <f t="shared" si="75"/>
        <v>18.002.04.122.0001.2.009.3.3.90.39.00</v>
      </c>
      <c r="E1632" t="str">
        <f>VLOOKUP(LEFT(A1632,2),ConsolidadoLoa27_ATIVIDADES!A:I,9,0)</f>
        <v>18 - ENCARGOS/ADMINISTRAÇÃO</v>
      </c>
      <c r="F1632" t="str">
        <f t="shared" si="76"/>
        <v>2.009</v>
      </c>
      <c r="G1632" t="str">
        <f t="shared" si="77"/>
        <v>01.110.0000</v>
      </c>
    </row>
    <row r="1633" spans="1:7" hidden="1" x14ac:dyDescent="0.25">
      <c r="A1633" s="6" t="s">
        <v>3624</v>
      </c>
      <c r="B1633" s="28">
        <v>336000</v>
      </c>
      <c r="C1633" s="6" t="s">
        <v>3654</v>
      </c>
      <c r="D1633" t="str">
        <f t="shared" si="75"/>
        <v>18.002.04.122.0001.2.009.3.3.90.39.00</v>
      </c>
      <c r="E1633" t="str">
        <f>VLOOKUP(LEFT(A1633,2),ConsolidadoLoa27_ATIVIDADES!A:I,9,0)</f>
        <v>18 - ENCARGOS/ADMINISTRAÇÃO</v>
      </c>
      <c r="F1633" t="str">
        <f t="shared" si="76"/>
        <v>2.009</v>
      </c>
      <c r="G1633" t="str">
        <f t="shared" si="77"/>
        <v>01.110.0000</v>
      </c>
    </row>
    <row r="1634" spans="1:7" hidden="1" x14ac:dyDescent="0.25">
      <c r="A1634" s="6" t="s">
        <v>3624</v>
      </c>
      <c r="B1634" s="28">
        <v>480000</v>
      </c>
      <c r="C1634" s="6" t="s">
        <v>3655</v>
      </c>
      <c r="D1634" t="str">
        <f t="shared" si="75"/>
        <v>18.002.04.122.0001.2.009.3.3.90.39.00</v>
      </c>
      <c r="E1634" t="str">
        <f>VLOOKUP(LEFT(A1634,2),ConsolidadoLoa27_ATIVIDADES!A:I,9,0)</f>
        <v>18 - ENCARGOS/ADMINISTRAÇÃO</v>
      </c>
      <c r="F1634" t="str">
        <f t="shared" si="76"/>
        <v>2.009</v>
      </c>
      <c r="G1634" t="str">
        <f t="shared" si="77"/>
        <v>01.110.0000</v>
      </c>
    </row>
    <row r="1635" spans="1:7" hidden="1" x14ac:dyDescent="0.25">
      <c r="A1635" s="6" t="s">
        <v>3624</v>
      </c>
      <c r="B1635" s="28">
        <v>1423533.36</v>
      </c>
      <c r="C1635" s="6" t="s">
        <v>3656</v>
      </c>
      <c r="D1635" t="str">
        <f t="shared" si="75"/>
        <v>18.002.04.122.0001.2.009.3.3.90.39.00</v>
      </c>
      <c r="E1635" t="str">
        <f>VLOOKUP(LEFT(A1635,2),ConsolidadoLoa27_ATIVIDADES!A:I,9,0)</f>
        <v>18 - ENCARGOS/ADMINISTRAÇÃO</v>
      </c>
      <c r="F1635" t="str">
        <f t="shared" si="76"/>
        <v>2.009</v>
      </c>
      <c r="G1635" t="str">
        <f t="shared" si="77"/>
        <v>01.110.0000</v>
      </c>
    </row>
    <row r="1636" spans="1:7" hidden="1" x14ac:dyDescent="0.25">
      <c r="A1636" s="6" t="s">
        <v>3624</v>
      </c>
      <c r="B1636" s="28">
        <v>337107</v>
      </c>
      <c r="C1636" s="6" t="s">
        <v>3657</v>
      </c>
      <c r="D1636" t="str">
        <f t="shared" si="75"/>
        <v>18.002.04.122.0001.2.009.3.3.90.39.00</v>
      </c>
      <c r="E1636" t="str">
        <f>VLOOKUP(LEFT(A1636,2),ConsolidadoLoa27_ATIVIDADES!A:I,9,0)</f>
        <v>18 - ENCARGOS/ADMINISTRAÇÃO</v>
      </c>
      <c r="F1636" t="str">
        <f t="shared" si="76"/>
        <v>2.009</v>
      </c>
      <c r="G1636" t="str">
        <f t="shared" si="77"/>
        <v>01.110.0000</v>
      </c>
    </row>
    <row r="1637" spans="1:7" hidden="1" x14ac:dyDescent="0.25">
      <c r="A1637" s="6" t="s">
        <v>3624</v>
      </c>
      <c r="B1637" s="28">
        <v>848115.96</v>
      </c>
      <c r="C1637" s="6" t="s">
        <v>3658</v>
      </c>
      <c r="D1637" t="str">
        <f t="shared" si="75"/>
        <v>18.002.04.122.0001.2.009.3.3.90.39.00</v>
      </c>
      <c r="E1637" t="str">
        <f>VLOOKUP(LEFT(A1637,2),ConsolidadoLoa27_ATIVIDADES!A:I,9,0)</f>
        <v>18 - ENCARGOS/ADMINISTRAÇÃO</v>
      </c>
      <c r="F1637" t="str">
        <f t="shared" si="76"/>
        <v>2.009</v>
      </c>
      <c r="G1637" t="str">
        <f t="shared" si="77"/>
        <v>01.110.0000</v>
      </c>
    </row>
    <row r="1638" spans="1:7" hidden="1" x14ac:dyDescent="0.25">
      <c r="A1638" s="6" t="s">
        <v>3659</v>
      </c>
      <c r="B1638" s="28">
        <v>100000</v>
      </c>
      <c r="C1638" s="6" t="s">
        <v>2706</v>
      </c>
      <c r="D1638" t="str">
        <f t="shared" si="75"/>
        <v>18.002.04.122.0001.2.009.3.3.90.93.00</v>
      </c>
      <c r="E1638" t="str">
        <f>VLOOKUP(LEFT(A1638,2),ConsolidadoLoa27_ATIVIDADES!A:I,9,0)</f>
        <v>18 - ENCARGOS/ADMINISTRAÇÃO</v>
      </c>
      <c r="F1638" t="str">
        <f t="shared" si="76"/>
        <v>2.009</v>
      </c>
      <c r="G1638" t="str">
        <f t="shared" si="77"/>
        <v>01.110.0000</v>
      </c>
    </row>
    <row r="1639" spans="1:7" hidden="1" x14ac:dyDescent="0.25">
      <c r="A1639" s="6" t="s">
        <v>3660</v>
      </c>
      <c r="B1639" s="28">
        <v>5471169.7930999994</v>
      </c>
      <c r="C1639" s="6" t="s">
        <v>2493</v>
      </c>
      <c r="D1639" t="str">
        <f t="shared" si="75"/>
        <v>18.002.04.122.0001.2.011.3.3.90.39.00</v>
      </c>
      <c r="E1639" t="str">
        <f>VLOOKUP(LEFT(A1639,2),ConsolidadoLoa27_ATIVIDADES!A:I,9,0)</f>
        <v>18 - ENCARGOS/ADMINISTRAÇÃO</v>
      </c>
      <c r="F1639" t="str">
        <f t="shared" si="76"/>
        <v>2.011</v>
      </c>
      <c r="G1639" t="str">
        <f t="shared" si="77"/>
        <v>01.110.0000</v>
      </c>
    </row>
    <row r="1640" spans="1:7" hidden="1" x14ac:dyDescent="0.25">
      <c r="A1640" s="6" t="s">
        <v>3661</v>
      </c>
      <c r="B1640" s="28">
        <v>5283349.99</v>
      </c>
      <c r="C1640" s="6" t="s">
        <v>2493</v>
      </c>
      <c r="D1640" t="str">
        <f t="shared" si="75"/>
        <v>18.002.04.122.0001.2.011.3.3.90.39.00</v>
      </c>
      <c r="E1640" t="str">
        <f>VLOOKUP(LEFT(A1640,2),ConsolidadoLoa27_ATIVIDADES!A:I,9,0)</f>
        <v>18 - ENCARGOS/ADMINISTRAÇÃO</v>
      </c>
      <c r="F1640" t="str">
        <f t="shared" si="76"/>
        <v>2.011</v>
      </c>
      <c r="G1640" t="str">
        <f t="shared" si="77"/>
        <v>01.100.0002</v>
      </c>
    </row>
    <row r="1641" spans="1:7" hidden="1" x14ac:dyDescent="0.25">
      <c r="A1641" s="6" t="s">
        <v>3660</v>
      </c>
      <c r="B1641" s="28">
        <v>687499.92</v>
      </c>
      <c r="C1641" s="6" t="s">
        <v>3662</v>
      </c>
      <c r="D1641" t="str">
        <f t="shared" si="75"/>
        <v>18.002.04.122.0001.2.011.3.3.90.39.00</v>
      </c>
      <c r="E1641" t="str">
        <f>VLOOKUP(LEFT(A1641,2),ConsolidadoLoa27_ATIVIDADES!A:I,9,0)</f>
        <v>18 - ENCARGOS/ADMINISTRAÇÃO</v>
      </c>
      <c r="F1641" t="str">
        <f t="shared" si="76"/>
        <v>2.011</v>
      </c>
      <c r="G1641" t="str">
        <f t="shared" si="77"/>
        <v>01.110.0000</v>
      </c>
    </row>
    <row r="1642" spans="1:7" hidden="1" x14ac:dyDescent="0.25">
      <c r="A1642" s="6" t="s">
        <v>3660</v>
      </c>
      <c r="B1642" s="28">
        <v>27371.9722</v>
      </c>
      <c r="C1642" s="6" t="s">
        <v>100</v>
      </c>
      <c r="D1642" t="str">
        <f t="shared" si="75"/>
        <v>18.002.04.122.0001.2.011.3.3.90.39.00</v>
      </c>
      <c r="E1642" t="str">
        <f>VLOOKUP(LEFT(A1642,2),ConsolidadoLoa27_ATIVIDADES!A:I,9,0)</f>
        <v>18 - ENCARGOS/ADMINISTRAÇÃO</v>
      </c>
      <c r="F1642" t="str">
        <f t="shared" si="76"/>
        <v>2.011</v>
      </c>
      <c r="G1642" t="str">
        <f t="shared" si="77"/>
        <v>01.110.0000</v>
      </c>
    </row>
    <row r="1643" spans="1:7" hidden="1" x14ac:dyDescent="0.25">
      <c r="A1643" s="6" t="s">
        <v>3663</v>
      </c>
      <c r="B1643" s="28">
        <v>3226380</v>
      </c>
      <c r="C1643" s="6" t="s">
        <v>3664</v>
      </c>
      <c r="D1643" t="str">
        <f t="shared" si="75"/>
        <v>18.002.04.122.0001.2.011.3.3.90.40.00</v>
      </c>
      <c r="E1643" t="str">
        <f>VLOOKUP(LEFT(A1643,2),ConsolidadoLoa27_ATIVIDADES!A:I,9,0)</f>
        <v>18 - ENCARGOS/ADMINISTRAÇÃO</v>
      </c>
      <c r="F1643" t="str">
        <f t="shared" si="76"/>
        <v>2.011</v>
      </c>
      <c r="G1643" t="str">
        <f t="shared" si="77"/>
        <v>01.110.0000</v>
      </c>
    </row>
    <row r="1644" spans="1:7" hidden="1" x14ac:dyDescent="0.25">
      <c r="A1644" s="6" t="s">
        <v>3663</v>
      </c>
      <c r="B1644" s="28">
        <v>1717080.96</v>
      </c>
      <c r="C1644" s="6" t="s">
        <v>3665</v>
      </c>
      <c r="D1644" t="str">
        <f t="shared" si="75"/>
        <v>18.002.04.122.0001.2.011.3.3.90.40.00</v>
      </c>
      <c r="E1644" t="str">
        <f>VLOOKUP(LEFT(A1644,2),ConsolidadoLoa27_ATIVIDADES!A:I,9,0)</f>
        <v>18 - ENCARGOS/ADMINISTRAÇÃO</v>
      </c>
      <c r="F1644" t="str">
        <f t="shared" si="76"/>
        <v>2.011</v>
      </c>
      <c r="G1644" t="str">
        <f t="shared" si="77"/>
        <v>01.110.0000</v>
      </c>
    </row>
    <row r="1645" spans="1:7" hidden="1" x14ac:dyDescent="0.25">
      <c r="A1645" s="6" t="s">
        <v>3666</v>
      </c>
      <c r="B1645" s="28">
        <v>1</v>
      </c>
      <c r="C1645" s="6" t="s">
        <v>3667</v>
      </c>
      <c r="D1645" t="str">
        <f t="shared" si="75"/>
        <v>18.002.04.122.0001.2.011.3.3.91.39.00</v>
      </c>
      <c r="E1645" t="str">
        <f>VLOOKUP(LEFT(A1645,2),ConsolidadoLoa27_ATIVIDADES!A:I,9,0)</f>
        <v>18 - ENCARGOS/ADMINISTRAÇÃO</v>
      </c>
      <c r="F1645" t="str">
        <f t="shared" si="76"/>
        <v>2.011</v>
      </c>
      <c r="G1645" t="str">
        <f t="shared" si="77"/>
        <v>01.110.0000</v>
      </c>
    </row>
    <row r="1646" spans="1:7" hidden="1" x14ac:dyDescent="0.25">
      <c r="A1646" s="6" t="s">
        <v>3668</v>
      </c>
      <c r="B1646" s="28">
        <v>5192208</v>
      </c>
      <c r="C1646" s="6" t="s">
        <v>3669</v>
      </c>
      <c r="D1646" t="str">
        <f t="shared" si="75"/>
        <v>18.002.04.126.0002.2.007.3.3.90.40.00</v>
      </c>
      <c r="E1646" t="str">
        <f>VLOOKUP(LEFT(A1646,2),ConsolidadoLoa27_ATIVIDADES!A:I,9,0)</f>
        <v>18 - ENCARGOS/ADMINISTRAÇÃO</v>
      </c>
      <c r="F1646" t="str">
        <f t="shared" si="76"/>
        <v>2.007</v>
      </c>
      <c r="G1646" t="str">
        <f t="shared" si="77"/>
        <v>01.110.0000</v>
      </c>
    </row>
    <row r="1647" spans="1:7" hidden="1" x14ac:dyDescent="0.25">
      <c r="A1647" s="6" t="s">
        <v>3668</v>
      </c>
      <c r="B1647" s="28">
        <v>2914098</v>
      </c>
      <c r="C1647" s="6" t="s">
        <v>3670</v>
      </c>
      <c r="D1647" t="str">
        <f t="shared" si="75"/>
        <v>18.002.04.126.0002.2.007.3.3.90.40.00</v>
      </c>
      <c r="E1647" t="str">
        <f>VLOOKUP(LEFT(A1647,2),ConsolidadoLoa27_ATIVIDADES!A:I,9,0)</f>
        <v>18 - ENCARGOS/ADMINISTRAÇÃO</v>
      </c>
      <c r="F1647" t="str">
        <f t="shared" si="76"/>
        <v>2.007</v>
      </c>
      <c r="G1647" t="str">
        <f t="shared" si="77"/>
        <v>01.110.0000</v>
      </c>
    </row>
    <row r="1648" spans="1:7" hidden="1" x14ac:dyDescent="0.25">
      <c r="A1648" s="6" t="s">
        <v>3668</v>
      </c>
      <c r="B1648" s="28">
        <v>0</v>
      </c>
      <c r="C1648" s="6" t="s">
        <v>3671</v>
      </c>
      <c r="D1648" t="str">
        <f t="shared" si="75"/>
        <v>18.002.04.126.0002.2.007.3.3.90.40.00</v>
      </c>
      <c r="E1648" t="str">
        <f>VLOOKUP(LEFT(A1648,2),ConsolidadoLoa27_ATIVIDADES!A:I,9,0)</f>
        <v>18 - ENCARGOS/ADMINISTRAÇÃO</v>
      </c>
      <c r="F1648" t="str">
        <f t="shared" si="76"/>
        <v>2.007</v>
      </c>
      <c r="G1648" t="str">
        <f t="shared" si="77"/>
        <v>01.110.0000</v>
      </c>
    </row>
    <row r="1649" spans="1:7" hidden="1" x14ac:dyDescent="0.25">
      <c r="A1649" s="6" t="s">
        <v>3672</v>
      </c>
      <c r="B1649" s="28">
        <v>631013.92000000004</v>
      </c>
      <c r="C1649" s="6" t="s">
        <v>3673</v>
      </c>
      <c r="D1649" t="str">
        <f t="shared" si="75"/>
        <v>18.002.04.128.0001.2.008.3.3.90.39.00</v>
      </c>
      <c r="E1649" t="str">
        <f>VLOOKUP(LEFT(A1649,2),ConsolidadoLoa27_ATIVIDADES!A:I,9,0)</f>
        <v>18 - ENCARGOS/ADMINISTRAÇÃO</v>
      </c>
      <c r="F1649" t="str">
        <f t="shared" si="76"/>
        <v>2.008</v>
      </c>
      <c r="G1649" t="str">
        <f t="shared" si="77"/>
        <v>01.110.0000</v>
      </c>
    </row>
    <row r="1650" spans="1:7" hidden="1" x14ac:dyDescent="0.25">
      <c r="A1650" s="6" t="s">
        <v>3672</v>
      </c>
      <c r="B1650" s="28">
        <v>367680</v>
      </c>
      <c r="C1650" s="6" t="s">
        <v>3674</v>
      </c>
      <c r="D1650" t="str">
        <f t="shared" si="75"/>
        <v>18.002.04.128.0001.2.008.3.3.90.39.00</v>
      </c>
      <c r="E1650" t="str">
        <f>VLOOKUP(LEFT(A1650,2),ConsolidadoLoa27_ATIVIDADES!A:I,9,0)</f>
        <v>18 - ENCARGOS/ADMINISTRAÇÃO</v>
      </c>
      <c r="F1650" t="str">
        <f t="shared" si="76"/>
        <v>2.008</v>
      </c>
      <c r="G1650" t="str">
        <f t="shared" si="77"/>
        <v>01.110.0000</v>
      </c>
    </row>
    <row r="1651" spans="1:7" hidden="1" x14ac:dyDescent="0.25">
      <c r="A1651" s="6" t="s">
        <v>3675</v>
      </c>
      <c r="B1651" s="28">
        <v>4453518.03</v>
      </c>
      <c r="C1651" s="6" t="s">
        <v>3676</v>
      </c>
      <c r="D1651" t="str">
        <f t="shared" si="75"/>
        <v>18.002.04.128.0001.2.008.3.3.90.48.00</v>
      </c>
      <c r="E1651" t="str">
        <f>VLOOKUP(LEFT(A1651,2),ConsolidadoLoa27_ATIVIDADES!A:I,9,0)</f>
        <v>18 - ENCARGOS/ADMINISTRAÇÃO</v>
      </c>
      <c r="F1651" t="str">
        <f t="shared" si="76"/>
        <v>2.008</v>
      </c>
      <c r="G1651" t="str">
        <f t="shared" si="77"/>
        <v>01.110.0000</v>
      </c>
    </row>
    <row r="1652" spans="1:7" hidden="1" x14ac:dyDescent="0.25">
      <c r="A1652" s="6" t="s">
        <v>3675</v>
      </c>
      <c r="B1652" s="28">
        <v>6380251.8799999999</v>
      </c>
      <c r="C1652" s="6" t="s">
        <v>3673</v>
      </c>
      <c r="D1652" t="str">
        <f t="shared" si="75"/>
        <v>18.002.04.128.0001.2.008.3.3.90.48.00</v>
      </c>
      <c r="E1652" t="str">
        <f>VLOOKUP(LEFT(A1652,2),ConsolidadoLoa27_ATIVIDADES!A:I,9,0)</f>
        <v>18 - ENCARGOS/ADMINISTRAÇÃO</v>
      </c>
      <c r="F1652" t="str">
        <f t="shared" si="76"/>
        <v>2.008</v>
      </c>
      <c r="G1652" t="str">
        <f t="shared" si="77"/>
        <v>01.110.0000</v>
      </c>
    </row>
    <row r="1653" spans="1:7" hidden="1" x14ac:dyDescent="0.25">
      <c r="A1653" s="6" t="s">
        <v>3675</v>
      </c>
      <c r="B1653" s="28">
        <v>99012.81</v>
      </c>
      <c r="C1653" s="6" t="s">
        <v>3677</v>
      </c>
      <c r="D1653" t="str">
        <f t="shared" si="75"/>
        <v>18.002.04.128.0001.2.008.3.3.90.48.00</v>
      </c>
      <c r="E1653" t="str">
        <f>VLOOKUP(LEFT(A1653,2),ConsolidadoLoa27_ATIVIDADES!A:I,9,0)</f>
        <v>18 - ENCARGOS/ADMINISTRAÇÃO</v>
      </c>
      <c r="F1653" t="str">
        <f t="shared" si="76"/>
        <v>2.008</v>
      </c>
      <c r="G1653" t="str">
        <f t="shared" si="77"/>
        <v>01.110.0000</v>
      </c>
    </row>
    <row r="1654" spans="1:7" hidden="1" x14ac:dyDescent="0.25">
      <c r="A1654" s="6" t="s">
        <v>3675</v>
      </c>
      <c r="B1654" s="28">
        <v>66008.539999999994</v>
      </c>
      <c r="C1654" s="6" t="s">
        <v>3678</v>
      </c>
      <c r="D1654" t="str">
        <f t="shared" si="75"/>
        <v>18.002.04.128.0001.2.008.3.3.90.48.00</v>
      </c>
      <c r="E1654" t="str">
        <f>VLOOKUP(LEFT(A1654,2),ConsolidadoLoa27_ATIVIDADES!A:I,9,0)</f>
        <v>18 - ENCARGOS/ADMINISTRAÇÃO</v>
      </c>
      <c r="F1654" t="str">
        <f t="shared" si="76"/>
        <v>2.008</v>
      </c>
      <c r="G1654" t="str">
        <f t="shared" si="77"/>
        <v>01.110.0000</v>
      </c>
    </row>
    <row r="1655" spans="1:7" hidden="1" x14ac:dyDescent="0.25">
      <c r="A1655" s="6" t="s">
        <v>3675</v>
      </c>
      <c r="B1655" s="28">
        <v>165021.35</v>
      </c>
      <c r="C1655" s="6" t="s">
        <v>3679</v>
      </c>
      <c r="D1655" t="str">
        <f t="shared" si="75"/>
        <v>18.002.04.128.0001.2.008.3.3.90.48.00</v>
      </c>
      <c r="E1655" t="str">
        <f>VLOOKUP(LEFT(A1655,2),ConsolidadoLoa27_ATIVIDADES!A:I,9,0)</f>
        <v>18 - ENCARGOS/ADMINISTRAÇÃO</v>
      </c>
      <c r="F1655" t="str">
        <f t="shared" si="76"/>
        <v>2.008</v>
      </c>
      <c r="G1655" t="str">
        <f t="shared" si="77"/>
        <v>01.110.0000</v>
      </c>
    </row>
    <row r="1656" spans="1:7" hidden="1" x14ac:dyDescent="0.25">
      <c r="A1656" s="6" t="s">
        <v>3675</v>
      </c>
      <c r="B1656" s="28">
        <v>1650213.54</v>
      </c>
      <c r="C1656" s="6" t="s">
        <v>3680</v>
      </c>
      <c r="D1656" t="str">
        <f t="shared" si="75"/>
        <v>18.002.04.128.0001.2.008.3.3.90.48.00</v>
      </c>
      <c r="E1656" t="str">
        <f>VLOOKUP(LEFT(A1656,2),ConsolidadoLoa27_ATIVIDADES!A:I,9,0)</f>
        <v>18 - ENCARGOS/ADMINISTRAÇÃO</v>
      </c>
      <c r="F1656" t="str">
        <f t="shared" si="76"/>
        <v>2.008</v>
      </c>
      <c r="G1656" t="str">
        <f t="shared" si="77"/>
        <v>01.110.0000</v>
      </c>
    </row>
    <row r="1657" spans="1:7" hidden="1" x14ac:dyDescent="0.25">
      <c r="A1657" s="6" t="s">
        <v>3675</v>
      </c>
      <c r="B1657" s="28">
        <v>363046.98</v>
      </c>
      <c r="C1657" s="6" t="s">
        <v>3681</v>
      </c>
      <c r="D1657" t="str">
        <f t="shared" si="75"/>
        <v>18.002.04.128.0001.2.008.3.3.90.48.00</v>
      </c>
      <c r="E1657" t="str">
        <f>VLOOKUP(LEFT(A1657,2),ConsolidadoLoa27_ATIVIDADES!A:I,9,0)</f>
        <v>18 - ENCARGOS/ADMINISTRAÇÃO</v>
      </c>
      <c r="F1657" t="str">
        <f t="shared" si="76"/>
        <v>2.008</v>
      </c>
      <c r="G1657" t="str">
        <f t="shared" si="77"/>
        <v>01.110.0000</v>
      </c>
    </row>
    <row r="1658" spans="1:7" hidden="1" x14ac:dyDescent="0.25">
      <c r="A1658" s="6" t="s">
        <v>3675</v>
      </c>
      <c r="B1658" s="28">
        <v>264034.17</v>
      </c>
      <c r="C1658" s="6" t="s">
        <v>3682</v>
      </c>
      <c r="D1658" t="str">
        <f t="shared" si="75"/>
        <v>18.002.04.128.0001.2.008.3.3.90.48.00</v>
      </c>
      <c r="E1658" t="str">
        <f>VLOOKUP(LEFT(A1658,2),ConsolidadoLoa27_ATIVIDADES!A:I,9,0)</f>
        <v>18 - ENCARGOS/ADMINISTRAÇÃO</v>
      </c>
      <c r="F1658" t="str">
        <f t="shared" si="76"/>
        <v>2.008</v>
      </c>
      <c r="G1658" t="str">
        <f t="shared" si="77"/>
        <v>01.110.0000</v>
      </c>
    </row>
    <row r="1659" spans="1:7" hidden="1" x14ac:dyDescent="0.25">
      <c r="A1659" s="6" t="s">
        <v>3675</v>
      </c>
      <c r="B1659" s="28">
        <v>66008.539999999994</v>
      </c>
      <c r="C1659" s="6" t="s">
        <v>3683</v>
      </c>
      <c r="D1659" t="str">
        <f t="shared" si="75"/>
        <v>18.002.04.128.0001.2.008.3.3.90.48.00</v>
      </c>
      <c r="E1659" t="str">
        <f>VLOOKUP(LEFT(A1659,2),ConsolidadoLoa27_ATIVIDADES!A:I,9,0)</f>
        <v>18 - ENCARGOS/ADMINISTRAÇÃO</v>
      </c>
      <c r="F1659" t="str">
        <f t="shared" si="76"/>
        <v>2.008</v>
      </c>
      <c r="G1659" t="str">
        <f t="shared" si="77"/>
        <v>01.110.0000</v>
      </c>
    </row>
    <row r="1660" spans="1:7" hidden="1" x14ac:dyDescent="0.25">
      <c r="A1660" s="6" t="s">
        <v>3675</v>
      </c>
      <c r="B1660" s="28">
        <v>1617309.27</v>
      </c>
      <c r="C1660" s="6" t="s">
        <v>3684</v>
      </c>
      <c r="D1660" t="str">
        <f t="shared" si="75"/>
        <v>18.002.04.128.0001.2.008.3.3.90.48.00</v>
      </c>
      <c r="E1660" t="str">
        <f>VLOOKUP(LEFT(A1660,2),ConsolidadoLoa27_ATIVIDADES!A:I,9,0)</f>
        <v>18 - ENCARGOS/ADMINISTRAÇÃO</v>
      </c>
      <c r="F1660" t="str">
        <f t="shared" si="76"/>
        <v>2.008</v>
      </c>
      <c r="G1660" t="str">
        <f t="shared" si="77"/>
        <v>01.110.0000</v>
      </c>
    </row>
    <row r="1661" spans="1:7" hidden="1" x14ac:dyDescent="0.25">
      <c r="A1661" s="6" t="s">
        <v>3675</v>
      </c>
      <c r="B1661" s="28">
        <v>363046.98</v>
      </c>
      <c r="C1661" s="6" t="s">
        <v>3685</v>
      </c>
      <c r="D1661" t="str">
        <f t="shared" si="75"/>
        <v>18.002.04.128.0001.2.008.3.3.90.48.00</v>
      </c>
      <c r="E1661" t="str">
        <f>VLOOKUP(LEFT(A1661,2),ConsolidadoLoa27_ATIVIDADES!A:I,9,0)</f>
        <v>18 - ENCARGOS/ADMINISTRAÇÃO</v>
      </c>
      <c r="F1661" t="str">
        <f t="shared" si="76"/>
        <v>2.008</v>
      </c>
      <c r="G1661" t="str">
        <f t="shared" si="77"/>
        <v>01.110.0000</v>
      </c>
    </row>
    <row r="1662" spans="1:7" hidden="1" x14ac:dyDescent="0.25">
      <c r="A1662" s="6" t="s">
        <v>3675</v>
      </c>
      <c r="B1662" s="28">
        <v>66008.539999999994</v>
      </c>
      <c r="C1662" s="6" t="s">
        <v>3686</v>
      </c>
      <c r="D1662" t="str">
        <f t="shared" si="75"/>
        <v>18.002.04.128.0001.2.008.3.3.90.48.00</v>
      </c>
      <c r="E1662" t="str">
        <f>VLOOKUP(LEFT(A1662,2),ConsolidadoLoa27_ATIVIDADES!A:I,9,0)</f>
        <v>18 - ENCARGOS/ADMINISTRAÇÃO</v>
      </c>
      <c r="F1662" t="str">
        <f t="shared" si="76"/>
        <v>2.008</v>
      </c>
      <c r="G1662" t="str">
        <f t="shared" si="77"/>
        <v>01.110.0000</v>
      </c>
    </row>
    <row r="1663" spans="1:7" hidden="1" x14ac:dyDescent="0.25">
      <c r="A1663" s="6" t="s">
        <v>3675</v>
      </c>
      <c r="B1663" s="28">
        <v>528068.32999999996</v>
      </c>
      <c r="C1663" s="6" t="s">
        <v>3687</v>
      </c>
      <c r="D1663" t="str">
        <f t="shared" si="75"/>
        <v>18.002.04.128.0001.2.008.3.3.90.48.00</v>
      </c>
      <c r="E1663" t="str">
        <f>VLOOKUP(LEFT(A1663,2),ConsolidadoLoa27_ATIVIDADES!A:I,9,0)</f>
        <v>18 - ENCARGOS/ADMINISTRAÇÃO</v>
      </c>
      <c r="F1663" t="str">
        <f t="shared" si="76"/>
        <v>2.008</v>
      </c>
      <c r="G1663" t="str">
        <f t="shared" si="77"/>
        <v>01.110.0000</v>
      </c>
    </row>
    <row r="1664" spans="1:7" hidden="1" x14ac:dyDescent="0.25">
      <c r="A1664" s="6" t="s">
        <v>3675</v>
      </c>
      <c r="B1664" s="28">
        <v>1801153.48</v>
      </c>
      <c r="C1664" s="6" t="s">
        <v>3688</v>
      </c>
      <c r="D1664" t="str">
        <f t="shared" si="75"/>
        <v>18.002.04.128.0001.2.008.3.3.90.48.00</v>
      </c>
      <c r="E1664" t="str">
        <f>VLOOKUP(LEFT(A1664,2),ConsolidadoLoa27_ATIVIDADES!A:I,9,0)</f>
        <v>18 - ENCARGOS/ADMINISTRAÇÃO</v>
      </c>
      <c r="F1664" t="str">
        <f t="shared" si="76"/>
        <v>2.008</v>
      </c>
      <c r="G1664" t="str">
        <f t="shared" si="77"/>
        <v>01.110.0000</v>
      </c>
    </row>
    <row r="1665" spans="1:7" hidden="1" x14ac:dyDescent="0.25">
      <c r="A1665" s="6" t="s">
        <v>3675</v>
      </c>
      <c r="B1665" s="28">
        <v>1254162.5900000001</v>
      </c>
      <c r="C1665" s="6" t="s">
        <v>3689</v>
      </c>
      <c r="D1665" t="str">
        <f t="shared" si="75"/>
        <v>18.002.04.128.0001.2.008.3.3.90.48.00</v>
      </c>
      <c r="E1665" t="str">
        <f>VLOOKUP(LEFT(A1665,2),ConsolidadoLoa27_ATIVIDADES!A:I,9,0)</f>
        <v>18 - ENCARGOS/ADMINISTRAÇÃO</v>
      </c>
      <c r="F1665" t="str">
        <f t="shared" si="76"/>
        <v>2.008</v>
      </c>
      <c r="G1665" t="str">
        <f t="shared" si="77"/>
        <v>01.110.0000</v>
      </c>
    </row>
    <row r="1666" spans="1:7" hidden="1" x14ac:dyDescent="0.25">
      <c r="A1666" s="6" t="s">
        <v>3675</v>
      </c>
      <c r="B1666" s="28">
        <v>1485192.19</v>
      </c>
      <c r="C1666" s="6" t="s">
        <v>3690</v>
      </c>
      <c r="D1666" t="str">
        <f t="shared" si="75"/>
        <v>18.002.04.128.0001.2.008.3.3.90.48.00</v>
      </c>
      <c r="E1666" t="str">
        <f>VLOOKUP(LEFT(A1666,2),ConsolidadoLoa27_ATIVIDADES!A:I,9,0)</f>
        <v>18 - ENCARGOS/ADMINISTRAÇÃO</v>
      </c>
      <c r="F1666" t="str">
        <f t="shared" si="76"/>
        <v>2.008</v>
      </c>
      <c r="G1666" t="str">
        <f t="shared" si="77"/>
        <v>01.110.0000</v>
      </c>
    </row>
    <row r="1667" spans="1:7" hidden="1" x14ac:dyDescent="0.25">
      <c r="A1667" s="6" t="s">
        <v>3675</v>
      </c>
      <c r="B1667" s="28">
        <v>1419163.64</v>
      </c>
      <c r="C1667" s="6" t="s">
        <v>3691</v>
      </c>
      <c r="D1667" t="str">
        <f t="shared" ref="D1667:D1730" si="78">_xlfn.CONCAT(LEFT(A1667,34),".00")</f>
        <v>18.002.04.128.0001.2.008.3.3.90.48.00</v>
      </c>
      <c r="E1667" t="str">
        <f>VLOOKUP(LEFT(A1667,2),ConsolidadoLoa27_ATIVIDADES!A:I,9,0)</f>
        <v>18 - ENCARGOS/ADMINISTRAÇÃO</v>
      </c>
      <c r="F1667" t="str">
        <f t="shared" ref="F1667:F1730" si="79">MID(A1667,20,5)</f>
        <v>2.008</v>
      </c>
      <c r="G1667" t="str">
        <f t="shared" ref="G1667:G1730" si="80">RIGHT(A1667,11)</f>
        <v>01.110.0000</v>
      </c>
    </row>
    <row r="1668" spans="1:7" hidden="1" x14ac:dyDescent="0.25">
      <c r="A1668" s="6" t="s">
        <v>3675</v>
      </c>
      <c r="B1668" s="28">
        <v>165021.35</v>
      </c>
      <c r="C1668" s="6" t="s">
        <v>3692</v>
      </c>
      <c r="D1668" t="str">
        <f t="shared" si="78"/>
        <v>18.002.04.128.0001.2.008.3.3.90.48.00</v>
      </c>
      <c r="E1668" t="str">
        <f>VLOOKUP(LEFT(A1668,2),ConsolidadoLoa27_ATIVIDADES!A:I,9,0)</f>
        <v>18 - ENCARGOS/ADMINISTRAÇÃO</v>
      </c>
      <c r="F1668" t="str">
        <f t="shared" si="79"/>
        <v>2.008</v>
      </c>
      <c r="G1668" t="str">
        <f t="shared" si="80"/>
        <v>01.110.0000</v>
      </c>
    </row>
    <row r="1669" spans="1:7" hidden="1" x14ac:dyDescent="0.25">
      <c r="A1669" s="6" t="s">
        <v>3675</v>
      </c>
      <c r="B1669" s="28">
        <v>363046.98</v>
      </c>
      <c r="C1669" s="6" t="s">
        <v>3693</v>
      </c>
      <c r="D1669" t="str">
        <f t="shared" si="78"/>
        <v>18.002.04.128.0001.2.008.3.3.90.48.00</v>
      </c>
      <c r="E1669" t="str">
        <f>VLOOKUP(LEFT(A1669,2),ConsolidadoLoa27_ATIVIDADES!A:I,9,0)</f>
        <v>18 - ENCARGOS/ADMINISTRAÇÃO</v>
      </c>
      <c r="F1669" t="str">
        <f t="shared" si="79"/>
        <v>2.008</v>
      </c>
      <c r="G1669" t="str">
        <f t="shared" si="80"/>
        <v>01.110.0000</v>
      </c>
    </row>
    <row r="1670" spans="1:7" hidden="1" x14ac:dyDescent="0.25">
      <c r="A1670" s="6" t="s">
        <v>3675</v>
      </c>
      <c r="B1670" s="28">
        <v>429055.52</v>
      </c>
      <c r="C1670" s="6" t="s">
        <v>3694</v>
      </c>
      <c r="D1670" t="str">
        <f t="shared" si="78"/>
        <v>18.002.04.128.0001.2.008.3.3.90.48.00</v>
      </c>
      <c r="E1670" t="str">
        <f>VLOOKUP(LEFT(A1670,2),ConsolidadoLoa27_ATIVIDADES!A:I,9,0)</f>
        <v>18 - ENCARGOS/ADMINISTRAÇÃO</v>
      </c>
      <c r="F1670" t="str">
        <f t="shared" si="79"/>
        <v>2.008</v>
      </c>
      <c r="G1670" t="str">
        <f t="shared" si="80"/>
        <v>01.110.0000</v>
      </c>
    </row>
    <row r="1671" spans="1:7" hidden="1" x14ac:dyDescent="0.25">
      <c r="A1671" s="6" t="s">
        <v>3675</v>
      </c>
      <c r="B1671" s="28">
        <v>132017.07999999999</v>
      </c>
      <c r="C1671" s="6" t="s">
        <v>3695</v>
      </c>
      <c r="D1671" t="str">
        <f t="shared" si="78"/>
        <v>18.002.04.128.0001.2.008.3.3.90.48.00</v>
      </c>
      <c r="E1671" t="str">
        <f>VLOOKUP(LEFT(A1671,2),ConsolidadoLoa27_ATIVIDADES!A:I,9,0)</f>
        <v>18 - ENCARGOS/ADMINISTRAÇÃO</v>
      </c>
      <c r="F1671" t="str">
        <f t="shared" si="79"/>
        <v>2.008</v>
      </c>
      <c r="G1671" t="str">
        <f t="shared" si="80"/>
        <v>01.110.0000</v>
      </c>
    </row>
    <row r="1672" spans="1:7" hidden="1" x14ac:dyDescent="0.25">
      <c r="A1672" s="6" t="s">
        <v>3675</v>
      </c>
      <c r="B1672" s="28">
        <v>231029.9</v>
      </c>
      <c r="C1672" s="6" t="s">
        <v>3696</v>
      </c>
      <c r="D1672" t="str">
        <f t="shared" si="78"/>
        <v>18.002.04.128.0001.2.008.3.3.90.48.00</v>
      </c>
      <c r="E1672" t="str">
        <f>VLOOKUP(LEFT(A1672,2),ConsolidadoLoa27_ATIVIDADES!A:I,9,0)</f>
        <v>18 - ENCARGOS/ADMINISTRAÇÃO</v>
      </c>
      <c r="F1672" t="str">
        <f t="shared" si="79"/>
        <v>2.008</v>
      </c>
      <c r="G1672" t="str">
        <f t="shared" si="80"/>
        <v>01.110.0000</v>
      </c>
    </row>
    <row r="1673" spans="1:7" hidden="1" x14ac:dyDescent="0.25">
      <c r="A1673" s="6" t="s">
        <v>3675</v>
      </c>
      <c r="B1673" s="28">
        <v>99012.81</v>
      </c>
      <c r="C1673" s="6" t="s">
        <v>3697</v>
      </c>
      <c r="D1673" t="str">
        <f t="shared" si="78"/>
        <v>18.002.04.128.0001.2.008.3.3.90.48.00</v>
      </c>
      <c r="E1673" t="str">
        <f>VLOOKUP(LEFT(A1673,2),ConsolidadoLoa27_ATIVIDADES!A:I,9,0)</f>
        <v>18 - ENCARGOS/ADMINISTRAÇÃO</v>
      </c>
      <c r="F1673" t="str">
        <f t="shared" si="79"/>
        <v>2.008</v>
      </c>
      <c r="G1673" t="str">
        <f t="shared" si="80"/>
        <v>01.110.0000</v>
      </c>
    </row>
    <row r="1674" spans="1:7" hidden="1" x14ac:dyDescent="0.25">
      <c r="A1674" s="6" t="s">
        <v>3675</v>
      </c>
      <c r="B1674" s="28">
        <v>165021.35</v>
      </c>
      <c r="C1674" s="6" t="s">
        <v>3698</v>
      </c>
      <c r="D1674" t="str">
        <f t="shared" si="78"/>
        <v>18.002.04.128.0001.2.008.3.3.90.48.00</v>
      </c>
      <c r="E1674" t="str">
        <f>VLOOKUP(LEFT(A1674,2),ConsolidadoLoa27_ATIVIDADES!A:I,9,0)</f>
        <v>18 - ENCARGOS/ADMINISTRAÇÃO</v>
      </c>
      <c r="F1674" t="str">
        <f t="shared" si="79"/>
        <v>2.008</v>
      </c>
      <c r="G1674" t="str">
        <f t="shared" si="80"/>
        <v>01.110.0000</v>
      </c>
    </row>
    <row r="1675" spans="1:7" hidden="1" x14ac:dyDescent="0.25">
      <c r="A1675" s="6" t="s">
        <v>3675</v>
      </c>
      <c r="B1675" s="28">
        <v>264034.17</v>
      </c>
      <c r="C1675" s="6" t="s">
        <v>3699</v>
      </c>
      <c r="D1675" t="str">
        <f t="shared" si="78"/>
        <v>18.002.04.128.0001.2.008.3.3.90.48.00</v>
      </c>
      <c r="E1675" t="str">
        <f>VLOOKUP(LEFT(A1675,2),ConsolidadoLoa27_ATIVIDADES!A:I,9,0)</f>
        <v>18 - ENCARGOS/ADMINISTRAÇÃO</v>
      </c>
      <c r="F1675" t="str">
        <f t="shared" si="79"/>
        <v>2.008</v>
      </c>
      <c r="G1675" t="str">
        <f t="shared" si="80"/>
        <v>01.110.0000</v>
      </c>
    </row>
    <row r="1676" spans="1:7" hidden="1" x14ac:dyDescent="0.25">
      <c r="A1676" s="6" t="s">
        <v>3675</v>
      </c>
      <c r="B1676" s="28">
        <v>66008.539999999994</v>
      </c>
      <c r="C1676" s="6" t="s">
        <v>3700</v>
      </c>
      <c r="D1676" t="str">
        <f t="shared" si="78"/>
        <v>18.002.04.128.0001.2.008.3.3.90.48.00</v>
      </c>
      <c r="E1676" t="str">
        <f>VLOOKUP(LEFT(A1676,2),ConsolidadoLoa27_ATIVIDADES!A:I,9,0)</f>
        <v>18 - ENCARGOS/ADMINISTRAÇÃO</v>
      </c>
      <c r="F1676" t="str">
        <f t="shared" si="79"/>
        <v>2.008</v>
      </c>
      <c r="G1676" t="str">
        <f t="shared" si="80"/>
        <v>01.110.0000</v>
      </c>
    </row>
    <row r="1677" spans="1:7" hidden="1" x14ac:dyDescent="0.25">
      <c r="A1677" s="6" t="s">
        <v>3675</v>
      </c>
      <c r="B1677" s="28">
        <v>165021.35</v>
      </c>
      <c r="C1677" s="6" t="s">
        <v>3701</v>
      </c>
      <c r="D1677" t="str">
        <f t="shared" si="78"/>
        <v>18.002.04.128.0001.2.008.3.3.90.48.00</v>
      </c>
      <c r="E1677" t="str">
        <f>VLOOKUP(LEFT(A1677,2),ConsolidadoLoa27_ATIVIDADES!A:I,9,0)</f>
        <v>18 - ENCARGOS/ADMINISTRAÇÃO</v>
      </c>
      <c r="F1677" t="str">
        <f t="shared" si="79"/>
        <v>2.008</v>
      </c>
      <c r="G1677" t="str">
        <f t="shared" si="80"/>
        <v>01.110.0000</v>
      </c>
    </row>
    <row r="1678" spans="1:7" hidden="1" x14ac:dyDescent="0.25">
      <c r="A1678" s="6" t="s">
        <v>3702</v>
      </c>
      <c r="B1678" s="28">
        <v>0</v>
      </c>
      <c r="C1678" s="6" t="s">
        <v>3703</v>
      </c>
      <c r="D1678" t="str">
        <f t="shared" si="78"/>
        <v>18.003.04.126.0002.1004.4.4.90.52..00</v>
      </c>
      <c r="E1678" t="str">
        <f>VLOOKUP(LEFT(A1678,2),ConsolidadoLoa27_ATIVIDADES!A:I,9,0)</f>
        <v>18 - ENCARGOS/ADMINISTRAÇÃO</v>
      </c>
      <c r="F1678" t="str">
        <f t="shared" si="79"/>
        <v>1004.</v>
      </c>
      <c r="G1678" t="str">
        <f t="shared" si="80"/>
        <v>01.110.0000</v>
      </c>
    </row>
    <row r="1679" spans="1:7" hidden="1" x14ac:dyDescent="0.25">
      <c r="A1679" s="6" t="s">
        <v>3702</v>
      </c>
      <c r="B1679" s="28">
        <v>1</v>
      </c>
      <c r="C1679" s="6" t="s">
        <v>3704</v>
      </c>
      <c r="D1679" t="str">
        <f t="shared" si="78"/>
        <v>18.003.04.126.0002.1004.4.4.90.52..00</v>
      </c>
      <c r="E1679" t="str">
        <f>VLOOKUP(LEFT(A1679,2),ConsolidadoLoa27_ATIVIDADES!A:I,9,0)</f>
        <v>18 - ENCARGOS/ADMINISTRAÇÃO</v>
      </c>
      <c r="F1679" t="str">
        <f t="shared" si="79"/>
        <v>1004.</v>
      </c>
      <c r="G1679" t="str">
        <f t="shared" si="80"/>
        <v>01.110.0000</v>
      </c>
    </row>
    <row r="1680" spans="1:7" hidden="1" x14ac:dyDescent="0.25">
      <c r="A1680" s="6" t="s">
        <v>3705</v>
      </c>
      <c r="B1680" s="28">
        <v>207820</v>
      </c>
      <c r="C1680" s="6" t="s">
        <v>3706</v>
      </c>
      <c r="D1680" t="str">
        <f t="shared" si="78"/>
        <v>18.003.04.126.0002.2.007.3.3.90.30.00</v>
      </c>
      <c r="E1680" t="str">
        <f>VLOOKUP(LEFT(A1680,2),ConsolidadoLoa27_ATIVIDADES!A:I,9,0)</f>
        <v>18 - ENCARGOS/ADMINISTRAÇÃO</v>
      </c>
      <c r="F1680" t="str">
        <f t="shared" si="79"/>
        <v>2.007</v>
      </c>
      <c r="G1680" t="str">
        <f t="shared" si="80"/>
        <v>01.110.0000</v>
      </c>
    </row>
    <row r="1681" spans="1:7" hidden="1" x14ac:dyDescent="0.25">
      <c r="A1681" s="6" t="s">
        <v>3707</v>
      </c>
      <c r="B1681" s="28">
        <v>311730</v>
      </c>
      <c r="C1681" s="6" t="s">
        <v>3706</v>
      </c>
      <c r="D1681" t="str">
        <f t="shared" si="78"/>
        <v>18.003.04.126.0002.2.007.3.3.90.39.00</v>
      </c>
      <c r="E1681" t="str">
        <f>VLOOKUP(LEFT(A1681,2),ConsolidadoLoa27_ATIVIDADES!A:I,9,0)</f>
        <v>18 - ENCARGOS/ADMINISTRAÇÃO</v>
      </c>
      <c r="F1681" t="str">
        <f t="shared" si="79"/>
        <v>2.007</v>
      </c>
      <c r="G1681" t="str">
        <f t="shared" si="80"/>
        <v>01.110.0000</v>
      </c>
    </row>
    <row r="1682" spans="1:7" hidden="1" x14ac:dyDescent="0.25">
      <c r="A1682" s="6" t="s">
        <v>3708</v>
      </c>
      <c r="B1682" s="28">
        <v>3295200</v>
      </c>
      <c r="C1682" s="6" t="s">
        <v>3709</v>
      </c>
      <c r="D1682" t="str">
        <f t="shared" si="78"/>
        <v>18.003.04.126.0002.2.007.3.3.90.40.00</v>
      </c>
      <c r="E1682" t="str">
        <f>VLOOKUP(LEFT(A1682,2),ConsolidadoLoa27_ATIVIDADES!A:I,9,0)</f>
        <v>18 - ENCARGOS/ADMINISTRAÇÃO</v>
      </c>
      <c r="F1682" t="str">
        <f t="shared" si="79"/>
        <v>2.007</v>
      </c>
      <c r="G1682" t="str">
        <f t="shared" si="80"/>
        <v>01.110.0000</v>
      </c>
    </row>
    <row r="1683" spans="1:7" hidden="1" x14ac:dyDescent="0.25">
      <c r="A1683" s="6" t="s">
        <v>3708</v>
      </c>
      <c r="B1683" s="28">
        <v>7951131.0800000001</v>
      </c>
      <c r="C1683" s="6" t="s">
        <v>3710</v>
      </c>
      <c r="D1683" t="str">
        <f t="shared" si="78"/>
        <v>18.003.04.126.0002.2.007.3.3.90.40.00</v>
      </c>
      <c r="E1683" t="str">
        <f>VLOOKUP(LEFT(A1683,2),ConsolidadoLoa27_ATIVIDADES!A:I,9,0)</f>
        <v>18 - ENCARGOS/ADMINISTRAÇÃO</v>
      </c>
      <c r="F1683" t="str">
        <f t="shared" si="79"/>
        <v>2.007</v>
      </c>
      <c r="G1683" t="str">
        <f t="shared" si="80"/>
        <v>01.110.0000</v>
      </c>
    </row>
    <row r="1684" spans="1:7" hidden="1" x14ac:dyDescent="0.25">
      <c r="A1684" s="6" t="s">
        <v>3708</v>
      </c>
      <c r="B1684" s="28">
        <v>11190000</v>
      </c>
      <c r="C1684" s="6" t="s">
        <v>3711</v>
      </c>
      <c r="D1684" t="str">
        <f t="shared" si="78"/>
        <v>18.003.04.126.0002.2.007.3.3.90.40.00</v>
      </c>
      <c r="E1684" t="str">
        <f>VLOOKUP(LEFT(A1684,2),ConsolidadoLoa27_ATIVIDADES!A:I,9,0)</f>
        <v>18 - ENCARGOS/ADMINISTRAÇÃO</v>
      </c>
      <c r="F1684" t="str">
        <f t="shared" si="79"/>
        <v>2.007</v>
      </c>
      <c r="G1684" t="str">
        <f t="shared" si="80"/>
        <v>01.110.0000</v>
      </c>
    </row>
    <row r="1685" spans="1:7" hidden="1" x14ac:dyDescent="0.25">
      <c r="A1685" s="6" t="s">
        <v>3708</v>
      </c>
      <c r="B1685" s="28">
        <v>14400000</v>
      </c>
      <c r="C1685" s="6" t="s">
        <v>3712</v>
      </c>
      <c r="D1685" t="str">
        <f t="shared" si="78"/>
        <v>18.003.04.126.0002.2.007.3.3.90.40.00</v>
      </c>
      <c r="E1685" t="str">
        <f>VLOOKUP(LEFT(A1685,2),ConsolidadoLoa27_ATIVIDADES!A:I,9,0)</f>
        <v>18 - ENCARGOS/ADMINISTRAÇÃO</v>
      </c>
      <c r="F1685" t="str">
        <f t="shared" si="79"/>
        <v>2.007</v>
      </c>
      <c r="G1685" t="str">
        <f t="shared" si="80"/>
        <v>01.110.0000</v>
      </c>
    </row>
    <row r="1686" spans="1:7" hidden="1" x14ac:dyDescent="0.25">
      <c r="A1686" s="6" t="s">
        <v>3708</v>
      </c>
      <c r="B1686" s="28">
        <v>7651380.1500000004</v>
      </c>
      <c r="C1686" s="6" t="s">
        <v>3713</v>
      </c>
      <c r="D1686" t="str">
        <f t="shared" si="78"/>
        <v>18.003.04.126.0002.2.007.3.3.90.40.00</v>
      </c>
      <c r="E1686" t="str">
        <f>VLOOKUP(LEFT(A1686,2),ConsolidadoLoa27_ATIVIDADES!A:I,9,0)</f>
        <v>18 - ENCARGOS/ADMINISTRAÇÃO</v>
      </c>
      <c r="F1686" t="str">
        <f t="shared" si="79"/>
        <v>2.007</v>
      </c>
      <c r="G1686" t="str">
        <f t="shared" si="80"/>
        <v>01.110.0000</v>
      </c>
    </row>
    <row r="1687" spans="1:7" hidden="1" x14ac:dyDescent="0.25">
      <c r="A1687" s="6" t="s">
        <v>3708</v>
      </c>
      <c r="B1687" s="28">
        <v>7524000</v>
      </c>
      <c r="C1687" s="6" t="s">
        <v>3714</v>
      </c>
      <c r="D1687" t="str">
        <f t="shared" si="78"/>
        <v>18.003.04.126.0002.2.007.3.3.90.40.00</v>
      </c>
      <c r="E1687" t="str">
        <f>VLOOKUP(LEFT(A1687,2),ConsolidadoLoa27_ATIVIDADES!A:I,9,0)</f>
        <v>18 - ENCARGOS/ADMINISTRAÇÃO</v>
      </c>
      <c r="F1687" t="str">
        <f t="shared" si="79"/>
        <v>2.007</v>
      </c>
      <c r="G1687" t="str">
        <f t="shared" si="80"/>
        <v>01.110.0000</v>
      </c>
    </row>
    <row r="1688" spans="1:7" hidden="1" x14ac:dyDescent="0.25">
      <c r="A1688" s="6" t="s">
        <v>3708</v>
      </c>
      <c r="B1688" s="28">
        <v>1800000</v>
      </c>
      <c r="C1688" s="6" t="s">
        <v>3715</v>
      </c>
      <c r="D1688" t="str">
        <f t="shared" si="78"/>
        <v>18.003.04.126.0002.2.007.3.3.90.40.00</v>
      </c>
      <c r="E1688" t="str">
        <f>VLOOKUP(LEFT(A1688,2),ConsolidadoLoa27_ATIVIDADES!A:I,9,0)</f>
        <v>18 - ENCARGOS/ADMINISTRAÇÃO</v>
      </c>
      <c r="F1688" t="str">
        <f t="shared" si="79"/>
        <v>2.007</v>
      </c>
      <c r="G1688" t="str">
        <f t="shared" si="80"/>
        <v>01.110.0000</v>
      </c>
    </row>
    <row r="1689" spans="1:7" hidden="1" x14ac:dyDescent="0.25">
      <c r="A1689" s="6" t="s">
        <v>3708</v>
      </c>
      <c r="B1689" s="28">
        <v>776745.84</v>
      </c>
      <c r="C1689" s="6" t="s">
        <v>3716</v>
      </c>
      <c r="D1689" t="str">
        <f t="shared" si="78"/>
        <v>18.003.04.126.0002.2.007.3.3.90.40.00</v>
      </c>
      <c r="E1689" t="str">
        <f>VLOOKUP(LEFT(A1689,2),ConsolidadoLoa27_ATIVIDADES!A:I,9,0)</f>
        <v>18 - ENCARGOS/ADMINISTRAÇÃO</v>
      </c>
      <c r="F1689" t="str">
        <f t="shared" si="79"/>
        <v>2.007</v>
      </c>
      <c r="G1689" t="str">
        <f t="shared" si="80"/>
        <v>01.110.0000</v>
      </c>
    </row>
    <row r="1690" spans="1:7" hidden="1" x14ac:dyDescent="0.25">
      <c r="A1690" s="6" t="s">
        <v>3708</v>
      </c>
      <c r="B1690" s="28">
        <v>132000</v>
      </c>
      <c r="C1690" s="6" t="s">
        <v>3717</v>
      </c>
      <c r="D1690" t="str">
        <f t="shared" si="78"/>
        <v>18.003.04.126.0002.2.007.3.3.90.40.00</v>
      </c>
      <c r="E1690" t="str">
        <f>VLOOKUP(LEFT(A1690,2),ConsolidadoLoa27_ATIVIDADES!A:I,9,0)</f>
        <v>18 - ENCARGOS/ADMINISTRAÇÃO</v>
      </c>
      <c r="F1690" t="str">
        <f t="shared" si="79"/>
        <v>2.007</v>
      </c>
      <c r="G1690" t="str">
        <f t="shared" si="80"/>
        <v>01.110.0000</v>
      </c>
    </row>
    <row r="1691" spans="1:7" hidden="1" x14ac:dyDescent="0.25">
      <c r="A1691" s="6" t="s">
        <v>3708</v>
      </c>
      <c r="B1691" s="28">
        <v>5282447</v>
      </c>
      <c r="C1691" s="6" t="s">
        <v>3718</v>
      </c>
      <c r="D1691" t="str">
        <f t="shared" si="78"/>
        <v>18.003.04.126.0002.2.007.3.3.90.40.00</v>
      </c>
      <c r="E1691" t="str">
        <f>VLOOKUP(LEFT(A1691,2),ConsolidadoLoa27_ATIVIDADES!A:I,9,0)</f>
        <v>18 - ENCARGOS/ADMINISTRAÇÃO</v>
      </c>
      <c r="F1691" t="str">
        <f t="shared" si="79"/>
        <v>2.007</v>
      </c>
      <c r="G1691" t="str">
        <f t="shared" si="80"/>
        <v>01.110.0000</v>
      </c>
    </row>
    <row r="1692" spans="1:7" hidden="1" x14ac:dyDescent="0.25">
      <c r="A1692" s="6" t="s">
        <v>3708</v>
      </c>
      <c r="B1692" s="28">
        <v>940000</v>
      </c>
      <c r="C1692" s="6" t="s">
        <v>3719</v>
      </c>
      <c r="D1692" t="str">
        <f t="shared" si="78"/>
        <v>18.003.04.126.0002.2.007.3.3.90.40.00</v>
      </c>
      <c r="E1692" t="str">
        <f>VLOOKUP(LEFT(A1692,2),ConsolidadoLoa27_ATIVIDADES!A:I,9,0)</f>
        <v>18 - ENCARGOS/ADMINISTRAÇÃO</v>
      </c>
      <c r="F1692" t="str">
        <f t="shared" si="79"/>
        <v>2.007</v>
      </c>
      <c r="G1692" t="str">
        <f t="shared" si="80"/>
        <v>01.110.0000</v>
      </c>
    </row>
    <row r="1693" spans="1:7" hidden="1" x14ac:dyDescent="0.25">
      <c r="A1693" s="6" t="s">
        <v>3708</v>
      </c>
      <c r="B1693" s="28">
        <v>576647</v>
      </c>
      <c r="C1693" s="6" t="s">
        <v>3720</v>
      </c>
      <c r="D1693" t="str">
        <f t="shared" si="78"/>
        <v>18.003.04.126.0002.2.007.3.3.90.40.00</v>
      </c>
      <c r="E1693" t="str">
        <f>VLOOKUP(LEFT(A1693,2),ConsolidadoLoa27_ATIVIDADES!A:I,9,0)</f>
        <v>18 - ENCARGOS/ADMINISTRAÇÃO</v>
      </c>
      <c r="F1693" t="str">
        <f t="shared" si="79"/>
        <v>2.007</v>
      </c>
      <c r="G1693" t="str">
        <f t="shared" si="80"/>
        <v>01.110.0000</v>
      </c>
    </row>
    <row r="1694" spans="1:7" hidden="1" x14ac:dyDescent="0.25">
      <c r="A1694" s="6" t="s">
        <v>3708</v>
      </c>
      <c r="B1694" s="28">
        <v>8626650</v>
      </c>
      <c r="C1694" s="6" t="s">
        <v>3721</v>
      </c>
      <c r="D1694" t="str">
        <f t="shared" si="78"/>
        <v>18.003.04.126.0002.2.007.3.3.90.40.00</v>
      </c>
      <c r="E1694" t="str">
        <f>VLOOKUP(LEFT(A1694,2),ConsolidadoLoa27_ATIVIDADES!A:I,9,0)</f>
        <v>18 - ENCARGOS/ADMINISTRAÇÃO</v>
      </c>
      <c r="F1694" t="str">
        <f t="shared" si="79"/>
        <v>2.007</v>
      </c>
      <c r="G1694" t="str">
        <f t="shared" si="80"/>
        <v>01.110.0000</v>
      </c>
    </row>
    <row r="1695" spans="1:7" hidden="1" x14ac:dyDescent="0.25">
      <c r="A1695" s="6" t="s">
        <v>3708</v>
      </c>
      <c r="B1695" s="28">
        <v>5000000</v>
      </c>
      <c r="C1695" s="6" t="s">
        <v>3722</v>
      </c>
      <c r="D1695" t="str">
        <f t="shared" si="78"/>
        <v>18.003.04.126.0002.2.007.3.3.90.40.00</v>
      </c>
      <c r="E1695" t="str">
        <f>VLOOKUP(LEFT(A1695,2),ConsolidadoLoa27_ATIVIDADES!A:I,9,0)</f>
        <v>18 - ENCARGOS/ADMINISTRAÇÃO</v>
      </c>
      <c r="F1695" t="str">
        <f t="shared" si="79"/>
        <v>2.007</v>
      </c>
      <c r="G1695" t="str">
        <f t="shared" si="80"/>
        <v>01.110.0000</v>
      </c>
    </row>
    <row r="1696" spans="1:7" hidden="1" x14ac:dyDescent="0.25">
      <c r="A1696" s="6" t="s">
        <v>3708</v>
      </c>
      <c r="B1696" s="28">
        <v>0</v>
      </c>
      <c r="C1696" s="6" t="s">
        <v>3722</v>
      </c>
      <c r="D1696" t="str">
        <f t="shared" si="78"/>
        <v>18.003.04.126.0002.2.007.3.3.90.40.00</v>
      </c>
      <c r="E1696" t="str">
        <f>VLOOKUP(LEFT(A1696,2),ConsolidadoLoa27_ATIVIDADES!A:I,9,0)</f>
        <v>18 - ENCARGOS/ADMINISTRAÇÃO</v>
      </c>
      <c r="F1696" t="str">
        <f t="shared" si="79"/>
        <v>2.007</v>
      </c>
      <c r="G1696" t="str">
        <f t="shared" si="80"/>
        <v>01.110.0000</v>
      </c>
    </row>
    <row r="1697" spans="1:7" hidden="1" x14ac:dyDescent="0.25">
      <c r="A1697" s="6" t="s">
        <v>3708</v>
      </c>
      <c r="B1697" s="28">
        <v>10000000</v>
      </c>
      <c r="C1697" s="6" t="s">
        <v>3723</v>
      </c>
      <c r="D1697" t="str">
        <f t="shared" si="78"/>
        <v>18.003.04.126.0002.2.007.3.3.90.40.00</v>
      </c>
      <c r="E1697" t="str">
        <f>VLOOKUP(LEFT(A1697,2),ConsolidadoLoa27_ATIVIDADES!A:I,9,0)</f>
        <v>18 - ENCARGOS/ADMINISTRAÇÃO</v>
      </c>
      <c r="F1697" t="str">
        <f t="shared" si="79"/>
        <v>2.007</v>
      </c>
      <c r="G1697" t="str">
        <f t="shared" si="80"/>
        <v>01.110.0000</v>
      </c>
    </row>
    <row r="1698" spans="1:7" hidden="1" x14ac:dyDescent="0.25">
      <c r="A1698" s="6" t="s">
        <v>3708</v>
      </c>
      <c r="B1698" s="28">
        <v>274095</v>
      </c>
      <c r="C1698" s="6" t="s">
        <v>3724</v>
      </c>
      <c r="D1698" t="str">
        <f t="shared" si="78"/>
        <v>18.003.04.126.0002.2.007.3.3.90.40.00</v>
      </c>
      <c r="E1698" t="str">
        <f>VLOOKUP(LEFT(A1698,2),ConsolidadoLoa27_ATIVIDADES!A:I,9,0)</f>
        <v>18 - ENCARGOS/ADMINISTRAÇÃO</v>
      </c>
      <c r="F1698" t="str">
        <f t="shared" si="79"/>
        <v>2.007</v>
      </c>
      <c r="G1698" t="str">
        <f t="shared" si="80"/>
        <v>01.110.0000</v>
      </c>
    </row>
    <row r="1699" spans="1:7" hidden="1" x14ac:dyDescent="0.25">
      <c r="A1699" s="6" t="s">
        <v>3708</v>
      </c>
      <c r="B1699" s="28">
        <v>918720</v>
      </c>
      <c r="C1699" s="6" t="s">
        <v>3725</v>
      </c>
      <c r="D1699" t="str">
        <f t="shared" si="78"/>
        <v>18.003.04.126.0002.2.007.3.3.90.40.00</v>
      </c>
      <c r="E1699" t="str">
        <f>VLOOKUP(LEFT(A1699,2),ConsolidadoLoa27_ATIVIDADES!A:I,9,0)</f>
        <v>18 - ENCARGOS/ADMINISTRAÇÃO</v>
      </c>
      <c r="F1699" t="str">
        <f t="shared" si="79"/>
        <v>2.007</v>
      </c>
      <c r="G1699" t="str">
        <f t="shared" si="80"/>
        <v>01.110.0000</v>
      </c>
    </row>
    <row r="1700" spans="1:7" hidden="1" x14ac:dyDescent="0.25">
      <c r="A1700" s="6" t="s">
        <v>3708</v>
      </c>
      <c r="B1700" s="28">
        <v>1</v>
      </c>
      <c r="C1700" s="6" t="s">
        <v>3726</v>
      </c>
      <c r="D1700" t="str">
        <f t="shared" si="78"/>
        <v>18.003.04.126.0002.2.007.3.3.90.40.00</v>
      </c>
      <c r="E1700" t="str">
        <f>VLOOKUP(LEFT(A1700,2),ConsolidadoLoa27_ATIVIDADES!A:I,9,0)</f>
        <v>18 - ENCARGOS/ADMINISTRAÇÃO</v>
      </c>
      <c r="F1700" t="str">
        <f t="shared" si="79"/>
        <v>2.007</v>
      </c>
      <c r="G1700" t="str">
        <f t="shared" si="80"/>
        <v>01.110.0000</v>
      </c>
    </row>
    <row r="1701" spans="1:7" hidden="1" x14ac:dyDescent="0.25">
      <c r="A1701" s="6" t="s">
        <v>3708</v>
      </c>
      <c r="B1701" s="28">
        <v>839760</v>
      </c>
      <c r="C1701" s="6" t="s">
        <v>3727</v>
      </c>
      <c r="D1701" t="str">
        <f t="shared" si="78"/>
        <v>18.003.04.126.0002.2.007.3.3.90.40.00</v>
      </c>
      <c r="E1701" t="str">
        <f>VLOOKUP(LEFT(A1701,2),ConsolidadoLoa27_ATIVIDADES!A:I,9,0)</f>
        <v>18 - ENCARGOS/ADMINISTRAÇÃO</v>
      </c>
      <c r="F1701" t="str">
        <f t="shared" si="79"/>
        <v>2.007</v>
      </c>
      <c r="G1701" t="str">
        <f t="shared" si="80"/>
        <v>01.110.0000</v>
      </c>
    </row>
    <row r="1702" spans="1:7" hidden="1" x14ac:dyDescent="0.25">
      <c r="A1702" s="6" t="s">
        <v>3708</v>
      </c>
      <c r="B1702" s="28">
        <v>2970000</v>
      </c>
      <c r="C1702" s="6" t="s">
        <v>3728</v>
      </c>
      <c r="D1702" t="str">
        <f t="shared" si="78"/>
        <v>18.003.04.126.0002.2.007.3.3.90.40.00</v>
      </c>
      <c r="E1702" t="str">
        <f>VLOOKUP(LEFT(A1702,2),ConsolidadoLoa27_ATIVIDADES!A:I,9,0)</f>
        <v>18 - ENCARGOS/ADMINISTRAÇÃO</v>
      </c>
      <c r="F1702" t="str">
        <f t="shared" si="79"/>
        <v>2.007</v>
      </c>
      <c r="G1702" t="str">
        <f t="shared" si="80"/>
        <v>01.110.0000</v>
      </c>
    </row>
    <row r="1703" spans="1:7" hidden="1" x14ac:dyDescent="0.25">
      <c r="A1703" s="6" t="s">
        <v>3708</v>
      </c>
      <c r="B1703" s="28">
        <v>1200000</v>
      </c>
      <c r="C1703" s="6" t="s">
        <v>3729</v>
      </c>
      <c r="D1703" t="str">
        <f t="shared" si="78"/>
        <v>18.003.04.126.0002.2.007.3.3.90.40.00</v>
      </c>
      <c r="E1703" t="str">
        <f>VLOOKUP(LEFT(A1703,2),ConsolidadoLoa27_ATIVIDADES!A:I,9,0)</f>
        <v>18 - ENCARGOS/ADMINISTRAÇÃO</v>
      </c>
      <c r="F1703" t="str">
        <f t="shared" si="79"/>
        <v>2.007</v>
      </c>
      <c r="G1703" t="str">
        <f t="shared" si="80"/>
        <v>01.110.0000</v>
      </c>
    </row>
    <row r="1704" spans="1:7" hidden="1" x14ac:dyDescent="0.25">
      <c r="A1704" s="6" t="s">
        <v>3708</v>
      </c>
      <c r="B1704" s="28">
        <v>1409103</v>
      </c>
      <c r="C1704" s="6" t="s">
        <v>3730</v>
      </c>
      <c r="D1704" t="str">
        <f t="shared" si="78"/>
        <v>18.003.04.126.0002.2.007.3.3.90.40.00</v>
      </c>
      <c r="E1704" t="str">
        <f>VLOOKUP(LEFT(A1704,2),ConsolidadoLoa27_ATIVIDADES!A:I,9,0)</f>
        <v>18 - ENCARGOS/ADMINISTRAÇÃO</v>
      </c>
      <c r="F1704" t="str">
        <f t="shared" si="79"/>
        <v>2.007</v>
      </c>
      <c r="G1704" t="str">
        <f t="shared" si="80"/>
        <v>01.110.0000</v>
      </c>
    </row>
    <row r="1705" spans="1:7" hidden="1" x14ac:dyDescent="0.25">
      <c r="A1705" s="6" t="s">
        <v>3708</v>
      </c>
      <c r="B1705" s="28">
        <v>3748745.54</v>
      </c>
      <c r="C1705" s="6" t="s">
        <v>3731</v>
      </c>
      <c r="D1705" t="str">
        <f t="shared" si="78"/>
        <v>18.003.04.126.0002.2.007.3.3.90.40.00</v>
      </c>
      <c r="E1705" t="str">
        <f>VLOOKUP(LEFT(A1705,2),ConsolidadoLoa27_ATIVIDADES!A:I,9,0)</f>
        <v>18 - ENCARGOS/ADMINISTRAÇÃO</v>
      </c>
      <c r="F1705" t="str">
        <f t="shared" si="79"/>
        <v>2.007</v>
      </c>
      <c r="G1705" t="str">
        <f t="shared" si="80"/>
        <v>01.110.0000</v>
      </c>
    </row>
    <row r="1706" spans="1:7" hidden="1" x14ac:dyDescent="0.25">
      <c r="A1706" s="6" t="s">
        <v>3708</v>
      </c>
      <c r="B1706" s="28">
        <v>399600</v>
      </c>
      <c r="C1706" s="6" t="s">
        <v>3732</v>
      </c>
      <c r="D1706" t="str">
        <f t="shared" si="78"/>
        <v>18.003.04.126.0002.2.007.3.3.90.40.00</v>
      </c>
      <c r="E1706" t="str">
        <f>VLOOKUP(LEFT(A1706,2),ConsolidadoLoa27_ATIVIDADES!A:I,9,0)</f>
        <v>18 - ENCARGOS/ADMINISTRAÇÃO</v>
      </c>
      <c r="F1706" t="str">
        <f t="shared" si="79"/>
        <v>2.007</v>
      </c>
      <c r="G1706" t="str">
        <f t="shared" si="80"/>
        <v>01.110.0000</v>
      </c>
    </row>
    <row r="1707" spans="1:7" hidden="1" x14ac:dyDescent="0.25">
      <c r="A1707" s="6" t="s">
        <v>3733</v>
      </c>
      <c r="B1707" s="28">
        <v>1</v>
      </c>
      <c r="C1707" s="22" t="s">
        <v>3726</v>
      </c>
      <c r="D1707" t="str">
        <f t="shared" si="78"/>
        <v>18.003.04.126.0002.2.007.4.4.90.40.00</v>
      </c>
      <c r="E1707" t="str">
        <f>VLOOKUP(LEFT(A1707,2),ConsolidadoLoa27_ATIVIDADES!A:I,9,0)</f>
        <v>18 - ENCARGOS/ADMINISTRAÇÃO</v>
      </c>
      <c r="F1707" t="str">
        <f t="shared" si="79"/>
        <v>2.007</v>
      </c>
      <c r="G1707" t="str">
        <f t="shared" si="80"/>
        <v>01.110.0000</v>
      </c>
    </row>
    <row r="1708" spans="1:7" hidden="1" x14ac:dyDescent="0.25">
      <c r="A1708" s="6" t="s">
        <v>3734</v>
      </c>
      <c r="B1708" s="28">
        <v>2297630.9034000002</v>
      </c>
      <c r="C1708" s="6" t="s">
        <v>3735</v>
      </c>
      <c r="D1708" t="str">
        <f t="shared" si="78"/>
        <v>18.003.04.126.0002.2.007.4.4.90.52.00</v>
      </c>
      <c r="E1708" t="str">
        <f>VLOOKUP(LEFT(A1708,2),ConsolidadoLoa27_ATIVIDADES!A:I,9,0)</f>
        <v>18 - ENCARGOS/ADMINISTRAÇÃO</v>
      </c>
      <c r="F1708" t="str">
        <f t="shared" si="79"/>
        <v>2.007</v>
      </c>
      <c r="G1708" t="str">
        <f t="shared" si="80"/>
        <v>01.100.0002</v>
      </c>
    </row>
    <row r="1709" spans="1:7" hidden="1" x14ac:dyDescent="0.25">
      <c r="A1709" s="6" t="s">
        <v>3736</v>
      </c>
      <c r="B1709" s="28">
        <v>1</v>
      </c>
      <c r="C1709" s="6" t="s">
        <v>3737</v>
      </c>
      <c r="D1709" t="str">
        <f t="shared" si="78"/>
        <v>18.003.04.126.0002.2.007.4.4.90.52.00</v>
      </c>
      <c r="E1709" t="str">
        <f>VLOOKUP(LEFT(A1709,2),ConsolidadoLoa27_ATIVIDADES!A:I,9,0)</f>
        <v>18 - ENCARGOS/ADMINISTRAÇÃO</v>
      </c>
      <c r="F1709" t="str">
        <f t="shared" si="79"/>
        <v>2.007</v>
      </c>
      <c r="G1709" t="str">
        <f t="shared" si="80"/>
        <v>01.110.0000</v>
      </c>
    </row>
    <row r="1710" spans="1:7" hidden="1" x14ac:dyDescent="0.25">
      <c r="A1710" s="6" t="s">
        <v>3738</v>
      </c>
      <c r="B1710" s="28">
        <v>0</v>
      </c>
      <c r="C1710" s="16" t="s">
        <v>3737</v>
      </c>
      <c r="D1710" t="str">
        <f t="shared" si="78"/>
        <v>18.003.04.126.0002.2.007.4.4.90.52.00</v>
      </c>
      <c r="E1710" t="str">
        <f>VLOOKUP(LEFT(A1710,2),ConsolidadoLoa27_ATIVIDADES!A:I,9,0)</f>
        <v>18 - ENCARGOS/ADMINISTRAÇÃO</v>
      </c>
      <c r="F1710" t="str">
        <f t="shared" si="79"/>
        <v>2.007</v>
      </c>
      <c r="G1710" t="str">
        <f t="shared" si="80"/>
        <v>07.100.0000</v>
      </c>
    </row>
    <row r="1711" spans="1:7" hidden="1" x14ac:dyDescent="0.25">
      <c r="A1711" s="6" t="s">
        <v>3739</v>
      </c>
      <c r="B1711" s="28">
        <v>0</v>
      </c>
      <c r="C1711" s="6" t="s">
        <v>3740</v>
      </c>
      <c r="D1711" t="str">
        <f t="shared" si="78"/>
        <v>18.003.04.126.0002.2.007.4.4.90.52.00</v>
      </c>
      <c r="E1711" t="str">
        <f>VLOOKUP(LEFT(A1711,2),ConsolidadoLoa27_ATIVIDADES!A:I,9,0)</f>
        <v>18 - ENCARGOS/ADMINISTRAÇÃO</v>
      </c>
      <c r="F1711" t="str">
        <f t="shared" si="79"/>
        <v>2.007</v>
      </c>
      <c r="G1711" t="str">
        <f t="shared" si="80"/>
        <v>08.110.0000</v>
      </c>
    </row>
    <row r="1712" spans="1:7" hidden="1" x14ac:dyDescent="0.25">
      <c r="A1712" s="6" t="s">
        <v>3739</v>
      </c>
      <c r="B1712" s="28">
        <v>0</v>
      </c>
      <c r="C1712" s="6" t="s">
        <v>3741</v>
      </c>
      <c r="D1712" t="str">
        <f t="shared" si="78"/>
        <v>18.003.04.126.0002.2.007.4.4.90.52.00</v>
      </c>
      <c r="E1712" t="str">
        <f>VLOOKUP(LEFT(A1712,2),ConsolidadoLoa27_ATIVIDADES!A:I,9,0)</f>
        <v>18 - ENCARGOS/ADMINISTRAÇÃO</v>
      </c>
      <c r="F1712" t="str">
        <f t="shared" si="79"/>
        <v>2.007</v>
      </c>
      <c r="G1712" t="str">
        <f t="shared" si="80"/>
        <v>08.110.0000</v>
      </c>
    </row>
    <row r="1713" spans="1:7" hidden="1" x14ac:dyDescent="0.25">
      <c r="A1713" s="6" t="s">
        <v>3742</v>
      </c>
      <c r="B1713" s="28">
        <v>1</v>
      </c>
      <c r="C1713" s="6" t="s">
        <v>3743</v>
      </c>
      <c r="D1713" t="str">
        <f t="shared" si="78"/>
        <v>19.001.04.121.0004.1.001.3.3.90.35.00</v>
      </c>
      <c r="E1713" t="str">
        <f>VLOOKUP(LEFT(A1713,2),ConsolidadoLoa27_ATIVIDADES!A:I,9,0)</f>
        <v>19 - SECRETARIA DE TRANSPORTE E DA MOBILIDADE URBANA</v>
      </c>
      <c r="F1713" t="str">
        <f t="shared" si="79"/>
        <v>1.001</v>
      </c>
      <c r="G1713" t="str">
        <f t="shared" si="80"/>
        <v>01.110.0000</v>
      </c>
    </row>
    <row r="1714" spans="1:7" hidden="1" x14ac:dyDescent="0.25">
      <c r="A1714" s="6" t="s">
        <v>3744</v>
      </c>
      <c r="B1714" s="28">
        <v>14544161.859999999</v>
      </c>
      <c r="C1714" s="6" t="s">
        <v>847</v>
      </c>
      <c r="D1714" t="str">
        <f t="shared" si="78"/>
        <v>19.001.04.122.0001.2.001.3.1.90.11.00</v>
      </c>
      <c r="E1714" t="str">
        <f>VLOOKUP(LEFT(A1714,2),ConsolidadoLoa27_ATIVIDADES!A:I,9,0)</f>
        <v>19 - SECRETARIA DE TRANSPORTE E DA MOBILIDADE URBANA</v>
      </c>
      <c r="F1714" t="str">
        <f t="shared" si="79"/>
        <v>2.001</v>
      </c>
      <c r="G1714" t="str">
        <f t="shared" si="80"/>
        <v>01.110.0000</v>
      </c>
    </row>
    <row r="1715" spans="1:7" hidden="1" x14ac:dyDescent="0.25">
      <c r="A1715" s="6" t="s">
        <v>3745</v>
      </c>
      <c r="B1715" s="28">
        <v>854345.72</v>
      </c>
      <c r="C1715" s="6" t="s">
        <v>847</v>
      </c>
      <c r="D1715" t="str">
        <f t="shared" si="78"/>
        <v>19.001.04.122.0001.2.001.3.1.90.13.00</v>
      </c>
      <c r="E1715" t="str">
        <f>VLOOKUP(LEFT(A1715,2),ConsolidadoLoa27_ATIVIDADES!A:I,9,0)</f>
        <v>19 - SECRETARIA DE TRANSPORTE E DA MOBILIDADE URBANA</v>
      </c>
      <c r="F1715" t="str">
        <f t="shared" si="79"/>
        <v>2.001</v>
      </c>
      <c r="G1715" t="str">
        <f t="shared" si="80"/>
        <v>01.110.0000</v>
      </c>
    </row>
    <row r="1716" spans="1:7" hidden="1" x14ac:dyDescent="0.25">
      <c r="A1716" s="6" t="s">
        <v>3746</v>
      </c>
      <c r="B1716" s="28">
        <v>2122401.9900000002</v>
      </c>
      <c r="C1716" s="12" t="s">
        <v>847</v>
      </c>
      <c r="D1716" t="str">
        <f t="shared" si="78"/>
        <v>19.001.04.122.0001.2.001.3.1.91.13.00</v>
      </c>
      <c r="E1716" t="str">
        <f>VLOOKUP(LEFT(A1716,2),ConsolidadoLoa27_ATIVIDADES!A:I,9,0)</f>
        <v>19 - SECRETARIA DE TRANSPORTE E DA MOBILIDADE URBANA</v>
      </c>
      <c r="F1716" t="str">
        <f t="shared" si="79"/>
        <v>2.001</v>
      </c>
      <c r="G1716" t="str">
        <f t="shared" si="80"/>
        <v>01.110.0000</v>
      </c>
    </row>
    <row r="1717" spans="1:7" hidden="1" x14ac:dyDescent="0.25">
      <c r="A1717" s="6" t="s">
        <v>3747</v>
      </c>
      <c r="B1717" s="28">
        <v>2.25</v>
      </c>
      <c r="C1717" s="6" t="s">
        <v>2278</v>
      </c>
      <c r="D1717" t="str">
        <f t="shared" si="78"/>
        <v>19.001.04.122.0001.2.001.3.3.90.46.00</v>
      </c>
      <c r="E1717" t="str">
        <f>VLOOKUP(LEFT(A1717,2),ConsolidadoLoa27_ATIVIDADES!A:I,9,0)</f>
        <v>19 - SECRETARIA DE TRANSPORTE E DA MOBILIDADE URBANA</v>
      </c>
      <c r="F1717" t="str">
        <f t="shared" si="79"/>
        <v>2.001</v>
      </c>
      <c r="G1717" t="str">
        <f t="shared" si="80"/>
        <v>01.110.0000</v>
      </c>
    </row>
    <row r="1718" spans="1:7" hidden="1" x14ac:dyDescent="0.25">
      <c r="A1718" s="6" t="s">
        <v>3748</v>
      </c>
      <c r="B1718" s="28">
        <v>325399.88</v>
      </c>
      <c r="C1718" s="6" t="s">
        <v>2280</v>
      </c>
      <c r="D1718" t="str">
        <f t="shared" si="78"/>
        <v>19.001.04.122.0001.2.001.3.3.90.49.00</v>
      </c>
      <c r="E1718" t="str">
        <f>VLOOKUP(LEFT(A1718,2),ConsolidadoLoa27_ATIVIDADES!A:I,9,0)</f>
        <v>19 - SECRETARIA DE TRANSPORTE E DA MOBILIDADE URBANA</v>
      </c>
      <c r="F1718" t="str">
        <f t="shared" si="79"/>
        <v>2.001</v>
      </c>
      <c r="G1718" t="str">
        <f t="shared" si="80"/>
        <v>01.110.0000</v>
      </c>
    </row>
    <row r="1719" spans="1:7" hidden="1" x14ac:dyDescent="0.25">
      <c r="A1719" s="6" t="s">
        <v>3749</v>
      </c>
      <c r="B1719" s="28">
        <v>7960576.7000000002</v>
      </c>
      <c r="C1719" s="6" t="s">
        <v>3750</v>
      </c>
      <c r="D1719" t="str">
        <f t="shared" si="78"/>
        <v>19.001.04.122.0001.2.002.3.3.90.39.00</v>
      </c>
      <c r="E1719" t="str">
        <f>VLOOKUP(LEFT(A1719,2),ConsolidadoLoa27_ATIVIDADES!A:I,9,0)</f>
        <v>19 - SECRETARIA DE TRANSPORTE E DA MOBILIDADE URBANA</v>
      </c>
      <c r="F1719" t="str">
        <f t="shared" si="79"/>
        <v>2.002</v>
      </c>
      <c r="G1719" t="str">
        <f t="shared" si="80"/>
        <v>01.110.0000</v>
      </c>
    </row>
    <row r="1720" spans="1:7" hidden="1" x14ac:dyDescent="0.25">
      <c r="A1720" s="6" t="s">
        <v>3751</v>
      </c>
      <c r="B1720" s="28">
        <v>1</v>
      </c>
      <c r="C1720" s="6" t="s">
        <v>2282</v>
      </c>
      <c r="D1720" t="str">
        <f t="shared" si="78"/>
        <v>19.001.04.122.0001.2.006.3.3.90.33.00</v>
      </c>
      <c r="E1720" t="str">
        <f>VLOOKUP(LEFT(A1720,2),ConsolidadoLoa27_ATIVIDADES!A:I,9,0)</f>
        <v>19 - SECRETARIA DE TRANSPORTE E DA MOBILIDADE URBANA</v>
      </c>
      <c r="F1720" t="str">
        <f t="shared" si="79"/>
        <v>2.006</v>
      </c>
      <c r="G1720" t="str">
        <f t="shared" si="80"/>
        <v>01.110.0000</v>
      </c>
    </row>
    <row r="1721" spans="1:7" hidden="1" x14ac:dyDescent="0.25">
      <c r="A1721" s="6" t="s">
        <v>3752</v>
      </c>
      <c r="B1721" s="28">
        <v>1</v>
      </c>
      <c r="C1721" s="14" t="s">
        <v>421</v>
      </c>
      <c r="D1721" t="str">
        <f t="shared" si="78"/>
        <v>19.001.04.122.0001.2.006.3.3.90.39.00</v>
      </c>
      <c r="E1721" t="str">
        <f>VLOOKUP(LEFT(A1721,2),ConsolidadoLoa27_ATIVIDADES!A:I,9,0)</f>
        <v>19 - SECRETARIA DE TRANSPORTE E DA MOBILIDADE URBANA</v>
      </c>
      <c r="F1721" t="str">
        <f t="shared" si="79"/>
        <v>2.006</v>
      </c>
      <c r="G1721" t="str">
        <f t="shared" si="80"/>
        <v>01.110.0000</v>
      </c>
    </row>
    <row r="1722" spans="1:7" hidden="1" x14ac:dyDescent="0.25">
      <c r="A1722" s="6" t="s">
        <v>3753</v>
      </c>
      <c r="B1722" s="28">
        <v>1</v>
      </c>
      <c r="C1722" s="6" t="s">
        <v>318</v>
      </c>
      <c r="D1722" t="str">
        <f t="shared" si="78"/>
        <v>19.001.04.128.0002.2.003.3.3.90.39.00</v>
      </c>
      <c r="E1722" t="str">
        <f>VLOOKUP(LEFT(A1722,2),ConsolidadoLoa27_ATIVIDADES!A:I,9,0)</f>
        <v>19 - SECRETARIA DE TRANSPORTE E DA MOBILIDADE URBANA</v>
      </c>
      <c r="F1722" t="str">
        <f t="shared" si="79"/>
        <v>2.003</v>
      </c>
      <c r="G1722" t="str">
        <f t="shared" si="80"/>
        <v>01.110.0000</v>
      </c>
    </row>
    <row r="1723" spans="1:7" hidden="1" x14ac:dyDescent="0.25">
      <c r="A1723" s="6" t="s">
        <v>3754</v>
      </c>
      <c r="B1723" s="28">
        <v>12988.75</v>
      </c>
      <c r="C1723" s="6" t="s">
        <v>245</v>
      </c>
      <c r="D1723" t="str">
        <f t="shared" si="78"/>
        <v>19.001.04.131.0002.2.005.3.3.90.30.00</v>
      </c>
      <c r="E1723" t="str">
        <f>VLOOKUP(LEFT(A1723,2),ConsolidadoLoa27_ATIVIDADES!A:I,9,0)</f>
        <v>19 - SECRETARIA DE TRANSPORTE E DA MOBILIDADE URBANA</v>
      </c>
      <c r="F1723" t="str">
        <f t="shared" si="79"/>
        <v>2.005</v>
      </c>
      <c r="G1723" t="str">
        <f t="shared" si="80"/>
        <v>01.110.0000</v>
      </c>
    </row>
    <row r="1724" spans="1:7" hidden="1" x14ac:dyDescent="0.25">
      <c r="A1724" s="6" t="s">
        <v>3755</v>
      </c>
      <c r="B1724" s="28">
        <v>13508.3</v>
      </c>
      <c r="C1724" s="6" t="s">
        <v>198</v>
      </c>
      <c r="D1724" t="str">
        <f t="shared" si="78"/>
        <v>19.001.04.131.0002.2.005.3.3.90.39.00</v>
      </c>
      <c r="E1724" t="str">
        <f>VLOOKUP(LEFT(A1724,2),ConsolidadoLoa27_ATIVIDADES!A:I,9,0)</f>
        <v>19 - SECRETARIA DE TRANSPORTE E DA MOBILIDADE URBANA</v>
      </c>
      <c r="F1724" t="str">
        <f t="shared" si="79"/>
        <v>2.005</v>
      </c>
      <c r="G1724" t="str">
        <f t="shared" si="80"/>
        <v>01.110.0000</v>
      </c>
    </row>
    <row r="1725" spans="1:7" hidden="1" x14ac:dyDescent="0.25">
      <c r="A1725" s="6" t="s">
        <v>3755</v>
      </c>
      <c r="B1725" s="28">
        <v>25977.5</v>
      </c>
      <c r="C1725" s="6" t="s">
        <v>2293</v>
      </c>
      <c r="D1725" t="str">
        <f t="shared" si="78"/>
        <v>19.001.04.131.0002.2.005.3.3.90.39.00</v>
      </c>
      <c r="E1725" t="str">
        <f>VLOOKUP(LEFT(A1725,2),ConsolidadoLoa27_ATIVIDADES!A:I,9,0)</f>
        <v>19 - SECRETARIA DE TRANSPORTE E DA MOBILIDADE URBANA</v>
      </c>
      <c r="F1725" t="str">
        <f t="shared" si="79"/>
        <v>2.005</v>
      </c>
      <c r="G1725" t="str">
        <f t="shared" si="80"/>
        <v>01.110.0000</v>
      </c>
    </row>
    <row r="1726" spans="1:7" hidden="1" x14ac:dyDescent="0.25">
      <c r="A1726" s="6" t="s">
        <v>3755</v>
      </c>
      <c r="B1726" s="28">
        <v>1</v>
      </c>
      <c r="C1726" s="6" t="s">
        <v>196</v>
      </c>
      <c r="D1726" t="str">
        <f t="shared" si="78"/>
        <v>19.001.04.131.0002.2.005.3.3.90.39.00</v>
      </c>
      <c r="E1726" t="str">
        <f>VLOOKUP(LEFT(A1726,2),ConsolidadoLoa27_ATIVIDADES!A:I,9,0)</f>
        <v>19 - SECRETARIA DE TRANSPORTE E DA MOBILIDADE URBANA</v>
      </c>
      <c r="F1726" t="str">
        <f t="shared" si="79"/>
        <v>2.005</v>
      </c>
      <c r="G1726" t="str">
        <f t="shared" si="80"/>
        <v>01.110.0000</v>
      </c>
    </row>
    <row r="1727" spans="1:7" x14ac:dyDescent="0.25">
      <c r="A1727" s="6" t="s">
        <v>3756</v>
      </c>
      <c r="B1727" s="28">
        <v>2652408</v>
      </c>
      <c r="C1727" s="6" t="s">
        <v>3757</v>
      </c>
      <c r="D1727" t="str">
        <f t="shared" si="78"/>
        <v>19.001.15.126.0013.2.007.3.3.90.39.00</v>
      </c>
      <c r="E1727" t="str">
        <f>VLOOKUP(LEFT(A1727,2),ConsolidadoLoa27_ATIVIDADES!A:I,9,0)</f>
        <v>19 - SECRETARIA DE TRANSPORTE E DA MOBILIDADE URBANA</v>
      </c>
      <c r="F1727" t="str">
        <f t="shared" si="79"/>
        <v>2.007</v>
      </c>
      <c r="G1727" t="str">
        <f t="shared" si="80"/>
        <v>01.110.0000</v>
      </c>
    </row>
    <row r="1728" spans="1:7" x14ac:dyDescent="0.25">
      <c r="A1728" s="6" t="s">
        <v>3756</v>
      </c>
      <c r="B1728" s="28">
        <v>7617930.5600000005</v>
      </c>
      <c r="C1728" s="6" t="s">
        <v>3758</v>
      </c>
      <c r="D1728" t="str">
        <f t="shared" si="78"/>
        <v>19.001.15.126.0013.2.007.3.3.90.39.00</v>
      </c>
      <c r="E1728" t="str">
        <f>VLOOKUP(LEFT(A1728,2),ConsolidadoLoa27_ATIVIDADES!A:I,9,0)</f>
        <v>19 - SECRETARIA DE TRANSPORTE E DA MOBILIDADE URBANA</v>
      </c>
      <c r="F1728" t="str">
        <f t="shared" si="79"/>
        <v>2.007</v>
      </c>
      <c r="G1728" t="str">
        <f t="shared" si="80"/>
        <v>01.110.0000</v>
      </c>
    </row>
    <row r="1729" spans="1:7" x14ac:dyDescent="0.25">
      <c r="A1729" s="6" t="s">
        <v>3756</v>
      </c>
      <c r="B1729" s="28">
        <v>3016668.6799999997</v>
      </c>
      <c r="C1729" s="6" t="s">
        <v>3759</v>
      </c>
      <c r="D1729" t="str">
        <f t="shared" si="78"/>
        <v>19.001.15.126.0013.2.007.3.3.90.39.00</v>
      </c>
      <c r="E1729" t="str">
        <f>VLOOKUP(LEFT(A1729,2),ConsolidadoLoa27_ATIVIDADES!A:I,9,0)</f>
        <v>19 - SECRETARIA DE TRANSPORTE E DA MOBILIDADE URBANA</v>
      </c>
      <c r="F1729" t="str">
        <f t="shared" si="79"/>
        <v>2.007</v>
      </c>
      <c r="G1729" t="str">
        <f t="shared" si="80"/>
        <v>01.110.0000</v>
      </c>
    </row>
    <row r="1730" spans="1:7" x14ac:dyDescent="0.25">
      <c r="A1730" s="6" t="s">
        <v>3756</v>
      </c>
      <c r="B1730" s="28">
        <v>1</v>
      </c>
      <c r="C1730" s="6" t="s">
        <v>3760</v>
      </c>
      <c r="D1730" t="str">
        <f t="shared" si="78"/>
        <v>19.001.15.126.0013.2.007.3.3.90.39.00</v>
      </c>
      <c r="E1730" t="str">
        <f>VLOOKUP(LEFT(A1730,2),ConsolidadoLoa27_ATIVIDADES!A:I,9,0)</f>
        <v>19 - SECRETARIA DE TRANSPORTE E DA MOBILIDADE URBANA</v>
      </c>
      <c r="F1730" t="str">
        <f t="shared" si="79"/>
        <v>2.007</v>
      </c>
      <c r="G1730" t="str">
        <f t="shared" si="80"/>
        <v>01.110.0000</v>
      </c>
    </row>
    <row r="1731" spans="1:7" x14ac:dyDescent="0.25">
      <c r="A1731" s="6" t="s">
        <v>3761</v>
      </c>
      <c r="B1731" s="28">
        <v>5195.5</v>
      </c>
      <c r="C1731" s="6" t="s">
        <v>245</v>
      </c>
      <c r="D1731" t="str">
        <f t="shared" ref="D1731:D1794" si="81">_xlfn.CONCAT(LEFT(A1731,34),".00")</f>
        <v>19.001.15.422.0013.2.021.3.3.90.30.00</v>
      </c>
      <c r="E1731" t="str">
        <f>VLOOKUP(LEFT(A1731,2),ConsolidadoLoa27_ATIVIDADES!A:I,9,0)</f>
        <v>19 - SECRETARIA DE TRANSPORTE E DA MOBILIDADE URBANA</v>
      </c>
      <c r="F1731" t="str">
        <f t="shared" ref="F1731:F1794" si="82">MID(A1731,20,5)</f>
        <v>2.021</v>
      </c>
      <c r="G1731" t="str">
        <f t="shared" ref="G1731:G1794" si="83">RIGHT(A1731,11)</f>
        <v>01.110.0000</v>
      </c>
    </row>
    <row r="1732" spans="1:7" x14ac:dyDescent="0.25">
      <c r="A1732" s="6" t="s">
        <v>3762</v>
      </c>
      <c r="B1732" s="28">
        <v>5195.5</v>
      </c>
      <c r="C1732" s="6" t="s">
        <v>198</v>
      </c>
      <c r="D1732" t="str">
        <f t="shared" si="81"/>
        <v>19.001.15.422.0013.2.021.3.3.90.39.00</v>
      </c>
      <c r="E1732" t="str">
        <f>VLOOKUP(LEFT(A1732,2),ConsolidadoLoa27_ATIVIDADES!A:I,9,0)</f>
        <v>19 - SECRETARIA DE TRANSPORTE E DA MOBILIDADE URBANA</v>
      </c>
      <c r="F1732" t="str">
        <f t="shared" si="82"/>
        <v>2.021</v>
      </c>
      <c r="G1732" t="str">
        <f t="shared" si="83"/>
        <v>01.110.0000</v>
      </c>
    </row>
    <row r="1733" spans="1:7" x14ac:dyDescent="0.25">
      <c r="A1733" s="6" t="s">
        <v>3762</v>
      </c>
      <c r="B1733" s="28">
        <v>5194.4609</v>
      </c>
      <c r="C1733" s="6" t="s">
        <v>2293</v>
      </c>
      <c r="D1733" t="str">
        <f t="shared" si="81"/>
        <v>19.001.15.422.0013.2.021.3.3.90.39.00</v>
      </c>
      <c r="E1733" t="str">
        <f>VLOOKUP(LEFT(A1733,2),ConsolidadoLoa27_ATIVIDADES!A:I,9,0)</f>
        <v>19 - SECRETARIA DE TRANSPORTE E DA MOBILIDADE URBANA</v>
      </c>
      <c r="F1733" t="str">
        <f t="shared" si="82"/>
        <v>2.021</v>
      </c>
      <c r="G1733" t="str">
        <f t="shared" si="83"/>
        <v>01.110.0000</v>
      </c>
    </row>
    <row r="1734" spans="1:7" x14ac:dyDescent="0.25">
      <c r="A1734" s="6" t="s">
        <v>3762</v>
      </c>
      <c r="B1734" s="28">
        <v>1</v>
      </c>
      <c r="C1734" s="6" t="s">
        <v>3763</v>
      </c>
      <c r="D1734" t="str">
        <f t="shared" si="81"/>
        <v>19.001.15.422.0013.2.021.3.3.90.39.00</v>
      </c>
      <c r="E1734" t="str">
        <f>VLOOKUP(LEFT(A1734,2),ConsolidadoLoa27_ATIVIDADES!A:I,9,0)</f>
        <v>19 - SECRETARIA DE TRANSPORTE E DA MOBILIDADE URBANA</v>
      </c>
      <c r="F1734" t="str">
        <f t="shared" si="82"/>
        <v>2.021</v>
      </c>
      <c r="G1734" t="str">
        <f t="shared" si="83"/>
        <v>01.110.0000</v>
      </c>
    </row>
    <row r="1735" spans="1:7" x14ac:dyDescent="0.25">
      <c r="A1735" s="6" t="s">
        <v>3762</v>
      </c>
      <c r="B1735" s="28">
        <v>1</v>
      </c>
      <c r="C1735" s="6" t="s">
        <v>196</v>
      </c>
      <c r="D1735" t="str">
        <f t="shared" si="81"/>
        <v>19.001.15.422.0013.2.021.3.3.90.39.00</v>
      </c>
      <c r="E1735" t="str">
        <f>VLOOKUP(LEFT(A1735,2),ConsolidadoLoa27_ATIVIDADES!A:I,9,0)</f>
        <v>19 - SECRETARIA DE TRANSPORTE E DA MOBILIDADE URBANA</v>
      </c>
      <c r="F1735" t="str">
        <f t="shared" si="82"/>
        <v>2.021</v>
      </c>
      <c r="G1735" t="str">
        <f t="shared" si="83"/>
        <v>01.110.0000</v>
      </c>
    </row>
    <row r="1736" spans="1:7" x14ac:dyDescent="0.25">
      <c r="A1736" s="6" t="s">
        <v>3764</v>
      </c>
      <c r="B1736" s="28">
        <v>1</v>
      </c>
      <c r="C1736" s="6" t="s">
        <v>3765</v>
      </c>
      <c r="D1736" t="str">
        <f t="shared" si="81"/>
        <v>19.001.15.451.0013.1.002.3.3.90.39.00</v>
      </c>
      <c r="E1736" t="str">
        <f>VLOOKUP(LEFT(A1736,2),ConsolidadoLoa27_ATIVIDADES!A:I,9,0)</f>
        <v>19 - SECRETARIA DE TRANSPORTE E DA MOBILIDADE URBANA</v>
      </c>
      <c r="F1736" t="str">
        <f t="shared" si="82"/>
        <v>1.002</v>
      </c>
      <c r="G1736" t="str">
        <f t="shared" si="83"/>
        <v>01.110.0000</v>
      </c>
    </row>
    <row r="1737" spans="1:7" x14ac:dyDescent="0.25">
      <c r="A1737" s="6" t="s">
        <v>3766</v>
      </c>
      <c r="B1737" s="28">
        <v>1</v>
      </c>
      <c r="C1737" s="6" t="s">
        <v>3767</v>
      </c>
      <c r="D1737" t="str">
        <f t="shared" si="81"/>
        <v>19.001.15.451.0013.1.006.4.4.90.52.00</v>
      </c>
      <c r="E1737" t="str">
        <f>VLOOKUP(LEFT(A1737,2),ConsolidadoLoa27_ATIVIDADES!A:I,9,0)</f>
        <v>19 - SECRETARIA DE TRANSPORTE E DA MOBILIDADE URBANA</v>
      </c>
      <c r="F1737" t="str">
        <f t="shared" si="82"/>
        <v>1.006</v>
      </c>
      <c r="G1737" t="str">
        <f t="shared" si="83"/>
        <v>01.110.0000</v>
      </c>
    </row>
    <row r="1738" spans="1:7" x14ac:dyDescent="0.25">
      <c r="A1738" s="6" t="s">
        <v>3768</v>
      </c>
      <c r="B1738" s="28">
        <v>18703.8</v>
      </c>
      <c r="C1738" s="6" t="s">
        <v>2318</v>
      </c>
      <c r="D1738" t="str">
        <f t="shared" si="81"/>
        <v>19.001.15.451.0013.2.011.3.3.90.30.00</v>
      </c>
      <c r="E1738" t="str">
        <f>VLOOKUP(LEFT(A1738,2),ConsolidadoLoa27_ATIVIDADES!A:I,9,0)</f>
        <v>19 - SECRETARIA DE TRANSPORTE E DA MOBILIDADE URBANA</v>
      </c>
      <c r="F1738" t="str">
        <f t="shared" si="82"/>
        <v>2.011</v>
      </c>
      <c r="G1738" t="str">
        <f t="shared" si="83"/>
        <v>01.110.0000</v>
      </c>
    </row>
    <row r="1739" spans="1:7" x14ac:dyDescent="0.25">
      <c r="A1739" s="6" t="s">
        <v>3768</v>
      </c>
      <c r="B1739" s="28">
        <v>16870.827600000001</v>
      </c>
      <c r="C1739" s="6" t="s">
        <v>2288</v>
      </c>
      <c r="D1739" t="str">
        <f t="shared" si="81"/>
        <v>19.001.15.451.0013.2.011.3.3.90.30.00</v>
      </c>
      <c r="E1739" t="str">
        <f>VLOOKUP(LEFT(A1739,2),ConsolidadoLoa27_ATIVIDADES!A:I,9,0)</f>
        <v>19 - SECRETARIA DE TRANSPORTE E DA MOBILIDADE URBANA</v>
      </c>
      <c r="F1739" t="str">
        <f t="shared" si="82"/>
        <v>2.011</v>
      </c>
      <c r="G1739" t="str">
        <f t="shared" si="83"/>
        <v>01.110.0000</v>
      </c>
    </row>
    <row r="1740" spans="1:7" x14ac:dyDescent="0.25">
      <c r="A1740" s="6" t="s">
        <v>3768</v>
      </c>
      <c r="B1740" s="28">
        <v>1</v>
      </c>
      <c r="C1740" s="6" t="s">
        <v>2323</v>
      </c>
      <c r="D1740" t="str">
        <f t="shared" si="81"/>
        <v>19.001.15.451.0013.2.011.3.3.90.30.00</v>
      </c>
      <c r="E1740" t="str">
        <f>VLOOKUP(LEFT(A1740,2),ConsolidadoLoa27_ATIVIDADES!A:I,9,0)</f>
        <v>19 - SECRETARIA DE TRANSPORTE E DA MOBILIDADE URBANA</v>
      </c>
      <c r="F1740" t="str">
        <f t="shared" si="82"/>
        <v>2.011</v>
      </c>
      <c r="G1740" t="str">
        <f t="shared" si="83"/>
        <v>01.110.0000</v>
      </c>
    </row>
    <row r="1741" spans="1:7" x14ac:dyDescent="0.25">
      <c r="A1741" s="6" t="s">
        <v>3768</v>
      </c>
      <c r="B1741" s="28">
        <v>14389.4568</v>
      </c>
      <c r="C1741" s="6" t="s">
        <v>2295</v>
      </c>
      <c r="D1741" t="str">
        <f t="shared" si="81"/>
        <v>19.001.15.451.0013.2.011.3.3.90.30.00</v>
      </c>
      <c r="E1741" t="str">
        <f>VLOOKUP(LEFT(A1741,2),ConsolidadoLoa27_ATIVIDADES!A:I,9,0)</f>
        <v>19 - SECRETARIA DE TRANSPORTE E DA MOBILIDADE URBANA</v>
      </c>
      <c r="F1741" t="str">
        <f t="shared" si="82"/>
        <v>2.011</v>
      </c>
      <c r="G1741" t="str">
        <f t="shared" si="83"/>
        <v>01.110.0000</v>
      </c>
    </row>
    <row r="1742" spans="1:7" x14ac:dyDescent="0.25">
      <c r="A1742" s="6" t="s">
        <v>3768</v>
      </c>
      <c r="B1742" s="28">
        <v>1</v>
      </c>
      <c r="C1742" s="14" t="s">
        <v>107</v>
      </c>
      <c r="D1742" t="str">
        <f t="shared" si="81"/>
        <v>19.001.15.451.0013.2.011.3.3.90.30.00</v>
      </c>
      <c r="E1742" t="str">
        <f>VLOOKUP(LEFT(A1742,2),ConsolidadoLoa27_ATIVIDADES!A:I,9,0)</f>
        <v>19 - SECRETARIA DE TRANSPORTE E DA MOBILIDADE URBANA</v>
      </c>
      <c r="F1742" t="str">
        <f t="shared" si="82"/>
        <v>2.011</v>
      </c>
      <c r="G1742" t="str">
        <f t="shared" si="83"/>
        <v>01.110.0000</v>
      </c>
    </row>
    <row r="1743" spans="1:7" x14ac:dyDescent="0.25">
      <c r="A1743" s="6" t="s">
        <v>3768</v>
      </c>
      <c r="B1743" s="28">
        <v>2697.5036</v>
      </c>
      <c r="C1743" s="6" t="s">
        <v>2289</v>
      </c>
      <c r="D1743" t="str">
        <f t="shared" si="81"/>
        <v>19.001.15.451.0013.2.011.3.3.90.30.00</v>
      </c>
      <c r="E1743" t="str">
        <f>VLOOKUP(LEFT(A1743,2),ConsolidadoLoa27_ATIVIDADES!A:I,9,0)</f>
        <v>19 - SECRETARIA DE TRANSPORTE E DA MOBILIDADE URBANA</v>
      </c>
      <c r="F1743" t="str">
        <f t="shared" si="82"/>
        <v>2.011</v>
      </c>
      <c r="G1743" t="str">
        <f t="shared" si="83"/>
        <v>01.110.0000</v>
      </c>
    </row>
    <row r="1744" spans="1:7" x14ac:dyDescent="0.25">
      <c r="A1744" s="6" t="s">
        <v>3768</v>
      </c>
      <c r="B1744" s="28">
        <v>1</v>
      </c>
      <c r="C1744" s="6" t="s">
        <v>104</v>
      </c>
      <c r="D1744" t="str">
        <f t="shared" si="81"/>
        <v>19.001.15.451.0013.2.011.3.3.90.30.00</v>
      </c>
      <c r="E1744" t="str">
        <f>VLOOKUP(LEFT(A1744,2),ConsolidadoLoa27_ATIVIDADES!A:I,9,0)</f>
        <v>19 - SECRETARIA DE TRANSPORTE E DA MOBILIDADE URBANA</v>
      </c>
      <c r="F1744" t="str">
        <f t="shared" si="82"/>
        <v>2.011</v>
      </c>
      <c r="G1744" t="str">
        <f t="shared" si="83"/>
        <v>01.110.0000</v>
      </c>
    </row>
    <row r="1745" spans="1:7" x14ac:dyDescent="0.25">
      <c r="A1745" s="6" t="s">
        <v>3769</v>
      </c>
      <c r="B1745" s="28">
        <v>9601</v>
      </c>
      <c r="C1745" s="6" t="s">
        <v>3770</v>
      </c>
      <c r="D1745" t="str">
        <f t="shared" si="81"/>
        <v>19.001.15.451.0013.2.011.3.3.90.36.00</v>
      </c>
      <c r="E1745" t="str">
        <f>VLOOKUP(LEFT(A1745,2),ConsolidadoLoa27_ATIVIDADES!A:I,9,0)</f>
        <v>19 - SECRETARIA DE TRANSPORTE E DA MOBILIDADE URBANA</v>
      </c>
      <c r="F1745" t="str">
        <f t="shared" si="82"/>
        <v>2.011</v>
      </c>
      <c r="G1745" t="str">
        <f t="shared" si="83"/>
        <v>01.110.0000</v>
      </c>
    </row>
    <row r="1746" spans="1:7" x14ac:dyDescent="0.25">
      <c r="A1746" s="6" t="s">
        <v>3771</v>
      </c>
      <c r="B1746" s="28">
        <v>47759.28</v>
      </c>
      <c r="C1746" s="6" t="s">
        <v>3772</v>
      </c>
      <c r="D1746" t="str">
        <f t="shared" si="81"/>
        <v>19.001.15.451.0013.2.011.3.3.90.39.00</v>
      </c>
      <c r="E1746" t="str">
        <f>VLOOKUP(LEFT(A1746,2),ConsolidadoLoa27_ATIVIDADES!A:I,9,0)</f>
        <v>19 - SECRETARIA DE TRANSPORTE E DA MOBILIDADE URBANA</v>
      </c>
      <c r="F1746" t="str">
        <f t="shared" si="82"/>
        <v>2.011</v>
      </c>
      <c r="G1746" t="str">
        <f t="shared" si="83"/>
        <v>01.110.0000</v>
      </c>
    </row>
    <row r="1747" spans="1:7" x14ac:dyDescent="0.25">
      <c r="A1747" s="6" t="s">
        <v>3771</v>
      </c>
      <c r="B1747" s="28">
        <v>742836</v>
      </c>
      <c r="C1747" s="6" t="s">
        <v>3773</v>
      </c>
      <c r="D1747" t="str">
        <f t="shared" si="81"/>
        <v>19.001.15.451.0013.2.011.3.3.90.39.00</v>
      </c>
      <c r="E1747" t="str">
        <f>VLOOKUP(LEFT(A1747,2),ConsolidadoLoa27_ATIVIDADES!A:I,9,0)</f>
        <v>19 - SECRETARIA DE TRANSPORTE E DA MOBILIDADE URBANA</v>
      </c>
      <c r="F1747" t="str">
        <f t="shared" si="82"/>
        <v>2.011</v>
      </c>
      <c r="G1747" t="str">
        <f t="shared" si="83"/>
        <v>01.110.0000</v>
      </c>
    </row>
    <row r="1748" spans="1:7" x14ac:dyDescent="0.25">
      <c r="A1748" s="6" t="s">
        <v>3771</v>
      </c>
      <c r="B1748" s="28">
        <v>86640.6</v>
      </c>
      <c r="C1748" s="14" t="s">
        <v>107</v>
      </c>
      <c r="D1748" t="str">
        <f t="shared" si="81"/>
        <v>19.001.15.451.0013.2.011.3.3.90.39.00</v>
      </c>
      <c r="E1748" t="str">
        <f>VLOOKUP(LEFT(A1748,2),ConsolidadoLoa27_ATIVIDADES!A:I,9,0)</f>
        <v>19 - SECRETARIA DE TRANSPORTE E DA MOBILIDADE URBANA</v>
      </c>
      <c r="F1748" t="str">
        <f t="shared" si="82"/>
        <v>2.011</v>
      </c>
      <c r="G1748" t="str">
        <f t="shared" si="83"/>
        <v>01.110.0000</v>
      </c>
    </row>
    <row r="1749" spans="1:7" x14ac:dyDescent="0.25">
      <c r="A1749" s="6" t="s">
        <v>3771</v>
      </c>
      <c r="B1749" s="28">
        <v>1</v>
      </c>
      <c r="C1749" s="6" t="s">
        <v>106</v>
      </c>
      <c r="D1749" t="str">
        <f t="shared" si="81"/>
        <v>19.001.15.451.0013.2.011.3.3.90.39.00</v>
      </c>
      <c r="E1749" t="str">
        <f>VLOOKUP(LEFT(A1749,2),ConsolidadoLoa27_ATIVIDADES!A:I,9,0)</f>
        <v>19 - SECRETARIA DE TRANSPORTE E DA MOBILIDADE URBANA</v>
      </c>
      <c r="F1749" t="str">
        <f t="shared" si="82"/>
        <v>2.011</v>
      </c>
      <c r="G1749" t="str">
        <f t="shared" si="83"/>
        <v>01.110.0000</v>
      </c>
    </row>
    <row r="1750" spans="1:7" x14ac:dyDescent="0.25">
      <c r="A1750" s="6" t="s">
        <v>3771</v>
      </c>
      <c r="B1750" s="28">
        <v>1</v>
      </c>
      <c r="C1750" s="6" t="s">
        <v>100</v>
      </c>
      <c r="D1750" t="str">
        <f t="shared" si="81"/>
        <v>19.001.15.451.0013.2.011.3.3.90.39.00</v>
      </c>
      <c r="E1750" t="str">
        <f>VLOOKUP(LEFT(A1750,2),ConsolidadoLoa27_ATIVIDADES!A:I,9,0)</f>
        <v>19 - SECRETARIA DE TRANSPORTE E DA MOBILIDADE URBANA</v>
      </c>
      <c r="F1750" t="str">
        <f t="shared" si="82"/>
        <v>2.011</v>
      </c>
      <c r="G1750" t="str">
        <f t="shared" si="83"/>
        <v>01.110.0000</v>
      </c>
    </row>
    <row r="1751" spans="1:7" x14ac:dyDescent="0.25">
      <c r="A1751" s="6" t="s">
        <v>3774</v>
      </c>
      <c r="B1751" s="28">
        <v>2078.1999999999998</v>
      </c>
      <c r="C1751" s="6" t="s">
        <v>2520</v>
      </c>
      <c r="D1751" t="str">
        <f t="shared" si="81"/>
        <v>19.001.15.451.0013.2.011.4.4.90.52.00</v>
      </c>
      <c r="E1751" t="str">
        <f>VLOOKUP(LEFT(A1751,2),ConsolidadoLoa27_ATIVIDADES!A:I,9,0)</f>
        <v>19 - SECRETARIA DE TRANSPORTE E DA MOBILIDADE URBANA</v>
      </c>
      <c r="F1751" t="str">
        <f t="shared" si="82"/>
        <v>2.011</v>
      </c>
      <c r="G1751" t="str">
        <f t="shared" si="83"/>
        <v>01.110.0000</v>
      </c>
    </row>
    <row r="1752" spans="1:7" x14ac:dyDescent="0.25">
      <c r="A1752" s="6" t="s">
        <v>3774</v>
      </c>
      <c r="B1752" s="28">
        <v>1040.1391000000001</v>
      </c>
      <c r="C1752" s="6" t="s">
        <v>2459</v>
      </c>
      <c r="D1752" t="str">
        <f t="shared" si="81"/>
        <v>19.001.15.451.0013.2.011.4.4.90.52.00</v>
      </c>
      <c r="E1752" t="str">
        <f>VLOOKUP(LEFT(A1752,2),ConsolidadoLoa27_ATIVIDADES!A:I,9,0)</f>
        <v>19 - SECRETARIA DE TRANSPORTE E DA MOBILIDADE URBANA</v>
      </c>
      <c r="F1752" t="str">
        <f t="shared" si="82"/>
        <v>2.011</v>
      </c>
      <c r="G1752" t="str">
        <f t="shared" si="83"/>
        <v>01.110.0000</v>
      </c>
    </row>
    <row r="1753" spans="1:7" x14ac:dyDescent="0.25">
      <c r="A1753" s="6" t="s">
        <v>3774</v>
      </c>
      <c r="B1753" s="28">
        <v>12884.84</v>
      </c>
      <c r="C1753" s="6" t="s">
        <v>2500</v>
      </c>
      <c r="D1753" t="str">
        <f t="shared" si="81"/>
        <v>19.001.15.451.0013.2.011.4.4.90.52.00</v>
      </c>
      <c r="E1753" t="str">
        <f>VLOOKUP(LEFT(A1753,2),ConsolidadoLoa27_ATIVIDADES!A:I,9,0)</f>
        <v>19 - SECRETARIA DE TRANSPORTE E DA MOBILIDADE URBANA</v>
      </c>
      <c r="F1753" t="str">
        <f t="shared" si="82"/>
        <v>2.011</v>
      </c>
      <c r="G1753" t="str">
        <f t="shared" si="83"/>
        <v>01.110.0000</v>
      </c>
    </row>
    <row r="1754" spans="1:7" x14ac:dyDescent="0.25">
      <c r="A1754" s="6" t="s">
        <v>3774</v>
      </c>
      <c r="B1754" s="28">
        <v>5195.5</v>
      </c>
      <c r="C1754" s="6" t="s">
        <v>2502</v>
      </c>
      <c r="D1754" t="str">
        <f t="shared" si="81"/>
        <v>19.001.15.451.0013.2.011.4.4.90.52.00</v>
      </c>
      <c r="E1754" t="str">
        <f>VLOOKUP(LEFT(A1754,2),ConsolidadoLoa27_ATIVIDADES!A:I,9,0)</f>
        <v>19 - SECRETARIA DE TRANSPORTE E DA MOBILIDADE URBANA</v>
      </c>
      <c r="F1754" t="str">
        <f t="shared" si="82"/>
        <v>2.011</v>
      </c>
      <c r="G1754" t="str">
        <f t="shared" si="83"/>
        <v>01.110.0000</v>
      </c>
    </row>
    <row r="1755" spans="1:7" x14ac:dyDescent="0.25">
      <c r="A1755" s="6" t="s">
        <v>3775</v>
      </c>
      <c r="B1755" s="28">
        <v>21552376.800000001</v>
      </c>
      <c r="C1755" s="6" t="s">
        <v>3776</v>
      </c>
      <c r="D1755" t="str">
        <f t="shared" si="81"/>
        <v>19.001.15.451.0013.2.034.3.3.90.39.00</v>
      </c>
      <c r="E1755" t="str">
        <f>VLOOKUP(LEFT(A1755,2),ConsolidadoLoa27_ATIVIDADES!A:I,9,0)</f>
        <v>19 - SECRETARIA DE TRANSPORTE E DA MOBILIDADE URBANA</v>
      </c>
      <c r="F1755" t="str">
        <f t="shared" si="82"/>
        <v>2.034</v>
      </c>
      <c r="G1755" t="str">
        <f t="shared" si="83"/>
        <v>01.110.0000</v>
      </c>
    </row>
    <row r="1756" spans="1:7" x14ac:dyDescent="0.25">
      <c r="A1756" s="6" t="s">
        <v>3777</v>
      </c>
      <c r="B1756" s="28">
        <v>616500</v>
      </c>
      <c r="C1756" s="6" t="s">
        <v>3776</v>
      </c>
      <c r="D1756" t="str">
        <f t="shared" si="81"/>
        <v>19.001.15.451.0013.2.034.3.3.90.39.00</v>
      </c>
      <c r="E1756" t="str">
        <f>VLOOKUP(LEFT(A1756,2),ConsolidadoLoa27_ATIVIDADES!A:I,9,0)</f>
        <v>19 - SECRETARIA DE TRANSPORTE E DA MOBILIDADE URBANA</v>
      </c>
      <c r="F1756" t="str">
        <f t="shared" si="82"/>
        <v>2.034</v>
      </c>
      <c r="G1756" t="str">
        <f t="shared" si="83"/>
        <v>03.400.1901</v>
      </c>
    </row>
    <row r="1757" spans="1:7" x14ac:dyDescent="0.25">
      <c r="A1757" s="6" t="s">
        <v>3778</v>
      </c>
      <c r="B1757" s="28">
        <v>1440000</v>
      </c>
      <c r="C1757" s="6" t="s">
        <v>3779</v>
      </c>
      <c r="D1757" t="str">
        <f t="shared" si="81"/>
        <v>19.001.15.451.0013.2.036.3.3.90.39.00</v>
      </c>
      <c r="E1757" t="str">
        <f>VLOOKUP(LEFT(A1757,2),ConsolidadoLoa27_ATIVIDADES!A:I,9,0)</f>
        <v>19 - SECRETARIA DE TRANSPORTE E DA MOBILIDADE URBANA</v>
      </c>
      <c r="F1757" t="str">
        <f t="shared" si="82"/>
        <v>2.036</v>
      </c>
      <c r="G1757" t="str">
        <f t="shared" si="83"/>
        <v>01.110.0000</v>
      </c>
    </row>
    <row r="1758" spans="1:7" x14ac:dyDescent="0.25">
      <c r="A1758" s="6" t="s">
        <v>3780</v>
      </c>
      <c r="B1758" s="28">
        <v>2805085.45</v>
      </c>
      <c r="C1758" s="6" t="s">
        <v>3781</v>
      </c>
      <c r="D1758" t="str">
        <f t="shared" si="81"/>
        <v>19.001.15.453.0013.2.010.3.3.90.39.00</v>
      </c>
      <c r="E1758" t="str">
        <f>VLOOKUP(LEFT(A1758,2),ConsolidadoLoa27_ATIVIDADES!A:I,9,0)</f>
        <v>19 - SECRETARIA DE TRANSPORTE E DA MOBILIDADE URBANA</v>
      </c>
      <c r="F1758" t="str">
        <f t="shared" si="82"/>
        <v>2.010</v>
      </c>
      <c r="G1758" t="str">
        <f t="shared" si="83"/>
        <v>01.110.0000</v>
      </c>
    </row>
    <row r="1759" spans="1:7" hidden="1" x14ac:dyDescent="0.25">
      <c r="A1759" s="6" t="s">
        <v>3782</v>
      </c>
      <c r="B1759" s="28">
        <v>1</v>
      </c>
      <c r="C1759" s="6" t="s">
        <v>3750</v>
      </c>
      <c r="D1759" t="str">
        <f t="shared" si="81"/>
        <v>19.005.04.122.0001.2.002.3.3.90.39.00</v>
      </c>
      <c r="E1759" t="str">
        <f>VLOOKUP(LEFT(A1759,2),ConsolidadoLoa27_ATIVIDADES!A:I,9,0)</f>
        <v>19 - SECRETARIA DE TRANSPORTE E DA MOBILIDADE URBANA</v>
      </c>
      <c r="F1759" t="str">
        <f t="shared" si="82"/>
        <v>2.002</v>
      </c>
      <c r="G1759" t="str">
        <f t="shared" si="83"/>
        <v>01.110.0000</v>
      </c>
    </row>
    <row r="1760" spans="1:7" x14ac:dyDescent="0.25">
      <c r="A1760" s="6" t="s">
        <v>3783</v>
      </c>
      <c r="B1760" s="28">
        <v>1250000</v>
      </c>
      <c r="C1760" s="6" t="s">
        <v>3757</v>
      </c>
      <c r="D1760" t="str">
        <f t="shared" si="81"/>
        <v>19.005.15.126.0013.2.007.3.3.90.39.00</v>
      </c>
      <c r="E1760" t="str">
        <f>VLOOKUP(LEFT(A1760,2),ConsolidadoLoa27_ATIVIDADES!A:I,9,0)</f>
        <v>19 - SECRETARIA DE TRANSPORTE E DA MOBILIDADE URBANA</v>
      </c>
      <c r="F1760" t="str">
        <f t="shared" si="82"/>
        <v>2.007</v>
      </c>
      <c r="G1760" t="str">
        <f t="shared" si="83"/>
        <v>03.400.1901</v>
      </c>
    </row>
    <row r="1761" spans="1:7" x14ac:dyDescent="0.25">
      <c r="A1761" s="6" t="s">
        <v>3783</v>
      </c>
      <c r="B1761" s="28">
        <v>11831211.860000001</v>
      </c>
      <c r="C1761" s="6" t="s">
        <v>3758</v>
      </c>
      <c r="D1761" t="str">
        <f t="shared" si="81"/>
        <v>19.005.15.126.0013.2.007.3.3.90.39.00</v>
      </c>
      <c r="E1761" t="str">
        <f>VLOOKUP(LEFT(A1761,2),ConsolidadoLoa27_ATIVIDADES!A:I,9,0)</f>
        <v>19 - SECRETARIA DE TRANSPORTE E DA MOBILIDADE URBANA</v>
      </c>
      <c r="F1761" t="str">
        <f t="shared" si="82"/>
        <v>2.007</v>
      </c>
      <c r="G1761" t="str">
        <f t="shared" si="83"/>
        <v>03.400.1901</v>
      </c>
    </row>
    <row r="1762" spans="1:7" x14ac:dyDescent="0.25">
      <c r="A1762" s="6" t="s">
        <v>3783</v>
      </c>
      <c r="B1762" s="28">
        <v>3908500</v>
      </c>
      <c r="C1762" s="6" t="s">
        <v>3759</v>
      </c>
      <c r="D1762" t="str">
        <f t="shared" si="81"/>
        <v>19.005.15.126.0013.2.007.3.3.90.39.00</v>
      </c>
      <c r="E1762" t="str">
        <f>VLOOKUP(LEFT(A1762,2),ConsolidadoLoa27_ATIVIDADES!A:I,9,0)</f>
        <v>19 - SECRETARIA DE TRANSPORTE E DA MOBILIDADE URBANA</v>
      </c>
      <c r="F1762" t="str">
        <f t="shared" si="82"/>
        <v>2.007</v>
      </c>
      <c r="G1762" t="str">
        <f t="shared" si="83"/>
        <v>03.400.1901</v>
      </c>
    </row>
    <row r="1763" spans="1:7" x14ac:dyDescent="0.25">
      <c r="A1763" s="6" t="s">
        <v>3783</v>
      </c>
      <c r="B1763" s="28">
        <v>719999</v>
      </c>
      <c r="C1763" s="6" t="s">
        <v>3760</v>
      </c>
      <c r="D1763" t="str">
        <f t="shared" si="81"/>
        <v>19.005.15.126.0013.2.007.3.3.90.39.00</v>
      </c>
      <c r="E1763" t="str">
        <f>VLOOKUP(LEFT(A1763,2),ConsolidadoLoa27_ATIVIDADES!A:I,9,0)</f>
        <v>19 - SECRETARIA DE TRANSPORTE E DA MOBILIDADE URBANA</v>
      </c>
      <c r="F1763" t="str">
        <f t="shared" si="82"/>
        <v>2.007</v>
      </c>
      <c r="G1763" t="str">
        <f t="shared" si="83"/>
        <v>03.400.1901</v>
      </c>
    </row>
    <row r="1764" spans="1:7" x14ac:dyDescent="0.25">
      <c r="A1764" s="6" t="s">
        <v>3784</v>
      </c>
      <c r="B1764" s="28">
        <v>160000</v>
      </c>
      <c r="C1764" s="6" t="s">
        <v>100</v>
      </c>
      <c r="D1764" t="str">
        <f t="shared" si="81"/>
        <v>19.005.15.451.0013.2.011.3.3.90.39.00</v>
      </c>
      <c r="E1764" t="str">
        <f>VLOOKUP(LEFT(A1764,2),ConsolidadoLoa27_ATIVIDADES!A:I,9,0)</f>
        <v>19 - SECRETARIA DE TRANSPORTE E DA MOBILIDADE URBANA</v>
      </c>
      <c r="F1764" t="str">
        <f t="shared" si="82"/>
        <v>2.011</v>
      </c>
      <c r="G1764" t="str">
        <f t="shared" si="83"/>
        <v>01.110.0000</v>
      </c>
    </row>
    <row r="1765" spans="1:7" x14ac:dyDescent="0.25">
      <c r="A1765" s="6" t="s">
        <v>3785</v>
      </c>
      <c r="B1765" s="28">
        <v>7300000</v>
      </c>
      <c r="C1765" s="6" t="s">
        <v>3776</v>
      </c>
      <c r="D1765" t="str">
        <f t="shared" si="81"/>
        <v>19.005.15.451.0013.2.034.3.3.90.39.00</v>
      </c>
      <c r="E1765" t="str">
        <f>VLOOKUP(LEFT(A1765,2),ConsolidadoLoa27_ATIVIDADES!A:I,9,0)</f>
        <v>19 - SECRETARIA DE TRANSPORTE E DA MOBILIDADE URBANA</v>
      </c>
      <c r="F1765" t="str">
        <f t="shared" si="82"/>
        <v>2.034</v>
      </c>
      <c r="G1765" t="str">
        <f t="shared" si="83"/>
        <v>03.400.1901</v>
      </c>
    </row>
    <row r="1766" spans="1:7" hidden="1" x14ac:dyDescent="0.25">
      <c r="A1766" s="6" t="s">
        <v>3786</v>
      </c>
      <c r="B1766" s="28">
        <v>29999999.999999993</v>
      </c>
      <c r="C1766" s="6" t="s">
        <v>847</v>
      </c>
      <c r="D1766" t="str">
        <f t="shared" si="81"/>
        <v>20.001.04.122.0001.2.001.3.1.90.11.00</v>
      </c>
      <c r="E1766" t="str">
        <f>VLOOKUP(LEFT(A1766,2),ConsolidadoLoa27_ATIVIDADES!A:I,9,0)</f>
        <v>20 - SECRETARIA DE SEGURANÇA E CONTROLE URBANO</v>
      </c>
      <c r="F1766" t="str">
        <f t="shared" si="82"/>
        <v>2.001</v>
      </c>
      <c r="G1766" t="str">
        <f t="shared" si="83"/>
        <v>01.110.0000</v>
      </c>
    </row>
    <row r="1767" spans="1:7" hidden="1" x14ac:dyDescent="0.25">
      <c r="A1767" s="6" t="s">
        <v>3787</v>
      </c>
      <c r="B1767" s="28">
        <v>1773652.59</v>
      </c>
      <c r="C1767" s="6" t="s">
        <v>847</v>
      </c>
      <c r="D1767" t="str">
        <f t="shared" si="81"/>
        <v>20.001.04.122.0001.2.001.3.1.90.13.00</v>
      </c>
      <c r="E1767" t="str">
        <f>VLOOKUP(LEFT(A1767,2),ConsolidadoLoa27_ATIVIDADES!A:I,9,0)</f>
        <v>20 - SECRETARIA DE SEGURANÇA E CONTROLE URBANO</v>
      </c>
      <c r="F1767" t="str">
        <f t="shared" si="82"/>
        <v>2.001</v>
      </c>
      <c r="G1767" t="str">
        <f t="shared" si="83"/>
        <v>01.110.0000</v>
      </c>
    </row>
    <row r="1768" spans="1:7" hidden="1" x14ac:dyDescent="0.25">
      <c r="A1768" s="6" t="s">
        <v>3788</v>
      </c>
      <c r="B1768" s="28">
        <v>28298630.75</v>
      </c>
      <c r="C1768" s="12" t="s">
        <v>847</v>
      </c>
      <c r="D1768" t="str">
        <f t="shared" si="81"/>
        <v>20.001.04.122.0001.2.001.3.1.91.13.00</v>
      </c>
      <c r="E1768" t="str">
        <f>VLOOKUP(LEFT(A1768,2),ConsolidadoLoa27_ATIVIDADES!A:I,9,0)</f>
        <v>20 - SECRETARIA DE SEGURANÇA E CONTROLE URBANO</v>
      </c>
      <c r="F1768" t="str">
        <f t="shared" si="82"/>
        <v>2.001</v>
      </c>
      <c r="G1768" t="str">
        <f t="shared" si="83"/>
        <v>01.110.0000</v>
      </c>
    </row>
    <row r="1769" spans="1:7" hidden="1" x14ac:dyDescent="0.25">
      <c r="A1769" s="6" t="s">
        <v>3789</v>
      </c>
      <c r="B1769" s="28">
        <v>3.71</v>
      </c>
      <c r="C1769" s="6" t="s">
        <v>2278</v>
      </c>
      <c r="D1769" t="str">
        <f t="shared" si="81"/>
        <v>20.001.04.122.0001.2.001.3.3.90.46.00</v>
      </c>
      <c r="E1769" t="str">
        <f>VLOOKUP(LEFT(A1769,2),ConsolidadoLoa27_ATIVIDADES!A:I,9,0)</f>
        <v>20 - SECRETARIA DE SEGURANÇA E CONTROLE URBANO</v>
      </c>
      <c r="F1769" t="str">
        <f t="shared" si="82"/>
        <v>2.001</v>
      </c>
      <c r="G1769" t="str">
        <f t="shared" si="83"/>
        <v>01.110.0000</v>
      </c>
    </row>
    <row r="1770" spans="1:7" hidden="1" x14ac:dyDescent="0.25">
      <c r="A1770" s="6" t="s">
        <v>3790</v>
      </c>
      <c r="B1770" s="28">
        <v>3893122.52</v>
      </c>
      <c r="C1770" s="6" t="s">
        <v>2280</v>
      </c>
      <c r="D1770" t="str">
        <f t="shared" si="81"/>
        <v>20.001.04.122.0001.2.001.3.3.90.49.00</v>
      </c>
      <c r="E1770" t="str">
        <f>VLOOKUP(LEFT(A1770,2),ConsolidadoLoa27_ATIVIDADES!A:I,9,0)</f>
        <v>20 - SECRETARIA DE SEGURANÇA E CONTROLE URBANO</v>
      </c>
      <c r="F1770" t="str">
        <f t="shared" si="82"/>
        <v>2.001</v>
      </c>
      <c r="G1770" t="str">
        <f t="shared" si="83"/>
        <v>01.110.0000</v>
      </c>
    </row>
    <row r="1771" spans="1:7" hidden="1" x14ac:dyDescent="0.25">
      <c r="A1771" s="6" t="s">
        <v>3791</v>
      </c>
      <c r="B1771" s="28">
        <v>1</v>
      </c>
      <c r="C1771" s="6" t="s">
        <v>2282</v>
      </c>
      <c r="D1771" t="str">
        <f t="shared" si="81"/>
        <v>20.001.04.122.0001.2.006.3.3.90.33.00</v>
      </c>
      <c r="E1771" t="str">
        <f>VLOOKUP(LEFT(A1771,2),ConsolidadoLoa27_ATIVIDADES!A:I,9,0)</f>
        <v>20 - SECRETARIA DE SEGURANÇA E CONTROLE URBANO</v>
      </c>
      <c r="F1771" t="str">
        <f t="shared" si="82"/>
        <v>2.006</v>
      </c>
      <c r="G1771" t="str">
        <f t="shared" si="83"/>
        <v>01.110.0000</v>
      </c>
    </row>
    <row r="1772" spans="1:7" hidden="1" x14ac:dyDescent="0.25">
      <c r="A1772" s="6" t="s">
        <v>3792</v>
      </c>
      <c r="B1772" s="28">
        <v>1</v>
      </c>
      <c r="C1772" s="14" t="s">
        <v>421</v>
      </c>
      <c r="D1772" t="str">
        <f t="shared" si="81"/>
        <v>20.001.04.122.0001.2.006.3.3.90.39.00</v>
      </c>
      <c r="E1772" t="str">
        <f>VLOOKUP(LEFT(A1772,2),ConsolidadoLoa27_ATIVIDADES!A:I,9,0)</f>
        <v>20 - SECRETARIA DE SEGURANÇA E CONTROLE URBANO</v>
      </c>
      <c r="F1772" t="str">
        <f t="shared" si="82"/>
        <v>2.006</v>
      </c>
      <c r="G1772" t="str">
        <f t="shared" si="83"/>
        <v>01.110.0000</v>
      </c>
    </row>
    <row r="1773" spans="1:7" hidden="1" x14ac:dyDescent="0.25">
      <c r="A1773" s="6" t="s">
        <v>3793</v>
      </c>
      <c r="B1773" s="28">
        <v>1</v>
      </c>
      <c r="C1773" s="6" t="s">
        <v>3794</v>
      </c>
      <c r="D1773" t="str">
        <f t="shared" si="81"/>
        <v>20.001.04.128.0002.2.003.3.3.90.39.00</v>
      </c>
      <c r="E1773" t="str">
        <f>VLOOKUP(LEFT(A1773,2),ConsolidadoLoa27_ATIVIDADES!A:I,9,0)</f>
        <v>20 - SECRETARIA DE SEGURANÇA E CONTROLE URBANO</v>
      </c>
      <c r="F1773" t="str">
        <f t="shared" si="82"/>
        <v>2.003</v>
      </c>
      <c r="G1773" t="str">
        <f t="shared" si="83"/>
        <v>01.110.0000</v>
      </c>
    </row>
    <row r="1774" spans="1:7" hidden="1" x14ac:dyDescent="0.25">
      <c r="A1774" s="6" t="s">
        <v>3795</v>
      </c>
      <c r="B1774" s="28">
        <v>0</v>
      </c>
      <c r="C1774" s="14" t="s">
        <v>3796</v>
      </c>
      <c r="D1774" t="str">
        <f t="shared" si="81"/>
        <v>20.001.04.128.0002.2.003.3.3.90.39.00</v>
      </c>
      <c r="E1774" t="str">
        <f>VLOOKUP(LEFT(A1774,2),ConsolidadoLoa27_ATIVIDADES!A:I,9,0)</f>
        <v>20 - SECRETARIA DE SEGURANÇA E CONTROLE URBANO</v>
      </c>
      <c r="F1774" t="str">
        <f t="shared" si="82"/>
        <v>2.003</v>
      </c>
      <c r="G1774" t="str">
        <f t="shared" si="83"/>
        <v>08.110.0000</v>
      </c>
    </row>
    <row r="1775" spans="1:7" hidden="1" x14ac:dyDescent="0.25">
      <c r="A1775" s="6" t="s">
        <v>3797</v>
      </c>
      <c r="B1775" s="28">
        <v>1</v>
      </c>
      <c r="C1775" s="6" t="s">
        <v>245</v>
      </c>
      <c r="D1775" t="str">
        <f t="shared" si="81"/>
        <v>20.001.04.131.0002.2.005.3.3.90.30.00</v>
      </c>
      <c r="E1775" t="str">
        <f>VLOOKUP(LEFT(A1775,2),ConsolidadoLoa27_ATIVIDADES!A:I,9,0)</f>
        <v>20 - SECRETARIA DE SEGURANÇA E CONTROLE URBANO</v>
      </c>
      <c r="F1775" t="str">
        <f t="shared" si="82"/>
        <v>2.005</v>
      </c>
      <c r="G1775" t="str">
        <f t="shared" si="83"/>
        <v>01.110.0000</v>
      </c>
    </row>
    <row r="1776" spans="1:7" hidden="1" x14ac:dyDescent="0.25">
      <c r="A1776" s="6" t="s">
        <v>3798</v>
      </c>
      <c r="B1776" s="28">
        <v>1</v>
      </c>
      <c r="C1776" s="6" t="s">
        <v>2293</v>
      </c>
      <c r="D1776" t="str">
        <f t="shared" si="81"/>
        <v>20.001.04.131.0002.2.005.3.3.90.39.00</v>
      </c>
      <c r="E1776" t="str">
        <f>VLOOKUP(LEFT(A1776,2),ConsolidadoLoa27_ATIVIDADES!A:I,9,0)</f>
        <v>20 - SECRETARIA DE SEGURANÇA E CONTROLE URBANO</v>
      </c>
      <c r="F1776" t="str">
        <f t="shared" si="82"/>
        <v>2.005</v>
      </c>
      <c r="G1776" t="str">
        <f t="shared" si="83"/>
        <v>01.110.0000</v>
      </c>
    </row>
    <row r="1777" spans="1:7" hidden="1" x14ac:dyDescent="0.25">
      <c r="A1777" s="6" t="s">
        <v>3798</v>
      </c>
      <c r="B1777" s="28">
        <v>1</v>
      </c>
      <c r="C1777" s="6" t="s">
        <v>196</v>
      </c>
      <c r="D1777" t="str">
        <f t="shared" si="81"/>
        <v>20.001.04.131.0002.2.005.3.3.90.39.00</v>
      </c>
      <c r="E1777" t="str">
        <f>VLOOKUP(LEFT(A1777,2),ConsolidadoLoa27_ATIVIDADES!A:I,9,0)</f>
        <v>20 - SECRETARIA DE SEGURANÇA E CONTROLE URBANO</v>
      </c>
      <c r="F1777" t="str">
        <f t="shared" si="82"/>
        <v>2.005</v>
      </c>
      <c r="G1777" t="str">
        <f t="shared" si="83"/>
        <v>01.110.0000</v>
      </c>
    </row>
    <row r="1778" spans="1:7" hidden="1" x14ac:dyDescent="0.25">
      <c r="A1778" s="6" t="s">
        <v>3799</v>
      </c>
      <c r="B1778" s="28">
        <v>16636268</v>
      </c>
      <c r="C1778" s="6" t="s">
        <v>3800</v>
      </c>
      <c r="D1778" t="str">
        <f t="shared" si="81"/>
        <v>20.001.06.126.0006.2.007.3.3.90.39.00</v>
      </c>
      <c r="E1778" t="str">
        <f>VLOOKUP(LEFT(A1778,2),ConsolidadoLoa27_ATIVIDADES!A:I,9,0)</f>
        <v>20 - SECRETARIA DE SEGURANÇA E CONTROLE URBANO</v>
      </c>
      <c r="F1778" t="str">
        <f t="shared" si="82"/>
        <v>2.007</v>
      </c>
      <c r="G1778" t="str">
        <f t="shared" si="83"/>
        <v>01.100.0002</v>
      </c>
    </row>
    <row r="1779" spans="1:7" hidden="1" x14ac:dyDescent="0.25">
      <c r="A1779" s="6" t="s">
        <v>3801</v>
      </c>
      <c r="B1779" s="28">
        <v>15707129.300000001</v>
      </c>
      <c r="C1779" s="6" t="s">
        <v>3800</v>
      </c>
      <c r="D1779" t="str">
        <f t="shared" si="81"/>
        <v>20.001.06.126.0006.2.007.3.3.90.39.00</v>
      </c>
      <c r="E1779" t="str">
        <f>VLOOKUP(LEFT(A1779,2),ConsolidadoLoa27_ATIVIDADES!A:I,9,0)</f>
        <v>20 - SECRETARIA DE SEGURANÇA E CONTROLE URBANO</v>
      </c>
      <c r="F1779" t="str">
        <f t="shared" si="82"/>
        <v>2.007</v>
      </c>
      <c r="G1779" t="str">
        <f t="shared" si="83"/>
        <v>01.110.0000</v>
      </c>
    </row>
    <row r="1780" spans="1:7" hidden="1" x14ac:dyDescent="0.25">
      <c r="A1780" s="6" t="s">
        <v>3802</v>
      </c>
      <c r="B1780" s="28">
        <v>1</v>
      </c>
      <c r="C1780" s="6" t="s">
        <v>3803</v>
      </c>
      <c r="D1780" t="str">
        <f t="shared" si="81"/>
        <v>20.001.06.181.0006.1.002.3.3.90.39.00</v>
      </c>
      <c r="E1780" t="str">
        <f>VLOOKUP(LEFT(A1780,2),ConsolidadoLoa27_ATIVIDADES!A:I,9,0)</f>
        <v>20 - SECRETARIA DE SEGURANÇA E CONTROLE URBANO</v>
      </c>
      <c r="F1780" t="str">
        <f t="shared" si="82"/>
        <v>1.002</v>
      </c>
      <c r="G1780" t="str">
        <f t="shared" si="83"/>
        <v>01.110.0000</v>
      </c>
    </row>
    <row r="1781" spans="1:7" hidden="1" x14ac:dyDescent="0.25">
      <c r="A1781" s="6" t="s">
        <v>3804</v>
      </c>
      <c r="B1781" s="28">
        <v>1</v>
      </c>
      <c r="C1781" s="6" t="s">
        <v>3803</v>
      </c>
      <c r="D1781" t="str">
        <f t="shared" si="81"/>
        <v>20.001.06.181.0006.1.002.4.4.90.51.00</v>
      </c>
      <c r="E1781" t="str">
        <f>VLOOKUP(LEFT(A1781,2),ConsolidadoLoa27_ATIVIDADES!A:I,9,0)</f>
        <v>20 - SECRETARIA DE SEGURANÇA E CONTROLE URBANO</v>
      </c>
      <c r="F1781" t="str">
        <f t="shared" si="82"/>
        <v>1.002</v>
      </c>
      <c r="G1781" t="str">
        <f t="shared" si="83"/>
        <v>01.110.0000</v>
      </c>
    </row>
    <row r="1782" spans="1:7" hidden="1" x14ac:dyDescent="0.25">
      <c r="A1782" s="6" t="s">
        <v>3805</v>
      </c>
      <c r="B1782" s="28">
        <v>0</v>
      </c>
      <c r="C1782" s="6" t="s">
        <v>3806</v>
      </c>
      <c r="D1782" t="str">
        <f t="shared" si="81"/>
        <v>20.001.06.181.0006.1.003.4.4.90.51.00</v>
      </c>
      <c r="E1782" t="str">
        <f>VLOOKUP(LEFT(A1782,2),ConsolidadoLoa27_ATIVIDADES!A:I,9,0)</f>
        <v>20 - SECRETARIA DE SEGURANÇA E CONTROLE URBANO</v>
      </c>
      <c r="F1782" t="str">
        <f t="shared" si="82"/>
        <v>1.003</v>
      </c>
      <c r="G1782" t="str">
        <f t="shared" si="83"/>
        <v>01.110.0000</v>
      </c>
    </row>
    <row r="1783" spans="1:7" hidden="1" x14ac:dyDescent="0.25">
      <c r="A1783" s="6" t="s">
        <v>3807</v>
      </c>
      <c r="B1783" s="28">
        <v>3117.3</v>
      </c>
      <c r="C1783" s="6" t="s">
        <v>3808</v>
      </c>
      <c r="D1783" t="str">
        <f t="shared" si="81"/>
        <v>20.001.06.181.0006.2.011.3.3.90.30.00</v>
      </c>
      <c r="E1783" t="str">
        <f>VLOOKUP(LEFT(A1783,2),ConsolidadoLoa27_ATIVIDADES!A:I,9,0)</f>
        <v>20 - SECRETARIA DE SEGURANÇA E CONTROLE URBANO</v>
      </c>
      <c r="F1783" t="str">
        <f t="shared" si="82"/>
        <v>2.011</v>
      </c>
      <c r="G1783" t="str">
        <f t="shared" si="83"/>
        <v>01.110.0000</v>
      </c>
    </row>
    <row r="1784" spans="1:7" hidden="1" x14ac:dyDescent="0.25">
      <c r="A1784" s="6" t="s">
        <v>3807</v>
      </c>
      <c r="B1784" s="28">
        <v>400022.32699999999</v>
      </c>
      <c r="C1784" s="6" t="s">
        <v>3809</v>
      </c>
      <c r="D1784" t="str">
        <f t="shared" si="81"/>
        <v>20.001.06.181.0006.2.011.3.3.90.30.00</v>
      </c>
      <c r="E1784" t="str">
        <f>VLOOKUP(LEFT(A1784,2),ConsolidadoLoa27_ATIVIDADES!A:I,9,0)</f>
        <v>20 - SECRETARIA DE SEGURANÇA E CONTROLE URBANO</v>
      </c>
      <c r="F1784" t="str">
        <f t="shared" si="82"/>
        <v>2.011</v>
      </c>
      <c r="G1784" t="str">
        <f t="shared" si="83"/>
        <v>01.110.0000</v>
      </c>
    </row>
    <row r="1785" spans="1:7" hidden="1" x14ac:dyDescent="0.25">
      <c r="A1785" s="6" t="s">
        <v>3807</v>
      </c>
      <c r="B1785" s="28">
        <v>337707.5</v>
      </c>
      <c r="C1785" s="6" t="s">
        <v>3810</v>
      </c>
      <c r="D1785" t="str">
        <f t="shared" si="81"/>
        <v>20.001.06.181.0006.2.011.3.3.90.30.00</v>
      </c>
      <c r="E1785" t="str">
        <f>VLOOKUP(LEFT(A1785,2),ConsolidadoLoa27_ATIVIDADES!A:I,9,0)</f>
        <v>20 - SECRETARIA DE SEGURANÇA E CONTROLE URBANO</v>
      </c>
      <c r="F1785" t="str">
        <f t="shared" si="82"/>
        <v>2.011</v>
      </c>
      <c r="G1785" t="str">
        <f t="shared" si="83"/>
        <v>01.110.0000</v>
      </c>
    </row>
    <row r="1786" spans="1:7" hidden="1" x14ac:dyDescent="0.25">
      <c r="A1786" s="6" t="s">
        <v>3807</v>
      </c>
      <c r="B1786" s="28">
        <v>9351.9</v>
      </c>
      <c r="C1786" s="6" t="s">
        <v>3811</v>
      </c>
      <c r="D1786" t="str">
        <f t="shared" si="81"/>
        <v>20.001.06.181.0006.2.011.3.3.90.30.00</v>
      </c>
      <c r="E1786" t="str">
        <f>VLOOKUP(LEFT(A1786,2),ConsolidadoLoa27_ATIVIDADES!A:I,9,0)</f>
        <v>20 - SECRETARIA DE SEGURANÇA E CONTROLE URBANO</v>
      </c>
      <c r="F1786" t="str">
        <f t="shared" si="82"/>
        <v>2.011</v>
      </c>
      <c r="G1786" t="str">
        <f t="shared" si="83"/>
        <v>01.110.0000</v>
      </c>
    </row>
    <row r="1787" spans="1:7" hidden="1" x14ac:dyDescent="0.25">
      <c r="A1787" s="6" t="s">
        <v>3807</v>
      </c>
      <c r="B1787" s="28">
        <v>51955</v>
      </c>
      <c r="C1787" s="6" t="s">
        <v>2288</v>
      </c>
      <c r="D1787" t="str">
        <f t="shared" si="81"/>
        <v>20.001.06.181.0006.2.011.3.3.90.30.00</v>
      </c>
      <c r="E1787" t="str">
        <f>VLOOKUP(LEFT(A1787,2),ConsolidadoLoa27_ATIVIDADES!A:I,9,0)</f>
        <v>20 - SECRETARIA DE SEGURANÇA E CONTROLE URBANO</v>
      </c>
      <c r="F1787" t="str">
        <f t="shared" si="82"/>
        <v>2.011</v>
      </c>
      <c r="G1787" t="str">
        <f t="shared" si="83"/>
        <v>01.110.0000</v>
      </c>
    </row>
    <row r="1788" spans="1:7" hidden="1" x14ac:dyDescent="0.25">
      <c r="A1788" s="6" t="s">
        <v>3807</v>
      </c>
      <c r="B1788" s="28">
        <v>51955</v>
      </c>
      <c r="C1788" s="6" t="s">
        <v>2295</v>
      </c>
      <c r="D1788" t="str">
        <f t="shared" si="81"/>
        <v>20.001.06.181.0006.2.011.3.3.90.30.00</v>
      </c>
      <c r="E1788" t="str">
        <f>VLOOKUP(LEFT(A1788,2),ConsolidadoLoa27_ATIVIDADES!A:I,9,0)</f>
        <v>20 - SECRETARIA DE SEGURANÇA E CONTROLE URBANO</v>
      </c>
      <c r="F1788" t="str">
        <f t="shared" si="82"/>
        <v>2.011</v>
      </c>
      <c r="G1788" t="str">
        <f t="shared" si="83"/>
        <v>01.110.0000</v>
      </c>
    </row>
    <row r="1789" spans="1:7" hidden="1" x14ac:dyDescent="0.25">
      <c r="A1789" s="6" t="s">
        <v>3807</v>
      </c>
      <c r="B1789" s="28">
        <v>10391</v>
      </c>
      <c r="C1789" s="6" t="s">
        <v>3812</v>
      </c>
      <c r="D1789" t="str">
        <f t="shared" si="81"/>
        <v>20.001.06.181.0006.2.011.3.3.90.30.00</v>
      </c>
      <c r="E1789" t="str">
        <f>VLOOKUP(LEFT(A1789,2),ConsolidadoLoa27_ATIVIDADES!A:I,9,0)</f>
        <v>20 - SECRETARIA DE SEGURANÇA E CONTROLE URBANO</v>
      </c>
      <c r="F1789" t="str">
        <f t="shared" si="82"/>
        <v>2.011</v>
      </c>
      <c r="G1789" t="str">
        <f t="shared" si="83"/>
        <v>01.110.0000</v>
      </c>
    </row>
    <row r="1790" spans="1:7" hidden="1" x14ac:dyDescent="0.25">
      <c r="A1790" s="6" t="s">
        <v>3807</v>
      </c>
      <c r="B1790" s="28">
        <v>2597.75</v>
      </c>
      <c r="C1790" s="6" t="s">
        <v>387</v>
      </c>
      <c r="D1790" t="str">
        <f t="shared" si="81"/>
        <v>20.001.06.181.0006.2.011.3.3.90.30.00</v>
      </c>
      <c r="E1790" t="str">
        <f>VLOOKUP(LEFT(A1790,2),ConsolidadoLoa27_ATIVIDADES!A:I,9,0)</f>
        <v>20 - SECRETARIA DE SEGURANÇA E CONTROLE URBANO</v>
      </c>
      <c r="F1790" t="str">
        <f t="shared" si="82"/>
        <v>2.011</v>
      </c>
      <c r="G1790" t="str">
        <f t="shared" si="83"/>
        <v>01.110.0000</v>
      </c>
    </row>
    <row r="1791" spans="1:7" hidden="1" x14ac:dyDescent="0.25">
      <c r="A1791" s="6" t="s">
        <v>3807</v>
      </c>
      <c r="B1791" s="28">
        <v>12469.2</v>
      </c>
      <c r="C1791" s="6" t="s">
        <v>2289</v>
      </c>
      <c r="D1791" t="str">
        <f t="shared" si="81"/>
        <v>20.001.06.181.0006.2.011.3.3.90.30.00</v>
      </c>
      <c r="E1791" t="str">
        <f>VLOOKUP(LEFT(A1791,2),ConsolidadoLoa27_ATIVIDADES!A:I,9,0)</f>
        <v>20 - SECRETARIA DE SEGURANÇA E CONTROLE URBANO</v>
      </c>
      <c r="F1791" t="str">
        <f t="shared" si="82"/>
        <v>2.011</v>
      </c>
      <c r="G1791" t="str">
        <f t="shared" si="83"/>
        <v>01.110.0000</v>
      </c>
    </row>
    <row r="1792" spans="1:7" hidden="1" x14ac:dyDescent="0.25">
      <c r="A1792" s="6" t="s">
        <v>3813</v>
      </c>
      <c r="B1792" s="28">
        <v>1039.0999999999999</v>
      </c>
      <c r="C1792" s="6" t="s">
        <v>3814</v>
      </c>
      <c r="D1792" t="str">
        <f t="shared" si="81"/>
        <v>20.001.06.181.0006.2.011.3.3.90.39.00</v>
      </c>
      <c r="E1792" t="str">
        <f>VLOOKUP(LEFT(A1792,2),ConsolidadoLoa27_ATIVIDADES!A:I,9,0)</f>
        <v>20 - SECRETARIA DE SEGURANÇA E CONTROLE URBANO</v>
      </c>
      <c r="F1792" t="str">
        <f t="shared" si="82"/>
        <v>2.011</v>
      </c>
      <c r="G1792" t="str">
        <f t="shared" si="83"/>
        <v>01.110.0000</v>
      </c>
    </row>
    <row r="1793" spans="1:7" hidden="1" x14ac:dyDescent="0.25">
      <c r="A1793" s="6" t="s">
        <v>3813</v>
      </c>
      <c r="B1793" s="28">
        <v>519.54999999999995</v>
      </c>
      <c r="C1793" s="6" t="s">
        <v>3815</v>
      </c>
      <c r="D1793" t="str">
        <f t="shared" si="81"/>
        <v>20.001.06.181.0006.2.011.3.3.90.39.00</v>
      </c>
      <c r="E1793" t="str">
        <f>VLOOKUP(LEFT(A1793,2),ConsolidadoLoa27_ATIVIDADES!A:I,9,0)</f>
        <v>20 - SECRETARIA DE SEGURANÇA E CONTROLE URBANO</v>
      </c>
      <c r="F1793" t="str">
        <f t="shared" si="82"/>
        <v>2.011</v>
      </c>
      <c r="G1793" t="str">
        <f t="shared" si="83"/>
        <v>01.110.0000</v>
      </c>
    </row>
    <row r="1794" spans="1:7" hidden="1" x14ac:dyDescent="0.25">
      <c r="A1794" s="6" t="s">
        <v>3813</v>
      </c>
      <c r="B1794" s="28">
        <v>377496</v>
      </c>
      <c r="C1794" s="14" t="s">
        <v>95</v>
      </c>
      <c r="D1794" t="str">
        <f t="shared" si="81"/>
        <v>20.001.06.181.0006.2.011.3.3.90.39.00</v>
      </c>
      <c r="E1794" t="str">
        <f>VLOOKUP(LEFT(A1794,2),ConsolidadoLoa27_ATIVIDADES!A:I,9,0)</f>
        <v>20 - SECRETARIA DE SEGURANÇA E CONTROLE URBANO</v>
      </c>
      <c r="F1794" t="str">
        <f t="shared" si="82"/>
        <v>2.011</v>
      </c>
      <c r="G1794" t="str">
        <f t="shared" si="83"/>
        <v>01.110.0000</v>
      </c>
    </row>
    <row r="1795" spans="1:7" hidden="1" x14ac:dyDescent="0.25">
      <c r="A1795" s="6" t="s">
        <v>3813</v>
      </c>
      <c r="B1795" s="28">
        <v>2907612.12</v>
      </c>
      <c r="C1795" s="6" t="s">
        <v>3773</v>
      </c>
      <c r="D1795" t="str">
        <f t="shared" ref="D1795:D1858" si="84">_xlfn.CONCAT(LEFT(A1795,34),".00")</f>
        <v>20.001.06.181.0006.2.011.3.3.90.39.00</v>
      </c>
      <c r="E1795" t="str">
        <f>VLOOKUP(LEFT(A1795,2),ConsolidadoLoa27_ATIVIDADES!A:I,9,0)</f>
        <v>20 - SECRETARIA DE SEGURANÇA E CONTROLE URBANO</v>
      </c>
      <c r="F1795" t="str">
        <f t="shared" ref="F1795:F1858" si="85">MID(A1795,20,5)</f>
        <v>2.011</v>
      </c>
      <c r="G1795" t="str">
        <f t="shared" ref="G1795:G1858" si="86">RIGHT(A1795,11)</f>
        <v>01.110.0000</v>
      </c>
    </row>
    <row r="1796" spans="1:7" hidden="1" x14ac:dyDescent="0.25">
      <c r="A1796" s="6" t="s">
        <v>3813</v>
      </c>
      <c r="B1796" s="28">
        <v>580871.44739999995</v>
      </c>
      <c r="C1796" s="6" t="s">
        <v>3812</v>
      </c>
      <c r="D1796" t="str">
        <f t="shared" si="84"/>
        <v>20.001.06.181.0006.2.011.3.3.90.39.00</v>
      </c>
      <c r="E1796" t="str">
        <f>VLOOKUP(LEFT(A1796,2),ConsolidadoLoa27_ATIVIDADES!A:I,9,0)</f>
        <v>20 - SECRETARIA DE SEGURANÇA E CONTROLE URBANO</v>
      </c>
      <c r="F1796" t="str">
        <f t="shared" si="85"/>
        <v>2.011</v>
      </c>
      <c r="G1796" t="str">
        <f t="shared" si="86"/>
        <v>01.110.0000</v>
      </c>
    </row>
    <row r="1797" spans="1:7" hidden="1" x14ac:dyDescent="0.25">
      <c r="A1797" s="6" t="s">
        <v>3813</v>
      </c>
      <c r="B1797" s="28">
        <v>1039.0999999999999</v>
      </c>
      <c r="C1797" s="6" t="s">
        <v>388</v>
      </c>
      <c r="D1797" t="str">
        <f t="shared" si="84"/>
        <v>20.001.06.181.0006.2.011.3.3.90.39.00</v>
      </c>
      <c r="E1797" t="str">
        <f>VLOOKUP(LEFT(A1797,2),ConsolidadoLoa27_ATIVIDADES!A:I,9,0)</f>
        <v>20 - SECRETARIA DE SEGURANÇA E CONTROLE URBANO</v>
      </c>
      <c r="F1797" t="str">
        <f t="shared" si="85"/>
        <v>2.011</v>
      </c>
      <c r="G1797" t="str">
        <f t="shared" si="86"/>
        <v>01.110.0000</v>
      </c>
    </row>
    <row r="1798" spans="1:7" hidden="1" x14ac:dyDescent="0.25">
      <c r="A1798" s="6" t="s">
        <v>3816</v>
      </c>
      <c r="B1798" s="28">
        <v>1039.0999999999999</v>
      </c>
      <c r="C1798" s="6" t="s">
        <v>2520</v>
      </c>
      <c r="D1798" t="str">
        <f t="shared" si="84"/>
        <v>20.001.06.181.0006.2.011.4.4.90.52.00</v>
      </c>
      <c r="E1798" t="str">
        <f>VLOOKUP(LEFT(A1798,2),ConsolidadoLoa27_ATIVIDADES!A:I,9,0)</f>
        <v>20 - SECRETARIA DE SEGURANÇA E CONTROLE URBANO</v>
      </c>
      <c r="F1798" t="str">
        <f t="shared" si="85"/>
        <v>2.011</v>
      </c>
      <c r="G1798" t="str">
        <f t="shared" si="86"/>
        <v>01.110.0000</v>
      </c>
    </row>
    <row r="1799" spans="1:7" hidden="1" x14ac:dyDescent="0.25">
      <c r="A1799" s="6" t="s">
        <v>3816</v>
      </c>
      <c r="B1799" s="28">
        <v>1039.0999999999999</v>
      </c>
      <c r="C1799" s="6" t="s">
        <v>2498</v>
      </c>
      <c r="D1799" t="str">
        <f t="shared" si="84"/>
        <v>20.001.06.181.0006.2.011.4.4.90.52.00</v>
      </c>
      <c r="E1799" t="str">
        <f>VLOOKUP(LEFT(A1799,2),ConsolidadoLoa27_ATIVIDADES!A:I,9,0)</f>
        <v>20 - SECRETARIA DE SEGURANÇA E CONTROLE URBANO</v>
      </c>
      <c r="F1799" t="str">
        <f t="shared" si="85"/>
        <v>2.011</v>
      </c>
      <c r="G1799" t="str">
        <f t="shared" si="86"/>
        <v>01.110.0000</v>
      </c>
    </row>
    <row r="1800" spans="1:7" hidden="1" x14ac:dyDescent="0.25">
      <c r="A1800" s="6" t="s">
        <v>3816</v>
      </c>
      <c r="B1800" s="28">
        <v>1039.0999999999999</v>
      </c>
      <c r="C1800" s="6" t="s">
        <v>2323</v>
      </c>
      <c r="D1800" t="str">
        <f t="shared" si="84"/>
        <v>20.001.06.181.0006.2.011.4.4.90.52.00</v>
      </c>
      <c r="E1800" t="str">
        <f>VLOOKUP(LEFT(A1800,2),ConsolidadoLoa27_ATIVIDADES!A:I,9,0)</f>
        <v>20 - SECRETARIA DE SEGURANÇA E CONTROLE URBANO</v>
      </c>
      <c r="F1800" t="str">
        <f t="shared" si="85"/>
        <v>2.011</v>
      </c>
      <c r="G1800" t="str">
        <f t="shared" si="86"/>
        <v>01.110.0000</v>
      </c>
    </row>
    <row r="1801" spans="1:7" hidden="1" x14ac:dyDescent="0.25">
      <c r="A1801" s="6" t="s">
        <v>3816</v>
      </c>
      <c r="B1801" s="28">
        <v>10391</v>
      </c>
      <c r="C1801" s="6" t="s">
        <v>2502</v>
      </c>
      <c r="D1801" t="str">
        <f t="shared" si="84"/>
        <v>20.001.06.181.0006.2.011.4.4.90.52.00</v>
      </c>
      <c r="E1801" t="str">
        <f>VLOOKUP(LEFT(A1801,2),ConsolidadoLoa27_ATIVIDADES!A:I,9,0)</f>
        <v>20 - SECRETARIA DE SEGURANÇA E CONTROLE URBANO</v>
      </c>
      <c r="F1801" t="str">
        <f t="shared" si="85"/>
        <v>2.011</v>
      </c>
      <c r="G1801" t="str">
        <f t="shared" si="86"/>
        <v>01.110.0000</v>
      </c>
    </row>
    <row r="1802" spans="1:7" hidden="1" x14ac:dyDescent="0.25">
      <c r="A1802" s="6" t="s">
        <v>3816</v>
      </c>
      <c r="B1802" s="28">
        <v>97887</v>
      </c>
      <c r="C1802" s="6" t="s">
        <v>3817</v>
      </c>
      <c r="D1802" t="str">
        <f t="shared" si="84"/>
        <v>20.001.06.181.0006.2.011.4.4.90.52.00</v>
      </c>
      <c r="E1802" t="str">
        <f>VLOOKUP(LEFT(A1802,2),ConsolidadoLoa27_ATIVIDADES!A:I,9,0)</f>
        <v>20 - SECRETARIA DE SEGURANÇA E CONTROLE URBANO</v>
      </c>
      <c r="F1802" t="str">
        <f t="shared" si="85"/>
        <v>2.011</v>
      </c>
      <c r="G1802" t="str">
        <f t="shared" si="86"/>
        <v>01.110.0000</v>
      </c>
    </row>
    <row r="1803" spans="1:7" hidden="1" x14ac:dyDescent="0.25">
      <c r="A1803" s="6" t="s">
        <v>3816</v>
      </c>
      <c r="B1803" s="28">
        <v>48213</v>
      </c>
      <c r="C1803" s="6" t="s">
        <v>3818</v>
      </c>
      <c r="D1803" t="str">
        <f t="shared" si="84"/>
        <v>20.001.06.181.0006.2.011.4.4.90.52.00</v>
      </c>
      <c r="E1803" t="str">
        <f>VLOOKUP(LEFT(A1803,2),ConsolidadoLoa27_ATIVIDADES!A:I,9,0)</f>
        <v>20 - SECRETARIA DE SEGURANÇA E CONTROLE URBANO</v>
      </c>
      <c r="F1803" t="str">
        <f t="shared" si="85"/>
        <v>2.011</v>
      </c>
      <c r="G1803" t="str">
        <f t="shared" si="86"/>
        <v>01.110.0000</v>
      </c>
    </row>
    <row r="1804" spans="1:7" hidden="1" x14ac:dyDescent="0.25">
      <c r="A1804" s="6" t="s">
        <v>3819</v>
      </c>
      <c r="B1804" s="28">
        <v>0</v>
      </c>
      <c r="C1804" s="6" t="s">
        <v>3817</v>
      </c>
      <c r="D1804" t="str">
        <f t="shared" si="84"/>
        <v>20.001.06.181.0006.2.011.4.4.90.52.00</v>
      </c>
      <c r="E1804" t="str">
        <f>VLOOKUP(LEFT(A1804,2),ConsolidadoLoa27_ATIVIDADES!A:I,9,0)</f>
        <v>20 - SECRETARIA DE SEGURANÇA E CONTROLE URBANO</v>
      </c>
      <c r="F1804" t="str">
        <f t="shared" si="85"/>
        <v>2.011</v>
      </c>
      <c r="G1804" t="str">
        <f t="shared" si="86"/>
        <v>02.803.0000</v>
      </c>
    </row>
    <row r="1805" spans="1:7" hidden="1" x14ac:dyDescent="0.25">
      <c r="A1805" s="6" t="s">
        <v>3819</v>
      </c>
      <c r="B1805" s="28">
        <v>0</v>
      </c>
      <c r="C1805" s="6" t="s">
        <v>3818</v>
      </c>
      <c r="D1805" t="str">
        <f t="shared" si="84"/>
        <v>20.001.06.181.0006.2.011.4.4.90.52.00</v>
      </c>
      <c r="E1805" t="str">
        <f>VLOOKUP(LEFT(A1805,2),ConsolidadoLoa27_ATIVIDADES!A:I,9,0)</f>
        <v>20 - SECRETARIA DE SEGURANÇA E CONTROLE URBANO</v>
      </c>
      <c r="F1805" t="str">
        <f t="shared" si="85"/>
        <v>2.011</v>
      </c>
      <c r="G1805" t="str">
        <f t="shared" si="86"/>
        <v>02.803.0000</v>
      </c>
    </row>
    <row r="1806" spans="1:7" hidden="1" x14ac:dyDescent="0.25">
      <c r="A1806" s="6" t="s">
        <v>3820</v>
      </c>
      <c r="B1806" s="28">
        <v>0</v>
      </c>
      <c r="C1806" s="6" t="s">
        <v>3821</v>
      </c>
      <c r="D1806" t="str">
        <f t="shared" si="84"/>
        <v>20.001.06.181.0006.2.011.4.4.90.52.00</v>
      </c>
      <c r="E1806" t="str">
        <f>VLOOKUP(LEFT(A1806,2),ConsolidadoLoa27_ATIVIDADES!A:I,9,0)</f>
        <v>20 - SECRETARIA DE SEGURANÇA E CONTROLE URBANO</v>
      </c>
      <c r="F1806" t="str">
        <f t="shared" si="85"/>
        <v>2.011</v>
      </c>
      <c r="G1806" t="str">
        <f t="shared" si="86"/>
        <v>08.110.0000</v>
      </c>
    </row>
    <row r="1807" spans="1:7" hidden="1" x14ac:dyDescent="0.25">
      <c r="A1807" s="6" t="s">
        <v>3822</v>
      </c>
      <c r="B1807" s="28">
        <v>1000</v>
      </c>
      <c r="C1807" s="12" t="s">
        <v>3823</v>
      </c>
      <c r="D1807" t="str">
        <f t="shared" si="84"/>
        <v>21.001.09.272.0001.1.002.3.3.90.39.00</v>
      </c>
      <c r="E1807" t="str">
        <f>VLOOKUP(LEFT(A1807,2),ConsolidadoLoa27_ATIVIDADES!A:I,9,0)</f>
        <v>21 - IPMO</v>
      </c>
      <c r="F1807" t="str">
        <f t="shared" si="85"/>
        <v>1.002</v>
      </c>
      <c r="G1807" t="str">
        <f t="shared" si="86"/>
        <v>04.690.0000</v>
      </c>
    </row>
    <row r="1808" spans="1:7" hidden="1" x14ac:dyDescent="0.25">
      <c r="A1808" s="6" t="s">
        <v>3824</v>
      </c>
      <c r="B1808" s="28">
        <v>500000</v>
      </c>
      <c r="C1808" s="12" t="s">
        <v>3823</v>
      </c>
      <c r="D1808" t="str">
        <f t="shared" si="84"/>
        <v>21.001.09.272.0001.1.002.4.4.90.51.00</v>
      </c>
      <c r="E1808" t="str">
        <f>VLOOKUP(LEFT(A1808,2),ConsolidadoLoa27_ATIVIDADES!A:I,9,0)</f>
        <v>21 - IPMO</v>
      </c>
      <c r="F1808" t="str">
        <f t="shared" si="85"/>
        <v>1.002</v>
      </c>
      <c r="G1808" t="str">
        <f t="shared" si="86"/>
        <v>04.690.0000</v>
      </c>
    </row>
    <row r="1809" spans="1:7" hidden="1" x14ac:dyDescent="0.25">
      <c r="A1809" s="6" t="s">
        <v>3825</v>
      </c>
      <c r="B1809" s="28">
        <v>100000</v>
      </c>
      <c r="C1809" s="12" t="s">
        <v>3823</v>
      </c>
      <c r="D1809" t="str">
        <f t="shared" si="84"/>
        <v>21.001.09.272.0001.1.002.4.4.90.52.00</v>
      </c>
      <c r="E1809" t="str">
        <f>VLOOKUP(LEFT(A1809,2),ConsolidadoLoa27_ATIVIDADES!A:I,9,0)</f>
        <v>21 - IPMO</v>
      </c>
      <c r="F1809" t="str">
        <f t="shared" si="85"/>
        <v>1.002</v>
      </c>
      <c r="G1809" t="str">
        <f t="shared" si="86"/>
        <v>04.690.0000</v>
      </c>
    </row>
    <row r="1810" spans="1:7" hidden="1" x14ac:dyDescent="0.25">
      <c r="A1810" s="6" t="s">
        <v>3826</v>
      </c>
      <c r="B1810" s="28">
        <v>1000</v>
      </c>
      <c r="C1810" s="12" t="s">
        <v>3823</v>
      </c>
      <c r="D1810" t="str">
        <f t="shared" si="84"/>
        <v>21.001.09.272.0001.1.002.4.4.90.61.00</v>
      </c>
      <c r="E1810" t="str">
        <f>VLOOKUP(LEFT(A1810,2),ConsolidadoLoa27_ATIVIDADES!A:I,9,0)</f>
        <v>21 - IPMO</v>
      </c>
      <c r="F1810" t="str">
        <f t="shared" si="85"/>
        <v>1.002</v>
      </c>
      <c r="G1810" t="str">
        <f t="shared" si="86"/>
        <v>04.690.0000</v>
      </c>
    </row>
    <row r="1811" spans="1:7" hidden="1" x14ac:dyDescent="0.25">
      <c r="A1811" s="6" t="s">
        <v>3827</v>
      </c>
      <c r="B1811" s="28">
        <v>15885000</v>
      </c>
      <c r="C1811" s="12" t="s">
        <v>847</v>
      </c>
      <c r="D1811" t="str">
        <f t="shared" si="84"/>
        <v>21.001.09.272.0001.2.001.3.1.90.11.00</v>
      </c>
      <c r="E1811" t="str">
        <f>VLOOKUP(LEFT(A1811,2),ConsolidadoLoa27_ATIVIDADES!A:I,9,0)</f>
        <v>21 - IPMO</v>
      </c>
      <c r="F1811" t="str">
        <f t="shared" si="85"/>
        <v>2.001</v>
      </c>
      <c r="G1811" t="str">
        <f t="shared" si="86"/>
        <v>04.690.0000</v>
      </c>
    </row>
    <row r="1812" spans="1:7" hidden="1" x14ac:dyDescent="0.25">
      <c r="A1812" s="6" t="s">
        <v>3828</v>
      </c>
      <c r="B1812" s="28">
        <v>1715000</v>
      </c>
      <c r="C1812" s="12" t="s">
        <v>847</v>
      </c>
      <c r="D1812" t="str">
        <f t="shared" si="84"/>
        <v>21.001.09.272.0001.2.001.3.1.90.13.00</v>
      </c>
      <c r="E1812" t="str">
        <f>VLOOKUP(LEFT(A1812,2),ConsolidadoLoa27_ATIVIDADES!A:I,9,0)</f>
        <v>21 - IPMO</v>
      </c>
      <c r="F1812" t="str">
        <f t="shared" si="85"/>
        <v>2.001</v>
      </c>
      <c r="G1812" t="str">
        <f t="shared" si="86"/>
        <v>04.690.0000</v>
      </c>
    </row>
    <row r="1813" spans="1:7" hidden="1" x14ac:dyDescent="0.25">
      <c r="A1813" s="6" t="s">
        <v>3829</v>
      </c>
      <c r="B1813" s="28">
        <v>1000</v>
      </c>
      <c r="C1813" s="12" t="s">
        <v>847</v>
      </c>
      <c r="D1813" t="str">
        <f t="shared" si="84"/>
        <v>21.001.09.272.0001.2.001.3.1.90.16.00</v>
      </c>
      <c r="E1813" t="str">
        <f>VLOOKUP(LEFT(A1813,2),ConsolidadoLoa27_ATIVIDADES!A:I,9,0)</f>
        <v>21 - IPMO</v>
      </c>
      <c r="F1813" t="str">
        <f t="shared" si="85"/>
        <v>2.001</v>
      </c>
      <c r="G1813" t="str">
        <f t="shared" si="86"/>
        <v>04.690.0000</v>
      </c>
    </row>
    <row r="1814" spans="1:7" hidden="1" x14ac:dyDescent="0.25">
      <c r="A1814" s="6" t="s">
        <v>3830</v>
      </c>
      <c r="B1814" s="28">
        <v>1000</v>
      </c>
      <c r="C1814" s="12" t="s">
        <v>3831</v>
      </c>
      <c r="D1814" t="str">
        <f t="shared" si="84"/>
        <v>21.001.09.272.0001.2.001.3.1.90.92.00</v>
      </c>
      <c r="E1814" t="str">
        <f>VLOOKUP(LEFT(A1814,2),ConsolidadoLoa27_ATIVIDADES!A:I,9,0)</f>
        <v>21 - IPMO</v>
      </c>
      <c r="F1814" t="str">
        <f t="shared" si="85"/>
        <v>2.001</v>
      </c>
      <c r="G1814" t="str">
        <f t="shared" si="86"/>
        <v>04.690.0000</v>
      </c>
    </row>
    <row r="1815" spans="1:7" hidden="1" x14ac:dyDescent="0.25">
      <c r="A1815" s="6" t="s">
        <v>3832</v>
      </c>
      <c r="B1815" s="28">
        <v>200000</v>
      </c>
      <c r="C1815" s="12" t="s">
        <v>2706</v>
      </c>
      <c r="D1815" t="str">
        <f t="shared" si="84"/>
        <v>21.001.09.272.0001.2.001.3.1.90.94.00</v>
      </c>
      <c r="E1815" t="str">
        <f>VLOOKUP(LEFT(A1815,2),ConsolidadoLoa27_ATIVIDADES!A:I,9,0)</f>
        <v>21 - IPMO</v>
      </c>
      <c r="F1815" t="str">
        <f t="shared" si="85"/>
        <v>2.001</v>
      </c>
      <c r="G1815" t="str">
        <f t="shared" si="86"/>
        <v>04.690.0000</v>
      </c>
    </row>
    <row r="1816" spans="1:7" hidden="1" x14ac:dyDescent="0.25">
      <c r="A1816" s="6" t="s">
        <v>3833</v>
      </c>
      <c r="B1816" s="28">
        <v>1733000</v>
      </c>
      <c r="C1816" s="12" t="s">
        <v>847</v>
      </c>
      <c r="D1816" t="str">
        <f t="shared" si="84"/>
        <v>21.001.09.272.0001.2.001.3.1.91.13.00</v>
      </c>
      <c r="E1816" t="str">
        <f>VLOOKUP(LEFT(A1816,2),ConsolidadoLoa27_ATIVIDADES!A:I,9,0)</f>
        <v>21 - IPMO</v>
      </c>
      <c r="F1816" t="str">
        <f t="shared" si="85"/>
        <v>2.001</v>
      </c>
      <c r="G1816" t="str">
        <f t="shared" si="86"/>
        <v>04.690.0000</v>
      </c>
    </row>
    <row r="1817" spans="1:7" hidden="1" x14ac:dyDescent="0.25">
      <c r="A1817" s="6" t="s">
        <v>3834</v>
      </c>
      <c r="B1817" s="28">
        <v>1718000</v>
      </c>
      <c r="C1817" s="12" t="s">
        <v>3823</v>
      </c>
      <c r="D1817" t="str">
        <f t="shared" si="84"/>
        <v>21.001.09.272.0001.2.001.3.3.90.39.00</v>
      </c>
      <c r="E1817" t="str">
        <f>VLOOKUP(LEFT(A1817,2),ConsolidadoLoa27_ATIVIDADES!A:I,9,0)</f>
        <v>21 - IPMO</v>
      </c>
      <c r="F1817" t="str">
        <f t="shared" si="85"/>
        <v>2.001</v>
      </c>
      <c r="G1817" t="str">
        <f t="shared" si="86"/>
        <v>04.690.0000</v>
      </c>
    </row>
    <row r="1818" spans="1:7" hidden="1" x14ac:dyDescent="0.25">
      <c r="A1818" s="6" t="s">
        <v>3835</v>
      </c>
      <c r="B1818" s="28">
        <v>1000</v>
      </c>
      <c r="C1818" s="12" t="s">
        <v>2278</v>
      </c>
      <c r="D1818" t="str">
        <f t="shared" si="84"/>
        <v>21.001.09.272.0001.2.001.3.3.90.46.00</v>
      </c>
      <c r="E1818" t="str">
        <f>VLOOKUP(LEFT(A1818,2),ConsolidadoLoa27_ATIVIDADES!A:I,9,0)</f>
        <v>21 - IPMO</v>
      </c>
      <c r="F1818" t="str">
        <f t="shared" si="85"/>
        <v>2.001</v>
      </c>
      <c r="G1818" t="str">
        <f t="shared" si="86"/>
        <v>04.690.0000</v>
      </c>
    </row>
    <row r="1819" spans="1:7" hidden="1" x14ac:dyDescent="0.25">
      <c r="A1819" s="6" t="s">
        <v>3836</v>
      </c>
      <c r="B1819" s="28">
        <v>100000</v>
      </c>
      <c r="C1819" s="12" t="s">
        <v>2280</v>
      </c>
      <c r="D1819" t="str">
        <f t="shared" si="84"/>
        <v>21.001.09.272.0001.2.001.3.3.90.49.00</v>
      </c>
      <c r="E1819" t="str">
        <f>VLOOKUP(LEFT(A1819,2),ConsolidadoLoa27_ATIVIDADES!A:I,9,0)</f>
        <v>21 - IPMO</v>
      </c>
      <c r="F1819" t="str">
        <f t="shared" si="85"/>
        <v>2.001</v>
      </c>
      <c r="G1819" t="str">
        <f t="shared" si="86"/>
        <v>04.690.0000</v>
      </c>
    </row>
    <row r="1820" spans="1:7" hidden="1" x14ac:dyDescent="0.25">
      <c r="A1820" s="6" t="s">
        <v>3837</v>
      </c>
      <c r="B1820" s="28">
        <v>70000</v>
      </c>
      <c r="C1820" s="12" t="s">
        <v>3823</v>
      </c>
      <c r="D1820" t="str">
        <f t="shared" si="84"/>
        <v>21.001.09.272.0001.2.011.3.3.90.14.00</v>
      </c>
      <c r="E1820" t="str">
        <f>VLOOKUP(LEFT(A1820,2),ConsolidadoLoa27_ATIVIDADES!A:I,9,0)</f>
        <v>21 - IPMO</v>
      </c>
      <c r="F1820" t="str">
        <f t="shared" si="85"/>
        <v>2.011</v>
      </c>
      <c r="G1820" t="str">
        <f t="shared" si="86"/>
        <v>04.690.0000</v>
      </c>
    </row>
    <row r="1821" spans="1:7" hidden="1" x14ac:dyDescent="0.25">
      <c r="A1821" s="6" t="s">
        <v>3838</v>
      </c>
      <c r="B1821" s="28">
        <v>300000</v>
      </c>
      <c r="C1821" s="12" t="s">
        <v>3823</v>
      </c>
      <c r="D1821" t="str">
        <f t="shared" si="84"/>
        <v>21.001.09.272.0001.2.011.3.3.90.30.00</v>
      </c>
      <c r="E1821" t="str">
        <f>VLOOKUP(LEFT(A1821,2),ConsolidadoLoa27_ATIVIDADES!A:I,9,0)</f>
        <v>21 - IPMO</v>
      </c>
      <c r="F1821" t="str">
        <f t="shared" si="85"/>
        <v>2.011</v>
      </c>
      <c r="G1821" t="str">
        <f t="shared" si="86"/>
        <v>04.690.0000</v>
      </c>
    </row>
    <row r="1822" spans="1:7" hidden="1" x14ac:dyDescent="0.25">
      <c r="A1822" s="6" t="s">
        <v>3839</v>
      </c>
      <c r="B1822" s="28">
        <v>20000</v>
      </c>
      <c r="C1822" s="12" t="s">
        <v>2282</v>
      </c>
      <c r="D1822" t="str">
        <f t="shared" si="84"/>
        <v>21.001.09.272.0001.2.011.3.3.90.33.00</v>
      </c>
      <c r="E1822" t="str">
        <f>VLOOKUP(LEFT(A1822,2),ConsolidadoLoa27_ATIVIDADES!A:I,9,0)</f>
        <v>21 - IPMO</v>
      </c>
      <c r="F1822" t="str">
        <f t="shared" si="85"/>
        <v>2.011</v>
      </c>
      <c r="G1822" t="str">
        <f t="shared" si="86"/>
        <v>04.690.0000</v>
      </c>
    </row>
    <row r="1823" spans="1:7" hidden="1" x14ac:dyDescent="0.25">
      <c r="A1823" s="6" t="s">
        <v>3840</v>
      </c>
      <c r="B1823" s="28">
        <v>890000</v>
      </c>
      <c r="C1823" s="12" t="s">
        <v>3841</v>
      </c>
      <c r="D1823" t="str">
        <f t="shared" si="84"/>
        <v>21.001.09.272.0001.2.011.3.3.90.35.00</v>
      </c>
      <c r="E1823" t="str">
        <f>VLOOKUP(LEFT(A1823,2),ConsolidadoLoa27_ATIVIDADES!A:I,9,0)</f>
        <v>21 - IPMO</v>
      </c>
      <c r="F1823" t="str">
        <f t="shared" si="85"/>
        <v>2.011</v>
      </c>
      <c r="G1823" t="str">
        <f t="shared" si="86"/>
        <v>04.690.0000</v>
      </c>
    </row>
    <row r="1824" spans="1:7" hidden="1" x14ac:dyDescent="0.25">
      <c r="A1824" s="6" t="s">
        <v>3842</v>
      </c>
      <c r="B1824" s="28">
        <v>100000</v>
      </c>
      <c r="C1824" s="12" t="s">
        <v>3823</v>
      </c>
      <c r="D1824" t="str">
        <f t="shared" si="84"/>
        <v>21.001.09.272.0001.2.011.3.3.90.36.00</v>
      </c>
      <c r="E1824" t="str">
        <f>VLOOKUP(LEFT(A1824,2),ConsolidadoLoa27_ATIVIDADES!A:I,9,0)</f>
        <v>21 - IPMO</v>
      </c>
      <c r="F1824" t="str">
        <f t="shared" si="85"/>
        <v>2.011</v>
      </c>
      <c r="G1824" t="str">
        <f t="shared" si="86"/>
        <v>04.690.0000</v>
      </c>
    </row>
    <row r="1825" spans="1:7" hidden="1" x14ac:dyDescent="0.25">
      <c r="A1825" s="6" t="s">
        <v>3843</v>
      </c>
      <c r="B1825" s="28">
        <v>7560000</v>
      </c>
      <c r="C1825" s="12" t="s">
        <v>3823</v>
      </c>
      <c r="D1825" t="str">
        <f t="shared" si="84"/>
        <v>21.001.09.272.0001.2.011.3.3.90.39.00</v>
      </c>
      <c r="E1825" t="str">
        <f>VLOOKUP(LEFT(A1825,2),ConsolidadoLoa27_ATIVIDADES!A:I,9,0)</f>
        <v>21 - IPMO</v>
      </c>
      <c r="F1825" t="str">
        <f t="shared" si="85"/>
        <v>2.011</v>
      </c>
      <c r="G1825" t="str">
        <f t="shared" si="86"/>
        <v>04.690.0000</v>
      </c>
    </row>
    <row r="1826" spans="1:7" hidden="1" x14ac:dyDescent="0.25">
      <c r="A1826" s="6" t="s">
        <v>3844</v>
      </c>
      <c r="B1826" s="28">
        <v>6000000</v>
      </c>
      <c r="C1826" s="12" t="s">
        <v>3823</v>
      </c>
      <c r="D1826" t="str">
        <f t="shared" si="84"/>
        <v>21.001.09.272.0001.2.011.3.3.90.40.00</v>
      </c>
      <c r="E1826" t="str">
        <f>VLOOKUP(LEFT(A1826,2),ConsolidadoLoa27_ATIVIDADES!A:I,9,0)</f>
        <v>21 - IPMO</v>
      </c>
      <c r="F1826" t="str">
        <f t="shared" si="85"/>
        <v>2.011</v>
      </c>
      <c r="G1826" t="str">
        <f t="shared" si="86"/>
        <v>04.690.0000</v>
      </c>
    </row>
    <row r="1827" spans="1:7" hidden="1" x14ac:dyDescent="0.25">
      <c r="A1827" s="6" t="s">
        <v>3845</v>
      </c>
      <c r="B1827" s="28">
        <v>1000</v>
      </c>
      <c r="C1827" s="12" t="s">
        <v>2253</v>
      </c>
      <c r="D1827" t="str">
        <f t="shared" si="84"/>
        <v>21.001.09.272.0001.2.011.3.3.90.92.00</v>
      </c>
      <c r="E1827" t="str">
        <f>VLOOKUP(LEFT(A1827,2),ConsolidadoLoa27_ATIVIDADES!A:I,9,0)</f>
        <v>21 - IPMO</v>
      </c>
      <c r="F1827" t="str">
        <f t="shared" si="85"/>
        <v>2.011</v>
      </c>
      <c r="G1827" t="str">
        <f t="shared" si="86"/>
        <v>04.690.0000</v>
      </c>
    </row>
    <row r="1828" spans="1:7" hidden="1" x14ac:dyDescent="0.25">
      <c r="A1828" s="6" t="s">
        <v>3846</v>
      </c>
      <c r="B1828" s="28">
        <v>500000</v>
      </c>
      <c r="C1828" s="12" t="s">
        <v>3823</v>
      </c>
      <c r="D1828" t="str">
        <f t="shared" si="84"/>
        <v>21.001.09.272.0001.2.011.4.4.90.52.00</v>
      </c>
      <c r="E1828" t="str">
        <f>VLOOKUP(LEFT(A1828,2),ConsolidadoLoa27_ATIVIDADES!A:I,9,0)</f>
        <v>21 - IPMO</v>
      </c>
      <c r="F1828" t="str">
        <f t="shared" si="85"/>
        <v>2.011</v>
      </c>
      <c r="G1828" t="str">
        <f t="shared" si="86"/>
        <v>04.690.0000</v>
      </c>
    </row>
    <row r="1829" spans="1:7" hidden="1" x14ac:dyDescent="0.25">
      <c r="A1829" s="6" t="s">
        <v>3847</v>
      </c>
      <c r="B1829" s="28">
        <v>20000</v>
      </c>
      <c r="C1829" s="12" t="s">
        <v>3823</v>
      </c>
      <c r="D1829" t="str">
        <f t="shared" si="84"/>
        <v>21.001.09.272.0002.2.003.3.3.90.14.00</v>
      </c>
      <c r="E1829" t="str">
        <f>VLOOKUP(LEFT(A1829,2),ConsolidadoLoa27_ATIVIDADES!A:I,9,0)</f>
        <v>21 - IPMO</v>
      </c>
      <c r="F1829" t="str">
        <f t="shared" si="85"/>
        <v>2.003</v>
      </c>
      <c r="G1829" t="str">
        <f t="shared" si="86"/>
        <v>04.690.0000</v>
      </c>
    </row>
    <row r="1830" spans="1:7" hidden="1" x14ac:dyDescent="0.25">
      <c r="A1830" s="6" t="s">
        <v>3848</v>
      </c>
      <c r="B1830" s="28">
        <v>300000</v>
      </c>
      <c r="C1830" s="12" t="s">
        <v>3823</v>
      </c>
      <c r="D1830" t="str">
        <f t="shared" si="84"/>
        <v>21.001.09.272.0002.2.003.3.3.90.39.00</v>
      </c>
      <c r="E1830" t="str">
        <f>VLOOKUP(LEFT(A1830,2),ConsolidadoLoa27_ATIVIDADES!A:I,9,0)</f>
        <v>21 - IPMO</v>
      </c>
      <c r="F1830" t="str">
        <f t="shared" si="85"/>
        <v>2.003</v>
      </c>
      <c r="G1830" t="str">
        <f t="shared" si="86"/>
        <v>04.690.0000</v>
      </c>
    </row>
    <row r="1831" spans="1:7" hidden="1" x14ac:dyDescent="0.25">
      <c r="A1831" s="6" t="s">
        <v>3849</v>
      </c>
      <c r="B1831" s="28">
        <v>15000</v>
      </c>
      <c r="C1831" s="12" t="s">
        <v>3408</v>
      </c>
      <c r="D1831" t="str">
        <f t="shared" si="84"/>
        <v>21.001.09.272.0002.2.003.3.3.90.93.00</v>
      </c>
      <c r="E1831" t="str">
        <f>VLOOKUP(LEFT(A1831,2),ConsolidadoLoa27_ATIVIDADES!A:I,9,0)</f>
        <v>21 - IPMO</v>
      </c>
      <c r="F1831" t="str">
        <f t="shared" si="85"/>
        <v>2.003</v>
      </c>
      <c r="G1831" t="str">
        <f t="shared" si="86"/>
        <v>04.690.0000</v>
      </c>
    </row>
    <row r="1832" spans="1:7" hidden="1" x14ac:dyDescent="0.25">
      <c r="A1832" s="6" t="s">
        <v>3850</v>
      </c>
      <c r="B1832" s="28">
        <v>1000</v>
      </c>
      <c r="C1832" s="12" t="s">
        <v>3841</v>
      </c>
      <c r="D1832" t="str">
        <f t="shared" si="84"/>
        <v>21.001.09.272.0004.1.001.3.3.90.35.00</v>
      </c>
      <c r="E1832" t="str">
        <f>VLOOKUP(LEFT(A1832,2),ConsolidadoLoa27_ATIVIDADES!A:I,9,0)</f>
        <v>21 - IPMO</v>
      </c>
      <c r="F1832" t="str">
        <f t="shared" si="85"/>
        <v>1.001</v>
      </c>
      <c r="G1832" t="str">
        <f t="shared" si="86"/>
        <v>04.690.0000</v>
      </c>
    </row>
    <row r="1833" spans="1:7" hidden="1" x14ac:dyDescent="0.25">
      <c r="A1833" s="6" t="s">
        <v>3851</v>
      </c>
      <c r="B1833" s="28">
        <v>4500000</v>
      </c>
      <c r="C1833" s="12" t="s">
        <v>3823</v>
      </c>
      <c r="D1833" t="str">
        <f t="shared" si="84"/>
        <v>21.001.09.272.0004.1.001.3.3.90.39.00</v>
      </c>
      <c r="E1833" t="str">
        <f>VLOOKUP(LEFT(A1833,2),ConsolidadoLoa27_ATIVIDADES!A:I,9,0)</f>
        <v>21 - IPMO</v>
      </c>
      <c r="F1833" t="str">
        <f t="shared" si="85"/>
        <v>1.001</v>
      </c>
      <c r="G1833" t="str">
        <f t="shared" si="86"/>
        <v>04.690.0000</v>
      </c>
    </row>
    <row r="1834" spans="1:7" hidden="1" x14ac:dyDescent="0.25">
      <c r="A1834" s="6" t="s">
        <v>3852</v>
      </c>
      <c r="B1834" s="28">
        <v>1000000</v>
      </c>
      <c r="C1834" s="12" t="s">
        <v>3823</v>
      </c>
      <c r="D1834" t="str">
        <f t="shared" si="84"/>
        <v>21.001.09.272.0021.0.002.3.3.90.47.00</v>
      </c>
      <c r="E1834" t="str">
        <f>VLOOKUP(LEFT(A1834,2),ConsolidadoLoa27_ATIVIDADES!A:I,9,0)</f>
        <v>21 - IPMO</v>
      </c>
      <c r="F1834" t="str">
        <f t="shared" si="85"/>
        <v>0.002</v>
      </c>
      <c r="G1834" t="str">
        <f t="shared" si="86"/>
        <v>04.690.0000</v>
      </c>
    </row>
    <row r="1835" spans="1:7" hidden="1" x14ac:dyDescent="0.25">
      <c r="A1835" s="6" t="s">
        <v>3853</v>
      </c>
      <c r="B1835" s="28">
        <v>200000</v>
      </c>
      <c r="C1835" s="12" t="s">
        <v>847</v>
      </c>
      <c r="D1835" t="str">
        <f t="shared" si="84"/>
        <v>21.001.09.272.0021.0.003.3.1.90.91.00</v>
      </c>
      <c r="E1835" t="str">
        <f>VLOOKUP(LEFT(A1835,2),ConsolidadoLoa27_ATIVIDADES!A:I,9,0)</f>
        <v>21 - IPMO</v>
      </c>
      <c r="F1835" t="str">
        <f t="shared" si="85"/>
        <v>0.003</v>
      </c>
      <c r="G1835" t="str">
        <f t="shared" si="86"/>
        <v>04.690.0000</v>
      </c>
    </row>
    <row r="1836" spans="1:7" hidden="1" x14ac:dyDescent="0.25">
      <c r="A1836" s="6" t="s">
        <v>3854</v>
      </c>
      <c r="B1836" s="28">
        <v>200000</v>
      </c>
      <c r="C1836" s="12" t="s">
        <v>3855</v>
      </c>
      <c r="D1836" t="str">
        <f t="shared" si="84"/>
        <v>21.001.09.272.0021.0.003.3.3.90.91.00</v>
      </c>
      <c r="E1836" t="str">
        <f>VLOOKUP(LEFT(A1836,2),ConsolidadoLoa27_ATIVIDADES!A:I,9,0)</f>
        <v>21 - IPMO</v>
      </c>
      <c r="F1836" t="str">
        <f t="shared" si="85"/>
        <v>0.003</v>
      </c>
      <c r="G1836" t="str">
        <f t="shared" si="86"/>
        <v>04.690.0000</v>
      </c>
    </row>
    <row r="1837" spans="1:7" hidden="1" x14ac:dyDescent="0.25">
      <c r="A1837" s="6" t="s">
        <v>3856</v>
      </c>
      <c r="B1837" s="28">
        <v>270000000</v>
      </c>
      <c r="C1837" s="12" t="s">
        <v>3857</v>
      </c>
      <c r="D1837" t="str">
        <f t="shared" si="84"/>
        <v>21.003.09.272.0020.2.043.3.1.90.01.00</v>
      </c>
      <c r="E1837" t="str">
        <f>VLOOKUP(LEFT(A1837,2),ConsolidadoLoa27_ATIVIDADES!A:I,9,0)</f>
        <v>21 - IPMO</v>
      </c>
      <c r="F1837" t="str">
        <f t="shared" si="85"/>
        <v>2.043</v>
      </c>
      <c r="G1837" t="str">
        <f t="shared" si="86"/>
        <v>04.601.0000</v>
      </c>
    </row>
    <row r="1838" spans="1:7" hidden="1" x14ac:dyDescent="0.25">
      <c r="A1838" s="6" t="s">
        <v>3858</v>
      </c>
      <c r="B1838" s="28">
        <v>7500000</v>
      </c>
      <c r="C1838" s="12" t="s">
        <v>3857</v>
      </c>
      <c r="D1838" t="str">
        <f t="shared" si="84"/>
        <v>21.003.09.272.0020.2.043.3.1.90.03.00</v>
      </c>
      <c r="E1838" t="str">
        <f>VLOOKUP(LEFT(A1838,2),ConsolidadoLoa27_ATIVIDADES!A:I,9,0)</f>
        <v>21 - IPMO</v>
      </c>
      <c r="F1838" t="str">
        <f t="shared" si="85"/>
        <v>2.043</v>
      </c>
      <c r="G1838" t="str">
        <f t="shared" si="86"/>
        <v>04.601.0000</v>
      </c>
    </row>
    <row r="1839" spans="1:7" hidden="1" x14ac:dyDescent="0.25">
      <c r="A1839" s="6" t="s">
        <v>3859</v>
      </c>
      <c r="B1839" s="28">
        <v>1000000</v>
      </c>
      <c r="C1839" s="12" t="s">
        <v>847</v>
      </c>
      <c r="D1839" t="str">
        <f t="shared" si="84"/>
        <v>21.003.09.272.0020.2.043.3.1.90.91.00</v>
      </c>
      <c r="E1839" t="str">
        <f>VLOOKUP(LEFT(A1839,2),ConsolidadoLoa27_ATIVIDADES!A:I,9,0)</f>
        <v>21 - IPMO</v>
      </c>
      <c r="F1839" t="str">
        <f t="shared" si="85"/>
        <v>2.043</v>
      </c>
      <c r="G1839" t="str">
        <f t="shared" si="86"/>
        <v>04.601.0000</v>
      </c>
    </row>
    <row r="1840" spans="1:7" hidden="1" x14ac:dyDescent="0.25">
      <c r="A1840" s="6" t="s">
        <v>3860</v>
      </c>
      <c r="B1840" s="28">
        <v>1000000</v>
      </c>
      <c r="C1840" s="12" t="s">
        <v>3408</v>
      </c>
      <c r="D1840" t="str">
        <f t="shared" si="84"/>
        <v>21.003.09.272.0020.2.043.3.3.90.93.00</v>
      </c>
      <c r="E1840" t="str">
        <f>VLOOKUP(LEFT(A1840,2),ConsolidadoLoa27_ATIVIDADES!A:I,9,0)</f>
        <v>21 - IPMO</v>
      </c>
      <c r="F1840" t="str">
        <f t="shared" si="85"/>
        <v>2.043</v>
      </c>
      <c r="G1840" t="str">
        <f t="shared" si="86"/>
        <v>04.601.0000</v>
      </c>
    </row>
    <row r="1841" spans="1:7" hidden="1" x14ac:dyDescent="0.25">
      <c r="A1841" s="6" t="s">
        <v>3861</v>
      </c>
      <c r="B1841" s="28">
        <v>150000000</v>
      </c>
      <c r="C1841" s="12" t="s">
        <v>3857</v>
      </c>
      <c r="D1841" t="str">
        <f t="shared" si="84"/>
        <v>21.005.09.272.0020.2.043.3.1.90.01.00</v>
      </c>
      <c r="E1841" t="str">
        <f>VLOOKUP(LEFT(A1841,2),ConsolidadoLoa27_ATIVIDADES!A:I,9,0)</f>
        <v>21 - IPMO</v>
      </c>
      <c r="F1841" t="str">
        <f t="shared" si="85"/>
        <v>2.043</v>
      </c>
      <c r="G1841" t="str">
        <f t="shared" si="86"/>
        <v>04.602.0000</v>
      </c>
    </row>
    <row r="1842" spans="1:7" hidden="1" x14ac:dyDescent="0.25">
      <c r="A1842" s="6" t="s">
        <v>3862</v>
      </c>
      <c r="B1842" s="28">
        <v>70000000</v>
      </c>
      <c r="C1842" s="12" t="s">
        <v>3857</v>
      </c>
      <c r="D1842" t="str">
        <f t="shared" si="84"/>
        <v>21.005.09.272.0020.2.043.3.1.90.03.00</v>
      </c>
      <c r="E1842" t="str">
        <f>VLOOKUP(LEFT(A1842,2),ConsolidadoLoa27_ATIVIDADES!A:I,9,0)</f>
        <v>21 - IPMO</v>
      </c>
      <c r="F1842" t="str">
        <f t="shared" si="85"/>
        <v>2.043</v>
      </c>
      <c r="G1842" t="str">
        <f t="shared" si="86"/>
        <v>04.602.0000</v>
      </c>
    </row>
    <row r="1843" spans="1:7" hidden="1" x14ac:dyDescent="0.25">
      <c r="A1843" s="6" t="s">
        <v>3863</v>
      </c>
      <c r="B1843" s="28">
        <v>1000000</v>
      </c>
      <c r="C1843" s="12" t="s">
        <v>3855</v>
      </c>
      <c r="D1843" t="str">
        <f t="shared" si="84"/>
        <v>21.005.09.272.0020.2.043.3.1.90.91.00</v>
      </c>
      <c r="E1843" t="str">
        <f>VLOOKUP(LEFT(A1843,2),ConsolidadoLoa27_ATIVIDADES!A:I,9,0)</f>
        <v>21 - IPMO</v>
      </c>
      <c r="F1843" t="str">
        <f t="shared" si="85"/>
        <v>2.043</v>
      </c>
      <c r="G1843" t="str">
        <f t="shared" si="86"/>
        <v>04.602.0000</v>
      </c>
    </row>
    <row r="1844" spans="1:7" hidden="1" x14ac:dyDescent="0.25">
      <c r="A1844" s="6" t="s">
        <v>3864</v>
      </c>
      <c r="B1844" s="28">
        <v>1000000</v>
      </c>
      <c r="C1844" s="12" t="s">
        <v>3408</v>
      </c>
      <c r="D1844" t="str">
        <f t="shared" si="84"/>
        <v>21.005.09.272.0020.2.043.3.3.90.93.00</v>
      </c>
      <c r="E1844" t="str">
        <f>VLOOKUP(LEFT(A1844,2),ConsolidadoLoa27_ATIVIDADES!A:I,9,0)</f>
        <v>21 - IPMO</v>
      </c>
      <c r="F1844" t="str">
        <f t="shared" si="85"/>
        <v>2.043</v>
      </c>
      <c r="G1844" t="str">
        <f t="shared" si="86"/>
        <v>04.602.0000</v>
      </c>
    </row>
    <row r="1845" spans="1:7" hidden="1" x14ac:dyDescent="0.25">
      <c r="A1845" s="6" t="s">
        <v>3865</v>
      </c>
      <c r="B1845" s="28">
        <v>45000000</v>
      </c>
      <c r="C1845" s="12" t="s">
        <v>3866</v>
      </c>
      <c r="D1845" t="str">
        <f t="shared" si="84"/>
        <v>21.006.04.241.0018.2.044.3.3.90.48.00</v>
      </c>
      <c r="E1845" t="str">
        <f>VLOOKUP(LEFT(A1845,2),ConsolidadoLoa27_ATIVIDADES!A:I,9,0)</f>
        <v>21 - IPMO</v>
      </c>
      <c r="F1845" t="str">
        <f t="shared" si="85"/>
        <v>2.044</v>
      </c>
      <c r="G1845" t="str">
        <f t="shared" si="86"/>
        <v>01.110.0000</v>
      </c>
    </row>
    <row r="1846" spans="1:7" hidden="1" x14ac:dyDescent="0.25">
      <c r="A1846" s="6" t="s">
        <v>3867</v>
      </c>
      <c r="B1846" s="28">
        <v>10764.6</v>
      </c>
      <c r="C1846" s="12" t="s">
        <v>3868</v>
      </c>
      <c r="D1846" t="str">
        <f t="shared" si="84"/>
        <v>22.001.04.122.0001.1.002.4.4.90.51.00</v>
      </c>
      <c r="E1846" t="str">
        <f>VLOOKUP(LEFT(A1846,2),ConsolidadoLoa27_ATIVIDADES!A:I,9,0)</f>
        <v>22 - FITO</v>
      </c>
      <c r="F1846" t="str">
        <f t="shared" si="85"/>
        <v>1.002</v>
      </c>
      <c r="G1846" t="str">
        <f t="shared" si="86"/>
        <v>04.110.0000</v>
      </c>
    </row>
    <row r="1847" spans="1:7" hidden="1" x14ac:dyDescent="0.25">
      <c r="A1847" s="6" t="s">
        <v>3869</v>
      </c>
      <c r="B1847" s="28">
        <v>0</v>
      </c>
      <c r="C1847" s="12" t="s">
        <v>2253</v>
      </c>
      <c r="D1847" t="str">
        <f t="shared" si="84"/>
        <v>22.001.04.122.0001.1.002.4.4.90.92.00</v>
      </c>
      <c r="E1847" t="str">
        <f>VLOOKUP(LEFT(A1847,2),ConsolidadoLoa27_ATIVIDADES!A:I,9,0)</f>
        <v>22 - FITO</v>
      </c>
      <c r="F1847" t="str">
        <f t="shared" si="85"/>
        <v>1.002</v>
      </c>
      <c r="G1847" t="str">
        <f t="shared" si="86"/>
        <v>04.110.0000</v>
      </c>
    </row>
    <row r="1848" spans="1:7" hidden="1" x14ac:dyDescent="0.25">
      <c r="A1848" s="6" t="s">
        <v>3870</v>
      </c>
      <c r="B1848" s="28">
        <v>525000</v>
      </c>
      <c r="C1848" s="12" t="s">
        <v>847</v>
      </c>
      <c r="D1848" t="str">
        <f t="shared" si="84"/>
        <v>22.001.04.122.0001.2.001.3.1.90.13.00</v>
      </c>
      <c r="E1848" t="str">
        <f>VLOOKUP(LEFT(A1848,2),ConsolidadoLoa27_ATIVIDADES!A:I,9,0)</f>
        <v>22 - FITO</v>
      </c>
      <c r="F1848" t="str">
        <f t="shared" si="85"/>
        <v>2.001</v>
      </c>
      <c r="G1848" t="str">
        <f t="shared" si="86"/>
        <v>04.110.0000</v>
      </c>
    </row>
    <row r="1849" spans="1:7" hidden="1" x14ac:dyDescent="0.25">
      <c r="A1849" s="6" t="s">
        <v>3871</v>
      </c>
      <c r="B1849" s="28">
        <v>150000</v>
      </c>
      <c r="C1849" s="12" t="s">
        <v>2706</v>
      </c>
      <c r="D1849" t="str">
        <f t="shared" si="84"/>
        <v>22.001.04.122.0001.2.001.3.1.90.94.00</v>
      </c>
      <c r="E1849" t="str">
        <f>VLOOKUP(LEFT(A1849,2),ConsolidadoLoa27_ATIVIDADES!A:I,9,0)</f>
        <v>22 - FITO</v>
      </c>
      <c r="F1849" t="str">
        <f t="shared" si="85"/>
        <v>2.001</v>
      </c>
      <c r="G1849" t="str">
        <f t="shared" si="86"/>
        <v>04.110.0000</v>
      </c>
    </row>
    <row r="1850" spans="1:7" hidden="1" x14ac:dyDescent="0.25">
      <c r="A1850" s="6" t="s">
        <v>3872</v>
      </c>
      <c r="B1850" s="28">
        <v>350000</v>
      </c>
      <c r="C1850" s="12" t="s">
        <v>847</v>
      </c>
      <c r="D1850" t="str">
        <f t="shared" si="84"/>
        <v>22.001.04.122.0001.2.001.3.1.91.13.00</v>
      </c>
      <c r="E1850" t="str">
        <f>VLOOKUP(LEFT(A1850,2),ConsolidadoLoa27_ATIVIDADES!A:I,9,0)</f>
        <v>22 - FITO</v>
      </c>
      <c r="F1850" t="str">
        <f t="shared" si="85"/>
        <v>2.001</v>
      </c>
      <c r="G1850" t="str">
        <f t="shared" si="86"/>
        <v>04.110.0000</v>
      </c>
    </row>
    <row r="1851" spans="1:7" hidden="1" x14ac:dyDescent="0.25">
      <c r="A1851" s="6" t="s">
        <v>3873</v>
      </c>
      <c r="B1851" s="28">
        <v>525000</v>
      </c>
      <c r="C1851" s="12" t="s">
        <v>2278</v>
      </c>
      <c r="D1851" t="str">
        <f t="shared" si="84"/>
        <v>22.001.04.122.0001.2.001.3.3.90.46.00</v>
      </c>
      <c r="E1851" t="str">
        <f>VLOOKUP(LEFT(A1851,2),ConsolidadoLoa27_ATIVIDADES!A:I,9,0)</f>
        <v>22 - FITO</v>
      </c>
      <c r="F1851" t="str">
        <f t="shared" si="85"/>
        <v>2.001</v>
      </c>
      <c r="G1851" t="str">
        <f t="shared" si="86"/>
        <v>04.110.0000</v>
      </c>
    </row>
    <row r="1852" spans="1:7" hidden="1" x14ac:dyDescent="0.25">
      <c r="A1852" s="6" t="s">
        <v>3874</v>
      </c>
      <c r="B1852" s="28">
        <v>1760000</v>
      </c>
      <c r="C1852" s="12" t="s">
        <v>3868</v>
      </c>
      <c r="D1852" t="str">
        <f t="shared" si="84"/>
        <v>22.001.04.122.0001.2.011.3.3.90.37.00</v>
      </c>
      <c r="E1852" t="str">
        <f>VLOOKUP(LEFT(A1852,2),ConsolidadoLoa27_ATIVIDADES!A:I,9,0)</f>
        <v>22 - FITO</v>
      </c>
      <c r="F1852" t="str">
        <f t="shared" si="85"/>
        <v>2.011</v>
      </c>
      <c r="G1852" t="str">
        <f t="shared" si="86"/>
        <v>04.110.0000</v>
      </c>
    </row>
    <row r="1853" spans="1:7" hidden="1" x14ac:dyDescent="0.25">
      <c r="A1853" s="6" t="s">
        <v>3875</v>
      </c>
      <c r="B1853" s="28">
        <v>1505396</v>
      </c>
      <c r="C1853" s="12" t="s">
        <v>2706</v>
      </c>
      <c r="D1853" t="str">
        <f t="shared" si="84"/>
        <v>22.001.04.122.0001.2.011.4.4.90.93.00</v>
      </c>
      <c r="E1853" t="str">
        <f>VLOOKUP(LEFT(A1853,2),ConsolidadoLoa27_ATIVIDADES!A:I,9,0)</f>
        <v>22 - FITO</v>
      </c>
      <c r="F1853" t="str">
        <f t="shared" si="85"/>
        <v>2.011</v>
      </c>
      <c r="G1853" t="str">
        <f t="shared" si="86"/>
        <v>04.110.0000</v>
      </c>
    </row>
    <row r="1854" spans="1:7" hidden="1" x14ac:dyDescent="0.25">
      <c r="A1854" s="6" t="s">
        <v>3876</v>
      </c>
      <c r="B1854" s="28">
        <v>174941</v>
      </c>
      <c r="C1854" s="12" t="s">
        <v>3536</v>
      </c>
      <c r="D1854" t="str">
        <f t="shared" si="84"/>
        <v>22.001.04.122.0021.0.001.3.2.90.21.00</v>
      </c>
      <c r="E1854" t="str">
        <f>VLOOKUP(LEFT(A1854,2),ConsolidadoLoa27_ATIVIDADES!A:I,9,0)</f>
        <v>22 - FITO</v>
      </c>
      <c r="F1854" t="str">
        <f t="shared" si="85"/>
        <v>0.001</v>
      </c>
      <c r="G1854" t="str">
        <f t="shared" si="86"/>
        <v>04.110.0000</v>
      </c>
    </row>
    <row r="1855" spans="1:7" hidden="1" x14ac:dyDescent="0.25">
      <c r="A1855" s="6" t="s">
        <v>3877</v>
      </c>
      <c r="B1855" s="28">
        <v>630000</v>
      </c>
      <c r="C1855" s="12" t="s">
        <v>3540</v>
      </c>
      <c r="D1855" t="str">
        <f t="shared" si="84"/>
        <v>22.001.04.122.0021.0.001.4.6.90.71.00</v>
      </c>
      <c r="E1855" t="str">
        <f>VLOOKUP(LEFT(A1855,2),ConsolidadoLoa27_ATIVIDADES!A:I,9,0)</f>
        <v>22 - FITO</v>
      </c>
      <c r="F1855" t="str">
        <f t="shared" si="85"/>
        <v>0.001</v>
      </c>
      <c r="G1855" t="str">
        <f t="shared" si="86"/>
        <v>04.110.0000</v>
      </c>
    </row>
    <row r="1856" spans="1:7" hidden="1" x14ac:dyDescent="0.25">
      <c r="A1856" s="6" t="s">
        <v>3878</v>
      </c>
      <c r="B1856" s="28">
        <v>659426.94999999995</v>
      </c>
      <c r="C1856" s="12" t="s">
        <v>3554</v>
      </c>
      <c r="D1856" t="str">
        <f t="shared" si="84"/>
        <v>22.001.04.122.0021.0.003.3.1.90.91.00</v>
      </c>
      <c r="E1856" t="str">
        <f>VLOOKUP(LEFT(A1856,2),ConsolidadoLoa27_ATIVIDADES!A:I,9,0)</f>
        <v>22 - FITO</v>
      </c>
      <c r="F1856" t="str">
        <f t="shared" si="85"/>
        <v>0.003</v>
      </c>
      <c r="G1856" t="str">
        <f t="shared" si="86"/>
        <v>04.110.0000</v>
      </c>
    </row>
    <row r="1857" spans="1:7" hidden="1" x14ac:dyDescent="0.25">
      <c r="A1857" s="6" t="s">
        <v>3879</v>
      </c>
      <c r="B1857" s="28">
        <v>141204</v>
      </c>
      <c r="C1857" s="12" t="s">
        <v>3868</v>
      </c>
      <c r="D1857" t="str">
        <f t="shared" si="84"/>
        <v>22.001.04.126.0002.2.007.3.3.90.40.00</v>
      </c>
      <c r="E1857" t="str">
        <f>VLOOKUP(LEFT(A1857,2),ConsolidadoLoa27_ATIVIDADES!A:I,9,0)</f>
        <v>22 - FITO</v>
      </c>
      <c r="F1857" t="str">
        <f t="shared" si="85"/>
        <v>2.007</v>
      </c>
      <c r="G1857" t="str">
        <f t="shared" si="86"/>
        <v>04.110.0000</v>
      </c>
    </row>
    <row r="1858" spans="1:7" hidden="1" x14ac:dyDescent="0.25">
      <c r="A1858" s="6" t="s">
        <v>3880</v>
      </c>
      <c r="B1858" s="28">
        <v>100000</v>
      </c>
      <c r="C1858" s="12" t="s">
        <v>3868</v>
      </c>
      <c r="D1858" t="str">
        <f t="shared" si="84"/>
        <v>22.001.04.128.0001.2.008.3.3.90.36.00</v>
      </c>
      <c r="E1858" t="str">
        <f>VLOOKUP(LEFT(A1858,2),ConsolidadoLoa27_ATIVIDADES!A:I,9,0)</f>
        <v>22 - FITO</v>
      </c>
      <c r="F1858" t="str">
        <f t="shared" si="85"/>
        <v>2.008</v>
      </c>
      <c r="G1858" t="str">
        <f t="shared" si="86"/>
        <v>04.110.0000</v>
      </c>
    </row>
    <row r="1859" spans="1:7" hidden="1" x14ac:dyDescent="0.25">
      <c r="A1859" s="6" t="s">
        <v>3881</v>
      </c>
      <c r="B1859" s="28">
        <v>800000</v>
      </c>
      <c r="C1859" s="12" t="s">
        <v>318</v>
      </c>
      <c r="D1859" t="str">
        <f t="shared" ref="D1859:D1922" si="87">_xlfn.CONCAT(LEFT(A1859,34),".00")</f>
        <v>22.001.04.128.0002.2.003.3.3.90.39.00</v>
      </c>
      <c r="E1859" t="str">
        <f>VLOOKUP(LEFT(A1859,2),ConsolidadoLoa27_ATIVIDADES!A:I,9,0)</f>
        <v>22 - FITO</v>
      </c>
      <c r="F1859" t="str">
        <f t="shared" ref="F1859:F1922" si="88">MID(A1859,20,5)</f>
        <v>2.003</v>
      </c>
      <c r="G1859" t="str">
        <f t="shared" ref="G1859:G1922" si="89">RIGHT(A1859,11)</f>
        <v>04.110.0000</v>
      </c>
    </row>
    <row r="1860" spans="1:7" hidden="1" x14ac:dyDescent="0.25">
      <c r="A1860" s="6" t="s">
        <v>3882</v>
      </c>
      <c r="B1860" s="28">
        <v>13650</v>
      </c>
      <c r="C1860" s="12" t="s">
        <v>2280</v>
      </c>
      <c r="D1860" t="str">
        <f t="shared" si="87"/>
        <v>22.001.04.331.0001.2.001.3.3.90.49.00</v>
      </c>
      <c r="E1860" t="str">
        <f>VLOOKUP(LEFT(A1860,2),ConsolidadoLoa27_ATIVIDADES!A:I,9,0)</f>
        <v>22 - FITO</v>
      </c>
      <c r="F1860" t="str">
        <f t="shared" si="88"/>
        <v>2.001</v>
      </c>
      <c r="G1860" t="str">
        <f t="shared" si="89"/>
        <v>04.110.0000</v>
      </c>
    </row>
    <row r="1861" spans="1:7" hidden="1" x14ac:dyDescent="0.25">
      <c r="A1861" s="6" t="s">
        <v>3883</v>
      </c>
      <c r="B1861" s="28">
        <v>367500</v>
      </c>
      <c r="C1861" s="12" t="s">
        <v>318</v>
      </c>
      <c r="D1861" t="str">
        <f t="shared" si="87"/>
        <v>22.002.04.361.0002.2.003.3.3.90.39.00</v>
      </c>
      <c r="E1861" t="str">
        <f>VLOOKUP(LEFT(A1861,2),ConsolidadoLoa27_ATIVIDADES!A:I,9,0)</f>
        <v>22 - FITO</v>
      </c>
      <c r="F1861" t="str">
        <f t="shared" si="88"/>
        <v>2.003</v>
      </c>
      <c r="G1861" t="str">
        <f t="shared" si="89"/>
        <v>04.220.0000</v>
      </c>
    </row>
    <row r="1862" spans="1:7" hidden="1" x14ac:dyDescent="0.25">
      <c r="A1862" s="6" t="s">
        <v>3884</v>
      </c>
      <c r="B1862" s="28">
        <v>210000</v>
      </c>
      <c r="C1862" s="12" t="s">
        <v>3868</v>
      </c>
      <c r="D1862" t="str">
        <f t="shared" si="87"/>
        <v>22.002.12.122.0001.2.011.3.3.90.30.00</v>
      </c>
      <c r="E1862" t="str">
        <f>VLOOKUP(LEFT(A1862,2),ConsolidadoLoa27_ATIVIDADES!A:I,9,0)</f>
        <v>22 - FITO</v>
      </c>
      <c r="F1862" t="str">
        <f t="shared" si="88"/>
        <v>2.011</v>
      </c>
      <c r="G1862" t="str">
        <f t="shared" si="89"/>
        <v>04.220.0000</v>
      </c>
    </row>
    <row r="1863" spans="1:7" hidden="1" x14ac:dyDescent="0.25">
      <c r="A1863" s="6" t="s">
        <v>3885</v>
      </c>
      <c r="B1863" s="28">
        <v>288156.7</v>
      </c>
      <c r="C1863" s="12" t="s">
        <v>3554</v>
      </c>
      <c r="D1863" t="str">
        <f t="shared" si="87"/>
        <v>22.002.12.122.0021.0.003.3.1.90.91.00</v>
      </c>
      <c r="E1863" t="str">
        <f>VLOOKUP(LEFT(A1863,2),ConsolidadoLoa27_ATIVIDADES!A:I,9,0)</f>
        <v>22 - FITO</v>
      </c>
      <c r="F1863" t="str">
        <f t="shared" si="88"/>
        <v>0.003</v>
      </c>
      <c r="G1863" t="str">
        <f t="shared" si="89"/>
        <v>04.220.0000</v>
      </c>
    </row>
    <row r="1864" spans="1:7" hidden="1" x14ac:dyDescent="0.25">
      <c r="A1864" s="6" t="s">
        <v>3886</v>
      </c>
      <c r="B1864" s="28">
        <v>5918.85</v>
      </c>
      <c r="C1864" s="12" t="s">
        <v>3868</v>
      </c>
      <c r="D1864" t="str">
        <f t="shared" si="87"/>
        <v>22.002.12.126.0002.2.007.3.3.90.40.00</v>
      </c>
      <c r="E1864" t="str">
        <f>VLOOKUP(LEFT(A1864,2),ConsolidadoLoa27_ATIVIDADES!A:I,9,0)</f>
        <v>22 - FITO</v>
      </c>
      <c r="F1864" t="str">
        <f t="shared" si="88"/>
        <v>2.007</v>
      </c>
      <c r="G1864" t="str">
        <f t="shared" si="89"/>
        <v>04.220.0000</v>
      </c>
    </row>
    <row r="1865" spans="1:7" hidden="1" x14ac:dyDescent="0.25">
      <c r="A1865" s="6" t="s">
        <v>3887</v>
      </c>
      <c r="B1865" s="28">
        <v>3400000</v>
      </c>
      <c r="C1865" s="12" t="s">
        <v>847</v>
      </c>
      <c r="D1865" t="str">
        <f t="shared" si="87"/>
        <v>22.001.04.122.0001.2.001.3.1.90.11.00</v>
      </c>
      <c r="E1865" t="str">
        <f>VLOOKUP(LEFT(A1865,2),ConsolidadoLoa27_ATIVIDADES!A:I,9,0)</f>
        <v>22 - FITO</v>
      </c>
      <c r="F1865" t="str">
        <f t="shared" si="88"/>
        <v>2.001</v>
      </c>
      <c r="G1865" t="str">
        <f t="shared" si="89"/>
        <v>04.110.0000</v>
      </c>
    </row>
    <row r="1866" spans="1:7" hidden="1" x14ac:dyDescent="0.25">
      <c r="A1866" s="6" t="s">
        <v>3888</v>
      </c>
      <c r="B1866" s="28">
        <v>2625000</v>
      </c>
      <c r="C1866" s="12" t="s">
        <v>847</v>
      </c>
      <c r="D1866" t="str">
        <f t="shared" si="87"/>
        <v>22.002.12.361.0001.2.001.3.1.90.11.00</v>
      </c>
      <c r="E1866" t="str">
        <f>VLOOKUP(LEFT(A1866,2),ConsolidadoLoa27_ATIVIDADES!A:I,9,0)</f>
        <v>22 - FITO</v>
      </c>
      <c r="F1866" t="str">
        <f t="shared" si="88"/>
        <v>2.001</v>
      </c>
      <c r="G1866" t="str">
        <f t="shared" si="89"/>
        <v>04.220.0000</v>
      </c>
    </row>
    <row r="1867" spans="1:7" hidden="1" x14ac:dyDescent="0.25">
      <c r="A1867" s="6" t="s">
        <v>3889</v>
      </c>
      <c r="B1867" s="28">
        <v>168040</v>
      </c>
      <c r="C1867" s="12" t="s">
        <v>847</v>
      </c>
      <c r="D1867" t="str">
        <f t="shared" si="87"/>
        <v>22.002.12.361.0001.2.001.3.1.90.13.00</v>
      </c>
      <c r="E1867" t="str">
        <f>VLOOKUP(LEFT(A1867,2),ConsolidadoLoa27_ATIVIDADES!A:I,9,0)</f>
        <v>22 - FITO</v>
      </c>
      <c r="F1867" t="str">
        <f t="shared" si="88"/>
        <v>2.001</v>
      </c>
      <c r="G1867" t="str">
        <f t="shared" si="89"/>
        <v>04.220.0000</v>
      </c>
    </row>
    <row r="1868" spans="1:7" hidden="1" x14ac:dyDescent="0.25">
      <c r="A1868" s="6" t="s">
        <v>3890</v>
      </c>
      <c r="B1868" s="28">
        <v>356457</v>
      </c>
      <c r="C1868" s="12" t="s">
        <v>847</v>
      </c>
      <c r="D1868" t="str">
        <f t="shared" si="87"/>
        <v>22.002.12.361.0001.2.001.3.1.90.16.00</v>
      </c>
      <c r="E1868" t="str">
        <f>VLOOKUP(LEFT(A1868,2),ConsolidadoLoa27_ATIVIDADES!A:I,9,0)</f>
        <v>22 - FITO</v>
      </c>
      <c r="F1868" t="str">
        <f t="shared" si="88"/>
        <v>2.001</v>
      </c>
      <c r="G1868" t="str">
        <f t="shared" si="89"/>
        <v>04.220.0000</v>
      </c>
    </row>
    <row r="1869" spans="1:7" hidden="1" x14ac:dyDescent="0.25">
      <c r="A1869" s="6" t="s">
        <v>3891</v>
      </c>
      <c r="B1869" s="28">
        <v>400000</v>
      </c>
      <c r="C1869" s="12" t="s">
        <v>3408</v>
      </c>
      <c r="D1869" t="str">
        <f t="shared" si="87"/>
        <v>22.002.12.361.0001.2.001.3.1.90.94.00</v>
      </c>
      <c r="E1869" t="str">
        <f>VLOOKUP(LEFT(A1869,2),ConsolidadoLoa27_ATIVIDADES!A:I,9,0)</f>
        <v>22 - FITO</v>
      </c>
      <c r="F1869" t="str">
        <f t="shared" si="88"/>
        <v>2.001</v>
      </c>
      <c r="G1869" t="str">
        <f t="shared" si="89"/>
        <v>04.220.0000</v>
      </c>
    </row>
    <row r="1870" spans="1:7" hidden="1" x14ac:dyDescent="0.25">
      <c r="A1870" s="6" t="s">
        <v>3892</v>
      </c>
      <c r="B1870" s="28">
        <v>631478.4</v>
      </c>
      <c r="C1870" s="12" t="s">
        <v>847</v>
      </c>
      <c r="D1870" t="str">
        <f t="shared" si="87"/>
        <v>22.002.12.361.0001.2.001.3.1.91.13.00</v>
      </c>
      <c r="E1870" t="str">
        <f>VLOOKUP(LEFT(A1870,2),ConsolidadoLoa27_ATIVIDADES!A:I,9,0)</f>
        <v>22 - FITO</v>
      </c>
      <c r="F1870" t="str">
        <f t="shared" si="88"/>
        <v>2.001</v>
      </c>
      <c r="G1870" t="str">
        <f t="shared" si="89"/>
        <v>04.220.0000</v>
      </c>
    </row>
    <row r="1871" spans="1:7" hidden="1" x14ac:dyDescent="0.25">
      <c r="A1871" s="6" t="s">
        <v>3893</v>
      </c>
      <c r="B1871" s="28">
        <v>635125.05000000005</v>
      </c>
      <c r="C1871" s="12" t="s">
        <v>2278</v>
      </c>
      <c r="D1871" t="str">
        <f t="shared" si="87"/>
        <v>22.002.12.361.0001.2.001.3.3.90.46.00</v>
      </c>
      <c r="E1871" t="str">
        <f>VLOOKUP(LEFT(A1871,2),ConsolidadoLoa27_ATIVIDADES!A:I,9,0)</f>
        <v>22 - FITO</v>
      </c>
      <c r="F1871" t="str">
        <f t="shared" si="88"/>
        <v>2.001</v>
      </c>
      <c r="G1871" t="str">
        <f t="shared" si="89"/>
        <v>04.220.0000</v>
      </c>
    </row>
    <row r="1872" spans="1:7" hidden="1" x14ac:dyDescent="0.25">
      <c r="A1872" s="6" t="s">
        <v>3894</v>
      </c>
      <c r="B1872" s="28">
        <v>105000</v>
      </c>
      <c r="C1872" s="12" t="s">
        <v>3868</v>
      </c>
      <c r="D1872" t="str">
        <f t="shared" si="87"/>
        <v>22.002.12.361.0001.2.008.3.3.90.36.00</v>
      </c>
      <c r="E1872" t="str">
        <f>VLOOKUP(LEFT(A1872,2),ConsolidadoLoa27_ATIVIDADES!A:I,9,0)</f>
        <v>22 - FITO</v>
      </c>
      <c r="F1872" t="str">
        <f t="shared" si="88"/>
        <v>2.008</v>
      </c>
      <c r="G1872" t="str">
        <f t="shared" si="89"/>
        <v>04.220.0000</v>
      </c>
    </row>
    <row r="1873" spans="1:7" hidden="1" x14ac:dyDescent="0.25">
      <c r="A1873" s="6" t="s">
        <v>3895</v>
      </c>
      <c r="B1873" s="28">
        <v>178530.45</v>
      </c>
      <c r="C1873" s="12" t="s">
        <v>3896</v>
      </c>
      <c r="D1873" t="str">
        <f t="shared" si="87"/>
        <v>22.002.12.361.0016.2.011.3.3.90.47.00</v>
      </c>
      <c r="E1873" t="str">
        <f>VLOOKUP(LEFT(A1873,2),ConsolidadoLoa27_ATIVIDADES!A:I,9,0)</f>
        <v>22 - FITO</v>
      </c>
      <c r="F1873" t="str">
        <f t="shared" si="88"/>
        <v>2.011</v>
      </c>
      <c r="G1873" t="str">
        <f t="shared" si="89"/>
        <v>04.220.0000</v>
      </c>
    </row>
    <row r="1874" spans="1:7" hidden="1" x14ac:dyDescent="0.25">
      <c r="A1874" s="6" t="s">
        <v>3897</v>
      </c>
      <c r="B1874" s="28">
        <v>105000</v>
      </c>
      <c r="C1874" s="12" t="s">
        <v>2601</v>
      </c>
      <c r="D1874" t="str">
        <f t="shared" si="87"/>
        <v>22.002.12.361.0016.2.020.4.4.90.52.00</v>
      </c>
      <c r="E1874" t="str">
        <f>VLOOKUP(LEFT(A1874,2),ConsolidadoLoa27_ATIVIDADES!A:I,9,0)</f>
        <v>22 - FITO</v>
      </c>
      <c r="F1874" t="str">
        <f t="shared" si="88"/>
        <v>2.020</v>
      </c>
      <c r="G1874" t="str">
        <f t="shared" si="89"/>
        <v>04.220.0000</v>
      </c>
    </row>
    <row r="1875" spans="1:7" hidden="1" x14ac:dyDescent="0.25">
      <c r="A1875" s="6" t="s">
        <v>3898</v>
      </c>
      <c r="B1875" s="28">
        <v>1206.45</v>
      </c>
      <c r="C1875" s="12" t="s">
        <v>3554</v>
      </c>
      <c r="D1875" t="str">
        <f t="shared" si="87"/>
        <v>22.003.12.122.0021.0.003.3.1.90.91.00</v>
      </c>
      <c r="E1875" t="str">
        <f>VLOOKUP(LEFT(A1875,2),ConsolidadoLoa27_ATIVIDADES!A:I,9,0)</f>
        <v>22 - FITO</v>
      </c>
      <c r="F1875" t="str">
        <f t="shared" si="88"/>
        <v>0.003</v>
      </c>
      <c r="G1875" t="str">
        <f t="shared" si="89"/>
        <v>04.220.0000</v>
      </c>
    </row>
    <row r="1876" spans="1:7" hidden="1" x14ac:dyDescent="0.25">
      <c r="A1876" s="6" t="s">
        <v>3899</v>
      </c>
      <c r="B1876" s="28">
        <v>300000</v>
      </c>
      <c r="C1876" s="12" t="s">
        <v>318</v>
      </c>
      <c r="D1876" t="str">
        <f t="shared" si="87"/>
        <v>22.004.04.362.0002.2.003.3.3.90.39.00</v>
      </c>
      <c r="E1876" t="str">
        <f>VLOOKUP(LEFT(A1876,2),ConsolidadoLoa27_ATIVIDADES!A:I,9,0)</f>
        <v>22 - FITO</v>
      </c>
      <c r="F1876" t="str">
        <f t="shared" si="88"/>
        <v>2.003</v>
      </c>
      <c r="G1876" t="str">
        <f t="shared" si="89"/>
        <v>04.230.0000</v>
      </c>
    </row>
    <row r="1877" spans="1:7" hidden="1" x14ac:dyDescent="0.25">
      <c r="A1877" s="6" t="s">
        <v>3900</v>
      </c>
      <c r="B1877" s="28">
        <v>200000</v>
      </c>
      <c r="C1877" s="12" t="s">
        <v>3868</v>
      </c>
      <c r="D1877" t="str">
        <f t="shared" si="87"/>
        <v>22.004.12.122.0001.2.011.3.3.90.30.00</v>
      </c>
      <c r="E1877" t="str">
        <f>VLOOKUP(LEFT(A1877,2),ConsolidadoLoa27_ATIVIDADES!A:I,9,0)</f>
        <v>22 - FITO</v>
      </c>
      <c r="F1877" t="str">
        <f t="shared" si="88"/>
        <v>2.011</v>
      </c>
      <c r="G1877" t="str">
        <f t="shared" si="89"/>
        <v>04.230.0000</v>
      </c>
    </row>
    <row r="1878" spans="1:7" hidden="1" x14ac:dyDescent="0.25">
      <c r="A1878" s="6" t="s">
        <v>3901</v>
      </c>
      <c r="B1878" s="28">
        <v>96558</v>
      </c>
      <c r="C1878" s="12" t="s">
        <v>3554</v>
      </c>
      <c r="D1878" t="str">
        <f t="shared" si="87"/>
        <v>22.004.12.122.0021.0.003.3.1.90.91.00</v>
      </c>
      <c r="E1878" t="str">
        <f>VLOOKUP(LEFT(A1878,2),ConsolidadoLoa27_ATIVIDADES!A:I,9,0)</f>
        <v>22 - FITO</v>
      </c>
      <c r="F1878" t="str">
        <f t="shared" si="88"/>
        <v>0.003</v>
      </c>
      <c r="G1878" t="str">
        <f t="shared" si="89"/>
        <v>04.230.0000</v>
      </c>
    </row>
    <row r="1879" spans="1:7" hidden="1" x14ac:dyDescent="0.25">
      <c r="A1879" s="6" t="s">
        <v>3902</v>
      </c>
      <c r="B1879" s="28">
        <v>5918.85</v>
      </c>
      <c r="C1879" s="12" t="s">
        <v>3868</v>
      </c>
      <c r="D1879" t="str">
        <f t="shared" si="87"/>
        <v>22.004.12.126.0002.2.007.3.3.90.40.00</v>
      </c>
      <c r="E1879" t="str">
        <f>VLOOKUP(LEFT(A1879,2),ConsolidadoLoa27_ATIVIDADES!A:I,9,0)</f>
        <v>22 - FITO</v>
      </c>
      <c r="F1879" t="str">
        <f t="shared" si="88"/>
        <v>2.007</v>
      </c>
      <c r="G1879" t="str">
        <f t="shared" si="89"/>
        <v>04.230.0000</v>
      </c>
    </row>
    <row r="1880" spans="1:7" hidden="1" x14ac:dyDescent="0.25">
      <c r="A1880" s="6" t="s">
        <v>3903</v>
      </c>
      <c r="B1880" s="28">
        <v>1859180.4</v>
      </c>
      <c r="C1880" s="12" t="s">
        <v>847</v>
      </c>
      <c r="D1880" t="str">
        <f t="shared" si="87"/>
        <v>22.004.12.362.0001.2.001.3.1.90.11.00</v>
      </c>
      <c r="E1880" t="str">
        <f>VLOOKUP(LEFT(A1880,2),ConsolidadoLoa27_ATIVIDADES!A:I,9,0)</f>
        <v>22 - FITO</v>
      </c>
      <c r="F1880" t="str">
        <f t="shared" si="88"/>
        <v>2.001</v>
      </c>
      <c r="G1880" t="str">
        <f t="shared" si="89"/>
        <v>04.230.0000</v>
      </c>
    </row>
    <row r="1881" spans="1:7" hidden="1" x14ac:dyDescent="0.25">
      <c r="A1881" s="6" t="s">
        <v>3904</v>
      </c>
      <c r="B1881" s="28">
        <v>229374.6</v>
      </c>
      <c r="C1881" s="12" t="s">
        <v>847</v>
      </c>
      <c r="D1881" t="str">
        <f t="shared" si="87"/>
        <v>22.004.12.362.0001.2.001.3.1.90.13.00</v>
      </c>
      <c r="E1881" t="str">
        <f>VLOOKUP(LEFT(A1881,2),ConsolidadoLoa27_ATIVIDADES!A:I,9,0)</f>
        <v>22 - FITO</v>
      </c>
      <c r="F1881" t="str">
        <f t="shared" si="88"/>
        <v>2.001</v>
      </c>
      <c r="G1881" t="str">
        <f t="shared" si="89"/>
        <v>04.230.0000</v>
      </c>
    </row>
    <row r="1882" spans="1:7" hidden="1" x14ac:dyDescent="0.25">
      <c r="A1882" s="6" t="s">
        <v>3905</v>
      </c>
      <c r="B1882" s="28">
        <v>630000</v>
      </c>
      <c r="C1882" s="12" t="s">
        <v>847</v>
      </c>
      <c r="D1882" t="str">
        <f t="shared" si="87"/>
        <v>22.004.12.362.0001.2.001.3.1.90.16.00</v>
      </c>
      <c r="E1882" t="str">
        <f>VLOOKUP(LEFT(A1882,2),ConsolidadoLoa27_ATIVIDADES!A:I,9,0)</f>
        <v>22 - FITO</v>
      </c>
      <c r="F1882" t="str">
        <f t="shared" si="88"/>
        <v>2.001</v>
      </c>
      <c r="G1882" t="str">
        <f t="shared" si="89"/>
        <v>04.230.0000</v>
      </c>
    </row>
    <row r="1883" spans="1:7" hidden="1" x14ac:dyDescent="0.25">
      <c r="A1883" s="6" t="s">
        <v>3906</v>
      </c>
      <c r="B1883" s="28">
        <v>472500</v>
      </c>
      <c r="C1883" s="12" t="s">
        <v>3408</v>
      </c>
      <c r="D1883" t="str">
        <f t="shared" si="87"/>
        <v>22.004.12.362.0001.2.001.3.1.90.94.00</v>
      </c>
      <c r="E1883" t="str">
        <f>VLOOKUP(LEFT(A1883,2),ConsolidadoLoa27_ATIVIDADES!A:I,9,0)</f>
        <v>22 - FITO</v>
      </c>
      <c r="F1883" t="str">
        <f t="shared" si="88"/>
        <v>2.001</v>
      </c>
      <c r="G1883" t="str">
        <f t="shared" si="89"/>
        <v>04.230.0000</v>
      </c>
    </row>
    <row r="1884" spans="1:7" hidden="1" x14ac:dyDescent="0.25">
      <c r="A1884" s="6" t="s">
        <v>3907</v>
      </c>
      <c r="B1884" s="28">
        <v>781830</v>
      </c>
      <c r="C1884" s="12" t="s">
        <v>847</v>
      </c>
      <c r="D1884" t="str">
        <f t="shared" si="87"/>
        <v>22.004.12.362.0001.2.001.3.1.91.13.00</v>
      </c>
      <c r="E1884" t="str">
        <f>VLOOKUP(LEFT(A1884,2),ConsolidadoLoa27_ATIVIDADES!A:I,9,0)</f>
        <v>22 - FITO</v>
      </c>
      <c r="F1884" t="str">
        <f t="shared" si="88"/>
        <v>2.001</v>
      </c>
      <c r="G1884" t="str">
        <f t="shared" si="89"/>
        <v>04.230.0000</v>
      </c>
    </row>
    <row r="1885" spans="1:7" hidden="1" x14ac:dyDescent="0.25">
      <c r="A1885" s="6" t="s">
        <v>3908</v>
      </c>
      <c r="B1885" s="28">
        <v>786344</v>
      </c>
      <c r="C1885" s="12" t="s">
        <v>2278</v>
      </c>
      <c r="D1885" t="str">
        <f t="shared" si="87"/>
        <v>22.004.12.362.0001.2.001.3.3.90.46.00</v>
      </c>
      <c r="E1885" t="str">
        <f>VLOOKUP(LEFT(A1885,2),ConsolidadoLoa27_ATIVIDADES!A:I,9,0)</f>
        <v>22 - FITO</v>
      </c>
      <c r="F1885" t="str">
        <f t="shared" si="88"/>
        <v>2.001</v>
      </c>
      <c r="G1885" t="str">
        <f t="shared" si="89"/>
        <v>04.230.0000</v>
      </c>
    </row>
    <row r="1886" spans="1:7" hidden="1" x14ac:dyDescent="0.25">
      <c r="A1886" s="6" t="s">
        <v>3909</v>
      </c>
      <c r="B1886" s="28">
        <v>12210.45</v>
      </c>
      <c r="C1886" s="12" t="s">
        <v>3868</v>
      </c>
      <c r="D1886" t="str">
        <f t="shared" si="87"/>
        <v>22.004.12.362.0001.2.008.3.3.90.36.00</v>
      </c>
      <c r="E1886" t="str">
        <f>VLOOKUP(LEFT(A1886,2),ConsolidadoLoa27_ATIVIDADES!A:I,9,0)</f>
        <v>22 - FITO</v>
      </c>
      <c r="F1886" t="str">
        <f t="shared" si="88"/>
        <v>2.008</v>
      </c>
      <c r="G1886" t="str">
        <f t="shared" si="89"/>
        <v>04.230.0000</v>
      </c>
    </row>
    <row r="1887" spans="1:7" hidden="1" x14ac:dyDescent="0.25">
      <c r="A1887" s="6" t="s">
        <v>3910</v>
      </c>
      <c r="B1887" s="28">
        <v>210000</v>
      </c>
      <c r="C1887" s="12" t="s">
        <v>3868</v>
      </c>
      <c r="D1887" t="str">
        <f t="shared" si="87"/>
        <v>22.004.12.362.0001.2.011.3.3.90.30.00</v>
      </c>
      <c r="E1887" t="str">
        <f>VLOOKUP(LEFT(A1887,2),ConsolidadoLoa27_ATIVIDADES!A:I,9,0)</f>
        <v>22 - FITO</v>
      </c>
      <c r="F1887" t="str">
        <f t="shared" si="88"/>
        <v>2.011</v>
      </c>
      <c r="G1887" t="str">
        <f t="shared" si="89"/>
        <v>04.230.0000</v>
      </c>
    </row>
    <row r="1888" spans="1:7" hidden="1" x14ac:dyDescent="0.25">
      <c r="A1888" s="6" t="s">
        <v>3911</v>
      </c>
      <c r="B1888" s="28">
        <v>262500</v>
      </c>
      <c r="C1888" s="12" t="s">
        <v>2601</v>
      </c>
      <c r="D1888" t="str">
        <f t="shared" si="87"/>
        <v>22.004.12.362.0016.2.020.4.4.90.52.00</v>
      </c>
      <c r="E1888" t="str">
        <f>VLOOKUP(LEFT(A1888,2),ConsolidadoLoa27_ATIVIDADES!A:I,9,0)</f>
        <v>22 - FITO</v>
      </c>
      <c r="F1888" t="str">
        <f t="shared" si="88"/>
        <v>2.020</v>
      </c>
      <c r="G1888" t="str">
        <f t="shared" si="89"/>
        <v>04.230.0000</v>
      </c>
    </row>
    <row r="1889" spans="1:7" hidden="1" x14ac:dyDescent="0.25">
      <c r="A1889" s="6" t="s">
        <v>3912</v>
      </c>
      <c r="B1889" s="28">
        <v>1206.45</v>
      </c>
      <c r="C1889" s="12" t="s">
        <v>3554</v>
      </c>
      <c r="D1889" t="str">
        <f t="shared" si="87"/>
        <v>22.005.12.122.0021.0.003.3.1.90.91.00</v>
      </c>
      <c r="E1889" t="str">
        <f>VLOOKUP(LEFT(A1889,2),ConsolidadoLoa27_ATIVIDADES!A:I,9,0)</f>
        <v>22 - FITO</v>
      </c>
      <c r="F1889" t="str">
        <f t="shared" si="88"/>
        <v>0.003</v>
      </c>
      <c r="G1889" t="str">
        <f t="shared" si="89"/>
        <v>04.230.0000</v>
      </c>
    </row>
    <row r="1890" spans="1:7" hidden="1" x14ac:dyDescent="0.25">
      <c r="A1890" s="6" t="s">
        <v>3913</v>
      </c>
      <c r="B1890" s="28">
        <v>30173.85</v>
      </c>
      <c r="C1890" s="12" t="s">
        <v>3554</v>
      </c>
      <c r="D1890" t="str">
        <f t="shared" si="87"/>
        <v>22.006.12.122.0021.0.003.3.1.90.91.00</v>
      </c>
      <c r="E1890" t="str">
        <f>VLOOKUP(LEFT(A1890,2),ConsolidadoLoa27_ATIVIDADES!A:I,9,0)</f>
        <v>22 - FITO</v>
      </c>
      <c r="F1890" t="str">
        <f t="shared" si="88"/>
        <v>0.003</v>
      </c>
      <c r="G1890" t="str">
        <f t="shared" si="89"/>
        <v>04.110.0000</v>
      </c>
    </row>
    <row r="1891" spans="1:7" hidden="1" x14ac:dyDescent="0.25">
      <c r="A1891" s="6" t="s">
        <v>3914</v>
      </c>
      <c r="B1891" s="28">
        <v>36840.300000000003</v>
      </c>
      <c r="C1891" s="12" t="s">
        <v>847</v>
      </c>
      <c r="D1891" t="str">
        <f t="shared" si="87"/>
        <v>22.006.12.364.0001.2.001.3.1.90.16.00</v>
      </c>
      <c r="E1891" t="str">
        <f>VLOOKUP(LEFT(A1891,2),ConsolidadoLoa27_ATIVIDADES!A:I,9,0)</f>
        <v>22 - FITO</v>
      </c>
      <c r="F1891" t="str">
        <f t="shared" si="88"/>
        <v>2.001</v>
      </c>
      <c r="G1891" t="str">
        <f t="shared" si="89"/>
        <v>04.110.0000</v>
      </c>
    </row>
    <row r="1892" spans="1:7" hidden="1" x14ac:dyDescent="0.25">
      <c r="A1892" s="6" t="s">
        <v>3915</v>
      </c>
      <c r="B1892" s="28">
        <v>1080.45</v>
      </c>
      <c r="C1892" s="12" t="s">
        <v>3868</v>
      </c>
      <c r="D1892" t="str">
        <f t="shared" si="87"/>
        <v>22.006.12.364.0001.2.011.3.3.90.39.00</v>
      </c>
      <c r="E1892" t="str">
        <f>VLOOKUP(LEFT(A1892,2),ConsolidadoLoa27_ATIVIDADES!A:I,9,0)</f>
        <v>22 - FITO</v>
      </c>
      <c r="F1892" t="str">
        <f t="shared" si="88"/>
        <v>2.011</v>
      </c>
      <c r="G1892" t="str">
        <f t="shared" si="89"/>
        <v>04.110.0000</v>
      </c>
    </row>
    <row r="1893" spans="1:7" hidden="1" x14ac:dyDescent="0.25">
      <c r="A1893" s="6" t="s">
        <v>3916</v>
      </c>
      <c r="B1893" s="28">
        <v>1076.25</v>
      </c>
      <c r="C1893" s="12" t="s">
        <v>318</v>
      </c>
      <c r="D1893" t="str">
        <f t="shared" si="87"/>
        <v>22.007.04.128.0002.2.003.3.3.90.39.00</v>
      </c>
      <c r="E1893" t="str">
        <f>VLOOKUP(LEFT(A1893,2),ConsolidadoLoa27_ATIVIDADES!A:I,9,0)</f>
        <v>22 - FITO</v>
      </c>
      <c r="F1893" t="str">
        <f t="shared" si="88"/>
        <v>2.003</v>
      </c>
      <c r="G1893" t="str">
        <f t="shared" si="89"/>
        <v>04.110.0000</v>
      </c>
    </row>
    <row r="1894" spans="1:7" hidden="1" x14ac:dyDescent="0.25">
      <c r="A1894" s="6" t="s">
        <v>3917</v>
      </c>
      <c r="B1894" s="28">
        <v>30173.85</v>
      </c>
      <c r="C1894" s="12" t="s">
        <v>3554</v>
      </c>
      <c r="D1894" t="str">
        <f t="shared" si="87"/>
        <v>22.007.13.122.0021.0.003.3.1.90.91.00</v>
      </c>
      <c r="E1894" t="str">
        <f>VLOOKUP(LEFT(A1894,2),ConsolidadoLoa27_ATIVIDADES!A:I,9,0)</f>
        <v>22 - FITO</v>
      </c>
      <c r="F1894" t="str">
        <f t="shared" si="88"/>
        <v>0.003</v>
      </c>
      <c r="G1894" t="str">
        <f t="shared" si="89"/>
        <v>04.110.0000</v>
      </c>
    </row>
    <row r="1895" spans="1:7" hidden="1" x14ac:dyDescent="0.25">
      <c r="A1895" s="6" t="s">
        <v>3918</v>
      </c>
      <c r="B1895" s="28">
        <v>5918.85</v>
      </c>
      <c r="C1895" s="12" t="s">
        <v>3868</v>
      </c>
      <c r="D1895" t="str">
        <f t="shared" si="87"/>
        <v>22.007.13.126.0002.2.007.3.3.90.40.00</v>
      </c>
      <c r="E1895" t="str">
        <f>VLOOKUP(LEFT(A1895,2),ConsolidadoLoa27_ATIVIDADES!A:I,9,0)</f>
        <v>22 - FITO</v>
      </c>
      <c r="F1895" t="str">
        <f t="shared" si="88"/>
        <v>2.007</v>
      </c>
      <c r="G1895" t="str">
        <f t="shared" si="89"/>
        <v>04.110.0000</v>
      </c>
    </row>
    <row r="1896" spans="1:7" hidden="1" x14ac:dyDescent="0.25">
      <c r="A1896" s="6" t="s">
        <v>3919</v>
      </c>
      <c r="B1896" s="28">
        <v>12210.45</v>
      </c>
      <c r="C1896" s="12" t="s">
        <v>3868</v>
      </c>
      <c r="D1896" t="str">
        <f t="shared" si="87"/>
        <v>22.007.13.128.0001.2.008.3.3.90.36.00</v>
      </c>
      <c r="E1896" t="str">
        <f>VLOOKUP(LEFT(A1896,2),ConsolidadoLoa27_ATIVIDADES!A:I,9,0)</f>
        <v>22 - FITO</v>
      </c>
      <c r="F1896" t="str">
        <f t="shared" si="88"/>
        <v>2.008</v>
      </c>
      <c r="G1896" t="str">
        <f t="shared" si="89"/>
        <v>04.110.0000</v>
      </c>
    </row>
    <row r="1897" spans="1:7" hidden="1" x14ac:dyDescent="0.25">
      <c r="A1897" s="6" t="s">
        <v>3920</v>
      </c>
      <c r="B1897" s="28">
        <v>189183.75</v>
      </c>
      <c r="C1897" s="12" t="s">
        <v>847</v>
      </c>
      <c r="D1897" t="str">
        <f t="shared" si="87"/>
        <v>22.007.13.392.0001.2.001.3.1.90.11.00</v>
      </c>
      <c r="E1897" t="str">
        <f>VLOOKUP(LEFT(A1897,2),ConsolidadoLoa27_ATIVIDADES!A:I,9,0)</f>
        <v>22 - FITO</v>
      </c>
      <c r="F1897" t="str">
        <f t="shared" si="88"/>
        <v>2.001</v>
      </c>
      <c r="G1897" t="str">
        <f t="shared" si="89"/>
        <v>04.110.0000</v>
      </c>
    </row>
    <row r="1898" spans="1:7" hidden="1" x14ac:dyDescent="0.25">
      <c r="A1898" s="6" t="s">
        <v>3921</v>
      </c>
      <c r="B1898" s="28">
        <v>55809.599999999999</v>
      </c>
      <c r="C1898" s="12" t="s">
        <v>847</v>
      </c>
      <c r="D1898" t="str">
        <f t="shared" si="87"/>
        <v>22.007.13.392.0001.2.001.3.1.90.13.00</v>
      </c>
      <c r="E1898" t="str">
        <f>VLOOKUP(LEFT(A1898,2),ConsolidadoLoa27_ATIVIDADES!A:I,9,0)</f>
        <v>22 - FITO</v>
      </c>
      <c r="F1898" t="str">
        <f t="shared" si="88"/>
        <v>2.001</v>
      </c>
      <c r="G1898" t="str">
        <f t="shared" si="89"/>
        <v>04.110.0000</v>
      </c>
    </row>
    <row r="1899" spans="1:7" hidden="1" x14ac:dyDescent="0.25">
      <c r="A1899" s="6" t="s">
        <v>3922</v>
      </c>
      <c r="B1899" s="28">
        <v>10106.25</v>
      </c>
      <c r="C1899" s="12" t="s">
        <v>2278</v>
      </c>
      <c r="D1899" t="str">
        <f t="shared" si="87"/>
        <v>22.007.13.392.0001.2.001.3.3.90.46.00</v>
      </c>
      <c r="E1899" t="str">
        <f>VLOOKUP(LEFT(A1899,2),ConsolidadoLoa27_ATIVIDADES!A:I,9,0)</f>
        <v>22 - FITO</v>
      </c>
      <c r="F1899" t="str">
        <f t="shared" si="88"/>
        <v>2.001</v>
      </c>
      <c r="G1899" t="str">
        <f t="shared" si="89"/>
        <v>04.110.0000</v>
      </c>
    </row>
    <row r="1900" spans="1:7" hidden="1" x14ac:dyDescent="0.25">
      <c r="A1900" s="6" t="s">
        <v>3923</v>
      </c>
      <c r="B1900" s="28">
        <v>157529.4</v>
      </c>
      <c r="C1900" s="6" t="s">
        <v>2280</v>
      </c>
      <c r="D1900" t="str">
        <f t="shared" si="87"/>
        <v>22.007.13.392.0001.2.001.3.3.90.49.00</v>
      </c>
      <c r="E1900" t="str">
        <f>VLOOKUP(LEFT(A1900,2),ConsolidadoLoa27_ATIVIDADES!A:I,9,0)</f>
        <v>22 - FITO</v>
      </c>
      <c r="F1900" t="str">
        <f t="shared" si="88"/>
        <v>2.001</v>
      </c>
      <c r="G1900" t="str">
        <f t="shared" si="89"/>
        <v>04.110.0000</v>
      </c>
    </row>
    <row r="1901" spans="1:7" hidden="1" x14ac:dyDescent="0.25">
      <c r="A1901" s="6" t="s">
        <v>3924</v>
      </c>
      <c r="B1901" s="28">
        <v>0</v>
      </c>
      <c r="C1901" s="12" t="s">
        <v>2253</v>
      </c>
      <c r="D1901" t="str">
        <f t="shared" si="87"/>
        <v>22.007.13.392.0009.2.011.3.3.90.92.00</v>
      </c>
      <c r="E1901" t="str">
        <f>VLOOKUP(LEFT(A1901,2),ConsolidadoLoa27_ATIVIDADES!A:I,9,0)</f>
        <v>22 - FITO</v>
      </c>
      <c r="F1901" t="str">
        <f t="shared" si="88"/>
        <v>2.011</v>
      </c>
      <c r="G1901" t="str">
        <f t="shared" si="89"/>
        <v>04.110.0000</v>
      </c>
    </row>
    <row r="1902" spans="1:7" hidden="1" x14ac:dyDescent="0.25">
      <c r="A1902" s="6" t="s">
        <v>3925</v>
      </c>
      <c r="B1902" s="28">
        <v>1.0499999998137355</v>
      </c>
      <c r="C1902" s="12" t="s">
        <v>847</v>
      </c>
      <c r="D1902" t="str">
        <f t="shared" si="87"/>
        <v>22.008.12.365.0001.2.001.3.1.90.11.00</v>
      </c>
      <c r="E1902" t="str">
        <f>VLOOKUP(LEFT(A1902,2),ConsolidadoLoa27_ATIVIDADES!A:I,9,0)</f>
        <v>22 - FITO</v>
      </c>
      <c r="F1902" t="str">
        <f t="shared" si="88"/>
        <v>2.001</v>
      </c>
      <c r="G1902" t="str">
        <f t="shared" si="89"/>
        <v>01.210.0000</v>
      </c>
    </row>
    <row r="1903" spans="1:7" hidden="1" x14ac:dyDescent="0.25">
      <c r="A1903" s="6" t="s">
        <v>3926</v>
      </c>
      <c r="B1903" s="28">
        <v>1.0500000000029104</v>
      </c>
      <c r="C1903" s="12" t="s">
        <v>847</v>
      </c>
      <c r="D1903" t="str">
        <f t="shared" si="87"/>
        <v>22.008.12.365.0001.2.001.3.1.90.13.00</v>
      </c>
      <c r="E1903" t="str">
        <f>VLOOKUP(LEFT(A1903,2),ConsolidadoLoa27_ATIVIDADES!A:I,9,0)</f>
        <v>22 - FITO</v>
      </c>
      <c r="F1903" t="str">
        <f t="shared" si="88"/>
        <v>2.001</v>
      </c>
      <c r="G1903" t="str">
        <f t="shared" si="89"/>
        <v>01.210.0000</v>
      </c>
    </row>
    <row r="1904" spans="1:7" hidden="1" x14ac:dyDescent="0.25">
      <c r="A1904" s="6" t="s">
        <v>3927</v>
      </c>
      <c r="B1904" s="28">
        <v>1.0499999999883585</v>
      </c>
      <c r="C1904" s="12" t="s">
        <v>847</v>
      </c>
      <c r="D1904" t="str">
        <f t="shared" si="87"/>
        <v>22.008.12.365.0001.2.001.3.1.90.16.00</v>
      </c>
      <c r="E1904" t="str">
        <f>VLOOKUP(LEFT(A1904,2),ConsolidadoLoa27_ATIVIDADES!A:I,9,0)</f>
        <v>22 - FITO</v>
      </c>
      <c r="F1904" t="str">
        <f t="shared" si="88"/>
        <v>2.001</v>
      </c>
      <c r="G1904" t="str">
        <f t="shared" si="89"/>
        <v>01.210.0000</v>
      </c>
    </row>
    <row r="1905" spans="1:7" hidden="1" x14ac:dyDescent="0.25">
      <c r="A1905" s="6" t="s">
        <v>3928</v>
      </c>
      <c r="B1905" s="28">
        <v>1.0500000000465661</v>
      </c>
      <c r="C1905" s="12" t="s">
        <v>2706</v>
      </c>
      <c r="D1905" t="str">
        <f t="shared" si="87"/>
        <v>22.008.12.365.0001.2.001.3.1.90.94.00</v>
      </c>
      <c r="E1905" t="str">
        <f>VLOOKUP(LEFT(A1905,2),ConsolidadoLoa27_ATIVIDADES!A:I,9,0)</f>
        <v>22 - FITO</v>
      </c>
      <c r="F1905" t="str">
        <f t="shared" si="88"/>
        <v>2.001</v>
      </c>
      <c r="G1905" t="str">
        <f t="shared" si="89"/>
        <v>01.210.0000</v>
      </c>
    </row>
    <row r="1906" spans="1:7" hidden="1" x14ac:dyDescent="0.25">
      <c r="A1906" s="6" t="s">
        <v>3929</v>
      </c>
      <c r="B1906" s="28">
        <v>1.0500000000465661</v>
      </c>
      <c r="C1906" s="12" t="s">
        <v>847</v>
      </c>
      <c r="D1906" t="str">
        <f t="shared" si="87"/>
        <v>22.008.12.365.0001.2.001.3.1.91.13.00</v>
      </c>
      <c r="E1906" t="str">
        <f>VLOOKUP(LEFT(A1906,2),ConsolidadoLoa27_ATIVIDADES!A:I,9,0)</f>
        <v>22 - FITO</v>
      </c>
      <c r="F1906" t="str">
        <f t="shared" si="88"/>
        <v>2.001</v>
      </c>
      <c r="G1906" t="str">
        <f t="shared" si="89"/>
        <v>01.210.0000</v>
      </c>
    </row>
    <row r="1907" spans="1:7" hidden="1" x14ac:dyDescent="0.25">
      <c r="A1907" s="6" t="s">
        <v>3930</v>
      </c>
      <c r="B1907" s="28">
        <v>1.0499999999883585</v>
      </c>
      <c r="C1907" s="12" t="s">
        <v>2278</v>
      </c>
      <c r="D1907" t="str">
        <f t="shared" si="87"/>
        <v>22.008.12.365.0001.2.001.3.3.90.46.00</v>
      </c>
      <c r="E1907" t="str">
        <f>VLOOKUP(LEFT(A1907,2),ConsolidadoLoa27_ATIVIDADES!A:I,9,0)</f>
        <v>22 - FITO</v>
      </c>
      <c r="F1907" t="str">
        <f t="shared" si="88"/>
        <v>2.001</v>
      </c>
      <c r="G1907" t="str">
        <f t="shared" si="89"/>
        <v>01.210.0000</v>
      </c>
    </row>
    <row r="1908" spans="1:7" hidden="1" x14ac:dyDescent="0.25">
      <c r="A1908" s="6" t="s">
        <v>3931</v>
      </c>
      <c r="B1908" s="28">
        <v>1.0500000000029104</v>
      </c>
      <c r="C1908" s="12" t="s">
        <v>2280</v>
      </c>
      <c r="D1908" t="str">
        <f t="shared" si="87"/>
        <v>22.008.12.365.0001.2.001.3.3.90.49.00</v>
      </c>
      <c r="E1908" t="str">
        <f>VLOOKUP(LEFT(A1908,2),ConsolidadoLoa27_ATIVIDADES!A:I,9,0)</f>
        <v>22 - FITO</v>
      </c>
      <c r="F1908" t="str">
        <f t="shared" si="88"/>
        <v>2.001</v>
      </c>
      <c r="G1908" t="str">
        <f t="shared" si="89"/>
        <v>01.210.0000</v>
      </c>
    </row>
    <row r="1909" spans="1:7" hidden="1" x14ac:dyDescent="0.25">
      <c r="A1909" s="6" t="s">
        <v>3932</v>
      </c>
      <c r="B1909" s="28">
        <v>1.0499999999992724</v>
      </c>
      <c r="C1909" s="12" t="s">
        <v>3868</v>
      </c>
      <c r="D1909" t="str">
        <f t="shared" si="87"/>
        <v>22.008.12.365.0001.2.008.3.3.90.36.00</v>
      </c>
      <c r="E1909" t="str">
        <f>VLOOKUP(LEFT(A1909,2),ConsolidadoLoa27_ATIVIDADES!A:I,9,0)</f>
        <v>22 - FITO</v>
      </c>
      <c r="F1909" t="str">
        <f t="shared" si="88"/>
        <v>2.008</v>
      </c>
      <c r="G1909" t="str">
        <f t="shared" si="89"/>
        <v>01.210.0000</v>
      </c>
    </row>
    <row r="1910" spans="1:7" hidden="1" x14ac:dyDescent="0.25">
      <c r="A1910" s="6" t="s">
        <v>3933</v>
      </c>
      <c r="B1910" s="28">
        <v>1.05</v>
      </c>
      <c r="C1910" s="12" t="s">
        <v>2706</v>
      </c>
      <c r="D1910" t="str">
        <f t="shared" si="87"/>
        <v>22.009.12.365.0001.2.001.3.1.90.94.00</v>
      </c>
      <c r="E1910" t="str">
        <f>VLOOKUP(LEFT(A1910,2),ConsolidadoLoa27_ATIVIDADES!A:I,9,0)</f>
        <v>22 - FITO</v>
      </c>
      <c r="F1910" t="str">
        <f t="shared" si="88"/>
        <v>2.001</v>
      </c>
      <c r="G1910" t="str">
        <f t="shared" si="89"/>
        <v>01.210.0000</v>
      </c>
    </row>
    <row r="1911" spans="1:7" hidden="1" x14ac:dyDescent="0.25">
      <c r="A1911" s="6" t="s">
        <v>3934</v>
      </c>
      <c r="B1911" s="28">
        <v>1.05</v>
      </c>
      <c r="C1911" s="12" t="s">
        <v>2706</v>
      </c>
      <c r="D1911" t="str">
        <f t="shared" si="87"/>
        <v>22.010.12.365.0001.2.001.3.1.90.94.00</v>
      </c>
      <c r="E1911" t="str">
        <f>VLOOKUP(LEFT(A1911,2),ConsolidadoLoa27_ATIVIDADES!A:I,9,0)</f>
        <v>22 - FITO</v>
      </c>
      <c r="F1911" t="str">
        <f t="shared" si="88"/>
        <v>2.001</v>
      </c>
      <c r="G1911" t="str">
        <f t="shared" si="89"/>
        <v>01.210.0000</v>
      </c>
    </row>
    <row r="1912" spans="1:7" hidden="1" x14ac:dyDescent="0.25">
      <c r="A1912" s="6" t="s">
        <v>3935</v>
      </c>
      <c r="B1912" s="28">
        <v>1.05</v>
      </c>
      <c r="C1912" s="12" t="s">
        <v>2706</v>
      </c>
      <c r="D1912" t="str">
        <f t="shared" si="87"/>
        <v>22.011.12.365.0001.2.001.3.1.90.94.00</v>
      </c>
      <c r="E1912" t="str">
        <f>VLOOKUP(LEFT(A1912,2),ConsolidadoLoa27_ATIVIDADES!A:I,9,0)</f>
        <v>22 - FITO</v>
      </c>
      <c r="F1912" t="str">
        <f t="shared" si="88"/>
        <v>2.001</v>
      </c>
      <c r="G1912" t="str">
        <f t="shared" si="89"/>
        <v>01.210.0000</v>
      </c>
    </row>
    <row r="1913" spans="1:7" hidden="1" x14ac:dyDescent="0.25">
      <c r="A1913" s="6" t="s">
        <v>3936</v>
      </c>
      <c r="B1913" s="28">
        <v>1.05</v>
      </c>
      <c r="C1913" s="12" t="s">
        <v>2706</v>
      </c>
      <c r="D1913" t="str">
        <f t="shared" si="87"/>
        <v>22.012.12.365.0001.2.001.3.1.90.94.00</v>
      </c>
      <c r="E1913" t="str">
        <f>VLOOKUP(LEFT(A1913,2),ConsolidadoLoa27_ATIVIDADES!A:I,9,0)</f>
        <v>22 - FITO</v>
      </c>
      <c r="F1913" t="str">
        <f t="shared" si="88"/>
        <v>2.001</v>
      </c>
      <c r="G1913" t="str">
        <f t="shared" si="89"/>
        <v>01.210.0000</v>
      </c>
    </row>
    <row r="1914" spans="1:7" hidden="1" x14ac:dyDescent="0.25">
      <c r="A1914" s="6" t="s">
        <v>3937</v>
      </c>
      <c r="B1914" s="28">
        <v>1.05</v>
      </c>
      <c r="C1914" s="12" t="s">
        <v>2706</v>
      </c>
      <c r="D1914" t="str">
        <f t="shared" si="87"/>
        <v>22.013.12.365.0001.2.001.3.1.90.94.00</v>
      </c>
      <c r="E1914" t="str">
        <f>VLOOKUP(LEFT(A1914,2),ConsolidadoLoa27_ATIVIDADES!A:I,9,0)</f>
        <v>22 - FITO</v>
      </c>
      <c r="F1914" t="str">
        <f t="shared" si="88"/>
        <v>2.001</v>
      </c>
      <c r="G1914" t="str">
        <f t="shared" si="89"/>
        <v>01.210.0000</v>
      </c>
    </row>
    <row r="1915" spans="1:7" hidden="1" x14ac:dyDescent="0.25">
      <c r="A1915" s="6" t="s">
        <v>3938</v>
      </c>
      <c r="B1915" s="28">
        <v>1.05</v>
      </c>
      <c r="C1915" s="12" t="s">
        <v>2706</v>
      </c>
      <c r="D1915" t="str">
        <f t="shared" si="87"/>
        <v>22.014.12.365.0001.2.001.3.1.90.94.00</v>
      </c>
      <c r="E1915" t="str">
        <f>VLOOKUP(LEFT(A1915,2),ConsolidadoLoa27_ATIVIDADES!A:I,9,0)</f>
        <v>22 - FITO</v>
      </c>
      <c r="F1915" t="str">
        <f t="shared" si="88"/>
        <v>2.001</v>
      </c>
      <c r="G1915" t="str">
        <f t="shared" si="89"/>
        <v>01.210.0000</v>
      </c>
    </row>
    <row r="1916" spans="1:7" hidden="1" x14ac:dyDescent="0.25">
      <c r="A1916" s="6" t="s">
        <v>3939</v>
      </c>
      <c r="B1916" s="28">
        <v>1.05</v>
      </c>
      <c r="C1916" s="12" t="s">
        <v>2706</v>
      </c>
      <c r="D1916" t="str">
        <f t="shared" si="87"/>
        <v>22.015.12.365.0001.2.001.3.1.90.94.00</v>
      </c>
      <c r="E1916" t="str">
        <f>VLOOKUP(LEFT(A1916,2),ConsolidadoLoa27_ATIVIDADES!A:I,9,0)</f>
        <v>22 - FITO</v>
      </c>
      <c r="F1916" t="str">
        <f t="shared" si="88"/>
        <v>2.001</v>
      </c>
      <c r="G1916" t="str">
        <f t="shared" si="89"/>
        <v>01.210.0000</v>
      </c>
    </row>
    <row r="1917" spans="1:7" hidden="1" x14ac:dyDescent="0.25">
      <c r="A1917" s="6" t="s">
        <v>3940</v>
      </c>
      <c r="B1917" s="28">
        <v>210</v>
      </c>
      <c r="C1917" s="12" t="s">
        <v>3554</v>
      </c>
      <c r="D1917" t="str">
        <f t="shared" si="87"/>
        <v>22.016.12.122.0021.0.003.3.1.90.91.00</v>
      </c>
      <c r="E1917" t="str">
        <f>VLOOKUP(LEFT(A1917,2),ConsolidadoLoa27_ATIVIDADES!A:I,9,0)</f>
        <v>22 - FITO</v>
      </c>
      <c r="F1917" t="str">
        <f t="shared" si="88"/>
        <v>0.003</v>
      </c>
      <c r="G1917" t="str">
        <f t="shared" si="89"/>
        <v>04.210.0000</v>
      </c>
    </row>
    <row r="1918" spans="1:7" hidden="1" x14ac:dyDescent="0.25">
      <c r="A1918" s="6" t="s">
        <v>3941</v>
      </c>
      <c r="B1918" s="28">
        <v>210</v>
      </c>
      <c r="C1918" s="12" t="s">
        <v>3868</v>
      </c>
      <c r="D1918" t="str">
        <f t="shared" si="87"/>
        <v>22.016.12.126.0002.2.007.3.3.90.40.00</v>
      </c>
      <c r="E1918" t="str">
        <f>VLOOKUP(LEFT(A1918,2),ConsolidadoLoa27_ATIVIDADES!A:I,9,0)</f>
        <v>22 - FITO</v>
      </c>
      <c r="F1918" t="str">
        <f t="shared" si="88"/>
        <v>2.007</v>
      </c>
      <c r="G1918" t="str">
        <f t="shared" si="89"/>
        <v>04.210.0000</v>
      </c>
    </row>
    <row r="1919" spans="1:7" hidden="1" x14ac:dyDescent="0.25">
      <c r="A1919" s="6" t="s">
        <v>3942</v>
      </c>
      <c r="B1919" s="28">
        <v>315000</v>
      </c>
      <c r="C1919" s="12" t="s">
        <v>847</v>
      </c>
      <c r="D1919" t="str">
        <f t="shared" si="87"/>
        <v>22.016.12.365.0001.2.001.3.1.90.11.00</v>
      </c>
      <c r="E1919" t="str">
        <f>VLOOKUP(LEFT(A1919,2),ConsolidadoLoa27_ATIVIDADES!A:I,9,0)</f>
        <v>22 - FITO</v>
      </c>
      <c r="F1919" t="str">
        <f t="shared" si="88"/>
        <v>2.001</v>
      </c>
      <c r="G1919" t="str">
        <f t="shared" si="89"/>
        <v>04.210.0000</v>
      </c>
    </row>
    <row r="1920" spans="1:7" hidden="1" x14ac:dyDescent="0.25">
      <c r="A1920" s="6" t="s">
        <v>3943</v>
      </c>
      <c r="B1920" s="28">
        <v>191406.6</v>
      </c>
      <c r="C1920" s="12" t="s">
        <v>847</v>
      </c>
      <c r="D1920" t="str">
        <f t="shared" si="87"/>
        <v>22.016.12.365.0001.2.001.3.1.90.16.00</v>
      </c>
      <c r="E1920" t="str">
        <f>VLOOKUP(LEFT(A1920,2),ConsolidadoLoa27_ATIVIDADES!A:I,9,0)</f>
        <v>22 - FITO</v>
      </c>
      <c r="F1920" t="str">
        <f t="shared" si="88"/>
        <v>2.001</v>
      </c>
      <c r="G1920" t="str">
        <f t="shared" si="89"/>
        <v>04.210.0000</v>
      </c>
    </row>
    <row r="1921" spans="1:7" hidden="1" x14ac:dyDescent="0.25">
      <c r="A1921" s="6" t="s">
        <v>3944</v>
      </c>
      <c r="B1921" s="28">
        <v>126000</v>
      </c>
      <c r="C1921" s="12" t="s">
        <v>847</v>
      </c>
      <c r="D1921" t="str">
        <f t="shared" si="87"/>
        <v>22.016.12.365.0001.2.001.3.1.91.13.00</v>
      </c>
      <c r="E1921" t="str">
        <f>VLOOKUP(LEFT(A1921,2),ConsolidadoLoa27_ATIVIDADES!A:I,9,0)</f>
        <v>22 - FITO</v>
      </c>
      <c r="F1921" t="str">
        <f t="shared" si="88"/>
        <v>2.001</v>
      </c>
      <c r="G1921" t="str">
        <f t="shared" si="89"/>
        <v>04.210.0000</v>
      </c>
    </row>
    <row r="1922" spans="1:7" hidden="1" x14ac:dyDescent="0.25">
      <c r="A1922" s="6" t="s">
        <v>3945</v>
      </c>
      <c r="B1922" s="28">
        <v>31122</v>
      </c>
      <c r="C1922" s="12" t="s">
        <v>3868</v>
      </c>
      <c r="D1922" t="str">
        <f t="shared" si="87"/>
        <v>22.016.12.365.0001.2.008.3.3.90.36.00</v>
      </c>
      <c r="E1922" t="str">
        <f>VLOOKUP(LEFT(A1922,2),ConsolidadoLoa27_ATIVIDADES!A:I,9,0)</f>
        <v>22 - FITO</v>
      </c>
      <c r="F1922" t="str">
        <f t="shared" si="88"/>
        <v>2.008</v>
      </c>
      <c r="G1922" t="str">
        <f t="shared" si="89"/>
        <v>04.210.0000</v>
      </c>
    </row>
    <row r="1923" spans="1:7" hidden="1" x14ac:dyDescent="0.25">
      <c r="A1923" s="6" t="s">
        <v>3946</v>
      </c>
      <c r="B1923" s="28">
        <v>21000</v>
      </c>
      <c r="C1923" s="12" t="s">
        <v>318</v>
      </c>
      <c r="D1923" t="str">
        <f t="shared" ref="D1923:D1986" si="90">_xlfn.CONCAT(LEFT(A1923,34),".00")</f>
        <v>22.016.12.365.0002.2.003.3.3.90.39.00</v>
      </c>
      <c r="E1923" t="str">
        <f>VLOOKUP(LEFT(A1923,2),ConsolidadoLoa27_ATIVIDADES!A:I,9,0)</f>
        <v>22 - FITO</v>
      </c>
      <c r="F1923" t="str">
        <f t="shared" ref="F1923:F1986" si="91">MID(A1923,20,5)</f>
        <v>2.003</v>
      </c>
      <c r="G1923" t="str">
        <f t="shared" ref="G1923:G1986" si="92">RIGHT(A1923,11)</f>
        <v>04.210.0000</v>
      </c>
    </row>
    <row r="1924" spans="1:7" hidden="1" x14ac:dyDescent="0.25">
      <c r="A1924" s="6" t="s">
        <v>3947</v>
      </c>
      <c r="B1924" s="28">
        <v>420</v>
      </c>
      <c r="C1924" s="12" t="s">
        <v>3868</v>
      </c>
      <c r="D1924" t="str">
        <f t="shared" si="90"/>
        <v>22.016.12.365.0016.1.002.3.3.90.39.00</v>
      </c>
      <c r="E1924" t="str">
        <f>VLOOKUP(LEFT(A1924,2),ConsolidadoLoa27_ATIVIDADES!A:I,9,0)</f>
        <v>22 - FITO</v>
      </c>
      <c r="F1924" t="str">
        <f t="shared" si="91"/>
        <v>1.002</v>
      </c>
      <c r="G1924" t="str">
        <f t="shared" si="92"/>
        <v>04.210.0000</v>
      </c>
    </row>
    <row r="1925" spans="1:7" hidden="1" x14ac:dyDescent="0.25">
      <c r="A1925" s="6" t="s">
        <v>3948</v>
      </c>
      <c r="B1925" s="28">
        <v>8400</v>
      </c>
      <c r="C1925" s="12" t="s">
        <v>2282</v>
      </c>
      <c r="D1925" t="str">
        <f t="shared" si="90"/>
        <v>22.016.12.365.0016.2.011.3.3.90.33.00</v>
      </c>
      <c r="E1925" t="str">
        <f>VLOOKUP(LEFT(A1925,2),ConsolidadoLoa27_ATIVIDADES!A:I,9,0)</f>
        <v>22 - FITO</v>
      </c>
      <c r="F1925" t="str">
        <f t="shared" si="91"/>
        <v>2.011</v>
      </c>
      <c r="G1925" t="str">
        <f t="shared" si="92"/>
        <v>04.210.0000</v>
      </c>
    </row>
    <row r="1926" spans="1:7" hidden="1" x14ac:dyDescent="0.25">
      <c r="A1926" s="6" t="s">
        <v>3949</v>
      </c>
      <c r="B1926" s="28">
        <v>210</v>
      </c>
      <c r="C1926" s="12" t="s">
        <v>3868</v>
      </c>
      <c r="D1926" t="str">
        <f t="shared" si="90"/>
        <v>22.016.12.365.0016.2.011.3.3.90.37.00</v>
      </c>
      <c r="E1926" t="str">
        <f>VLOOKUP(LEFT(A1926,2),ConsolidadoLoa27_ATIVIDADES!A:I,9,0)</f>
        <v>22 - FITO</v>
      </c>
      <c r="F1926" t="str">
        <f t="shared" si="91"/>
        <v>2.011</v>
      </c>
      <c r="G1926" t="str">
        <f t="shared" si="92"/>
        <v>04.210.0000</v>
      </c>
    </row>
    <row r="1927" spans="1:7" hidden="1" x14ac:dyDescent="0.25">
      <c r="A1927" s="6" t="s">
        <v>3950</v>
      </c>
      <c r="B1927" s="28">
        <v>2100</v>
      </c>
      <c r="C1927" s="12" t="s">
        <v>3951</v>
      </c>
      <c r="D1927" t="str">
        <f t="shared" si="90"/>
        <v>22.016.12.365.0016.2.017.3.3.90.30.00</v>
      </c>
      <c r="E1927" t="str">
        <f>VLOOKUP(LEFT(A1927,2),ConsolidadoLoa27_ATIVIDADES!A:I,9,0)</f>
        <v>22 - FITO</v>
      </c>
      <c r="F1927" t="str">
        <f t="shared" si="91"/>
        <v>2.017</v>
      </c>
      <c r="G1927" t="str">
        <f t="shared" si="92"/>
        <v>04.210.0000</v>
      </c>
    </row>
    <row r="1928" spans="1:7" hidden="1" x14ac:dyDescent="0.25">
      <c r="A1928" s="6" t="s">
        <v>3952</v>
      </c>
      <c r="B1928" s="28">
        <v>210</v>
      </c>
      <c r="C1928" s="12" t="s">
        <v>2601</v>
      </c>
      <c r="D1928" t="str">
        <f t="shared" si="90"/>
        <v>22.016.12.365.0016.2.020.4.4.90.52.00</v>
      </c>
      <c r="E1928" t="str">
        <f>VLOOKUP(LEFT(A1928,2),ConsolidadoLoa27_ATIVIDADES!A:I,9,0)</f>
        <v>22 - FITO</v>
      </c>
      <c r="F1928" t="str">
        <f t="shared" si="91"/>
        <v>2.020</v>
      </c>
      <c r="G1928" t="str">
        <f t="shared" si="92"/>
        <v>04.210.0000</v>
      </c>
    </row>
    <row r="1929" spans="1:7" hidden="1" x14ac:dyDescent="0.25">
      <c r="A1929" s="6" t="s">
        <v>3953</v>
      </c>
      <c r="B1929" s="28">
        <v>3641368.85</v>
      </c>
      <c r="C1929" s="6" t="s">
        <v>847</v>
      </c>
      <c r="D1929" t="str">
        <f t="shared" si="90"/>
        <v>23.001.04.122.0001.2.001.3.1.90.11.00</v>
      </c>
      <c r="E1929" t="str">
        <f>VLOOKUP(LEFT(A1929,2),ConsolidadoLoa27_ATIVIDADES!A:I,9,0)</f>
        <v>23 - SECRETARIA DE COMUNICAÇÃO</v>
      </c>
      <c r="F1929" t="str">
        <f t="shared" si="91"/>
        <v>2.001</v>
      </c>
      <c r="G1929" t="str">
        <f t="shared" si="92"/>
        <v>01.110.0000</v>
      </c>
    </row>
    <row r="1930" spans="1:7" hidden="1" x14ac:dyDescent="0.25">
      <c r="A1930" s="6" t="s">
        <v>3954</v>
      </c>
      <c r="B1930" s="28">
        <v>677280.19</v>
      </c>
      <c r="C1930" s="6" t="s">
        <v>847</v>
      </c>
      <c r="D1930" t="str">
        <f t="shared" si="90"/>
        <v>23.001.04.122.0001.2.001.3.1.90.13.00</v>
      </c>
      <c r="E1930" t="str">
        <f>VLOOKUP(LEFT(A1930,2),ConsolidadoLoa27_ATIVIDADES!A:I,9,0)</f>
        <v>23 - SECRETARIA DE COMUNICAÇÃO</v>
      </c>
      <c r="F1930" t="str">
        <f t="shared" si="91"/>
        <v>2.001</v>
      </c>
      <c r="G1930" t="str">
        <f t="shared" si="92"/>
        <v>01.110.0000</v>
      </c>
    </row>
    <row r="1931" spans="1:7" hidden="1" x14ac:dyDescent="0.25">
      <c r="A1931" s="6" t="s">
        <v>3955</v>
      </c>
      <c r="B1931" s="28">
        <v>137759.87</v>
      </c>
      <c r="C1931" s="12" t="s">
        <v>847</v>
      </c>
      <c r="D1931" t="str">
        <f t="shared" si="90"/>
        <v>23.001.04.122.0001.2.001.3.1.91.13.00</v>
      </c>
      <c r="E1931" t="str">
        <f>VLOOKUP(LEFT(A1931,2),ConsolidadoLoa27_ATIVIDADES!A:I,9,0)</f>
        <v>23 - SECRETARIA DE COMUNICAÇÃO</v>
      </c>
      <c r="F1931" t="str">
        <f t="shared" si="91"/>
        <v>2.001</v>
      </c>
      <c r="G1931" t="str">
        <f t="shared" si="92"/>
        <v>01.110.0000</v>
      </c>
    </row>
    <row r="1932" spans="1:7" hidden="1" x14ac:dyDescent="0.25">
      <c r="A1932" s="6" t="s">
        <v>3956</v>
      </c>
      <c r="B1932" s="28">
        <v>2.2200000000000002</v>
      </c>
      <c r="C1932" s="6" t="s">
        <v>2278</v>
      </c>
      <c r="D1932" t="str">
        <f t="shared" si="90"/>
        <v>23.001.04.122.0001.2.001.3.3.90.46.00</v>
      </c>
      <c r="E1932" t="str">
        <f>VLOOKUP(LEFT(A1932,2),ConsolidadoLoa27_ATIVIDADES!A:I,9,0)</f>
        <v>23 - SECRETARIA DE COMUNICAÇÃO</v>
      </c>
      <c r="F1932" t="str">
        <f t="shared" si="91"/>
        <v>2.001</v>
      </c>
      <c r="G1932" t="str">
        <f t="shared" si="92"/>
        <v>01.110.0000</v>
      </c>
    </row>
    <row r="1933" spans="1:7" hidden="1" x14ac:dyDescent="0.25">
      <c r="A1933" s="6" t="s">
        <v>3957</v>
      </c>
      <c r="B1933" s="28">
        <v>52153.94</v>
      </c>
      <c r="C1933" s="6" t="s">
        <v>2280</v>
      </c>
      <c r="D1933" t="str">
        <f t="shared" si="90"/>
        <v>23.001.04.122.0001.2.001.3.3.90.49.00</v>
      </c>
      <c r="E1933" t="str">
        <f>VLOOKUP(LEFT(A1933,2),ConsolidadoLoa27_ATIVIDADES!A:I,9,0)</f>
        <v>23 - SECRETARIA DE COMUNICAÇÃO</v>
      </c>
      <c r="F1933" t="str">
        <f t="shared" si="91"/>
        <v>2.001</v>
      </c>
      <c r="G1933" t="str">
        <f t="shared" si="92"/>
        <v>01.110.0000</v>
      </c>
    </row>
    <row r="1934" spans="1:7" hidden="1" x14ac:dyDescent="0.25">
      <c r="A1934" s="6" t="s">
        <v>3958</v>
      </c>
      <c r="B1934" s="28">
        <v>200000</v>
      </c>
      <c r="C1934" s="23" t="s">
        <v>3959</v>
      </c>
      <c r="D1934" t="str">
        <f t="shared" si="90"/>
        <v>23.001.04.122.0001.2.005.3.3.90.30.00</v>
      </c>
      <c r="E1934" t="str">
        <f>VLOOKUP(LEFT(A1934,2),ConsolidadoLoa27_ATIVIDADES!A:I,9,0)</f>
        <v>23 - SECRETARIA DE COMUNICAÇÃO</v>
      </c>
      <c r="F1934" t="str">
        <f t="shared" si="91"/>
        <v>2.005</v>
      </c>
      <c r="G1934" t="str">
        <f t="shared" si="92"/>
        <v>01.110.0000</v>
      </c>
    </row>
    <row r="1935" spans="1:7" hidden="1" x14ac:dyDescent="0.25">
      <c r="A1935" s="6" t="s">
        <v>3960</v>
      </c>
      <c r="B1935" s="28">
        <v>22000000</v>
      </c>
      <c r="C1935" s="23" t="s">
        <v>3961</v>
      </c>
      <c r="D1935" t="str">
        <f t="shared" si="90"/>
        <v>23.001.04.122.0001.2.005.3.3.90.39.00</v>
      </c>
      <c r="E1935" t="str">
        <f>VLOOKUP(LEFT(A1935,2),ConsolidadoLoa27_ATIVIDADES!A:I,9,0)</f>
        <v>23 - SECRETARIA DE COMUNICAÇÃO</v>
      </c>
      <c r="F1935" t="str">
        <f t="shared" si="91"/>
        <v>2.005</v>
      </c>
      <c r="G1935" t="str">
        <f t="shared" si="92"/>
        <v>01.110.0000</v>
      </c>
    </row>
    <row r="1936" spans="1:7" hidden="1" x14ac:dyDescent="0.25">
      <c r="A1936" s="6" t="s">
        <v>3960</v>
      </c>
      <c r="B1936" s="28">
        <v>6018000</v>
      </c>
      <c r="C1936" s="23" t="s">
        <v>3962</v>
      </c>
      <c r="D1936" t="str">
        <f t="shared" si="90"/>
        <v>23.001.04.122.0001.2.005.3.3.90.39.00</v>
      </c>
      <c r="E1936" t="str">
        <f>VLOOKUP(LEFT(A1936,2),ConsolidadoLoa27_ATIVIDADES!A:I,9,0)</f>
        <v>23 - SECRETARIA DE COMUNICAÇÃO</v>
      </c>
      <c r="F1936" t="str">
        <f t="shared" si="91"/>
        <v>2.005</v>
      </c>
      <c r="G1936" t="str">
        <f t="shared" si="92"/>
        <v>01.110.0000</v>
      </c>
    </row>
    <row r="1937" spans="1:7" hidden="1" x14ac:dyDescent="0.25">
      <c r="A1937" s="6" t="s">
        <v>3963</v>
      </c>
      <c r="B1937" s="28">
        <v>1</v>
      </c>
      <c r="C1937" s="6" t="s">
        <v>2282</v>
      </c>
      <c r="D1937" t="str">
        <f t="shared" si="90"/>
        <v>23.001.04.122.0001.2.006.3.3.90.33.00</v>
      </c>
      <c r="E1937" t="str">
        <f>VLOOKUP(LEFT(A1937,2),ConsolidadoLoa27_ATIVIDADES!A:I,9,0)</f>
        <v>23 - SECRETARIA DE COMUNICAÇÃO</v>
      </c>
      <c r="F1937" t="str">
        <f t="shared" si="91"/>
        <v>2.006</v>
      </c>
      <c r="G1937" t="str">
        <f t="shared" si="92"/>
        <v>01.110.0000</v>
      </c>
    </row>
    <row r="1938" spans="1:7" hidden="1" x14ac:dyDescent="0.25">
      <c r="A1938" s="6" t="s">
        <v>3964</v>
      </c>
      <c r="B1938" s="28">
        <v>1</v>
      </c>
      <c r="C1938" s="14" t="s">
        <v>421</v>
      </c>
      <c r="D1938" t="str">
        <f t="shared" si="90"/>
        <v>23.001.04.122.0001.2.006.3.3.90.39.00</v>
      </c>
      <c r="E1938" t="str">
        <f>VLOOKUP(LEFT(A1938,2),ConsolidadoLoa27_ATIVIDADES!A:I,9,0)</f>
        <v>23 - SECRETARIA DE COMUNICAÇÃO</v>
      </c>
      <c r="F1938" t="str">
        <f t="shared" si="91"/>
        <v>2.006</v>
      </c>
      <c r="G1938" t="str">
        <f t="shared" si="92"/>
        <v>01.110.0000</v>
      </c>
    </row>
    <row r="1939" spans="1:7" hidden="1" x14ac:dyDescent="0.25">
      <c r="A1939" s="6" t="s">
        <v>3965</v>
      </c>
      <c r="B1939" s="28">
        <v>10391</v>
      </c>
      <c r="C1939" s="6" t="s">
        <v>2288</v>
      </c>
      <c r="D1939" t="str">
        <f t="shared" si="90"/>
        <v>23.001.04.122.0001.2.011.3.3.90.30.00</v>
      </c>
      <c r="E1939" t="str">
        <f>VLOOKUP(LEFT(A1939,2),ConsolidadoLoa27_ATIVIDADES!A:I,9,0)</f>
        <v>23 - SECRETARIA DE COMUNICAÇÃO</v>
      </c>
      <c r="F1939" t="str">
        <f t="shared" si="91"/>
        <v>2.011</v>
      </c>
      <c r="G1939" t="str">
        <f t="shared" si="92"/>
        <v>01.110.0000</v>
      </c>
    </row>
    <row r="1940" spans="1:7" hidden="1" x14ac:dyDescent="0.25">
      <c r="A1940" s="6" t="s">
        <v>3965</v>
      </c>
      <c r="B1940" s="28">
        <v>10391</v>
      </c>
      <c r="C1940" s="6" t="s">
        <v>3966</v>
      </c>
      <c r="D1940" t="str">
        <f t="shared" si="90"/>
        <v>23.001.04.122.0001.2.011.3.3.90.30.00</v>
      </c>
      <c r="E1940" t="str">
        <f>VLOOKUP(LEFT(A1940,2),ConsolidadoLoa27_ATIVIDADES!A:I,9,0)</f>
        <v>23 - SECRETARIA DE COMUNICAÇÃO</v>
      </c>
      <c r="F1940" t="str">
        <f t="shared" si="91"/>
        <v>2.011</v>
      </c>
      <c r="G1940" t="str">
        <f t="shared" si="92"/>
        <v>01.110.0000</v>
      </c>
    </row>
    <row r="1941" spans="1:7" hidden="1" x14ac:dyDescent="0.25">
      <c r="A1941" s="6" t="s">
        <v>3965</v>
      </c>
      <c r="B1941" s="28">
        <v>10391</v>
      </c>
      <c r="C1941" s="6" t="s">
        <v>2289</v>
      </c>
      <c r="D1941" t="str">
        <f t="shared" si="90"/>
        <v>23.001.04.122.0001.2.011.3.3.90.30.00</v>
      </c>
      <c r="E1941" t="str">
        <f>VLOOKUP(LEFT(A1941,2),ConsolidadoLoa27_ATIVIDADES!A:I,9,0)</f>
        <v>23 - SECRETARIA DE COMUNICAÇÃO</v>
      </c>
      <c r="F1941" t="str">
        <f t="shared" si="91"/>
        <v>2.011</v>
      </c>
      <c r="G1941" t="str">
        <f t="shared" si="92"/>
        <v>01.110.0000</v>
      </c>
    </row>
    <row r="1942" spans="1:7" hidden="1" x14ac:dyDescent="0.25">
      <c r="A1942" s="6" t="s">
        <v>3967</v>
      </c>
      <c r="B1942" s="28">
        <v>346660</v>
      </c>
      <c r="C1942" s="6" t="s">
        <v>3968</v>
      </c>
      <c r="D1942" t="str">
        <f t="shared" si="90"/>
        <v>23.001.04.122.0001.2.011.3.3.90.39.00</v>
      </c>
      <c r="E1942" t="str">
        <f>VLOOKUP(LEFT(A1942,2),ConsolidadoLoa27_ATIVIDADES!A:I,9,0)</f>
        <v>23 - SECRETARIA DE COMUNICAÇÃO</v>
      </c>
      <c r="F1942" t="str">
        <f t="shared" si="91"/>
        <v>2.011</v>
      </c>
      <c r="G1942" t="str">
        <f t="shared" si="92"/>
        <v>01.110.0000</v>
      </c>
    </row>
    <row r="1943" spans="1:7" hidden="1" x14ac:dyDescent="0.25">
      <c r="A1943" s="6" t="s">
        <v>3967</v>
      </c>
      <c r="B1943" s="28">
        <v>44328</v>
      </c>
      <c r="C1943" s="14" t="s">
        <v>95</v>
      </c>
      <c r="D1943" t="str">
        <f t="shared" si="90"/>
        <v>23.001.04.122.0001.2.011.3.3.90.39.00</v>
      </c>
      <c r="E1943" t="str">
        <f>VLOOKUP(LEFT(A1943,2),ConsolidadoLoa27_ATIVIDADES!A:I,9,0)</f>
        <v>23 - SECRETARIA DE COMUNICAÇÃO</v>
      </c>
      <c r="F1943" t="str">
        <f t="shared" si="91"/>
        <v>2.011</v>
      </c>
      <c r="G1943" t="str">
        <f t="shared" si="92"/>
        <v>01.110.0000</v>
      </c>
    </row>
    <row r="1944" spans="1:7" hidden="1" x14ac:dyDescent="0.25">
      <c r="A1944" s="6" t="s">
        <v>3967</v>
      </c>
      <c r="B1944" s="28">
        <v>14000</v>
      </c>
      <c r="C1944" s="6" t="s">
        <v>106</v>
      </c>
      <c r="D1944" t="str">
        <f t="shared" si="90"/>
        <v>23.001.04.122.0001.2.011.3.3.90.39.00</v>
      </c>
      <c r="E1944" t="str">
        <f>VLOOKUP(LEFT(A1944,2),ConsolidadoLoa27_ATIVIDADES!A:I,9,0)</f>
        <v>23 - SECRETARIA DE COMUNICAÇÃO</v>
      </c>
      <c r="F1944" t="str">
        <f t="shared" si="91"/>
        <v>2.011</v>
      </c>
      <c r="G1944" t="str">
        <f t="shared" si="92"/>
        <v>01.110.0000</v>
      </c>
    </row>
    <row r="1945" spans="1:7" hidden="1" x14ac:dyDescent="0.25">
      <c r="A1945" s="6" t="s">
        <v>3969</v>
      </c>
      <c r="B1945" s="28">
        <v>1</v>
      </c>
      <c r="C1945" s="6" t="s">
        <v>3970</v>
      </c>
      <c r="D1945" t="str">
        <f t="shared" si="90"/>
        <v>23.001.04.128.0002.2.003.3.3.90.39.00</v>
      </c>
      <c r="E1945" t="str">
        <f>VLOOKUP(LEFT(A1945,2),ConsolidadoLoa27_ATIVIDADES!A:I,9,0)</f>
        <v>23 - SECRETARIA DE COMUNICAÇÃO</v>
      </c>
      <c r="F1945" t="str">
        <f t="shared" si="91"/>
        <v>2.003</v>
      </c>
      <c r="G1945" t="str">
        <f t="shared" si="92"/>
        <v>01.110.0000</v>
      </c>
    </row>
    <row r="1946" spans="1:7" hidden="1" x14ac:dyDescent="0.25">
      <c r="A1946" s="6" t="s">
        <v>3971</v>
      </c>
      <c r="B1946" s="28">
        <v>155865</v>
      </c>
      <c r="C1946" s="6" t="s">
        <v>3972</v>
      </c>
      <c r="D1946" t="str">
        <f t="shared" si="90"/>
        <v>23.001.04.131.0002.2.005.3.3.90.30.00</v>
      </c>
      <c r="E1946" t="str">
        <f>VLOOKUP(LEFT(A1946,2),ConsolidadoLoa27_ATIVIDADES!A:I,9,0)</f>
        <v>23 - SECRETARIA DE COMUNICAÇÃO</v>
      </c>
      <c r="F1946" t="str">
        <f t="shared" si="91"/>
        <v>2.005</v>
      </c>
      <c r="G1946" t="str">
        <f t="shared" si="92"/>
        <v>01.110.0000</v>
      </c>
    </row>
    <row r="1947" spans="1:7" hidden="1" x14ac:dyDescent="0.25">
      <c r="A1947" s="6" t="s">
        <v>3971</v>
      </c>
      <c r="B1947" s="28">
        <v>83128</v>
      </c>
      <c r="C1947" s="6" t="s">
        <v>245</v>
      </c>
      <c r="D1947" t="str">
        <f t="shared" si="90"/>
        <v>23.001.04.131.0002.2.005.3.3.90.30.00</v>
      </c>
      <c r="E1947" t="str">
        <f>VLOOKUP(LEFT(A1947,2),ConsolidadoLoa27_ATIVIDADES!A:I,9,0)</f>
        <v>23 - SECRETARIA DE COMUNICAÇÃO</v>
      </c>
      <c r="F1947" t="str">
        <f t="shared" si="91"/>
        <v>2.005</v>
      </c>
      <c r="G1947" t="str">
        <f t="shared" si="92"/>
        <v>01.110.0000</v>
      </c>
    </row>
    <row r="1948" spans="1:7" hidden="1" x14ac:dyDescent="0.25">
      <c r="A1948" s="6" t="s">
        <v>3973</v>
      </c>
      <c r="B1948" s="28">
        <v>83128</v>
      </c>
      <c r="C1948" s="6" t="s">
        <v>198</v>
      </c>
      <c r="D1948" t="str">
        <f t="shared" si="90"/>
        <v>23.001.04.131.0002.2.005.3.3.90.39.00</v>
      </c>
      <c r="E1948" t="str">
        <f>VLOOKUP(LEFT(A1948,2),ConsolidadoLoa27_ATIVIDADES!A:I,9,0)</f>
        <v>23 - SECRETARIA DE COMUNICAÇÃO</v>
      </c>
      <c r="F1948" t="str">
        <f t="shared" si="91"/>
        <v>2.005</v>
      </c>
      <c r="G1948" t="str">
        <f t="shared" si="92"/>
        <v>01.110.0000</v>
      </c>
    </row>
    <row r="1949" spans="1:7" hidden="1" x14ac:dyDescent="0.25">
      <c r="A1949" s="6" t="s">
        <v>3973</v>
      </c>
      <c r="B1949" s="28">
        <v>1</v>
      </c>
      <c r="C1949" s="6" t="s">
        <v>3974</v>
      </c>
      <c r="D1949" t="str">
        <f t="shared" si="90"/>
        <v>23.001.04.131.0002.2.005.3.3.90.39.00</v>
      </c>
      <c r="E1949" t="str">
        <f>VLOOKUP(LEFT(A1949,2),ConsolidadoLoa27_ATIVIDADES!A:I,9,0)</f>
        <v>23 - SECRETARIA DE COMUNICAÇÃO</v>
      </c>
      <c r="F1949" t="str">
        <f t="shared" si="91"/>
        <v>2.005</v>
      </c>
      <c r="G1949" t="str">
        <f t="shared" si="92"/>
        <v>01.110.0000</v>
      </c>
    </row>
    <row r="1950" spans="1:7" hidden="1" x14ac:dyDescent="0.25">
      <c r="A1950" s="6" t="s">
        <v>3973</v>
      </c>
      <c r="B1950" s="28">
        <v>1059060</v>
      </c>
      <c r="C1950" s="14" t="s">
        <v>3815</v>
      </c>
      <c r="D1950" t="str">
        <f t="shared" si="90"/>
        <v>23.001.04.131.0002.2.005.3.3.90.39.00</v>
      </c>
      <c r="E1950" t="str">
        <f>VLOOKUP(LEFT(A1950,2),ConsolidadoLoa27_ATIVIDADES!A:I,9,0)</f>
        <v>23 - SECRETARIA DE COMUNICAÇÃO</v>
      </c>
      <c r="F1950" t="str">
        <f t="shared" si="91"/>
        <v>2.005</v>
      </c>
      <c r="G1950" t="str">
        <f t="shared" si="92"/>
        <v>01.110.0000</v>
      </c>
    </row>
    <row r="1951" spans="1:7" hidden="1" x14ac:dyDescent="0.25">
      <c r="A1951" s="6" t="s">
        <v>3973</v>
      </c>
      <c r="B1951" s="28">
        <v>2956181.8</v>
      </c>
      <c r="C1951" s="6" t="s">
        <v>2293</v>
      </c>
      <c r="D1951" t="str">
        <f t="shared" si="90"/>
        <v>23.001.04.131.0002.2.005.3.3.90.39.00</v>
      </c>
      <c r="E1951" t="str">
        <f>VLOOKUP(LEFT(A1951,2),ConsolidadoLoa27_ATIVIDADES!A:I,9,0)</f>
        <v>23 - SECRETARIA DE COMUNICAÇÃO</v>
      </c>
      <c r="F1951" t="str">
        <f t="shared" si="91"/>
        <v>2.005</v>
      </c>
      <c r="G1951" t="str">
        <f t="shared" si="92"/>
        <v>01.110.0000</v>
      </c>
    </row>
    <row r="1952" spans="1:7" hidden="1" x14ac:dyDescent="0.25">
      <c r="A1952" s="6" t="s">
        <v>3973</v>
      </c>
      <c r="B1952" s="28">
        <v>1</v>
      </c>
      <c r="C1952" s="6" t="s">
        <v>3975</v>
      </c>
      <c r="D1952" t="str">
        <f t="shared" si="90"/>
        <v>23.001.04.131.0002.2.005.3.3.90.39.00</v>
      </c>
      <c r="E1952" t="str">
        <f>VLOOKUP(LEFT(A1952,2),ConsolidadoLoa27_ATIVIDADES!A:I,9,0)</f>
        <v>23 - SECRETARIA DE COMUNICAÇÃO</v>
      </c>
      <c r="F1952" t="str">
        <f t="shared" si="91"/>
        <v>2.005</v>
      </c>
      <c r="G1952" t="str">
        <f t="shared" si="92"/>
        <v>01.110.0000</v>
      </c>
    </row>
    <row r="1953" spans="1:7" hidden="1" x14ac:dyDescent="0.25">
      <c r="A1953" s="6" t="s">
        <v>3973</v>
      </c>
      <c r="B1953" s="28">
        <v>207817.92180000001</v>
      </c>
      <c r="C1953" s="6" t="s">
        <v>3976</v>
      </c>
      <c r="D1953" t="str">
        <f t="shared" si="90"/>
        <v>23.001.04.131.0002.2.005.3.3.90.39.00</v>
      </c>
      <c r="E1953" t="str">
        <f>VLOOKUP(LEFT(A1953,2),ConsolidadoLoa27_ATIVIDADES!A:I,9,0)</f>
        <v>23 - SECRETARIA DE COMUNICAÇÃO</v>
      </c>
      <c r="F1953" t="str">
        <f t="shared" si="91"/>
        <v>2.005</v>
      </c>
      <c r="G1953" t="str">
        <f t="shared" si="92"/>
        <v>01.110.0000</v>
      </c>
    </row>
    <row r="1954" spans="1:7" hidden="1" x14ac:dyDescent="0.25">
      <c r="A1954" s="6" t="s">
        <v>3973</v>
      </c>
      <c r="B1954" s="28">
        <v>5184758.2</v>
      </c>
      <c r="C1954" s="6" t="s">
        <v>196</v>
      </c>
      <c r="D1954" t="str">
        <f t="shared" si="90"/>
        <v>23.001.04.131.0002.2.005.3.3.90.39.00</v>
      </c>
      <c r="E1954" t="str">
        <f>VLOOKUP(LEFT(A1954,2),ConsolidadoLoa27_ATIVIDADES!A:I,9,0)</f>
        <v>23 - SECRETARIA DE COMUNICAÇÃO</v>
      </c>
      <c r="F1954" t="str">
        <f t="shared" si="91"/>
        <v>2.005</v>
      </c>
      <c r="G1954" t="str">
        <f t="shared" si="92"/>
        <v>01.110.0000</v>
      </c>
    </row>
    <row r="1955" spans="1:7" hidden="1" x14ac:dyDescent="0.25">
      <c r="A1955" s="6" t="s">
        <v>3977</v>
      </c>
      <c r="B1955" s="28">
        <v>0</v>
      </c>
      <c r="C1955" s="6" t="s">
        <v>3978</v>
      </c>
      <c r="D1955" t="str">
        <f t="shared" si="90"/>
        <v>23.001.04.131.0002.2.005.3.3.90.39.00</v>
      </c>
      <c r="E1955" t="str">
        <f>VLOOKUP(LEFT(A1955,2),ConsolidadoLoa27_ATIVIDADES!A:I,9,0)</f>
        <v>23 - SECRETARIA DE COMUNICAÇÃO</v>
      </c>
      <c r="F1955" t="str">
        <f t="shared" si="91"/>
        <v>2.005</v>
      </c>
      <c r="G1955" t="str">
        <f t="shared" si="92"/>
        <v>08.110.0000</v>
      </c>
    </row>
    <row r="1956" spans="1:7" hidden="1" x14ac:dyDescent="0.25">
      <c r="A1956" s="6" t="s">
        <v>3979</v>
      </c>
      <c r="B1956" s="28">
        <v>0</v>
      </c>
      <c r="C1956" s="6" t="s">
        <v>2271</v>
      </c>
      <c r="D1956" t="str">
        <f t="shared" si="90"/>
        <v>24.001.04.121.0004.1.001.3.3.90.35.00</v>
      </c>
      <c r="E1956" t="str">
        <f>VLOOKUP(LEFT(A1956,2),ConsolidadoLoa27_ATIVIDADES!A:I,9,0)</f>
        <v>24 - SECRETARIA DE PLANEJAMENTO E GESTÃO</v>
      </c>
      <c r="F1956" t="str">
        <f t="shared" si="91"/>
        <v>1.001</v>
      </c>
      <c r="G1956" t="str">
        <f t="shared" si="92"/>
        <v>01.110.0000</v>
      </c>
    </row>
    <row r="1957" spans="1:7" hidden="1" x14ac:dyDescent="0.25">
      <c r="A1957" s="6" t="s">
        <v>3980</v>
      </c>
      <c r="B1957" s="28">
        <v>1</v>
      </c>
      <c r="C1957" s="6" t="s">
        <v>2271</v>
      </c>
      <c r="D1957" t="str">
        <f t="shared" si="90"/>
        <v>24.001.04.121.0004.1.001.3.3.90.36.00</v>
      </c>
      <c r="E1957" t="str">
        <f>VLOOKUP(LEFT(A1957,2),ConsolidadoLoa27_ATIVIDADES!A:I,9,0)</f>
        <v>24 - SECRETARIA DE PLANEJAMENTO E GESTÃO</v>
      </c>
      <c r="F1957" t="str">
        <f t="shared" si="91"/>
        <v>1.001</v>
      </c>
      <c r="G1957" t="str">
        <f t="shared" si="92"/>
        <v>01.110.0000</v>
      </c>
    </row>
    <row r="1958" spans="1:7" hidden="1" x14ac:dyDescent="0.25">
      <c r="A1958" s="6" t="s">
        <v>3981</v>
      </c>
      <c r="B1958" s="28">
        <v>0</v>
      </c>
      <c r="C1958" s="6" t="s">
        <v>897</v>
      </c>
      <c r="D1958" t="str">
        <f t="shared" si="90"/>
        <v>24.001.04.121.0004.1.001.3.3.90.39.00</v>
      </c>
      <c r="E1958" t="str">
        <f>VLOOKUP(LEFT(A1958,2),ConsolidadoLoa27_ATIVIDADES!A:I,9,0)</f>
        <v>24 - SECRETARIA DE PLANEJAMENTO E GESTÃO</v>
      </c>
      <c r="F1958" t="str">
        <f t="shared" si="91"/>
        <v>1.001</v>
      </c>
      <c r="G1958" t="str">
        <f t="shared" si="92"/>
        <v>01.110.0000</v>
      </c>
    </row>
    <row r="1959" spans="1:7" hidden="1" x14ac:dyDescent="0.25">
      <c r="A1959" s="6" t="s">
        <v>3981</v>
      </c>
      <c r="B1959" s="28">
        <v>1</v>
      </c>
      <c r="C1959" s="6" t="s">
        <v>2271</v>
      </c>
      <c r="D1959" t="str">
        <f t="shared" si="90"/>
        <v>24.001.04.121.0004.1.001.3.3.90.39.00</v>
      </c>
      <c r="E1959" t="str">
        <f>VLOOKUP(LEFT(A1959,2),ConsolidadoLoa27_ATIVIDADES!A:I,9,0)</f>
        <v>24 - SECRETARIA DE PLANEJAMENTO E GESTÃO</v>
      </c>
      <c r="F1959" t="str">
        <f t="shared" si="91"/>
        <v>1.001</v>
      </c>
      <c r="G1959" t="str">
        <f t="shared" si="92"/>
        <v>01.110.0000</v>
      </c>
    </row>
    <row r="1960" spans="1:7" hidden="1" x14ac:dyDescent="0.25">
      <c r="A1960" s="6" t="s">
        <v>3982</v>
      </c>
      <c r="B1960" s="28">
        <v>1</v>
      </c>
      <c r="C1960" s="6" t="s">
        <v>2271</v>
      </c>
      <c r="D1960" t="str">
        <f t="shared" si="90"/>
        <v>24.001.04.121.0004.1.001.3.3.90.48.00</v>
      </c>
      <c r="E1960" t="str">
        <f>VLOOKUP(LEFT(A1960,2),ConsolidadoLoa27_ATIVIDADES!A:I,9,0)</f>
        <v>24 - SECRETARIA DE PLANEJAMENTO E GESTÃO</v>
      </c>
      <c r="F1960" t="str">
        <f t="shared" si="91"/>
        <v>1.001</v>
      </c>
      <c r="G1960" t="str">
        <f t="shared" si="92"/>
        <v>01.110.0000</v>
      </c>
    </row>
    <row r="1961" spans="1:7" hidden="1" x14ac:dyDescent="0.25">
      <c r="A1961" s="6" t="s">
        <v>3983</v>
      </c>
      <c r="B1961" s="28">
        <v>1</v>
      </c>
      <c r="C1961" s="12" t="s">
        <v>3984</v>
      </c>
      <c r="D1961" t="str">
        <f t="shared" si="90"/>
        <v>24.001.04.122.0001.1.002.3.3.90.39.00</v>
      </c>
      <c r="E1961" t="str">
        <f>VLOOKUP(LEFT(A1961,2),ConsolidadoLoa27_ATIVIDADES!A:I,9,0)</f>
        <v>24 - SECRETARIA DE PLANEJAMENTO E GESTÃO</v>
      </c>
      <c r="F1961" t="str">
        <f t="shared" si="91"/>
        <v>1.002</v>
      </c>
      <c r="G1961" t="str">
        <f t="shared" si="92"/>
        <v>01.110.0000</v>
      </c>
    </row>
    <row r="1962" spans="1:7" hidden="1" x14ac:dyDescent="0.25">
      <c r="A1962" s="6" t="s">
        <v>3985</v>
      </c>
      <c r="B1962" s="28">
        <v>12567952.050000001</v>
      </c>
      <c r="C1962" s="6" t="s">
        <v>847</v>
      </c>
      <c r="D1962" t="str">
        <f t="shared" si="90"/>
        <v>24.001.04.122.0001.2.001.3.1.90.11.00</v>
      </c>
      <c r="E1962" t="str">
        <f>VLOOKUP(LEFT(A1962,2),ConsolidadoLoa27_ATIVIDADES!A:I,9,0)</f>
        <v>24 - SECRETARIA DE PLANEJAMENTO E GESTÃO</v>
      </c>
      <c r="F1962" t="str">
        <f t="shared" si="91"/>
        <v>2.001</v>
      </c>
      <c r="G1962" t="str">
        <f t="shared" si="92"/>
        <v>01.110.0000</v>
      </c>
    </row>
    <row r="1963" spans="1:7" hidden="1" x14ac:dyDescent="0.25">
      <c r="A1963" s="6" t="s">
        <v>3986</v>
      </c>
      <c r="B1963" s="28">
        <v>1886196.12</v>
      </c>
      <c r="C1963" s="6" t="s">
        <v>847</v>
      </c>
      <c r="D1963" t="str">
        <f t="shared" si="90"/>
        <v>24.001.04.122.0001.2.001.3.1.90.13.00</v>
      </c>
      <c r="E1963" t="str">
        <f>VLOOKUP(LEFT(A1963,2),ConsolidadoLoa27_ATIVIDADES!A:I,9,0)</f>
        <v>24 - SECRETARIA DE PLANEJAMENTO E GESTÃO</v>
      </c>
      <c r="F1963" t="str">
        <f t="shared" si="91"/>
        <v>2.001</v>
      </c>
      <c r="G1963" t="str">
        <f t="shared" si="92"/>
        <v>01.110.0000</v>
      </c>
    </row>
    <row r="1964" spans="1:7" hidden="1" x14ac:dyDescent="0.25">
      <c r="A1964" s="6" t="s">
        <v>3987</v>
      </c>
      <c r="B1964" s="28">
        <v>986150.97</v>
      </c>
      <c r="C1964" s="12" t="s">
        <v>847</v>
      </c>
      <c r="D1964" t="str">
        <f t="shared" si="90"/>
        <v>24.001.04.122.0001.2.001.3.1.91.13.00</v>
      </c>
      <c r="E1964" t="str">
        <f>VLOOKUP(LEFT(A1964,2),ConsolidadoLoa27_ATIVIDADES!A:I,9,0)</f>
        <v>24 - SECRETARIA DE PLANEJAMENTO E GESTÃO</v>
      </c>
      <c r="F1964" t="str">
        <f t="shared" si="91"/>
        <v>2.001</v>
      </c>
      <c r="G1964" t="str">
        <f t="shared" si="92"/>
        <v>01.110.0000</v>
      </c>
    </row>
    <row r="1965" spans="1:7" hidden="1" x14ac:dyDescent="0.25">
      <c r="A1965" s="6" t="s">
        <v>3988</v>
      </c>
      <c r="B1965" s="28">
        <v>5.45</v>
      </c>
      <c r="C1965" s="6" t="s">
        <v>2278</v>
      </c>
      <c r="D1965" t="str">
        <f t="shared" si="90"/>
        <v>24.001.04.122.0001.2.001.3.3.90.46.00</v>
      </c>
      <c r="E1965" t="str">
        <f>VLOOKUP(LEFT(A1965,2),ConsolidadoLoa27_ATIVIDADES!A:I,9,0)</f>
        <v>24 - SECRETARIA DE PLANEJAMENTO E GESTÃO</v>
      </c>
      <c r="F1965" t="str">
        <f t="shared" si="91"/>
        <v>2.001</v>
      </c>
      <c r="G1965" t="str">
        <f t="shared" si="92"/>
        <v>01.110.0000</v>
      </c>
    </row>
    <row r="1966" spans="1:7" hidden="1" x14ac:dyDescent="0.25">
      <c r="A1966" s="6" t="s">
        <v>3989</v>
      </c>
      <c r="B1966" s="28">
        <v>116160.94</v>
      </c>
      <c r="C1966" s="6" t="s">
        <v>2280</v>
      </c>
      <c r="D1966" t="str">
        <f t="shared" si="90"/>
        <v>24.001.04.122.0001.2.001.3.3.90.49.00</v>
      </c>
      <c r="E1966" t="str">
        <f>VLOOKUP(LEFT(A1966,2),ConsolidadoLoa27_ATIVIDADES!A:I,9,0)</f>
        <v>24 - SECRETARIA DE PLANEJAMENTO E GESTÃO</v>
      </c>
      <c r="F1966" t="str">
        <f t="shared" si="91"/>
        <v>2.001</v>
      </c>
      <c r="G1966" t="str">
        <f t="shared" si="92"/>
        <v>01.110.0000</v>
      </c>
    </row>
    <row r="1967" spans="1:7" hidden="1" x14ac:dyDescent="0.25">
      <c r="A1967" s="6" t="s">
        <v>3990</v>
      </c>
      <c r="B1967" s="28">
        <v>1</v>
      </c>
      <c r="C1967" s="6" t="s">
        <v>2282</v>
      </c>
      <c r="D1967" t="str">
        <f t="shared" si="90"/>
        <v>24.001.04.122.0001.2.006.3.3.90.33.00</v>
      </c>
      <c r="E1967" t="str">
        <f>VLOOKUP(LEFT(A1967,2),ConsolidadoLoa27_ATIVIDADES!A:I,9,0)</f>
        <v>24 - SECRETARIA DE PLANEJAMENTO E GESTÃO</v>
      </c>
      <c r="F1967" t="str">
        <f t="shared" si="91"/>
        <v>2.006</v>
      </c>
      <c r="G1967" t="str">
        <f t="shared" si="92"/>
        <v>01.110.0000</v>
      </c>
    </row>
    <row r="1968" spans="1:7" hidden="1" x14ac:dyDescent="0.25">
      <c r="A1968" s="6" t="s">
        <v>3991</v>
      </c>
      <c r="B1968" s="28">
        <v>1</v>
      </c>
      <c r="C1968" s="6" t="s">
        <v>421</v>
      </c>
      <c r="D1968" t="str">
        <f t="shared" si="90"/>
        <v>24.001.04.122.0001.2.006.3.3.90.39.00</v>
      </c>
      <c r="E1968" t="str">
        <f>VLOOKUP(LEFT(A1968,2),ConsolidadoLoa27_ATIVIDADES!A:I,9,0)</f>
        <v>24 - SECRETARIA DE PLANEJAMENTO E GESTÃO</v>
      </c>
      <c r="F1968" t="str">
        <f t="shared" si="91"/>
        <v>2.006</v>
      </c>
      <c r="G1968" t="str">
        <f t="shared" si="92"/>
        <v>01.110.0000</v>
      </c>
    </row>
    <row r="1969" spans="1:7" hidden="1" x14ac:dyDescent="0.25">
      <c r="A1969" s="6" t="s">
        <v>3992</v>
      </c>
      <c r="B1969" s="28">
        <v>25977.5</v>
      </c>
      <c r="C1969" s="6" t="s">
        <v>2288</v>
      </c>
      <c r="D1969" t="str">
        <f t="shared" si="90"/>
        <v>24.001.04.122.0001.2.011.3.3.90.30.00</v>
      </c>
      <c r="E1969" t="str">
        <f>VLOOKUP(LEFT(A1969,2),ConsolidadoLoa27_ATIVIDADES!A:I,9,0)</f>
        <v>24 - SECRETARIA DE PLANEJAMENTO E GESTÃO</v>
      </c>
      <c r="F1969" t="str">
        <f t="shared" si="91"/>
        <v>2.011</v>
      </c>
      <c r="G1969" t="str">
        <f t="shared" si="92"/>
        <v>01.110.0000</v>
      </c>
    </row>
    <row r="1970" spans="1:7" hidden="1" x14ac:dyDescent="0.25">
      <c r="A1970" s="6" t="s">
        <v>3992</v>
      </c>
      <c r="B1970" s="28">
        <v>25977.5</v>
      </c>
      <c r="C1970" s="6" t="s">
        <v>2295</v>
      </c>
      <c r="D1970" t="str">
        <f t="shared" si="90"/>
        <v>24.001.04.122.0001.2.011.3.3.90.30.00</v>
      </c>
      <c r="E1970" t="str">
        <f>VLOOKUP(LEFT(A1970,2),ConsolidadoLoa27_ATIVIDADES!A:I,9,0)</f>
        <v>24 - SECRETARIA DE PLANEJAMENTO E GESTÃO</v>
      </c>
      <c r="F1970" t="str">
        <f t="shared" si="91"/>
        <v>2.011</v>
      </c>
      <c r="G1970" t="str">
        <f t="shared" si="92"/>
        <v>01.110.0000</v>
      </c>
    </row>
    <row r="1971" spans="1:7" hidden="1" x14ac:dyDescent="0.25">
      <c r="A1971" s="6" t="s">
        <v>3992</v>
      </c>
      <c r="B1971" s="28">
        <v>25977.5</v>
      </c>
      <c r="C1971" s="14" t="s">
        <v>107</v>
      </c>
      <c r="D1971" t="str">
        <f t="shared" si="90"/>
        <v>24.001.04.122.0001.2.011.3.3.90.30.00</v>
      </c>
      <c r="E1971" t="str">
        <f>VLOOKUP(LEFT(A1971,2),ConsolidadoLoa27_ATIVIDADES!A:I,9,0)</f>
        <v>24 - SECRETARIA DE PLANEJAMENTO E GESTÃO</v>
      </c>
      <c r="F1971" t="str">
        <f t="shared" si="91"/>
        <v>2.011</v>
      </c>
      <c r="G1971" t="str">
        <f t="shared" si="92"/>
        <v>01.110.0000</v>
      </c>
    </row>
    <row r="1972" spans="1:7" hidden="1" x14ac:dyDescent="0.25">
      <c r="A1972" s="6" t="s">
        <v>3992</v>
      </c>
      <c r="B1972" s="28">
        <v>25977.5</v>
      </c>
      <c r="C1972" s="6" t="s">
        <v>2289</v>
      </c>
      <c r="D1972" t="str">
        <f t="shared" si="90"/>
        <v>24.001.04.122.0001.2.011.3.3.90.30.00</v>
      </c>
      <c r="E1972" t="str">
        <f>VLOOKUP(LEFT(A1972,2),ConsolidadoLoa27_ATIVIDADES!A:I,9,0)</f>
        <v>24 - SECRETARIA DE PLANEJAMENTO E GESTÃO</v>
      </c>
      <c r="F1972" t="str">
        <f t="shared" si="91"/>
        <v>2.011</v>
      </c>
      <c r="G1972" t="str">
        <f t="shared" si="92"/>
        <v>01.110.0000</v>
      </c>
    </row>
    <row r="1973" spans="1:7" hidden="1" x14ac:dyDescent="0.25">
      <c r="A1973" s="6" t="s">
        <v>3993</v>
      </c>
      <c r="B1973" s="28">
        <v>0</v>
      </c>
      <c r="C1973" s="6" t="s">
        <v>897</v>
      </c>
      <c r="D1973" t="str">
        <f t="shared" si="90"/>
        <v>24.001.04.122.0001.2.011.3.3.90.39.00</v>
      </c>
      <c r="E1973" t="str">
        <f>VLOOKUP(LEFT(A1973,2),ConsolidadoLoa27_ATIVIDADES!A:I,9,0)</f>
        <v>24 - SECRETARIA DE PLANEJAMENTO E GESTÃO</v>
      </c>
      <c r="F1973" t="str">
        <f t="shared" si="91"/>
        <v>2.011</v>
      </c>
      <c r="G1973" t="str">
        <f t="shared" si="92"/>
        <v>01.110.0000</v>
      </c>
    </row>
    <row r="1974" spans="1:7" hidden="1" x14ac:dyDescent="0.25">
      <c r="A1974" s="6" t="s">
        <v>3993</v>
      </c>
      <c r="B1974" s="28">
        <v>88656</v>
      </c>
      <c r="C1974" s="14" t="s">
        <v>95</v>
      </c>
      <c r="D1974" t="str">
        <f t="shared" si="90"/>
        <v>24.001.04.122.0001.2.011.3.3.90.39.00</v>
      </c>
      <c r="E1974" t="str">
        <f>VLOOKUP(LEFT(A1974,2),ConsolidadoLoa27_ATIVIDADES!A:I,9,0)</f>
        <v>24 - SECRETARIA DE PLANEJAMENTO E GESTÃO</v>
      </c>
      <c r="F1974" t="str">
        <f t="shared" si="91"/>
        <v>2.011</v>
      </c>
      <c r="G1974" t="str">
        <f t="shared" si="92"/>
        <v>01.110.0000</v>
      </c>
    </row>
    <row r="1975" spans="1:7" hidden="1" x14ac:dyDescent="0.25">
      <c r="A1975" s="6" t="s">
        <v>3993</v>
      </c>
      <c r="B1975" s="28">
        <v>0</v>
      </c>
      <c r="C1975" s="14" t="s">
        <v>107</v>
      </c>
      <c r="D1975" t="str">
        <f t="shared" si="90"/>
        <v>24.001.04.122.0001.2.011.3.3.90.39.00</v>
      </c>
      <c r="E1975" t="str">
        <f>VLOOKUP(LEFT(A1975,2),ConsolidadoLoa27_ATIVIDADES!A:I,9,0)</f>
        <v>24 - SECRETARIA DE PLANEJAMENTO E GESTÃO</v>
      </c>
      <c r="F1975" t="str">
        <f t="shared" si="91"/>
        <v>2.011</v>
      </c>
      <c r="G1975" t="str">
        <f t="shared" si="92"/>
        <v>01.110.0000</v>
      </c>
    </row>
    <row r="1976" spans="1:7" hidden="1" x14ac:dyDescent="0.25">
      <c r="A1976" s="6" t="s">
        <v>3993</v>
      </c>
      <c r="B1976" s="28">
        <v>0</v>
      </c>
      <c r="C1976" s="6" t="s">
        <v>388</v>
      </c>
      <c r="D1976" t="str">
        <f t="shared" si="90"/>
        <v>24.001.04.122.0001.2.011.3.3.90.39.00</v>
      </c>
      <c r="E1976" t="str">
        <f>VLOOKUP(LEFT(A1976,2),ConsolidadoLoa27_ATIVIDADES!A:I,9,0)</f>
        <v>24 - SECRETARIA DE PLANEJAMENTO E GESTÃO</v>
      </c>
      <c r="F1976" t="str">
        <f t="shared" si="91"/>
        <v>2.011</v>
      </c>
      <c r="G1976" t="str">
        <f t="shared" si="92"/>
        <v>01.110.0000</v>
      </c>
    </row>
    <row r="1977" spans="1:7" hidden="1" x14ac:dyDescent="0.25">
      <c r="A1977" s="6" t="s">
        <v>3993</v>
      </c>
      <c r="B1977" s="28">
        <v>13242.2904</v>
      </c>
      <c r="C1977" s="6" t="s">
        <v>106</v>
      </c>
      <c r="D1977" t="str">
        <f t="shared" si="90"/>
        <v>24.001.04.122.0001.2.011.3.3.90.39.00</v>
      </c>
      <c r="E1977" t="str">
        <f>VLOOKUP(LEFT(A1977,2),ConsolidadoLoa27_ATIVIDADES!A:I,9,0)</f>
        <v>24 - SECRETARIA DE PLANEJAMENTO E GESTÃO</v>
      </c>
      <c r="F1977" t="str">
        <f t="shared" si="91"/>
        <v>2.011</v>
      </c>
      <c r="G1977" t="str">
        <f t="shared" si="92"/>
        <v>01.110.0000</v>
      </c>
    </row>
    <row r="1978" spans="1:7" hidden="1" x14ac:dyDescent="0.25">
      <c r="A1978" s="6" t="s">
        <v>3994</v>
      </c>
      <c r="B1978" s="28">
        <v>0</v>
      </c>
      <c r="C1978" s="6" t="s">
        <v>897</v>
      </c>
      <c r="D1978" t="str">
        <f t="shared" si="90"/>
        <v>24.001.04.122.0001.2.011.4.4.90.51.00</v>
      </c>
      <c r="E1978" t="str">
        <f>VLOOKUP(LEFT(A1978,2),ConsolidadoLoa27_ATIVIDADES!A:I,9,0)</f>
        <v>24 - SECRETARIA DE PLANEJAMENTO E GESTÃO</v>
      </c>
      <c r="F1978" t="str">
        <f t="shared" si="91"/>
        <v>2.011</v>
      </c>
      <c r="G1978" t="str">
        <f t="shared" si="92"/>
        <v>01.110.0000</v>
      </c>
    </row>
    <row r="1979" spans="1:7" hidden="1" x14ac:dyDescent="0.25">
      <c r="A1979" s="6" t="s">
        <v>3995</v>
      </c>
      <c r="B1979" s="28">
        <v>0</v>
      </c>
      <c r="C1979" s="6" t="s">
        <v>897</v>
      </c>
      <c r="D1979" t="str">
        <f t="shared" si="90"/>
        <v>24.001.04.122.0001.2.011.4.4.90.52.00</v>
      </c>
      <c r="E1979" t="str">
        <f>VLOOKUP(LEFT(A1979,2),ConsolidadoLoa27_ATIVIDADES!A:I,9,0)</f>
        <v>24 - SECRETARIA DE PLANEJAMENTO E GESTÃO</v>
      </c>
      <c r="F1979" t="str">
        <f t="shared" si="91"/>
        <v>2.011</v>
      </c>
      <c r="G1979" t="str">
        <f t="shared" si="92"/>
        <v>01.110.0000</v>
      </c>
    </row>
    <row r="1980" spans="1:7" hidden="1" x14ac:dyDescent="0.25">
      <c r="A1980" s="6" t="s">
        <v>3995</v>
      </c>
      <c r="B1980" s="28">
        <v>31173</v>
      </c>
      <c r="C1980" s="6" t="s">
        <v>2520</v>
      </c>
      <c r="D1980" t="str">
        <f t="shared" si="90"/>
        <v>24.001.04.122.0001.2.011.4.4.90.52.00</v>
      </c>
      <c r="E1980" t="str">
        <f>VLOOKUP(LEFT(A1980,2),ConsolidadoLoa27_ATIVIDADES!A:I,9,0)</f>
        <v>24 - SECRETARIA DE PLANEJAMENTO E GESTÃO</v>
      </c>
      <c r="F1980" t="str">
        <f t="shared" si="91"/>
        <v>2.011</v>
      </c>
      <c r="G1980" t="str">
        <f t="shared" si="92"/>
        <v>01.110.0000</v>
      </c>
    </row>
    <row r="1981" spans="1:7" hidden="1" x14ac:dyDescent="0.25">
      <c r="A1981" s="6" t="s">
        <v>3995</v>
      </c>
      <c r="B1981" s="28">
        <v>31173</v>
      </c>
      <c r="C1981" s="6" t="s">
        <v>2498</v>
      </c>
      <c r="D1981" t="str">
        <f t="shared" si="90"/>
        <v>24.001.04.122.0001.2.011.4.4.90.52.00</v>
      </c>
      <c r="E1981" t="str">
        <f>VLOOKUP(LEFT(A1981,2),ConsolidadoLoa27_ATIVIDADES!A:I,9,0)</f>
        <v>24 - SECRETARIA DE PLANEJAMENTO E GESTÃO</v>
      </c>
      <c r="F1981" t="str">
        <f t="shared" si="91"/>
        <v>2.011</v>
      </c>
      <c r="G1981" t="str">
        <f t="shared" si="92"/>
        <v>01.110.0000</v>
      </c>
    </row>
    <row r="1982" spans="1:7" hidden="1" x14ac:dyDescent="0.25">
      <c r="A1982" s="6" t="s">
        <v>3996</v>
      </c>
      <c r="B1982" s="28">
        <v>20782</v>
      </c>
      <c r="C1982" s="6" t="s">
        <v>3997</v>
      </c>
      <c r="D1982" t="str">
        <f t="shared" si="90"/>
        <v>24.001.04.126.0002.2.007.3.3.90.40.00</v>
      </c>
      <c r="E1982" t="str">
        <f>VLOOKUP(LEFT(A1982,2),ConsolidadoLoa27_ATIVIDADES!A:I,9,0)</f>
        <v>24 - SECRETARIA DE PLANEJAMENTO E GESTÃO</v>
      </c>
      <c r="F1982" t="str">
        <f t="shared" si="91"/>
        <v>2.007</v>
      </c>
      <c r="G1982" t="str">
        <f t="shared" si="92"/>
        <v>01.110.0000</v>
      </c>
    </row>
    <row r="1983" spans="1:7" hidden="1" x14ac:dyDescent="0.25">
      <c r="A1983" s="6" t="s">
        <v>3998</v>
      </c>
      <c r="B1983" s="28">
        <v>1</v>
      </c>
      <c r="C1983" s="6" t="s">
        <v>245</v>
      </c>
      <c r="D1983" t="str">
        <f t="shared" si="90"/>
        <v>24.001.04.128.0002.2.003.3.3.90.30.00</v>
      </c>
      <c r="E1983" t="str">
        <f>VLOOKUP(LEFT(A1983,2),ConsolidadoLoa27_ATIVIDADES!A:I,9,0)</f>
        <v>24 - SECRETARIA DE PLANEJAMENTO E GESTÃO</v>
      </c>
      <c r="F1983" t="str">
        <f t="shared" si="91"/>
        <v>2.003</v>
      </c>
      <c r="G1983" t="str">
        <f t="shared" si="92"/>
        <v>01.110.0000</v>
      </c>
    </row>
    <row r="1984" spans="1:7" hidden="1" x14ac:dyDescent="0.25">
      <c r="A1984" s="6" t="s">
        <v>3999</v>
      </c>
      <c r="B1984" s="28">
        <v>1</v>
      </c>
      <c r="C1984" s="6" t="s">
        <v>4000</v>
      </c>
      <c r="D1984" t="str">
        <f t="shared" si="90"/>
        <v>24.001.04.128.0002.2.003.3.3.90.36.00</v>
      </c>
      <c r="E1984" t="str">
        <f>VLOOKUP(LEFT(A1984,2),ConsolidadoLoa27_ATIVIDADES!A:I,9,0)</f>
        <v>24 - SECRETARIA DE PLANEJAMENTO E GESTÃO</v>
      </c>
      <c r="F1984" t="str">
        <f t="shared" si="91"/>
        <v>2.003</v>
      </c>
      <c r="G1984" t="str">
        <f t="shared" si="92"/>
        <v>01.110.0000</v>
      </c>
    </row>
    <row r="1985" spans="1:7" hidden="1" x14ac:dyDescent="0.25">
      <c r="A1985" s="6" t="s">
        <v>4001</v>
      </c>
      <c r="B1985" s="28">
        <v>1</v>
      </c>
      <c r="C1985" s="6" t="s">
        <v>198</v>
      </c>
      <c r="D1985" t="str">
        <f t="shared" si="90"/>
        <v>24.001.04.128.0002.2.003.3.3.90.39.00</v>
      </c>
      <c r="E1985" t="str">
        <f>VLOOKUP(LEFT(A1985,2),ConsolidadoLoa27_ATIVIDADES!A:I,9,0)</f>
        <v>24 - SECRETARIA DE PLANEJAMENTO E GESTÃO</v>
      </c>
      <c r="F1985" t="str">
        <f t="shared" si="91"/>
        <v>2.003</v>
      </c>
      <c r="G1985" t="str">
        <f t="shared" si="92"/>
        <v>01.110.0000</v>
      </c>
    </row>
    <row r="1986" spans="1:7" hidden="1" x14ac:dyDescent="0.25">
      <c r="A1986" s="6" t="s">
        <v>4001</v>
      </c>
      <c r="B1986" s="28">
        <v>1</v>
      </c>
      <c r="C1986" s="6" t="s">
        <v>4000</v>
      </c>
      <c r="D1986" t="str">
        <f t="shared" si="90"/>
        <v>24.001.04.128.0002.2.003.3.3.90.39.00</v>
      </c>
      <c r="E1986" t="str">
        <f>VLOOKUP(LEFT(A1986,2),ConsolidadoLoa27_ATIVIDADES!A:I,9,0)</f>
        <v>24 - SECRETARIA DE PLANEJAMENTO E GESTÃO</v>
      </c>
      <c r="F1986" t="str">
        <f t="shared" si="91"/>
        <v>2.003</v>
      </c>
      <c r="G1986" t="str">
        <f t="shared" si="92"/>
        <v>01.110.0000</v>
      </c>
    </row>
    <row r="1987" spans="1:7" hidden="1" x14ac:dyDescent="0.25">
      <c r="A1987" s="6" t="s">
        <v>4001</v>
      </c>
      <c r="B1987" s="28">
        <v>1</v>
      </c>
      <c r="C1987" s="6" t="s">
        <v>196</v>
      </c>
      <c r="D1987" t="str">
        <f t="shared" ref="D1987:D2050" si="93">_xlfn.CONCAT(LEFT(A1987,34),".00")</f>
        <v>24.001.04.128.0002.2.003.3.3.90.39.00</v>
      </c>
      <c r="E1987" t="str">
        <f>VLOOKUP(LEFT(A1987,2),ConsolidadoLoa27_ATIVIDADES!A:I,9,0)</f>
        <v>24 - SECRETARIA DE PLANEJAMENTO E GESTÃO</v>
      </c>
      <c r="F1987" t="str">
        <f t="shared" ref="F1987:F2050" si="94">MID(A1987,20,5)</f>
        <v>2.003</v>
      </c>
      <c r="G1987" t="str">
        <f t="shared" ref="G1987:G2050" si="95">RIGHT(A1987,11)</f>
        <v>01.110.0000</v>
      </c>
    </row>
    <row r="1988" spans="1:7" hidden="1" x14ac:dyDescent="0.25">
      <c r="A1988" s="6" t="s">
        <v>4002</v>
      </c>
      <c r="B1988" s="28">
        <v>259775</v>
      </c>
      <c r="C1988" s="6" t="s">
        <v>245</v>
      </c>
      <c r="D1988" t="str">
        <f t="shared" si="93"/>
        <v>24.001.04.131.0002.2.005.3.3.90.30.00</v>
      </c>
      <c r="E1988" t="str">
        <f>VLOOKUP(LEFT(A1988,2),ConsolidadoLoa27_ATIVIDADES!A:I,9,0)</f>
        <v>24 - SECRETARIA DE PLANEJAMENTO E GESTÃO</v>
      </c>
      <c r="F1988" t="str">
        <f t="shared" si="94"/>
        <v>2.005</v>
      </c>
      <c r="G1988" t="str">
        <f t="shared" si="95"/>
        <v>01.110.0000</v>
      </c>
    </row>
    <row r="1989" spans="1:7" hidden="1" x14ac:dyDescent="0.25">
      <c r="A1989" s="6" t="s">
        <v>4003</v>
      </c>
      <c r="B1989" s="28">
        <v>207820</v>
      </c>
      <c r="C1989" s="6" t="s">
        <v>4004</v>
      </c>
      <c r="D1989" t="str">
        <f t="shared" si="93"/>
        <v>24.001.04.131.0002.2.005.3.3.90.31.00</v>
      </c>
      <c r="E1989" t="str">
        <f>VLOOKUP(LEFT(A1989,2),ConsolidadoLoa27_ATIVIDADES!A:I,9,0)</f>
        <v>24 - SECRETARIA DE PLANEJAMENTO E GESTÃO</v>
      </c>
      <c r="F1989" t="str">
        <f t="shared" si="94"/>
        <v>2.005</v>
      </c>
      <c r="G1989" t="str">
        <f t="shared" si="95"/>
        <v>01.110.0000</v>
      </c>
    </row>
    <row r="1990" spans="1:7" hidden="1" x14ac:dyDescent="0.25">
      <c r="A1990" s="6" t="s">
        <v>4005</v>
      </c>
      <c r="B1990" s="28">
        <v>250000</v>
      </c>
      <c r="C1990" s="6" t="s">
        <v>198</v>
      </c>
      <c r="D1990" t="str">
        <f t="shared" si="93"/>
        <v>24.001.04.131.0002.2.005.3.3.90.39.00</v>
      </c>
      <c r="E1990" t="str">
        <f>VLOOKUP(LEFT(A1990,2),ConsolidadoLoa27_ATIVIDADES!A:I,9,0)</f>
        <v>24 - SECRETARIA DE PLANEJAMENTO E GESTÃO</v>
      </c>
      <c r="F1990" t="str">
        <f t="shared" si="94"/>
        <v>2.005</v>
      </c>
      <c r="G1990" t="str">
        <f t="shared" si="95"/>
        <v>01.110.0000</v>
      </c>
    </row>
    <row r="1991" spans="1:7" hidden="1" x14ac:dyDescent="0.25">
      <c r="A1991" s="6" t="s">
        <v>4005</v>
      </c>
      <c r="B1991" s="28">
        <v>500000</v>
      </c>
      <c r="C1991" s="6" t="s">
        <v>2293</v>
      </c>
      <c r="D1991" t="str">
        <f t="shared" si="93"/>
        <v>24.001.04.131.0002.2.005.3.3.90.39.00</v>
      </c>
      <c r="E1991" t="str">
        <f>VLOOKUP(LEFT(A1991,2),ConsolidadoLoa27_ATIVIDADES!A:I,9,0)</f>
        <v>24 - SECRETARIA DE PLANEJAMENTO E GESTÃO</v>
      </c>
      <c r="F1991" t="str">
        <f t="shared" si="94"/>
        <v>2.005</v>
      </c>
      <c r="G1991" t="str">
        <f t="shared" si="95"/>
        <v>01.110.0000</v>
      </c>
    </row>
    <row r="1992" spans="1:7" hidden="1" x14ac:dyDescent="0.25">
      <c r="A1992" s="6" t="s">
        <v>4005</v>
      </c>
      <c r="B1992" s="28">
        <v>454302</v>
      </c>
      <c r="C1992" s="6" t="s">
        <v>196</v>
      </c>
      <c r="D1992" t="str">
        <f t="shared" si="93"/>
        <v>24.001.04.131.0002.2.005.3.3.90.39.00</v>
      </c>
      <c r="E1992" t="str">
        <f>VLOOKUP(LEFT(A1992,2),ConsolidadoLoa27_ATIVIDADES!A:I,9,0)</f>
        <v>24 - SECRETARIA DE PLANEJAMENTO E GESTÃO</v>
      </c>
      <c r="F1992" t="str">
        <f t="shared" si="94"/>
        <v>2.005</v>
      </c>
      <c r="G1992" t="str">
        <f t="shared" si="95"/>
        <v>01.110.0000</v>
      </c>
    </row>
    <row r="1993" spans="1:7" hidden="1" x14ac:dyDescent="0.25">
      <c r="A1993" s="6" t="s">
        <v>4006</v>
      </c>
      <c r="B1993" s="28">
        <v>1</v>
      </c>
      <c r="C1993" s="6" t="s">
        <v>3841</v>
      </c>
      <c r="D1993" t="str">
        <f t="shared" si="93"/>
        <v>27.001.04.121.0004.1.001.3.3.90.35.00</v>
      </c>
      <c r="E1993" t="str">
        <f>VLOOKUP(LEFT(A1993,2),ConsolidadoLoa27_ATIVIDADES!A:I,9,0)</f>
        <v>27 - CONTROLADORIA GERAL DO MUNICÍPIO</v>
      </c>
      <c r="F1993" t="str">
        <f t="shared" si="94"/>
        <v>1.001</v>
      </c>
      <c r="G1993" t="str">
        <f t="shared" si="95"/>
        <v>01.110.0000</v>
      </c>
    </row>
    <row r="1994" spans="1:7" hidden="1" x14ac:dyDescent="0.25">
      <c r="A1994" s="6" t="s">
        <v>4007</v>
      </c>
      <c r="B1994" s="28">
        <v>1</v>
      </c>
      <c r="C1994" s="6" t="s">
        <v>4008</v>
      </c>
      <c r="D1994" t="str">
        <f t="shared" si="93"/>
        <v>27.001.04.121.0004.1.001.3.3.90.39.00</v>
      </c>
      <c r="E1994" t="str">
        <f>VLOOKUP(LEFT(A1994,2),ConsolidadoLoa27_ATIVIDADES!A:I,9,0)</f>
        <v>27 - CONTROLADORIA GERAL DO MUNICÍPIO</v>
      </c>
      <c r="F1994" t="str">
        <f t="shared" si="94"/>
        <v>1.001</v>
      </c>
      <c r="G1994" t="str">
        <f t="shared" si="95"/>
        <v>01.110.0000</v>
      </c>
    </row>
    <row r="1995" spans="1:7" hidden="1" x14ac:dyDescent="0.25">
      <c r="A1995" s="6" t="s">
        <v>4009</v>
      </c>
      <c r="B1995" s="28">
        <v>1</v>
      </c>
      <c r="C1995" s="6" t="s">
        <v>4010</v>
      </c>
      <c r="D1995" t="str">
        <f t="shared" si="93"/>
        <v>27.001.04.122.0001.1.002.3.3.90.39.00</v>
      </c>
      <c r="E1995" t="str">
        <f>VLOOKUP(LEFT(A1995,2),ConsolidadoLoa27_ATIVIDADES!A:I,9,0)</f>
        <v>27 - CONTROLADORIA GERAL DO MUNICÍPIO</v>
      </c>
      <c r="F1995" t="str">
        <f t="shared" si="94"/>
        <v>1.002</v>
      </c>
      <c r="G1995" t="str">
        <f t="shared" si="95"/>
        <v>01.110.0000</v>
      </c>
    </row>
    <row r="1996" spans="1:7" hidden="1" x14ac:dyDescent="0.25">
      <c r="A1996" s="6" t="s">
        <v>4011</v>
      </c>
      <c r="B1996" s="28">
        <v>5413192.4299999997</v>
      </c>
      <c r="C1996" s="6" t="s">
        <v>847</v>
      </c>
      <c r="D1996" t="str">
        <f t="shared" si="93"/>
        <v>27.001.04.122.0001.2.001.3.1.90.11.00</v>
      </c>
      <c r="E1996" t="str">
        <f>VLOOKUP(LEFT(A1996,2),ConsolidadoLoa27_ATIVIDADES!A:I,9,0)</f>
        <v>27 - CONTROLADORIA GERAL DO MUNICÍPIO</v>
      </c>
      <c r="F1996" t="str">
        <f t="shared" si="94"/>
        <v>2.001</v>
      </c>
      <c r="G1996" t="str">
        <f t="shared" si="95"/>
        <v>01.110.0000</v>
      </c>
    </row>
    <row r="1997" spans="1:7" hidden="1" x14ac:dyDescent="0.25">
      <c r="A1997" s="6" t="s">
        <v>4012</v>
      </c>
      <c r="B1997" s="28">
        <v>131523.76</v>
      </c>
      <c r="C1997" s="6" t="s">
        <v>847</v>
      </c>
      <c r="D1997" t="str">
        <f t="shared" si="93"/>
        <v>27.001.04.122.0001.2.001.3.1.90.13.00</v>
      </c>
      <c r="E1997" t="str">
        <f>VLOOKUP(LEFT(A1997,2),ConsolidadoLoa27_ATIVIDADES!A:I,9,0)</f>
        <v>27 - CONTROLADORIA GERAL DO MUNICÍPIO</v>
      </c>
      <c r="F1997" t="str">
        <f t="shared" si="94"/>
        <v>2.001</v>
      </c>
      <c r="G1997" t="str">
        <f t="shared" si="95"/>
        <v>01.110.0000</v>
      </c>
    </row>
    <row r="1998" spans="1:7" hidden="1" x14ac:dyDescent="0.25">
      <c r="A1998" s="6" t="s">
        <v>4013</v>
      </c>
      <c r="B1998" s="28">
        <v>578147.75</v>
      </c>
      <c r="C1998" s="12" t="s">
        <v>847</v>
      </c>
      <c r="D1998" t="str">
        <f t="shared" si="93"/>
        <v>27.001.04.122.0001.2.001.3.1.91.13.00</v>
      </c>
      <c r="E1998" t="str">
        <f>VLOOKUP(LEFT(A1998,2),ConsolidadoLoa27_ATIVIDADES!A:I,9,0)</f>
        <v>27 - CONTROLADORIA GERAL DO MUNICÍPIO</v>
      </c>
      <c r="F1998" t="str">
        <f t="shared" si="94"/>
        <v>2.001</v>
      </c>
      <c r="G1998" t="str">
        <f t="shared" si="95"/>
        <v>01.110.0000</v>
      </c>
    </row>
    <row r="1999" spans="1:7" hidden="1" x14ac:dyDescent="0.25">
      <c r="A1999" s="6" t="s">
        <v>4014</v>
      </c>
      <c r="B1999" s="28">
        <v>3.71</v>
      </c>
      <c r="C1999" s="6" t="s">
        <v>2278</v>
      </c>
      <c r="D1999" t="str">
        <f t="shared" si="93"/>
        <v>27.001.04.122.0001.2.001.3.3.90.46.00</v>
      </c>
      <c r="E1999" t="str">
        <f>VLOOKUP(LEFT(A1999,2),ConsolidadoLoa27_ATIVIDADES!A:I,9,0)</f>
        <v>27 - CONTROLADORIA GERAL DO MUNICÍPIO</v>
      </c>
      <c r="F1999" t="str">
        <f t="shared" si="94"/>
        <v>2.001</v>
      </c>
      <c r="G1999" t="str">
        <f t="shared" si="95"/>
        <v>01.110.0000</v>
      </c>
    </row>
    <row r="2000" spans="1:7" hidden="1" x14ac:dyDescent="0.25">
      <c r="A2000" s="6" t="s">
        <v>4015</v>
      </c>
      <c r="B2000" s="28">
        <v>65219.55</v>
      </c>
      <c r="C2000" s="6" t="s">
        <v>2280</v>
      </c>
      <c r="D2000" t="str">
        <f t="shared" si="93"/>
        <v>27.001.04.122.0001.2.001.3.3.90.49.00</v>
      </c>
      <c r="E2000" t="str">
        <f>VLOOKUP(LEFT(A2000,2),ConsolidadoLoa27_ATIVIDADES!A:I,9,0)</f>
        <v>27 - CONTROLADORIA GERAL DO MUNICÍPIO</v>
      </c>
      <c r="F2000" t="str">
        <f t="shared" si="94"/>
        <v>2.001</v>
      </c>
      <c r="G2000" t="str">
        <f t="shared" si="95"/>
        <v>01.110.0000</v>
      </c>
    </row>
    <row r="2001" spans="1:7" hidden="1" x14ac:dyDescent="0.25">
      <c r="A2001" s="6" t="s">
        <v>4016</v>
      </c>
      <c r="B2001" s="28">
        <v>1</v>
      </c>
      <c r="C2001" s="6" t="s">
        <v>2282</v>
      </c>
      <c r="D2001" t="str">
        <f t="shared" si="93"/>
        <v>27.001.04.122.0001.2.006.3.3.90.33.00</v>
      </c>
      <c r="E2001" t="str">
        <f>VLOOKUP(LEFT(A2001,2),ConsolidadoLoa27_ATIVIDADES!A:I,9,0)</f>
        <v>27 - CONTROLADORIA GERAL DO MUNICÍPIO</v>
      </c>
      <c r="F2001" t="str">
        <f t="shared" si="94"/>
        <v>2.006</v>
      </c>
      <c r="G2001" t="str">
        <f t="shared" si="95"/>
        <v>01.110.0000</v>
      </c>
    </row>
    <row r="2002" spans="1:7" hidden="1" x14ac:dyDescent="0.25">
      <c r="A2002" s="6" t="s">
        <v>4017</v>
      </c>
      <c r="B2002" s="28">
        <v>1</v>
      </c>
      <c r="C2002" s="6" t="s">
        <v>421</v>
      </c>
      <c r="D2002" t="str">
        <f t="shared" si="93"/>
        <v>27.001.04.122.0001.2.006.3.3.90.39.00</v>
      </c>
      <c r="E2002" t="str">
        <f>VLOOKUP(LEFT(A2002,2),ConsolidadoLoa27_ATIVIDADES!A:I,9,0)</f>
        <v>27 - CONTROLADORIA GERAL DO MUNICÍPIO</v>
      </c>
      <c r="F2002" t="str">
        <f t="shared" si="94"/>
        <v>2.006</v>
      </c>
      <c r="G2002" t="str">
        <f t="shared" si="95"/>
        <v>01.110.0000</v>
      </c>
    </row>
    <row r="2003" spans="1:7" hidden="1" x14ac:dyDescent="0.25">
      <c r="A2003" s="6" t="s">
        <v>4018</v>
      </c>
      <c r="B2003" s="28">
        <v>13716.12</v>
      </c>
      <c r="C2003" s="6" t="s">
        <v>2288</v>
      </c>
      <c r="D2003" t="str">
        <f t="shared" si="93"/>
        <v>27.001.04.122.0001.2.011.3.3.90.30.00</v>
      </c>
      <c r="E2003" t="str">
        <f>VLOOKUP(LEFT(A2003,2),ConsolidadoLoa27_ATIVIDADES!A:I,9,0)</f>
        <v>27 - CONTROLADORIA GERAL DO MUNICÍPIO</v>
      </c>
      <c r="F2003" t="str">
        <f t="shared" si="94"/>
        <v>2.011</v>
      </c>
      <c r="G2003" t="str">
        <f t="shared" si="95"/>
        <v>01.110.0000</v>
      </c>
    </row>
    <row r="2004" spans="1:7" hidden="1" x14ac:dyDescent="0.25">
      <c r="A2004" s="6" t="s">
        <v>4018</v>
      </c>
      <c r="B2004" s="28">
        <v>10391</v>
      </c>
      <c r="C2004" s="6" t="s">
        <v>2295</v>
      </c>
      <c r="D2004" t="str">
        <f t="shared" si="93"/>
        <v>27.001.04.122.0001.2.011.3.3.90.30.00</v>
      </c>
      <c r="E2004" t="str">
        <f>VLOOKUP(LEFT(A2004,2),ConsolidadoLoa27_ATIVIDADES!A:I,9,0)</f>
        <v>27 - CONTROLADORIA GERAL DO MUNICÍPIO</v>
      </c>
      <c r="F2004" t="str">
        <f t="shared" si="94"/>
        <v>2.011</v>
      </c>
      <c r="G2004" t="str">
        <f t="shared" si="95"/>
        <v>01.110.0000</v>
      </c>
    </row>
    <row r="2005" spans="1:7" hidden="1" x14ac:dyDescent="0.25">
      <c r="A2005" s="6" t="s">
        <v>4018</v>
      </c>
      <c r="B2005" s="28">
        <v>9455.81</v>
      </c>
      <c r="C2005" s="14" t="s">
        <v>107</v>
      </c>
      <c r="D2005" t="str">
        <f t="shared" si="93"/>
        <v>27.001.04.122.0001.2.011.3.3.90.30.00</v>
      </c>
      <c r="E2005" t="str">
        <f>VLOOKUP(LEFT(A2005,2),ConsolidadoLoa27_ATIVIDADES!A:I,9,0)</f>
        <v>27 - CONTROLADORIA GERAL DO MUNICÍPIO</v>
      </c>
      <c r="F2005" t="str">
        <f t="shared" si="94"/>
        <v>2.011</v>
      </c>
      <c r="G2005" t="str">
        <f t="shared" si="95"/>
        <v>01.110.0000</v>
      </c>
    </row>
    <row r="2006" spans="1:7" hidden="1" x14ac:dyDescent="0.25">
      <c r="A2006" s="6" t="s">
        <v>4018</v>
      </c>
      <c r="B2006" s="28">
        <v>19742.900000000001</v>
      </c>
      <c r="C2006" s="6" t="s">
        <v>387</v>
      </c>
      <c r="D2006" t="str">
        <f t="shared" si="93"/>
        <v>27.001.04.122.0001.2.011.3.3.90.30.00</v>
      </c>
      <c r="E2006" t="str">
        <f>VLOOKUP(LEFT(A2006,2),ConsolidadoLoa27_ATIVIDADES!A:I,9,0)</f>
        <v>27 - CONTROLADORIA GERAL DO MUNICÍPIO</v>
      </c>
      <c r="F2006" t="str">
        <f t="shared" si="94"/>
        <v>2.011</v>
      </c>
      <c r="G2006" t="str">
        <f t="shared" si="95"/>
        <v>01.110.0000</v>
      </c>
    </row>
    <row r="2007" spans="1:7" hidden="1" x14ac:dyDescent="0.25">
      <c r="A2007" s="6" t="s">
        <v>4018</v>
      </c>
      <c r="B2007" s="28">
        <v>4156.3999999999996</v>
      </c>
      <c r="C2007" s="6" t="s">
        <v>2289</v>
      </c>
      <c r="D2007" t="str">
        <f t="shared" si="93"/>
        <v>27.001.04.122.0001.2.011.3.3.90.30.00</v>
      </c>
      <c r="E2007" t="str">
        <f>VLOOKUP(LEFT(A2007,2),ConsolidadoLoa27_ATIVIDADES!A:I,9,0)</f>
        <v>27 - CONTROLADORIA GERAL DO MUNICÍPIO</v>
      </c>
      <c r="F2007" t="str">
        <f t="shared" si="94"/>
        <v>2.011</v>
      </c>
      <c r="G2007" t="str">
        <f t="shared" si="95"/>
        <v>01.110.0000</v>
      </c>
    </row>
    <row r="2008" spans="1:7" hidden="1" x14ac:dyDescent="0.25">
      <c r="A2008" s="6" t="s">
        <v>4018</v>
      </c>
      <c r="B2008" s="28">
        <v>1</v>
      </c>
      <c r="C2008" s="6" t="s">
        <v>104</v>
      </c>
      <c r="D2008" t="str">
        <f t="shared" si="93"/>
        <v>27.001.04.122.0001.2.011.3.3.90.30.00</v>
      </c>
      <c r="E2008" t="str">
        <f>VLOOKUP(LEFT(A2008,2),ConsolidadoLoa27_ATIVIDADES!A:I,9,0)</f>
        <v>27 - CONTROLADORIA GERAL DO MUNICÍPIO</v>
      </c>
      <c r="F2008" t="str">
        <f t="shared" si="94"/>
        <v>2.011</v>
      </c>
      <c r="G2008" t="str">
        <f t="shared" si="95"/>
        <v>01.110.0000</v>
      </c>
    </row>
    <row r="2009" spans="1:7" hidden="1" x14ac:dyDescent="0.25">
      <c r="A2009" s="6" t="s">
        <v>4019</v>
      </c>
      <c r="B2009" s="28">
        <v>1558.65</v>
      </c>
      <c r="C2009" s="6" t="s">
        <v>2345</v>
      </c>
      <c r="D2009" t="str">
        <f t="shared" si="93"/>
        <v>27.001.04.122.0001.2.011.3.3.90.39.00</v>
      </c>
      <c r="E2009" t="str">
        <f>VLOOKUP(LEFT(A2009,2),ConsolidadoLoa27_ATIVIDADES!A:I,9,0)</f>
        <v>27 - CONTROLADORIA GERAL DO MUNICÍPIO</v>
      </c>
      <c r="F2009" t="str">
        <f t="shared" si="94"/>
        <v>2.011</v>
      </c>
      <c r="G2009" t="str">
        <f t="shared" si="95"/>
        <v>01.110.0000</v>
      </c>
    </row>
    <row r="2010" spans="1:7" hidden="1" x14ac:dyDescent="0.25">
      <c r="A2010" s="6" t="s">
        <v>4019</v>
      </c>
      <c r="B2010" s="28">
        <v>4052.49</v>
      </c>
      <c r="C2010" s="14" t="s">
        <v>107</v>
      </c>
      <c r="D2010" t="str">
        <f t="shared" si="93"/>
        <v>27.001.04.122.0001.2.011.3.3.90.39.00</v>
      </c>
      <c r="E2010" t="str">
        <f>VLOOKUP(LEFT(A2010,2),ConsolidadoLoa27_ATIVIDADES!A:I,9,0)</f>
        <v>27 - CONTROLADORIA GERAL DO MUNICÍPIO</v>
      </c>
      <c r="F2010" t="str">
        <f t="shared" si="94"/>
        <v>2.011</v>
      </c>
      <c r="G2010" t="str">
        <f t="shared" si="95"/>
        <v>01.110.0000</v>
      </c>
    </row>
    <row r="2011" spans="1:7" hidden="1" x14ac:dyDescent="0.25">
      <c r="A2011" s="6" t="s">
        <v>4019</v>
      </c>
      <c r="B2011" s="28">
        <v>15586.5</v>
      </c>
      <c r="C2011" s="6" t="s">
        <v>388</v>
      </c>
      <c r="D2011" t="str">
        <f t="shared" si="93"/>
        <v>27.001.04.122.0001.2.011.3.3.90.39.00</v>
      </c>
      <c r="E2011" t="str">
        <f>VLOOKUP(LEFT(A2011,2),ConsolidadoLoa27_ATIVIDADES!A:I,9,0)</f>
        <v>27 - CONTROLADORIA GERAL DO MUNICÍPIO</v>
      </c>
      <c r="F2011" t="str">
        <f t="shared" si="94"/>
        <v>2.011</v>
      </c>
      <c r="G2011" t="str">
        <f t="shared" si="95"/>
        <v>01.110.0000</v>
      </c>
    </row>
    <row r="2012" spans="1:7" hidden="1" x14ac:dyDescent="0.25">
      <c r="A2012" s="6" t="s">
        <v>4019</v>
      </c>
      <c r="B2012" s="28">
        <v>9588</v>
      </c>
      <c r="C2012" s="6" t="s">
        <v>106</v>
      </c>
      <c r="D2012" t="str">
        <f t="shared" si="93"/>
        <v>27.001.04.122.0001.2.011.3.3.90.39.00</v>
      </c>
      <c r="E2012" t="str">
        <f>VLOOKUP(LEFT(A2012,2),ConsolidadoLoa27_ATIVIDADES!A:I,9,0)</f>
        <v>27 - CONTROLADORIA GERAL DO MUNICÍPIO</v>
      </c>
      <c r="F2012" t="str">
        <f t="shared" si="94"/>
        <v>2.011</v>
      </c>
      <c r="G2012" t="str">
        <f t="shared" si="95"/>
        <v>01.110.0000</v>
      </c>
    </row>
    <row r="2013" spans="1:7" hidden="1" x14ac:dyDescent="0.25">
      <c r="A2013" s="6" t="s">
        <v>4020</v>
      </c>
      <c r="B2013" s="28">
        <v>3117.3</v>
      </c>
      <c r="C2013" s="6" t="s">
        <v>2520</v>
      </c>
      <c r="D2013" t="str">
        <f t="shared" si="93"/>
        <v>27.001.04.122.0001.2.011.4.4.90.52.00</v>
      </c>
      <c r="E2013" t="str">
        <f>VLOOKUP(LEFT(A2013,2),ConsolidadoLoa27_ATIVIDADES!A:I,9,0)</f>
        <v>27 - CONTROLADORIA GERAL DO MUNICÍPIO</v>
      </c>
      <c r="F2013" t="str">
        <f t="shared" si="94"/>
        <v>2.011</v>
      </c>
      <c r="G2013" t="str">
        <f t="shared" si="95"/>
        <v>01.110.0000</v>
      </c>
    </row>
    <row r="2014" spans="1:7" hidden="1" x14ac:dyDescent="0.25">
      <c r="A2014" s="6" t="s">
        <v>4020</v>
      </c>
      <c r="B2014" s="28">
        <v>5403.32</v>
      </c>
      <c r="C2014" s="6" t="s">
        <v>2498</v>
      </c>
      <c r="D2014" t="str">
        <f t="shared" si="93"/>
        <v>27.001.04.122.0001.2.011.4.4.90.52.00</v>
      </c>
      <c r="E2014" t="str">
        <f>VLOOKUP(LEFT(A2014,2),ConsolidadoLoa27_ATIVIDADES!A:I,9,0)</f>
        <v>27 - CONTROLADORIA GERAL DO MUNICÍPIO</v>
      </c>
      <c r="F2014" t="str">
        <f t="shared" si="94"/>
        <v>2.011</v>
      </c>
      <c r="G2014" t="str">
        <f t="shared" si="95"/>
        <v>01.110.0000</v>
      </c>
    </row>
    <row r="2015" spans="1:7" hidden="1" x14ac:dyDescent="0.25">
      <c r="A2015" s="6" t="s">
        <v>4020</v>
      </c>
      <c r="B2015" s="28">
        <v>59664.082900000001</v>
      </c>
      <c r="C2015" s="6" t="s">
        <v>2500</v>
      </c>
      <c r="D2015" t="str">
        <f t="shared" si="93"/>
        <v>27.001.04.122.0001.2.011.4.4.90.52.00</v>
      </c>
      <c r="E2015" t="str">
        <f>VLOOKUP(LEFT(A2015,2),ConsolidadoLoa27_ATIVIDADES!A:I,9,0)</f>
        <v>27 - CONTROLADORIA GERAL DO MUNICÍPIO</v>
      </c>
      <c r="F2015" t="str">
        <f t="shared" si="94"/>
        <v>2.011</v>
      </c>
      <c r="G2015" t="str">
        <f t="shared" si="95"/>
        <v>01.110.0000</v>
      </c>
    </row>
    <row r="2016" spans="1:7" hidden="1" x14ac:dyDescent="0.25">
      <c r="A2016" s="6" t="s">
        <v>4021</v>
      </c>
      <c r="B2016" s="28">
        <v>3366.6840000000002</v>
      </c>
      <c r="C2016" s="6" t="s">
        <v>4022</v>
      </c>
      <c r="D2016" t="str">
        <f t="shared" si="93"/>
        <v>27.001.04.126.0002.2.007.3.3.90.39.00</v>
      </c>
      <c r="E2016" t="str">
        <f>VLOOKUP(LEFT(A2016,2),ConsolidadoLoa27_ATIVIDADES!A:I,9,0)</f>
        <v>27 - CONTROLADORIA GERAL DO MUNICÍPIO</v>
      </c>
      <c r="F2016" t="str">
        <f t="shared" si="94"/>
        <v>2.007</v>
      </c>
      <c r="G2016" t="str">
        <f t="shared" si="95"/>
        <v>01.110.0000</v>
      </c>
    </row>
    <row r="2017" spans="1:7" hidden="1" x14ac:dyDescent="0.25">
      <c r="A2017" s="6" t="s">
        <v>4023</v>
      </c>
      <c r="B2017" s="28">
        <v>159220</v>
      </c>
      <c r="C2017" s="6" t="s">
        <v>4024</v>
      </c>
      <c r="D2017" t="str">
        <f t="shared" si="93"/>
        <v>27.001.04.126.0002.2.007.3.3.90.40.00</v>
      </c>
      <c r="E2017" t="str">
        <f>VLOOKUP(LEFT(A2017,2),ConsolidadoLoa27_ATIVIDADES!A:I,9,0)</f>
        <v>27 - CONTROLADORIA GERAL DO MUNICÍPIO</v>
      </c>
      <c r="F2017" t="str">
        <f t="shared" si="94"/>
        <v>2.007</v>
      </c>
      <c r="G2017" t="str">
        <f t="shared" si="95"/>
        <v>01.110.0000</v>
      </c>
    </row>
    <row r="2018" spans="1:7" hidden="1" x14ac:dyDescent="0.25">
      <c r="A2018" s="6" t="s">
        <v>4023</v>
      </c>
      <c r="B2018" s="28">
        <v>3346440</v>
      </c>
      <c r="C2018" s="6" t="s">
        <v>4025</v>
      </c>
      <c r="D2018" t="str">
        <f t="shared" si="93"/>
        <v>27.001.04.126.0002.2.007.3.3.90.40.00</v>
      </c>
      <c r="E2018" t="str">
        <f>VLOOKUP(LEFT(A2018,2),ConsolidadoLoa27_ATIVIDADES!A:I,9,0)</f>
        <v>27 - CONTROLADORIA GERAL DO MUNICÍPIO</v>
      </c>
      <c r="F2018" t="str">
        <f t="shared" si="94"/>
        <v>2.007</v>
      </c>
      <c r="G2018" t="str">
        <f t="shared" si="95"/>
        <v>01.110.0000</v>
      </c>
    </row>
    <row r="2019" spans="1:7" hidden="1" x14ac:dyDescent="0.25">
      <c r="A2019" s="6" t="s">
        <v>4026</v>
      </c>
      <c r="B2019" s="28">
        <v>1</v>
      </c>
      <c r="C2019" s="6" t="s">
        <v>318</v>
      </c>
      <c r="D2019" t="str">
        <f t="shared" si="93"/>
        <v>27.001.04.128.0002.2.003.3.3.90.39.00</v>
      </c>
      <c r="E2019" t="str">
        <f>VLOOKUP(LEFT(A2019,2),ConsolidadoLoa27_ATIVIDADES!A:I,9,0)</f>
        <v>27 - CONTROLADORIA GERAL DO MUNICÍPIO</v>
      </c>
      <c r="F2019" t="str">
        <f t="shared" si="94"/>
        <v>2.003</v>
      </c>
      <c r="G2019" t="str">
        <f t="shared" si="95"/>
        <v>01.110.0000</v>
      </c>
    </row>
    <row r="2020" spans="1:7" hidden="1" x14ac:dyDescent="0.25">
      <c r="A2020" s="6" t="s">
        <v>4027</v>
      </c>
      <c r="B2020" s="28">
        <v>26898.142599999999</v>
      </c>
      <c r="C2020" s="6" t="s">
        <v>198</v>
      </c>
      <c r="D2020" t="str">
        <f t="shared" si="93"/>
        <v>27.001.04.131.0002.2.005.3.3.90.39.00</v>
      </c>
      <c r="E2020" t="str">
        <f>VLOOKUP(LEFT(A2020,2),ConsolidadoLoa27_ATIVIDADES!A:I,9,0)</f>
        <v>27 - CONTROLADORIA GERAL DO MUNICÍPIO</v>
      </c>
      <c r="F2020" t="str">
        <f t="shared" si="94"/>
        <v>2.005</v>
      </c>
      <c r="G2020" t="str">
        <f t="shared" si="95"/>
        <v>01.110.0000</v>
      </c>
    </row>
    <row r="2021" spans="1:7" hidden="1" x14ac:dyDescent="0.25">
      <c r="A2021" s="6" t="s">
        <v>4027</v>
      </c>
      <c r="B2021" s="28">
        <v>2078.1999999999998</v>
      </c>
      <c r="C2021" s="6" t="s">
        <v>2293</v>
      </c>
      <c r="D2021" t="str">
        <f t="shared" si="93"/>
        <v>27.001.04.131.0002.2.005.3.3.90.39.00</v>
      </c>
      <c r="E2021" t="str">
        <f>VLOOKUP(LEFT(A2021,2),ConsolidadoLoa27_ATIVIDADES!A:I,9,0)</f>
        <v>27 - CONTROLADORIA GERAL DO MUNICÍPIO</v>
      </c>
      <c r="F2021" t="str">
        <f t="shared" si="94"/>
        <v>2.005</v>
      </c>
      <c r="G2021" t="str">
        <f t="shared" si="95"/>
        <v>01.110.0000</v>
      </c>
    </row>
    <row r="2022" spans="1:7" hidden="1" x14ac:dyDescent="0.25">
      <c r="A2022" s="6" t="s">
        <v>4027</v>
      </c>
      <c r="B2022" s="28">
        <v>1</v>
      </c>
      <c r="C2022" s="6" t="s">
        <v>196</v>
      </c>
      <c r="D2022" t="str">
        <f t="shared" si="93"/>
        <v>27.001.04.131.0002.2.005.3.3.90.39.00</v>
      </c>
      <c r="E2022" t="str">
        <f>VLOOKUP(LEFT(A2022,2),ConsolidadoLoa27_ATIVIDADES!A:I,9,0)</f>
        <v>27 - CONTROLADORIA GERAL DO MUNICÍPIO</v>
      </c>
      <c r="F2022" t="str">
        <f t="shared" si="94"/>
        <v>2.005</v>
      </c>
      <c r="G2022" t="str">
        <f t="shared" si="95"/>
        <v>01.110.0000</v>
      </c>
    </row>
    <row r="2023" spans="1:7" hidden="1" x14ac:dyDescent="0.25">
      <c r="A2023" s="6" t="s">
        <v>4028</v>
      </c>
      <c r="B2023" s="28">
        <v>1</v>
      </c>
      <c r="C2023" s="12" t="s">
        <v>2271</v>
      </c>
      <c r="D2023" t="str">
        <f t="shared" si="93"/>
        <v>28.001.04.121.0004.1.001.3.3.90.35.00</v>
      </c>
      <c r="E2023" t="str">
        <f>VLOOKUP(LEFT(A2023,2),ConsolidadoLoa27_ATIVIDADES!A:I,9,0)</f>
        <v>28 - SECRETARIA DE GOVERNO</v>
      </c>
      <c r="F2023" t="str">
        <f t="shared" si="94"/>
        <v>1.001</v>
      </c>
      <c r="G2023" t="str">
        <f t="shared" si="95"/>
        <v>01.110.0000</v>
      </c>
    </row>
    <row r="2024" spans="1:7" hidden="1" x14ac:dyDescent="0.25">
      <c r="A2024" s="6" t="s">
        <v>4029</v>
      </c>
      <c r="B2024" s="28">
        <v>2</v>
      </c>
      <c r="C2024" s="12" t="s">
        <v>4030</v>
      </c>
      <c r="D2024" t="str">
        <f t="shared" si="93"/>
        <v>28.001.04.122.0001.1.002.3.3.90.39.00</v>
      </c>
      <c r="E2024" t="str">
        <f>VLOOKUP(LEFT(A2024,2),ConsolidadoLoa27_ATIVIDADES!A:I,9,0)</f>
        <v>28 - SECRETARIA DE GOVERNO</v>
      </c>
      <c r="F2024" t="str">
        <f t="shared" si="94"/>
        <v>1.002</v>
      </c>
      <c r="G2024" t="str">
        <f t="shared" si="95"/>
        <v>01.110.0000</v>
      </c>
    </row>
    <row r="2025" spans="1:7" hidden="1" x14ac:dyDescent="0.25">
      <c r="A2025" s="6" t="s">
        <v>4031</v>
      </c>
      <c r="B2025" s="28">
        <v>0</v>
      </c>
      <c r="C2025" s="12" t="s">
        <v>4030</v>
      </c>
      <c r="D2025" t="str">
        <f t="shared" si="93"/>
        <v>28.001.04.122.0001.1.002.3.3.90.39.00</v>
      </c>
      <c r="E2025" t="str">
        <f>VLOOKUP(LEFT(A2025,2),ConsolidadoLoa27_ATIVIDADES!A:I,9,0)</f>
        <v>28 - SECRETARIA DE GOVERNO</v>
      </c>
      <c r="F2025" t="str">
        <f t="shared" si="94"/>
        <v>1.002</v>
      </c>
      <c r="G2025" t="str">
        <f t="shared" si="95"/>
        <v>02.100.0000</v>
      </c>
    </row>
    <row r="2026" spans="1:7" hidden="1" x14ac:dyDescent="0.25">
      <c r="A2026" s="6" t="s">
        <v>4032</v>
      </c>
      <c r="B2026" s="28">
        <v>18927314.100000001</v>
      </c>
      <c r="C2026" s="12" t="s">
        <v>847</v>
      </c>
      <c r="D2026" t="str">
        <f t="shared" si="93"/>
        <v>28.001.04.122.0001.2.001.3.1.90.11.00</v>
      </c>
      <c r="E2026" t="str">
        <f>VLOOKUP(LEFT(A2026,2),ConsolidadoLoa27_ATIVIDADES!A:I,9,0)</f>
        <v>28 - SECRETARIA DE GOVERNO</v>
      </c>
      <c r="F2026" t="str">
        <f t="shared" si="94"/>
        <v>2.001</v>
      </c>
      <c r="G2026" t="str">
        <f t="shared" si="95"/>
        <v>01.110.0000</v>
      </c>
    </row>
    <row r="2027" spans="1:7" hidden="1" x14ac:dyDescent="0.25">
      <c r="A2027" s="6" t="s">
        <v>4033</v>
      </c>
      <c r="B2027" s="28">
        <v>1567703.65</v>
      </c>
      <c r="C2027" s="12" t="s">
        <v>847</v>
      </c>
      <c r="D2027" t="str">
        <f t="shared" si="93"/>
        <v>28.001.04.122.0001.2.001.3.1.90.13.00</v>
      </c>
      <c r="E2027" t="str">
        <f>VLOOKUP(LEFT(A2027,2),ConsolidadoLoa27_ATIVIDADES!A:I,9,0)</f>
        <v>28 - SECRETARIA DE GOVERNO</v>
      </c>
      <c r="F2027" t="str">
        <f t="shared" si="94"/>
        <v>2.001</v>
      </c>
      <c r="G2027" t="str">
        <f t="shared" si="95"/>
        <v>01.110.0000</v>
      </c>
    </row>
    <row r="2028" spans="1:7" hidden="1" x14ac:dyDescent="0.25">
      <c r="A2028" s="6" t="s">
        <v>4034</v>
      </c>
      <c r="B2028" s="28">
        <v>1961738.73</v>
      </c>
      <c r="C2028" s="12" t="s">
        <v>847</v>
      </c>
      <c r="D2028" t="str">
        <f t="shared" si="93"/>
        <v>28.001.04.122.0001.2.001.3.1.91.13.00</v>
      </c>
      <c r="E2028" t="str">
        <f>VLOOKUP(LEFT(A2028,2),ConsolidadoLoa27_ATIVIDADES!A:I,9,0)</f>
        <v>28 - SECRETARIA DE GOVERNO</v>
      </c>
      <c r="F2028" t="str">
        <f t="shared" si="94"/>
        <v>2.001</v>
      </c>
      <c r="G2028" t="str">
        <f t="shared" si="95"/>
        <v>01.110.0000</v>
      </c>
    </row>
    <row r="2029" spans="1:7" hidden="1" x14ac:dyDescent="0.25">
      <c r="A2029" s="6" t="s">
        <v>4035</v>
      </c>
      <c r="B2029" s="28">
        <v>101863.56</v>
      </c>
      <c r="C2029" s="6" t="s">
        <v>2280</v>
      </c>
      <c r="D2029" t="str">
        <f t="shared" si="93"/>
        <v>28.001.04.122.0001.2.001.3.3.90.49.00</v>
      </c>
      <c r="E2029" t="str">
        <f>VLOOKUP(LEFT(A2029,2),ConsolidadoLoa27_ATIVIDADES!A:I,9,0)</f>
        <v>28 - SECRETARIA DE GOVERNO</v>
      </c>
      <c r="F2029" t="str">
        <f t="shared" si="94"/>
        <v>2.001</v>
      </c>
      <c r="G2029" t="str">
        <f t="shared" si="95"/>
        <v>01.110.0000</v>
      </c>
    </row>
    <row r="2030" spans="1:7" hidden="1" x14ac:dyDescent="0.25">
      <c r="A2030" s="6" t="s">
        <v>4036</v>
      </c>
      <c r="B2030" s="28">
        <v>269997</v>
      </c>
      <c r="C2030" s="6" t="s">
        <v>2282</v>
      </c>
      <c r="D2030" t="str">
        <f t="shared" si="93"/>
        <v>28.001.04.122.0001.2.006.3.3.90.33.00</v>
      </c>
      <c r="E2030" t="str">
        <f>VLOOKUP(LEFT(A2030,2),ConsolidadoLoa27_ATIVIDADES!A:I,9,0)</f>
        <v>28 - SECRETARIA DE GOVERNO</v>
      </c>
      <c r="F2030" t="str">
        <f t="shared" si="94"/>
        <v>2.006</v>
      </c>
      <c r="G2030" t="str">
        <f t="shared" si="95"/>
        <v>01.110.0000</v>
      </c>
    </row>
    <row r="2031" spans="1:7" hidden="1" x14ac:dyDescent="0.25">
      <c r="A2031" s="6" t="s">
        <v>4037</v>
      </c>
      <c r="B2031" s="28">
        <v>269997</v>
      </c>
      <c r="C2031" s="12" t="s">
        <v>421</v>
      </c>
      <c r="D2031" t="str">
        <f t="shared" si="93"/>
        <v>28.001.04.122.0001.2.006.3.3.90.39.00</v>
      </c>
      <c r="E2031" t="str">
        <f>VLOOKUP(LEFT(A2031,2),ConsolidadoLoa27_ATIVIDADES!A:I,9,0)</f>
        <v>28 - SECRETARIA DE GOVERNO</v>
      </c>
      <c r="F2031" t="str">
        <f t="shared" si="94"/>
        <v>2.006</v>
      </c>
      <c r="G2031" t="str">
        <f t="shared" si="95"/>
        <v>01.110.0000</v>
      </c>
    </row>
    <row r="2032" spans="1:7" hidden="1" x14ac:dyDescent="0.25">
      <c r="A2032" s="6" t="s">
        <v>4038</v>
      </c>
      <c r="B2032" s="28">
        <v>25977.5</v>
      </c>
      <c r="C2032" s="12" t="s">
        <v>2288</v>
      </c>
      <c r="D2032" t="str">
        <f t="shared" si="93"/>
        <v>28.001.04.122.0001.2.011.3.3.90.30.00</v>
      </c>
      <c r="E2032" t="str">
        <f>VLOOKUP(LEFT(A2032,2),ConsolidadoLoa27_ATIVIDADES!A:I,9,0)</f>
        <v>28 - SECRETARIA DE GOVERNO</v>
      </c>
      <c r="F2032" t="str">
        <f t="shared" si="94"/>
        <v>2.011</v>
      </c>
      <c r="G2032" t="str">
        <f t="shared" si="95"/>
        <v>01.110.0000</v>
      </c>
    </row>
    <row r="2033" spans="1:7" hidden="1" x14ac:dyDescent="0.25">
      <c r="A2033" s="6" t="s">
        <v>4038</v>
      </c>
      <c r="B2033" s="28">
        <v>25977.5</v>
      </c>
      <c r="C2033" s="12" t="s">
        <v>2295</v>
      </c>
      <c r="D2033" t="str">
        <f t="shared" si="93"/>
        <v>28.001.04.122.0001.2.011.3.3.90.30.00</v>
      </c>
      <c r="E2033" t="str">
        <f>VLOOKUP(LEFT(A2033,2),ConsolidadoLoa27_ATIVIDADES!A:I,9,0)</f>
        <v>28 - SECRETARIA DE GOVERNO</v>
      </c>
      <c r="F2033" t="str">
        <f t="shared" si="94"/>
        <v>2.011</v>
      </c>
      <c r="G2033" t="str">
        <f t="shared" si="95"/>
        <v>01.110.0000</v>
      </c>
    </row>
    <row r="2034" spans="1:7" hidden="1" x14ac:dyDescent="0.25">
      <c r="A2034" s="6" t="s">
        <v>4038</v>
      </c>
      <c r="B2034" s="28">
        <v>15586.5</v>
      </c>
      <c r="C2034" s="14" t="s">
        <v>107</v>
      </c>
      <c r="D2034" t="str">
        <f t="shared" si="93"/>
        <v>28.001.04.122.0001.2.011.3.3.90.30.00</v>
      </c>
      <c r="E2034" t="str">
        <f>VLOOKUP(LEFT(A2034,2),ConsolidadoLoa27_ATIVIDADES!A:I,9,0)</f>
        <v>28 - SECRETARIA DE GOVERNO</v>
      </c>
      <c r="F2034" t="str">
        <f t="shared" si="94"/>
        <v>2.011</v>
      </c>
      <c r="G2034" t="str">
        <f t="shared" si="95"/>
        <v>01.110.0000</v>
      </c>
    </row>
    <row r="2035" spans="1:7" hidden="1" x14ac:dyDescent="0.25">
      <c r="A2035" s="6" t="s">
        <v>4038</v>
      </c>
      <c r="B2035" s="28">
        <v>25977.5</v>
      </c>
      <c r="C2035" s="12" t="s">
        <v>2289</v>
      </c>
      <c r="D2035" t="str">
        <f t="shared" si="93"/>
        <v>28.001.04.122.0001.2.011.3.3.90.30.00</v>
      </c>
      <c r="E2035" t="str">
        <f>VLOOKUP(LEFT(A2035,2),ConsolidadoLoa27_ATIVIDADES!A:I,9,0)</f>
        <v>28 - SECRETARIA DE GOVERNO</v>
      </c>
      <c r="F2035" t="str">
        <f t="shared" si="94"/>
        <v>2.011</v>
      </c>
      <c r="G2035" t="str">
        <f t="shared" si="95"/>
        <v>01.110.0000</v>
      </c>
    </row>
    <row r="2036" spans="1:7" hidden="1" x14ac:dyDescent="0.25">
      <c r="A2036" s="6" t="s">
        <v>4038</v>
      </c>
      <c r="B2036" s="28">
        <v>106867.19</v>
      </c>
      <c r="C2036" s="14" t="s">
        <v>4039</v>
      </c>
      <c r="D2036" t="str">
        <f t="shared" si="93"/>
        <v>28.001.04.122.0001.2.011.3.3.90.30.00</v>
      </c>
      <c r="E2036" t="str">
        <f>VLOOKUP(LEFT(A2036,2),ConsolidadoLoa27_ATIVIDADES!A:I,9,0)</f>
        <v>28 - SECRETARIA DE GOVERNO</v>
      </c>
      <c r="F2036" t="str">
        <f t="shared" si="94"/>
        <v>2.011</v>
      </c>
      <c r="G2036" t="str">
        <f t="shared" si="95"/>
        <v>01.110.0000</v>
      </c>
    </row>
    <row r="2037" spans="1:7" hidden="1" x14ac:dyDescent="0.25">
      <c r="A2037" s="6" t="s">
        <v>4040</v>
      </c>
      <c r="B2037" s="28">
        <v>153132.81</v>
      </c>
      <c r="C2037" s="14" t="s">
        <v>4039</v>
      </c>
      <c r="D2037" t="str">
        <f t="shared" si="93"/>
        <v>28.001.04.122.0001.2.011.3.3.90.30.00</v>
      </c>
      <c r="E2037" t="str">
        <f>VLOOKUP(LEFT(A2037,2),ConsolidadoLoa27_ATIVIDADES!A:I,9,0)</f>
        <v>28 - SECRETARIA DE GOVERNO</v>
      </c>
      <c r="F2037" t="str">
        <f t="shared" si="94"/>
        <v>2.011</v>
      </c>
      <c r="G2037" t="str">
        <f t="shared" si="95"/>
        <v>02.100.0000</v>
      </c>
    </row>
    <row r="2038" spans="1:7" hidden="1" x14ac:dyDescent="0.25">
      <c r="A2038" s="6" t="s">
        <v>4041</v>
      </c>
      <c r="B2038" s="28">
        <v>44328</v>
      </c>
      <c r="C2038" s="14" t="s">
        <v>95</v>
      </c>
      <c r="D2038" t="str">
        <f t="shared" si="93"/>
        <v>28.001.04.122.0001.2.011.3.3.90.39.00</v>
      </c>
      <c r="E2038" t="str">
        <f>VLOOKUP(LEFT(A2038,2),ConsolidadoLoa27_ATIVIDADES!A:I,9,0)</f>
        <v>28 - SECRETARIA DE GOVERNO</v>
      </c>
      <c r="F2038" t="str">
        <f t="shared" si="94"/>
        <v>2.011</v>
      </c>
      <c r="G2038" t="str">
        <f t="shared" si="95"/>
        <v>01.110.0000</v>
      </c>
    </row>
    <row r="2039" spans="1:7" hidden="1" x14ac:dyDescent="0.25">
      <c r="A2039" s="6" t="s">
        <v>4041</v>
      </c>
      <c r="B2039" s="28">
        <v>15586.5</v>
      </c>
      <c r="C2039" s="14" t="s">
        <v>107</v>
      </c>
      <c r="D2039" t="str">
        <f t="shared" si="93"/>
        <v>28.001.04.122.0001.2.011.3.3.90.39.00</v>
      </c>
      <c r="E2039" t="str">
        <f>VLOOKUP(LEFT(A2039,2),ConsolidadoLoa27_ATIVIDADES!A:I,9,0)</f>
        <v>28 - SECRETARIA DE GOVERNO</v>
      </c>
      <c r="F2039" t="str">
        <f t="shared" si="94"/>
        <v>2.011</v>
      </c>
      <c r="G2039" t="str">
        <f t="shared" si="95"/>
        <v>01.110.0000</v>
      </c>
    </row>
    <row r="2040" spans="1:7" hidden="1" x14ac:dyDescent="0.25">
      <c r="A2040" s="6" t="s">
        <v>4041</v>
      </c>
      <c r="B2040" s="28">
        <v>10391</v>
      </c>
      <c r="C2040" s="12" t="s">
        <v>388</v>
      </c>
      <c r="D2040" t="str">
        <f t="shared" si="93"/>
        <v>28.001.04.122.0001.2.011.3.3.90.39.00</v>
      </c>
      <c r="E2040" t="str">
        <f>VLOOKUP(LEFT(A2040,2),ConsolidadoLoa27_ATIVIDADES!A:I,9,0)</f>
        <v>28 - SECRETARIA DE GOVERNO</v>
      </c>
      <c r="F2040" t="str">
        <f t="shared" si="94"/>
        <v>2.011</v>
      </c>
      <c r="G2040" t="str">
        <f t="shared" si="95"/>
        <v>01.110.0000</v>
      </c>
    </row>
    <row r="2041" spans="1:7" hidden="1" x14ac:dyDescent="0.25">
      <c r="A2041" s="6" t="s">
        <v>4041</v>
      </c>
      <c r="B2041" s="28">
        <v>17145.150000000001</v>
      </c>
      <c r="C2041" s="6" t="s">
        <v>106</v>
      </c>
      <c r="D2041" t="str">
        <f t="shared" si="93"/>
        <v>28.001.04.122.0001.2.011.3.3.90.39.00</v>
      </c>
      <c r="E2041" t="str">
        <f>VLOOKUP(LEFT(A2041,2),ConsolidadoLoa27_ATIVIDADES!A:I,9,0)</f>
        <v>28 - SECRETARIA DE GOVERNO</v>
      </c>
      <c r="F2041" t="str">
        <f t="shared" si="94"/>
        <v>2.011</v>
      </c>
      <c r="G2041" t="str">
        <f t="shared" si="95"/>
        <v>01.110.0000</v>
      </c>
    </row>
    <row r="2042" spans="1:7" hidden="1" x14ac:dyDescent="0.25">
      <c r="A2042" s="6" t="s">
        <v>4041</v>
      </c>
      <c r="B2042" s="28">
        <v>110977.46</v>
      </c>
      <c r="C2042" s="14" t="s">
        <v>4039</v>
      </c>
      <c r="D2042" t="str">
        <f t="shared" si="93"/>
        <v>28.001.04.122.0001.2.011.3.3.90.39.00</v>
      </c>
      <c r="E2042" t="str">
        <f>VLOOKUP(LEFT(A2042,2),ConsolidadoLoa27_ATIVIDADES!A:I,9,0)</f>
        <v>28 - SECRETARIA DE GOVERNO</v>
      </c>
      <c r="F2042" t="str">
        <f t="shared" si="94"/>
        <v>2.011</v>
      </c>
      <c r="G2042" t="str">
        <f t="shared" si="95"/>
        <v>01.110.0000</v>
      </c>
    </row>
    <row r="2043" spans="1:7" hidden="1" x14ac:dyDescent="0.25">
      <c r="A2043" s="6" t="s">
        <v>4042</v>
      </c>
      <c r="B2043" s="28">
        <v>159022.53999999998</v>
      </c>
      <c r="C2043" s="14" t="s">
        <v>4039</v>
      </c>
      <c r="D2043" t="str">
        <f t="shared" si="93"/>
        <v>28.001.04.122.0001.2.011.3.3.90.39.00</v>
      </c>
      <c r="E2043" t="str">
        <f>VLOOKUP(LEFT(A2043,2),ConsolidadoLoa27_ATIVIDADES!A:I,9,0)</f>
        <v>28 - SECRETARIA DE GOVERNO</v>
      </c>
      <c r="F2043" t="str">
        <f t="shared" si="94"/>
        <v>2.011</v>
      </c>
      <c r="G2043" t="str">
        <f t="shared" si="95"/>
        <v>02.100.0000</v>
      </c>
    </row>
    <row r="2044" spans="1:7" hidden="1" x14ac:dyDescent="0.25">
      <c r="A2044" s="6" t="s">
        <v>4043</v>
      </c>
      <c r="B2044" s="28">
        <v>1</v>
      </c>
      <c r="C2044" s="12" t="s">
        <v>4044</v>
      </c>
      <c r="D2044" t="str">
        <f t="shared" si="93"/>
        <v>28.001.04.126.0002.2.007.3.3.90.39.00</v>
      </c>
      <c r="E2044" t="str">
        <f>VLOOKUP(LEFT(A2044,2),ConsolidadoLoa27_ATIVIDADES!A:I,9,0)</f>
        <v>28 - SECRETARIA DE GOVERNO</v>
      </c>
      <c r="F2044" t="str">
        <f t="shared" si="94"/>
        <v>2.007</v>
      </c>
      <c r="G2044" t="str">
        <f t="shared" si="95"/>
        <v>01.110.0000</v>
      </c>
    </row>
    <row r="2045" spans="1:7" hidden="1" x14ac:dyDescent="0.25">
      <c r="A2045" s="6" t="s">
        <v>4045</v>
      </c>
      <c r="B2045" s="28">
        <v>1679599</v>
      </c>
      <c r="C2045" s="12" t="s">
        <v>4044</v>
      </c>
      <c r="D2045" t="str">
        <f t="shared" si="93"/>
        <v>28.001.04.126.0002.2.007.3.3.90.40.00</v>
      </c>
      <c r="E2045" t="str">
        <f>VLOOKUP(LEFT(A2045,2),ConsolidadoLoa27_ATIVIDADES!A:I,9,0)</f>
        <v>28 - SECRETARIA DE GOVERNO</v>
      </c>
      <c r="F2045" t="str">
        <f t="shared" si="94"/>
        <v>2.007</v>
      </c>
      <c r="G2045" t="str">
        <f t="shared" si="95"/>
        <v>01.110.0000</v>
      </c>
    </row>
    <row r="2046" spans="1:7" hidden="1" x14ac:dyDescent="0.25">
      <c r="A2046" s="6" t="s">
        <v>4046</v>
      </c>
      <c r="B2046" s="28">
        <v>1</v>
      </c>
      <c r="C2046" s="12" t="s">
        <v>318</v>
      </c>
      <c r="D2046" t="str">
        <f t="shared" si="93"/>
        <v>28.001.04.128.0002.2.003.3.3.90.36.00</v>
      </c>
      <c r="E2046" t="str">
        <f>VLOOKUP(LEFT(A2046,2),ConsolidadoLoa27_ATIVIDADES!A:I,9,0)</f>
        <v>28 - SECRETARIA DE GOVERNO</v>
      </c>
      <c r="F2046" t="str">
        <f t="shared" si="94"/>
        <v>2.003</v>
      </c>
      <c r="G2046" t="str">
        <f t="shared" si="95"/>
        <v>01.110.0000</v>
      </c>
    </row>
    <row r="2047" spans="1:7" hidden="1" x14ac:dyDescent="0.25">
      <c r="A2047" s="6" t="s">
        <v>4047</v>
      </c>
      <c r="B2047" s="28">
        <v>1</v>
      </c>
      <c r="C2047" s="12" t="s">
        <v>318</v>
      </c>
      <c r="D2047" t="str">
        <f t="shared" si="93"/>
        <v>28.001.04.128.0002.2.003.3.3.90.39.00</v>
      </c>
      <c r="E2047" t="str">
        <f>VLOOKUP(LEFT(A2047,2),ConsolidadoLoa27_ATIVIDADES!A:I,9,0)</f>
        <v>28 - SECRETARIA DE GOVERNO</v>
      </c>
      <c r="F2047" t="str">
        <f t="shared" si="94"/>
        <v>2.003</v>
      </c>
      <c r="G2047" t="str">
        <f t="shared" si="95"/>
        <v>01.110.0000</v>
      </c>
    </row>
    <row r="2048" spans="1:7" hidden="1" x14ac:dyDescent="0.25">
      <c r="A2048" s="6" t="s">
        <v>4048</v>
      </c>
      <c r="B2048" s="28">
        <v>519.54999999999995</v>
      </c>
      <c r="C2048" s="12" t="s">
        <v>245</v>
      </c>
      <c r="D2048" t="str">
        <f t="shared" si="93"/>
        <v>28.001.04.131.0002.2.005.3.3.90.30.00</v>
      </c>
      <c r="E2048" t="str">
        <f>VLOOKUP(LEFT(A2048,2),ConsolidadoLoa27_ATIVIDADES!A:I,9,0)</f>
        <v>28 - SECRETARIA DE GOVERNO</v>
      </c>
      <c r="F2048" t="str">
        <f t="shared" si="94"/>
        <v>2.005</v>
      </c>
      <c r="G2048" t="str">
        <f t="shared" si="95"/>
        <v>01.110.0000</v>
      </c>
    </row>
    <row r="2049" spans="1:7" hidden="1" x14ac:dyDescent="0.25">
      <c r="A2049" s="6" t="s">
        <v>4049</v>
      </c>
      <c r="B2049" s="28">
        <v>3117.3</v>
      </c>
      <c r="C2049" s="6" t="s">
        <v>198</v>
      </c>
      <c r="D2049" t="str">
        <f t="shared" si="93"/>
        <v>28.001.04.131.0002.2.005.3.3.90.39.00</v>
      </c>
      <c r="E2049" t="str">
        <f>VLOOKUP(LEFT(A2049,2),ConsolidadoLoa27_ATIVIDADES!A:I,9,0)</f>
        <v>28 - SECRETARIA DE GOVERNO</v>
      </c>
      <c r="F2049" t="str">
        <f t="shared" si="94"/>
        <v>2.005</v>
      </c>
      <c r="G2049" t="str">
        <f t="shared" si="95"/>
        <v>01.110.0000</v>
      </c>
    </row>
    <row r="2050" spans="1:7" hidden="1" x14ac:dyDescent="0.25">
      <c r="A2050" s="6" t="s">
        <v>4049</v>
      </c>
      <c r="B2050" s="28">
        <v>3117.3</v>
      </c>
      <c r="C2050" s="12" t="s">
        <v>2293</v>
      </c>
      <c r="D2050" t="str">
        <f t="shared" si="93"/>
        <v>28.001.04.131.0002.2.005.3.3.90.39.00</v>
      </c>
      <c r="E2050" t="str">
        <f>VLOOKUP(LEFT(A2050,2),ConsolidadoLoa27_ATIVIDADES!A:I,9,0)</f>
        <v>28 - SECRETARIA DE GOVERNO</v>
      </c>
      <c r="F2050" t="str">
        <f t="shared" si="94"/>
        <v>2.005</v>
      </c>
      <c r="G2050" t="str">
        <f t="shared" si="95"/>
        <v>01.110.0000</v>
      </c>
    </row>
    <row r="2051" spans="1:7" hidden="1" x14ac:dyDescent="0.25">
      <c r="A2051" s="6" t="s">
        <v>4049</v>
      </c>
      <c r="B2051" s="28">
        <v>1</v>
      </c>
      <c r="C2051" s="6" t="s">
        <v>196</v>
      </c>
      <c r="D2051" t="str">
        <f t="shared" ref="D2051:D2114" si="96">_xlfn.CONCAT(LEFT(A2051,34),".00")</f>
        <v>28.001.04.131.0002.2.005.3.3.90.39.00</v>
      </c>
      <c r="E2051" t="str">
        <f>VLOOKUP(LEFT(A2051,2),ConsolidadoLoa27_ATIVIDADES!A:I,9,0)</f>
        <v>28 - SECRETARIA DE GOVERNO</v>
      </c>
      <c r="F2051" t="str">
        <f t="shared" ref="F2051:F2114" si="97">MID(A2051,20,5)</f>
        <v>2.005</v>
      </c>
      <c r="G2051" t="str">
        <f t="shared" ref="G2051:G2114" si="98">RIGHT(A2051,11)</f>
        <v>01.110.0000</v>
      </c>
    </row>
    <row r="2052" spans="1:7" hidden="1" x14ac:dyDescent="0.25">
      <c r="A2052" s="6" t="s">
        <v>4050</v>
      </c>
      <c r="B2052" s="28">
        <v>1039.0999999999999</v>
      </c>
      <c r="C2052" s="12" t="s">
        <v>245</v>
      </c>
      <c r="D2052" t="str">
        <f t="shared" si="96"/>
        <v>28.007.04.131.0002.2.005.3.3.90.30.00</v>
      </c>
      <c r="E2052" t="str">
        <f>VLOOKUP(LEFT(A2052,2),ConsolidadoLoa27_ATIVIDADES!A:I,9,0)</f>
        <v>28 - SECRETARIA DE GOVERNO</v>
      </c>
      <c r="F2052" t="str">
        <f t="shared" si="97"/>
        <v>2.005</v>
      </c>
      <c r="G2052" t="str">
        <f t="shared" si="98"/>
        <v>01.110.0000</v>
      </c>
    </row>
    <row r="2053" spans="1:7" hidden="1" x14ac:dyDescent="0.25">
      <c r="A2053" s="6" t="s">
        <v>4051</v>
      </c>
      <c r="B2053" s="28">
        <v>3117.3</v>
      </c>
      <c r="C2053" s="6" t="s">
        <v>198</v>
      </c>
      <c r="D2053" t="str">
        <f t="shared" si="96"/>
        <v>28.007.04.131.0002.2.005.3.3.90.39.00</v>
      </c>
      <c r="E2053" t="str">
        <f>VLOOKUP(LEFT(A2053,2),ConsolidadoLoa27_ATIVIDADES!A:I,9,0)</f>
        <v>28 - SECRETARIA DE GOVERNO</v>
      </c>
      <c r="F2053" t="str">
        <f t="shared" si="97"/>
        <v>2.005</v>
      </c>
      <c r="G2053" t="str">
        <f t="shared" si="98"/>
        <v>01.110.0000</v>
      </c>
    </row>
    <row r="2054" spans="1:7" hidden="1" x14ac:dyDescent="0.25">
      <c r="A2054" s="6" t="s">
        <v>4051</v>
      </c>
      <c r="B2054" s="28">
        <v>5195.5</v>
      </c>
      <c r="C2054" s="12" t="s">
        <v>2293</v>
      </c>
      <c r="D2054" t="str">
        <f t="shared" si="96"/>
        <v>28.007.04.131.0002.2.005.3.3.90.39.00</v>
      </c>
      <c r="E2054" t="str">
        <f>VLOOKUP(LEFT(A2054,2),ConsolidadoLoa27_ATIVIDADES!A:I,9,0)</f>
        <v>28 - SECRETARIA DE GOVERNO</v>
      </c>
      <c r="F2054" t="str">
        <f t="shared" si="97"/>
        <v>2.005</v>
      </c>
      <c r="G2054" t="str">
        <f t="shared" si="98"/>
        <v>01.110.0000</v>
      </c>
    </row>
    <row r="2055" spans="1:7" hidden="1" x14ac:dyDescent="0.25">
      <c r="A2055" s="6" t="s">
        <v>4051</v>
      </c>
      <c r="B2055" s="28">
        <v>1</v>
      </c>
      <c r="C2055" s="6" t="s">
        <v>196</v>
      </c>
      <c r="D2055" t="str">
        <f t="shared" si="96"/>
        <v>28.007.04.131.0002.2.005.3.3.90.39.00</v>
      </c>
      <c r="E2055" t="str">
        <f>VLOOKUP(LEFT(A2055,2),ConsolidadoLoa27_ATIVIDADES!A:I,9,0)</f>
        <v>28 - SECRETARIA DE GOVERNO</v>
      </c>
      <c r="F2055" t="str">
        <f t="shared" si="97"/>
        <v>2.005</v>
      </c>
      <c r="G2055" t="str">
        <f t="shared" si="98"/>
        <v>01.110.0000</v>
      </c>
    </row>
    <row r="2056" spans="1:7" hidden="1" x14ac:dyDescent="0.25">
      <c r="A2056" s="6" t="s">
        <v>4052</v>
      </c>
      <c r="B2056" s="28">
        <v>5916025.21</v>
      </c>
      <c r="C2056" s="6" t="s">
        <v>847</v>
      </c>
      <c r="D2056" t="str">
        <f t="shared" si="96"/>
        <v>29.001.04.122.0001.2.001.3.1.90.11.00</v>
      </c>
      <c r="E2056" t="str">
        <f>VLOOKUP(LEFT(A2056,2),ConsolidadoLoa27_ATIVIDADES!A:I,9,0)</f>
        <v>29 - SEIJ</v>
      </c>
      <c r="F2056" t="str">
        <f t="shared" si="97"/>
        <v>2.001</v>
      </c>
      <c r="G2056" t="str">
        <f t="shared" si="98"/>
        <v>01.110.0000</v>
      </c>
    </row>
    <row r="2057" spans="1:7" hidden="1" x14ac:dyDescent="0.25">
      <c r="A2057" s="6" t="s">
        <v>4053</v>
      </c>
      <c r="B2057" s="28">
        <v>1115527.1000000001</v>
      </c>
      <c r="C2057" s="6" t="s">
        <v>847</v>
      </c>
      <c r="D2057" t="str">
        <f t="shared" si="96"/>
        <v>29.001.04.122.0001.2.001.3.1.90.13.00</v>
      </c>
      <c r="E2057" t="str">
        <f>VLOOKUP(LEFT(A2057,2),ConsolidadoLoa27_ATIVIDADES!A:I,9,0)</f>
        <v>29 - SEIJ</v>
      </c>
      <c r="F2057" t="str">
        <f t="shared" si="97"/>
        <v>2.001</v>
      </c>
      <c r="G2057" t="str">
        <f t="shared" si="98"/>
        <v>01.110.0000</v>
      </c>
    </row>
    <row r="2058" spans="1:7" hidden="1" x14ac:dyDescent="0.25">
      <c r="A2058" s="6" t="s">
        <v>4054</v>
      </c>
      <c r="B2058" s="28">
        <v>230249.16</v>
      </c>
      <c r="C2058" s="12" t="s">
        <v>847</v>
      </c>
      <c r="D2058" t="str">
        <f t="shared" si="96"/>
        <v>29.001.04.122.0001.2.001.3.1.91.13.00</v>
      </c>
      <c r="E2058" t="str">
        <f>VLOOKUP(LEFT(A2058,2),ConsolidadoLoa27_ATIVIDADES!A:I,9,0)</f>
        <v>29 - SEIJ</v>
      </c>
      <c r="F2058" t="str">
        <f t="shared" si="97"/>
        <v>2.001</v>
      </c>
      <c r="G2058" t="str">
        <f t="shared" si="98"/>
        <v>01.110.0000</v>
      </c>
    </row>
    <row r="2059" spans="1:7" hidden="1" x14ac:dyDescent="0.25">
      <c r="A2059" s="6" t="s">
        <v>4055</v>
      </c>
      <c r="B2059" s="28">
        <v>3.33</v>
      </c>
      <c r="C2059" s="6" t="s">
        <v>2278</v>
      </c>
      <c r="D2059" t="str">
        <f t="shared" si="96"/>
        <v>29.001.04.122.0001.2.001.3.3.90.46.00</v>
      </c>
      <c r="E2059" t="str">
        <f>VLOOKUP(LEFT(A2059,2),ConsolidadoLoa27_ATIVIDADES!A:I,9,0)</f>
        <v>29 - SEIJ</v>
      </c>
      <c r="F2059" t="str">
        <f t="shared" si="97"/>
        <v>2.001</v>
      </c>
      <c r="G2059" t="str">
        <f t="shared" si="98"/>
        <v>01.110.0000</v>
      </c>
    </row>
    <row r="2060" spans="1:7" hidden="1" x14ac:dyDescent="0.25">
      <c r="A2060" s="6" t="s">
        <v>4056</v>
      </c>
      <c r="B2060" s="28">
        <v>49690.21</v>
      </c>
      <c r="C2060" s="6" t="s">
        <v>2280</v>
      </c>
      <c r="D2060" t="str">
        <f t="shared" si="96"/>
        <v>29.001.04.122.0001.2.001.3.3.90.49.00</v>
      </c>
      <c r="E2060" t="str">
        <f>VLOOKUP(LEFT(A2060,2),ConsolidadoLoa27_ATIVIDADES!A:I,9,0)</f>
        <v>29 - SEIJ</v>
      </c>
      <c r="F2060" t="str">
        <f t="shared" si="97"/>
        <v>2.001</v>
      </c>
      <c r="G2060" t="str">
        <f t="shared" si="98"/>
        <v>01.110.0000</v>
      </c>
    </row>
    <row r="2061" spans="1:7" hidden="1" x14ac:dyDescent="0.25">
      <c r="A2061" s="6" t="s">
        <v>4057</v>
      </c>
      <c r="B2061" s="28">
        <v>1</v>
      </c>
      <c r="C2061" s="6" t="s">
        <v>2282</v>
      </c>
      <c r="D2061" t="str">
        <f t="shared" si="96"/>
        <v>29.001.04.122.0001.2.006.3.3.90.33.00</v>
      </c>
      <c r="E2061" t="str">
        <f>VLOOKUP(LEFT(A2061,2),ConsolidadoLoa27_ATIVIDADES!A:I,9,0)</f>
        <v>29 - SEIJ</v>
      </c>
      <c r="F2061" t="str">
        <f t="shared" si="97"/>
        <v>2.006</v>
      </c>
      <c r="G2061" t="str">
        <f t="shared" si="98"/>
        <v>01.110.0000</v>
      </c>
    </row>
    <row r="2062" spans="1:7" hidden="1" x14ac:dyDescent="0.25">
      <c r="A2062" s="6" t="s">
        <v>4058</v>
      </c>
      <c r="B2062" s="28">
        <v>1</v>
      </c>
      <c r="C2062" s="6" t="s">
        <v>421</v>
      </c>
      <c r="D2062" t="str">
        <f t="shared" si="96"/>
        <v>29.001.04.122.0001.2.006.3.3.90.39.00</v>
      </c>
      <c r="E2062" t="str">
        <f>VLOOKUP(LEFT(A2062,2),ConsolidadoLoa27_ATIVIDADES!A:I,9,0)</f>
        <v>29 - SEIJ</v>
      </c>
      <c r="F2062" t="str">
        <f t="shared" si="97"/>
        <v>2.006</v>
      </c>
      <c r="G2062" t="str">
        <f t="shared" si="98"/>
        <v>01.110.0000</v>
      </c>
    </row>
    <row r="2063" spans="1:7" hidden="1" x14ac:dyDescent="0.25">
      <c r="A2063" s="6" t="s">
        <v>4059</v>
      </c>
      <c r="B2063" s="28">
        <v>1</v>
      </c>
      <c r="C2063" s="6" t="s">
        <v>318</v>
      </c>
      <c r="D2063" t="str">
        <f t="shared" si="96"/>
        <v>29.001.04.128.0002.2.003.3.3.90.36.00</v>
      </c>
      <c r="E2063" t="str">
        <f>VLOOKUP(LEFT(A2063,2),ConsolidadoLoa27_ATIVIDADES!A:I,9,0)</f>
        <v>29 - SEIJ</v>
      </c>
      <c r="F2063" t="str">
        <f t="shared" si="97"/>
        <v>2.003</v>
      </c>
      <c r="G2063" t="str">
        <f t="shared" si="98"/>
        <v>01.110.0000</v>
      </c>
    </row>
    <row r="2064" spans="1:7" hidden="1" x14ac:dyDescent="0.25">
      <c r="A2064" s="6" t="s">
        <v>4060</v>
      </c>
      <c r="B2064" s="28">
        <v>1</v>
      </c>
      <c r="C2064" s="6" t="s">
        <v>318</v>
      </c>
      <c r="D2064" t="str">
        <f t="shared" si="96"/>
        <v>29.001.04.128.0002.2.003.3.3.90.39.00</v>
      </c>
      <c r="E2064" t="str">
        <f>VLOOKUP(LEFT(A2064,2),ConsolidadoLoa27_ATIVIDADES!A:I,9,0)</f>
        <v>29 - SEIJ</v>
      </c>
      <c r="F2064" t="str">
        <f t="shared" si="97"/>
        <v>2.003</v>
      </c>
      <c r="G2064" t="str">
        <f t="shared" si="98"/>
        <v>01.110.0000</v>
      </c>
    </row>
    <row r="2065" spans="1:7" hidden="1" x14ac:dyDescent="0.25">
      <c r="A2065" s="6" t="s">
        <v>4061</v>
      </c>
      <c r="B2065" s="28">
        <v>3117.3</v>
      </c>
      <c r="C2065" s="6" t="s">
        <v>245</v>
      </c>
      <c r="D2065" t="str">
        <f t="shared" si="96"/>
        <v>29.001.04.131.0002.2.005.3.3.90.30.00</v>
      </c>
      <c r="E2065" t="str">
        <f>VLOOKUP(LEFT(A2065,2),ConsolidadoLoa27_ATIVIDADES!A:I,9,0)</f>
        <v>29 - SEIJ</v>
      </c>
      <c r="F2065" t="str">
        <f t="shared" si="97"/>
        <v>2.005</v>
      </c>
      <c r="G2065" t="str">
        <f t="shared" si="98"/>
        <v>01.110.0000</v>
      </c>
    </row>
    <row r="2066" spans="1:7" hidden="1" x14ac:dyDescent="0.25">
      <c r="A2066" s="6" t="s">
        <v>4062</v>
      </c>
      <c r="B2066" s="28">
        <v>2078.1999999999998</v>
      </c>
      <c r="C2066" s="6" t="s">
        <v>198</v>
      </c>
      <c r="D2066" t="str">
        <f t="shared" si="96"/>
        <v>29.001.04.131.0002.2.005.3.3.90.39.00</v>
      </c>
      <c r="E2066" t="str">
        <f>VLOOKUP(LEFT(A2066,2),ConsolidadoLoa27_ATIVIDADES!A:I,9,0)</f>
        <v>29 - SEIJ</v>
      </c>
      <c r="F2066" t="str">
        <f t="shared" si="97"/>
        <v>2.005</v>
      </c>
      <c r="G2066" t="str">
        <f t="shared" si="98"/>
        <v>01.110.0000</v>
      </c>
    </row>
    <row r="2067" spans="1:7" hidden="1" x14ac:dyDescent="0.25">
      <c r="A2067" s="6" t="s">
        <v>4062</v>
      </c>
      <c r="B2067" s="28">
        <v>5195.5</v>
      </c>
      <c r="C2067" s="6" t="s">
        <v>2293</v>
      </c>
      <c r="D2067" t="str">
        <f t="shared" si="96"/>
        <v>29.001.04.131.0002.2.005.3.3.90.39.00</v>
      </c>
      <c r="E2067" t="str">
        <f>VLOOKUP(LEFT(A2067,2),ConsolidadoLoa27_ATIVIDADES!A:I,9,0)</f>
        <v>29 - SEIJ</v>
      </c>
      <c r="F2067" t="str">
        <f t="shared" si="97"/>
        <v>2.005</v>
      </c>
      <c r="G2067" t="str">
        <f t="shared" si="98"/>
        <v>01.110.0000</v>
      </c>
    </row>
    <row r="2068" spans="1:7" hidden="1" x14ac:dyDescent="0.25">
      <c r="A2068" s="6" t="s">
        <v>4062</v>
      </c>
      <c r="B2068" s="28">
        <v>1</v>
      </c>
      <c r="C2068" s="6" t="s">
        <v>196</v>
      </c>
      <c r="D2068" t="str">
        <f t="shared" si="96"/>
        <v>29.001.04.131.0002.2.005.3.3.90.39.00</v>
      </c>
      <c r="E2068" t="str">
        <f>VLOOKUP(LEFT(A2068,2),ConsolidadoLoa27_ATIVIDADES!A:I,9,0)</f>
        <v>29 - SEIJ</v>
      </c>
      <c r="F2068" t="str">
        <f t="shared" si="97"/>
        <v>2.005</v>
      </c>
      <c r="G2068" t="str">
        <f t="shared" si="98"/>
        <v>01.110.0000</v>
      </c>
    </row>
    <row r="2069" spans="1:7" hidden="1" x14ac:dyDescent="0.25">
      <c r="A2069" s="6" t="s">
        <v>4063</v>
      </c>
      <c r="B2069" s="28">
        <v>1</v>
      </c>
      <c r="C2069" s="6" t="s">
        <v>4064</v>
      </c>
      <c r="D2069" t="str">
        <f t="shared" si="96"/>
        <v>29.001.14.243.0001.1.002.3.3.90.39.00</v>
      </c>
      <c r="E2069" t="str">
        <f>VLOOKUP(LEFT(A2069,2),ConsolidadoLoa27_ATIVIDADES!A:I,9,0)</f>
        <v>29 - SEIJ</v>
      </c>
      <c r="F2069" t="str">
        <f t="shared" si="97"/>
        <v>1.002</v>
      </c>
      <c r="G2069" t="str">
        <f t="shared" si="98"/>
        <v>01.110.0000</v>
      </c>
    </row>
    <row r="2070" spans="1:7" hidden="1" x14ac:dyDescent="0.25">
      <c r="A2070" s="6" t="s">
        <v>4065</v>
      </c>
      <c r="B2070" s="28">
        <v>1</v>
      </c>
      <c r="C2070" s="6" t="s">
        <v>2500</v>
      </c>
      <c r="D2070" t="str">
        <f t="shared" si="96"/>
        <v>29.001.14.243.0018.1.003.4.4.90.52.00</v>
      </c>
      <c r="E2070" t="str">
        <f>VLOOKUP(LEFT(A2070,2),ConsolidadoLoa27_ATIVIDADES!A:I,9,0)</f>
        <v>29 - SEIJ</v>
      </c>
      <c r="F2070" t="str">
        <f t="shared" si="97"/>
        <v>1.003</v>
      </c>
      <c r="G2070" t="str">
        <f t="shared" si="98"/>
        <v>01.110.0000</v>
      </c>
    </row>
    <row r="2071" spans="1:7" hidden="1" x14ac:dyDescent="0.25">
      <c r="A2071" s="6" t="s">
        <v>4066</v>
      </c>
      <c r="B2071" s="28">
        <v>10391</v>
      </c>
      <c r="C2071" s="6" t="s">
        <v>2288</v>
      </c>
      <c r="D2071" t="str">
        <f t="shared" si="96"/>
        <v>29.001.14.243.0018.2.011.3.3.90.30.00</v>
      </c>
      <c r="E2071" t="str">
        <f>VLOOKUP(LEFT(A2071,2),ConsolidadoLoa27_ATIVIDADES!A:I,9,0)</f>
        <v>29 - SEIJ</v>
      </c>
      <c r="F2071" t="str">
        <f t="shared" si="97"/>
        <v>2.011</v>
      </c>
      <c r="G2071" t="str">
        <f t="shared" si="98"/>
        <v>01.110.0000</v>
      </c>
    </row>
    <row r="2072" spans="1:7" hidden="1" x14ac:dyDescent="0.25">
      <c r="A2072" s="6" t="s">
        <v>4066</v>
      </c>
      <c r="B2072" s="28">
        <v>10391</v>
      </c>
      <c r="C2072" s="6" t="s">
        <v>2295</v>
      </c>
      <c r="D2072" t="str">
        <f t="shared" si="96"/>
        <v>29.001.14.243.0018.2.011.3.3.90.30.00</v>
      </c>
      <c r="E2072" t="str">
        <f>VLOOKUP(LEFT(A2072,2),ConsolidadoLoa27_ATIVIDADES!A:I,9,0)</f>
        <v>29 - SEIJ</v>
      </c>
      <c r="F2072" t="str">
        <f t="shared" si="97"/>
        <v>2.011</v>
      </c>
      <c r="G2072" t="str">
        <f t="shared" si="98"/>
        <v>01.110.0000</v>
      </c>
    </row>
    <row r="2073" spans="1:7" hidden="1" x14ac:dyDescent="0.25">
      <c r="A2073" s="6" t="s">
        <v>4066</v>
      </c>
      <c r="B2073" s="28">
        <v>2078.1999999999998</v>
      </c>
      <c r="C2073" s="6" t="s">
        <v>3241</v>
      </c>
      <c r="D2073" t="str">
        <f t="shared" si="96"/>
        <v>29.001.14.243.0018.2.011.3.3.90.30.00</v>
      </c>
      <c r="E2073" t="str">
        <f>VLOOKUP(LEFT(A2073,2),ConsolidadoLoa27_ATIVIDADES!A:I,9,0)</f>
        <v>29 - SEIJ</v>
      </c>
      <c r="F2073" t="str">
        <f t="shared" si="97"/>
        <v>2.011</v>
      </c>
      <c r="G2073" t="str">
        <f t="shared" si="98"/>
        <v>01.110.0000</v>
      </c>
    </row>
    <row r="2074" spans="1:7" hidden="1" x14ac:dyDescent="0.25">
      <c r="A2074" s="6" t="s">
        <v>4066</v>
      </c>
      <c r="B2074" s="28">
        <v>10391</v>
      </c>
      <c r="C2074" s="14" t="s">
        <v>107</v>
      </c>
      <c r="D2074" t="str">
        <f t="shared" si="96"/>
        <v>29.001.14.243.0018.2.011.3.3.90.30.00</v>
      </c>
      <c r="E2074" t="str">
        <f>VLOOKUP(LEFT(A2074,2),ConsolidadoLoa27_ATIVIDADES!A:I,9,0)</f>
        <v>29 - SEIJ</v>
      </c>
      <c r="F2074" t="str">
        <f t="shared" si="97"/>
        <v>2.011</v>
      </c>
      <c r="G2074" t="str">
        <f t="shared" si="98"/>
        <v>01.110.0000</v>
      </c>
    </row>
    <row r="2075" spans="1:7" hidden="1" x14ac:dyDescent="0.25">
      <c r="A2075" s="6" t="s">
        <v>4066</v>
      </c>
      <c r="B2075" s="28">
        <v>13508.3</v>
      </c>
      <c r="C2075" s="6" t="s">
        <v>387</v>
      </c>
      <c r="D2075" t="str">
        <f t="shared" si="96"/>
        <v>29.001.14.243.0018.2.011.3.3.90.30.00</v>
      </c>
      <c r="E2075" t="str">
        <f>VLOOKUP(LEFT(A2075,2),ConsolidadoLoa27_ATIVIDADES!A:I,9,0)</f>
        <v>29 - SEIJ</v>
      </c>
      <c r="F2075" t="str">
        <f t="shared" si="97"/>
        <v>2.011</v>
      </c>
      <c r="G2075" t="str">
        <f t="shared" si="98"/>
        <v>01.110.0000</v>
      </c>
    </row>
    <row r="2076" spans="1:7" hidden="1" x14ac:dyDescent="0.25">
      <c r="A2076" s="6" t="s">
        <v>4066</v>
      </c>
      <c r="B2076" s="28">
        <v>10391</v>
      </c>
      <c r="C2076" s="6" t="s">
        <v>2289</v>
      </c>
      <c r="D2076" t="str">
        <f t="shared" si="96"/>
        <v>29.001.14.243.0018.2.011.3.3.90.30.00</v>
      </c>
      <c r="E2076" t="str">
        <f>VLOOKUP(LEFT(A2076,2),ConsolidadoLoa27_ATIVIDADES!A:I,9,0)</f>
        <v>29 - SEIJ</v>
      </c>
      <c r="F2076" t="str">
        <f t="shared" si="97"/>
        <v>2.011</v>
      </c>
      <c r="G2076" t="str">
        <f t="shared" si="98"/>
        <v>01.110.0000</v>
      </c>
    </row>
    <row r="2077" spans="1:7" hidden="1" x14ac:dyDescent="0.25">
      <c r="A2077" s="6" t="s">
        <v>4066</v>
      </c>
      <c r="B2077" s="28">
        <v>10391</v>
      </c>
      <c r="C2077" s="6" t="s">
        <v>104</v>
      </c>
      <c r="D2077" t="str">
        <f t="shared" si="96"/>
        <v>29.001.14.243.0018.2.011.3.3.90.30.00</v>
      </c>
      <c r="E2077" t="str">
        <f>VLOOKUP(LEFT(A2077,2),ConsolidadoLoa27_ATIVIDADES!A:I,9,0)</f>
        <v>29 - SEIJ</v>
      </c>
      <c r="F2077" t="str">
        <f t="shared" si="97"/>
        <v>2.011</v>
      </c>
      <c r="G2077" t="str">
        <f t="shared" si="98"/>
        <v>01.110.0000</v>
      </c>
    </row>
    <row r="2078" spans="1:7" hidden="1" x14ac:dyDescent="0.25">
      <c r="A2078" s="6" t="s">
        <v>4067</v>
      </c>
      <c r="B2078" s="28">
        <v>2078.1999999999998</v>
      </c>
      <c r="C2078" s="6" t="s">
        <v>3241</v>
      </c>
      <c r="D2078" t="str">
        <f t="shared" si="96"/>
        <v>29.001.14.243.0018.2.011.3.3.90.39.00</v>
      </c>
      <c r="E2078" t="str">
        <f>VLOOKUP(LEFT(A2078,2),ConsolidadoLoa27_ATIVIDADES!A:I,9,0)</f>
        <v>29 - SEIJ</v>
      </c>
      <c r="F2078" t="str">
        <f t="shared" si="97"/>
        <v>2.011</v>
      </c>
      <c r="G2078" t="str">
        <f t="shared" si="98"/>
        <v>01.110.0000</v>
      </c>
    </row>
    <row r="2079" spans="1:7" hidden="1" x14ac:dyDescent="0.25">
      <c r="A2079" s="6" t="s">
        <v>4067</v>
      </c>
      <c r="B2079" s="28">
        <v>5000</v>
      </c>
      <c r="C2079" s="14" t="s">
        <v>95</v>
      </c>
      <c r="D2079" t="str">
        <f t="shared" si="96"/>
        <v>29.001.14.243.0018.2.011.3.3.90.39.00</v>
      </c>
      <c r="E2079" t="str">
        <f>VLOOKUP(LEFT(A2079,2),ConsolidadoLoa27_ATIVIDADES!A:I,9,0)</f>
        <v>29 - SEIJ</v>
      </c>
      <c r="F2079" t="str">
        <f t="shared" si="97"/>
        <v>2.011</v>
      </c>
      <c r="G2079" t="str">
        <f t="shared" si="98"/>
        <v>01.110.0000</v>
      </c>
    </row>
    <row r="2080" spans="1:7" hidden="1" x14ac:dyDescent="0.25">
      <c r="A2080" s="6" t="s">
        <v>4067</v>
      </c>
      <c r="B2080" s="28">
        <v>8312.7999999999993</v>
      </c>
      <c r="C2080" s="14" t="s">
        <v>107</v>
      </c>
      <c r="D2080" t="str">
        <f t="shared" si="96"/>
        <v>29.001.14.243.0018.2.011.3.3.90.39.00</v>
      </c>
      <c r="E2080" t="str">
        <f>VLOOKUP(LEFT(A2080,2),ConsolidadoLoa27_ATIVIDADES!A:I,9,0)</f>
        <v>29 - SEIJ</v>
      </c>
      <c r="F2080" t="str">
        <f t="shared" si="97"/>
        <v>2.011</v>
      </c>
      <c r="G2080" t="str">
        <f t="shared" si="98"/>
        <v>01.110.0000</v>
      </c>
    </row>
    <row r="2081" spans="1:7" hidden="1" x14ac:dyDescent="0.25">
      <c r="A2081" s="6" t="s">
        <v>4067</v>
      </c>
      <c r="B2081" s="28">
        <v>10391</v>
      </c>
      <c r="C2081" s="6" t="s">
        <v>388</v>
      </c>
      <c r="D2081" t="str">
        <f t="shared" si="96"/>
        <v>29.001.14.243.0018.2.011.3.3.90.39.00</v>
      </c>
      <c r="E2081" t="str">
        <f>VLOOKUP(LEFT(A2081,2),ConsolidadoLoa27_ATIVIDADES!A:I,9,0)</f>
        <v>29 - SEIJ</v>
      </c>
      <c r="F2081" t="str">
        <f t="shared" si="97"/>
        <v>2.011</v>
      </c>
      <c r="G2081" t="str">
        <f t="shared" si="98"/>
        <v>01.110.0000</v>
      </c>
    </row>
    <row r="2082" spans="1:7" hidden="1" x14ac:dyDescent="0.25">
      <c r="A2082" s="6" t="s">
        <v>4067</v>
      </c>
      <c r="B2082" s="28">
        <v>10391</v>
      </c>
      <c r="C2082" s="6" t="s">
        <v>106</v>
      </c>
      <c r="D2082" t="str">
        <f t="shared" si="96"/>
        <v>29.001.14.243.0018.2.011.3.3.90.39.00</v>
      </c>
      <c r="E2082" t="str">
        <f>VLOOKUP(LEFT(A2082,2),ConsolidadoLoa27_ATIVIDADES!A:I,9,0)</f>
        <v>29 - SEIJ</v>
      </c>
      <c r="F2082" t="str">
        <f t="shared" si="97"/>
        <v>2.011</v>
      </c>
      <c r="G2082" t="str">
        <f t="shared" si="98"/>
        <v>01.110.0000</v>
      </c>
    </row>
    <row r="2083" spans="1:7" hidden="1" x14ac:dyDescent="0.25">
      <c r="A2083" s="6" t="s">
        <v>4068</v>
      </c>
      <c r="B2083" s="28">
        <v>10391</v>
      </c>
      <c r="C2083" s="6" t="s">
        <v>2520</v>
      </c>
      <c r="D2083" t="str">
        <f t="shared" si="96"/>
        <v>29.001.14.243.0018.2.011.4.4.90.52.00</v>
      </c>
      <c r="E2083" t="str">
        <f>VLOOKUP(LEFT(A2083,2),ConsolidadoLoa27_ATIVIDADES!A:I,9,0)</f>
        <v>29 - SEIJ</v>
      </c>
      <c r="F2083" t="str">
        <f t="shared" si="97"/>
        <v>2.011</v>
      </c>
      <c r="G2083" t="str">
        <f t="shared" si="98"/>
        <v>01.110.0000</v>
      </c>
    </row>
    <row r="2084" spans="1:7" hidden="1" x14ac:dyDescent="0.25">
      <c r="A2084" s="6" t="s">
        <v>4068</v>
      </c>
      <c r="B2084" s="28">
        <v>10391</v>
      </c>
      <c r="C2084" s="6" t="s">
        <v>2498</v>
      </c>
      <c r="D2084" t="str">
        <f t="shared" si="96"/>
        <v>29.001.14.243.0018.2.011.4.4.90.52.00</v>
      </c>
      <c r="E2084" t="str">
        <f>VLOOKUP(LEFT(A2084,2),ConsolidadoLoa27_ATIVIDADES!A:I,9,0)</f>
        <v>29 - SEIJ</v>
      </c>
      <c r="F2084" t="str">
        <f t="shared" si="97"/>
        <v>2.011</v>
      </c>
      <c r="G2084" t="str">
        <f t="shared" si="98"/>
        <v>01.110.0000</v>
      </c>
    </row>
    <row r="2085" spans="1:7" hidden="1" x14ac:dyDescent="0.25">
      <c r="A2085" s="6" t="s">
        <v>4068</v>
      </c>
      <c r="B2085" s="28">
        <v>19578.7222</v>
      </c>
      <c r="C2085" s="6" t="s">
        <v>2500</v>
      </c>
      <c r="D2085" t="str">
        <f t="shared" si="96"/>
        <v>29.001.14.243.0018.2.011.4.4.90.52.00</v>
      </c>
      <c r="E2085" t="str">
        <f>VLOOKUP(LEFT(A2085,2),ConsolidadoLoa27_ATIVIDADES!A:I,9,0)</f>
        <v>29 - SEIJ</v>
      </c>
      <c r="F2085" t="str">
        <f t="shared" si="97"/>
        <v>2.011</v>
      </c>
      <c r="G2085" t="str">
        <f t="shared" si="98"/>
        <v>01.110.0000</v>
      </c>
    </row>
    <row r="2086" spans="1:7" hidden="1" x14ac:dyDescent="0.25">
      <c r="A2086" s="6" t="s">
        <v>4068</v>
      </c>
      <c r="B2086" s="28">
        <v>4156.3999999999996</v>
      </c>
      <c r="C2086" s="6" t="s">
        <v>2502</v>
      </c>
      <c r="D2086" t="str">
        <f t="shared" si="96"/>
        <v>29.001.14.243.0018.2.011.4.4.90.52.00</v>
      </c>
      <c r="E2086" t="str">
        <f>VLOOKUP(LEFT(A2086,2),ConsolidadoLoa27_ATIVIDADES!A:I,9,0)</f>
        <v>29 - SEIJ</v>
      </c>
      <c r="F2086" t="str">
        <f t="shared" si="97"/>
        <v>2.011</v>
      </c>
      <c r="G2086" t="str">
        <f t="shared" si="98"/>
        <v>01.110.0000</v>
      </c>
    </row>
    <row r="2087" spans="1:7" hidden="1" x14ac:dyDescent="0.25">
      <c r="A2087" s="6" t="s">
        <v>4069</v>
      </c>
      <c r="B2087" s="28">
        <v>0</v>
      </c>
      <c r="C2087" s="6" t="s">
        <v>4070</v>
      </c>
      <c r="D2087" t="str">
        <f t="shared" si="96"/>
        <v>29.001.14.243.0018.2.041.3.3.50.39.00</v>
      </c>
      <c r="E2087" t="str">
        <f>VLOOKUP(LEFT(A2087,2),ConsolidadoLoa27_ATIVIDADES!A:I,9,0)</f>
        <v>29 - SEIJ</v>
      </c>
      <c r="F2087" t="str">
        <f t="shared" si="97"/>
        <v>2.041</v>
      </c>
      <c r="G2087" t="str">
        <f t="shared" si="98"/>
        <v>08.110.0000</v>
      </c>
    </row>
    <row r="2088" spans="1:7" hidden="1" x14ac:dyDescent="0.25">
      <c r="A2088" s="6" t="s">
        <v>4071</v>
      </c>
      <c r="B2088" s="28">
        <v>0</v>
      </c>
      <c r="C2088" s="6" t="s">
        <v>4072</v>
      </c>
      <c r="D2088" t="str">
        <f t="shared" si="96"/>
        <v>29.002.14.243.0018.2.041.3.3.50.39.00</v>
      </c>
      <c r="E2088" t="str">
        <f>VLOOKUP(LEFT(A2088,2),ConsolidadoLoa27_ATIVIDADES!A:I,9,0)</f>
        <v>29 - SEIJ</v>
      </c>
      <c r="F2088" t="str">
        <f t="shared" si="97"/>
        <v>2.041</v>
      </c>
      <c r="G2088" t="str">
        <f t="shared" si="98"/>
        <v>01.110.0000</v>
      </c>
    </row>
    <row r="2089" spans="1:7" hidden="1" x14ac:dyDescent="0.25">
      <c r="A2089" s="6" t="s">
        <v>4073</v>
      </c>
      <c r="B2089" s="28">
        <v>13451278.24</v>
      </c>
      <c r="C2089" s="6" t="s">
        <v>4072</v>
      </c>
      <c r="D2089" t="str">
        <f t="shared" si="96"/>
        <v>29.002.14.243.0018.2.041.3.3.50.39.00</v>
      </c>
      <c r="E2089" t="str">
        <f>VLOOKUP(LEFT(A2089,2),ConsolidadoLoa27_ATIVIDADES!A:I,9,0)</f>
        <v>29 - SEIJ</v>
      </c>
      <c r="F2089" t="str">
        <f t="shared" si="97"/>
        <v>2.041</v>
      </c>
      <c r="G2089" t="str">
        <f t="shared" si="98"/>
        <v>03.100.2901</v>
      </c>
    </row>
    <row r="2090" spans="1:7" hidden="1" x14ac:dyDescent="0.25">
      <c r="A2090" s="6" t="s">
        <v>4074</v>
      </c>
      <c r="B2090" s="28">
        <v>1</v>
      </c>
      <c r="C2090" s="6" t="s">
        <v>4072</v>
      </c>
      <c r="D2090" t="str">
        <f t="shared" si="96"/>
        <v>29.002.14.243.0018.2.041.4.4.50.39.00</v>
      </c>
      <c r="E2090" t="str">
        <f>VLOOKUP(LEFT(A2090,2),ConsolidadoLoa27_ATIVIDADES!A:I,9,0)</f>
        <v>29 - SEIJ</v>
      </c>
      <c r="F2090" t="str">
        <f t="shared" si="97"/>
        <v>2.041</v>
      </c>
      <c r="G2090" t="str">
        <f t="shared" si="98"/>
        <v>03.100.2901</v>
      </c>
    </row>
    <row r="2091" spans="1:7" hidden="1" x14ac:dyDescent="0.25">
      <c r="A2091" s="6" t="s">
        <v>4075</v>
      </c>
      <c r="B2091" s="28">
        <v>1</v>
      </c>
      <c r="C2091" s="6" t="s">
        <v>4072</v>
      </c>
      <c r="D2091" t="str">
        <f t="shared" si="96"/>
        <v>29.002.14.243.0018.2.041.4.4.50.52.00</v>
      </c>
      <c r="E2091" t="str">
        <f>VLOOKUP(LEFT(A2091,2),ConsolidadoLoa27_ATIVIDADES!A:I,9,0)</f>
        <v>29 - SEIJ</v>
      </c>
      <c r="F2091" t="str">
        <f t="shared" si="97"/>
        <v>2.041</v>
      </c>
      <c r="G2091" t="str">
        <f t="shared" si="98"/>
        <v>03.100.2901</v>
      </c>
    </row>
    <row r="2092" spans="1:7" hidden="1" x14ac:dyDescent="0.25">
      <c r="A2092" s="6" t="s">
        <v>4076</v>
      </c>
      <c r="B2092" s="28">
        <v>1</v>
      </c>
      <c r="C2092" s="6" t="s">
        <v>4077</v>
      </c>
      <c r="D2092" t="str">
        <f t="shared" si="96"/>
        <v>30.001.04.121.0004.1.001.3.3.90.35.00</v>
      </c>
      <c r="E2092" t="str">
        <f>VLOOKUP(LEFT(A2092,2),ConsolidadoLoa27_ATIVIDADES!A:I,9,0)</f>
        <v>30 - SECRETARIA EXECUTIVA DA PESSOA COM DEFICIÊNCIA</v>
      </c>
      <c r="F2092" t="str">
        <f t="shared" si="97"/>
        <v>1.001</v>
      </c>
      <c r="G2092" t="str">
        <f t="shared" si="98"/>
        <v>01.110.0000</v>
      </c>
    </row>
    <row r="2093" spans="1:7" hidden="1" x14ac:dyDescent="0.25">
      <c r="A2093" s="6" t="s">
        <v>4078</v>
      </c>
      <c r="B2093" s="28">
        <v>2956676.03</v>
      </c>
      <c r="C2093" s="6" t="s">
        <v>847</v>
      </c>
      <c r="D2093" t="str">
        <f t="shared" si="96"/>
        <v>30.001.04.122.0001.2.001.3.1.90.11.00</v>
      </c>
      <c r="E2093" t="str">
        <f>VLOOKUP(LEFT(A2093,2),ConsolidadoLoa27_ATIVIDADES!A:I,9,0)</f>
        <v>30 - SECRETARIA EXECUTIVA DA PESSOA COM DEFICIÊNCIA</v>
      </c>
      <c r="F2093" t="str">
        <f t="shared" si="97"/>
        <v>2.001</v>
      </c>
      <c r="G2093" t="str">
        <f t="shared" si="98"/>
        <v>01.110.0000</v>
      </c>
    </row>
    <row r="2094" spans="1:7" hidden="1" x14ac:dyDescent="0.25">
      <c r="A2094" s="6" t="s">
        <v>4079</v>
      </c>
      <c r="B2094" s="28">
        <v>284838.09000000003</v>
      </c>
      <c r="C2094" s="6" t="s">
        <v>847</v>
      </c>
      <c r="D2094" t="str">
        <f t="shared" si="96"/>
        <v>30.001.04.122.0001.2.001.3.1.90.13.00</v>
      </c>
      <c r="E2094" t="str">
        <f>VLOOKUP(LEFT(A2094,2),ConsolidadoLoa27_ATIVIDADES!A:I,9,0)</f>
        <v>30 - SECRETARIA EXECUTIVA DA PESSOA COM DEFICIÊNCIA</v>
      </c>
      <c r="F2094" t="str">
        <f t="shared" si="97"/>
        <v>2.001</v>
      </c>
      <c r="G2094" t="str">
        <f t="shared" si="98"/>
        <v>01.110.0000</v>
      </c>
    </row>
    <row r="2095" spans="1:7" hidden="1" x14ac:dyDescent="0.25">
      <c r="A2095" s="6" t="s">
        <v>4080</v>
      </c>
      <c r="B2095" s="28">
        <v>265131.11</v>
      </c>
      <c r="C2095" s="12" t="s">
        <v>847</v>
      </c>
      <c r="D2095" t="str">
        <f t="shared" si="96"/>
        <v>30.001.04.122.0001.2.001.3.1.91.13.00</v>
      </c>
      <c r="E2095" t="str">
        <f>VLOOKUP(LEFT(A2095,2),ConsolidadoLoa27_ATIVIDADES!A:I,9,0)</f>
        <v>30 - SECRETARIA EXECUTIVA DA PESSOA COM DEFICIÊNCIA</v>
      </c>
      <c r="F2095" t="str">
        <f t="shared" si="97"/>
        <v>2.001</v>
      </c>
      <c r="G2095" t="str">
        <f t="shared" si="98"/>
        <v>01.110.0000</v>
      </c>
    </row>
    <row r="2096" spans="1:7" hidden="1" x14ac:dyDescent="0.25">
      <c r="A2096" s="6" t="s">
        <v>4081</v>
      </c>
      <c r="B2096" s="28">
        <v>4.46</v>
      </c>
      <c r="C2096" s="6" t="s">
        <v>2278</v>
      </c>
      <c r="D2096" t="str">
        <f t="shared" si="96"/>
        <v>30.001.04.122.0001.2.001.3.3.90.46.00</v>
      </c>
      <c r="E2096" t="str">
        <f>VLOOKUP(LEFT(A2096,2),ConsolidadoLoa27_ATIVIDADES!A:I,9,0)</f>
        <v>30 - SECRETARIA EXECUTIVA DA PESSOA COM DEFICIÊNCIA</v>
      </c>
      <c r="F2096" t="str">
        <f t="shared" si="97"/>
        <v>2.001</v>
      </c>
      <c r="G2096" t="str">
        <f t="shared" si="98"/>
        <v>01.110.0000</v>
      </c>
    </row>
    <row r="2097" spans="1:7" hidden="1" x14ac:dyDescent="0.25">
      <c r="A2097" s="6" t="s">
        <v>4082</v>
      </c>
      <c r="B2097" s="28">
        <v>54162.12</v>
      </c>
      <c r="C2097" s="6" t="s">
        <v>2280</v>
      </c>
      <c r="D2097" t="str">
        <f t="shared" si="96"/>
        <v>30.001.04.122.0001.2.001.3.3.90.49.00</v>
      </c>
      <c r="E2097" t="str">
        <f>VLOOKUP(LEFT(A2097,2),ConsolidadoLoa27_ATIVIDADES!A:I,9,0)</f>
        <v>30 - SECRETARIA EXECUTIVA DA PESSOA COM DEFICIÊNCIA</v>
      </c>
      <c r="F2097" t="str">
        <f t="shared" si="97"/>
        <v>2.001</v>
      </c>
      <c r="G2097" t="str">
        <f t="shared" si="98"/>
        <v>01.110.0000</v>
      </c>
    </row>
    <row r="2098" spans="1:7" hidden="1" x14ac:dyDescent="0.25">
      <c r="A2098" s="6" t="s">
        <v>4083</v>
      </c>
      <c r="B2098" s="28">
        <v>1</v>
      </c>
      <c r="C2098" s="6" t="s">
        <v>2282</v>
      </c>
      <c r="D2098" t="str">
        <f t="shared" si="96"/>
        <v>30.001.04.122.0001.2.006.3.3.90.33.00</v>
      </c>
      <c r="E2098" t="str">
        <f>VLOOKUP(LEFT(A2098,2),ConsolidadoLoa27_ATIVIDADES!A:I,9,0)</f>
        <v>30 - SECRETARIA EXECUTIVA DA PESSOA COM DEFICIÊNCIA</v>
      </c>
      <c r="F2098" t="str">
        <f t="shared" si="97"/>
        <v>2.006</v>
      </c>
      <c r="G2098" t="str">
        <f t="shared" si="98"/>
        <v>01.110.0000</v>
      </c>
    </row>
    <row r="2099" spans="1:7" hidden="1" x14ac:dyDescent="0.25">
      <c r="A2099" s="6" t="s">
        <v>4084</v>
      </c>
      <c r="B2099" s="28">
        <v>1</v>
      </c>
      <c r="C2099" s="14" t="s">
        <v>421</v>
      </c>
      <c r="D2099" t="str">
        <f t="shared" si="96"/>
        <v>30.001.04.122.0001.2.006.3.3.90.39.00</v>
      </c>
      <c r="E2099" t="str">
        <f>VLOOKUP(LEFT(A2099,2),ConsolidadoLoa27_ATIVIDADES!A:I,9,0)</f>
        <v>30 - SECRETARIA EXECUTIVA DA PESSOA COM DEFICIÊNCIA</v>
      </c>
      <c r="F2099" t="str">
        <f t="shared" si="97"/>
        <v>2.006</v>
      </c>
      <c r="G2099" t="str">
        <f t="shared" si="98"/>
        <v>01.110.0000</v>
      </c>
    </row>
    <row r="2100" spans="1:7" hidden="1" x14ac:dyDescent="0.25">
      <c r="A2100" s="6" t="s">
        <v>4085</v>
      </c>
      <c r="B2100" s="28">
        <v>20782</v>
      </c>
      <c r="C2100" s="6" t="s">
        <v>2288</v>
      </c>
      <c r="D2100" t="str">
        <f t="shared" si="96"/>
        <v>30.001.04.122.0001.2.011.3.3.90.30.00</v>
      </c>
      <c r="E2100" t="str">
        <f>VLOOKUP(LEFT(A2100,2),ConsolidadoLoa27_ATIVIDADES!A:I,9,0)</f>
        <v>30 - SECRETARIA EXECUTIVA DA PESSOA COM DEFICIÊNCIA</v>
      </c>
      <c r="F2100" t="str">
        <f t="shared" si="97"/>
        <v>2.011</v>
      </c>
      <c r="G2100" t="str">
        <f t="shared" si="98"/>
        <v>01.110.0000</v>
      </c>
    </row>
    <row r="2101" spans="1:7" hidden="1" x14ac:dyDescent="0.25">
      <c r="A2101" s="6" t="s">
        <v>4085</v>
      </c>
      <c r="B2101" s="28">
        <v>10391</v>
      </c>
      <c r="C2101" s="6" t="s">
        <v>2295</v>
      </c>
      <c r="D2101" t="str">
        <f t="shared" si="96"/>
        <v>30.001.04.122.0001.2.011.3.3.90.30.00</v>
      </c>
      <c r="E2101" t="str">
        <f>VLOOKUP(LEFT(A2101,2),ConsolidadoLoa27_ATIVIDADES!A:I,9,0)</f>
        <v>30 - SECRETARIA EXECUTIVA DA PESSOA COM DEFICIÊNCIA</v>
      </c>
      <c r="F2101" t="str">
        <f t="shared" si="97"/>
        <v>2.011</v>
      </c>
      <c r="G2101" t="str">
        <f t="shared" si="98"/>
        <v>01.110.0000</v>
      </c>
    </row>
    <row r="2102" spans="1:7" hidden="1" x14ac:dyDescent="0.25">
      <c r="A2102" s="6" t="s">
        <v>4085</v>
      </c>
      <c r="B2102" s="28">
        <v>1</v>
      </c>
      <c r="C2102" s="6" t="s">
        <v>3706</v>
      </c>
      <c r="D2102" t="str">
        <f t="shared" si="96"/>
        <v>30.001.04.122.0001.2.011.3.3.90.30.00</v>
      </c>
      <c r="E2102" t="str">
        <f>VLOOKUP(LEFT(A2102,2),ConsolidadoLoa27_ATIVIDADES!A:I,9,0)</f>
        <v>30 - SECRETARIA EXECUTIVA DA PESSOA COM DEFICIÊNCIA</v>
      </c>
      <c r="F2102" t="str">
        <f t="shared" si="97"/>
        <v>2.011</v>
      </c>
      <c r="G2102" t="str">
        <f t="shared" si="98"/>
        <v>01.110.0000</v>
      </c>
    </row>
    <row r="2103" spans="1:7" hidden="1" x14ac:dyDescent="0.25">
      <c r="A2103" s="6" t="s">
        <v>4085</v>
      </c>
      <c r="B2103" s="28">
        <v>1</v>
      </c>
      <c r="C2103" s="14" t="s">
        <v>107</v>
      </c>
      <c r="D2103" t="str">
        <f t="shared" si="96"/>
        <v>30.001.04.122.0001.2.011.3.3.90.30.00</v>
      </c>
      <c r="E2103" t="str">
        <f>VLOOKUP(LEFT(A2103,2),ConsolidadoLoa27_ATIVIDADES!A:I,9,0)</f>
        <v>30 - SECRETARIA EXECUTIVA DA PESSOA COM DEFICIÊNCIA</v>
      </c>
      <c r="F2103" t="str">
        <f t="shared" si="97"/>
        <v>2.011</v>
      </c>
      <c r="G2103" t="str">
        <f t="shared" si="98"/>
        <v>01.110.0000</v>
      </c>
    </row>
    <row r="2104" spans="1:7" hidden="1" x14ac:dyDescent="0.25">
      <c r="A2104" s="6" t="s">
        <v>4085</v>
      </c>
      <c r="B2104" s="28">
        <v>10391</v>
      </c>
      <c r="C2104" s="6" t="s">
        <v>2289</v>
      </c>
      <c r="D2104" t="str">
        <f t="shared" si="96"/>
        <v>30.001.04.122.0001.2.011.3.3.90.30.00</v>
      </c>
      <c r="E2104" t="str">
        <f>VLOOKUP(LEFT(A2104,2),ConsolidadoLoa27_ATIVIDADES!A:I,9,0)</f>
        <v>30 - SECRETARIA EXECUTIVA DA PESSOA COM DEFICIÊNCIA</v>
      </c>
      <c r="F2104" t="str">
        <f t="shared" si="97"/>
        <v>2.011</v>
      </c>
      <c r="G2104" t="str">
        <f t="shared" si="98"/>
        <v>01.110.0000</v>
      </c>
    </row>
    <row r="2105" spans="1:7" hidden="1" x14ac:dyDescent="0.25">
      <c r="A2105" s="6" t="s">
        <v>4085</v>
      </c>
      <c r="B2105" s="28">
        <v>1</v>
      </c>
      <c r="C2105" s="6" t="s">
        <v>104</v>
      </c>
      <c r="D2105" t="str">
        <f t="shared" si="96"/>
        <v>30.001.04.122.0001.2.011.3.3.90.30.00</v>
      </c>
      <c r="E2105" t="str">
        <f>VLOOKUP(LEFT(A2105,2),ConsolidadoLoa27_ATIVIDADES!A:I,9,0)</f>
        <v>30 - SECRETARIA EXECUTIVA DA PESSOA COM DEFICIÊNCIA</v>
      </c>
      <c r="F2105" t="str">
        <f t="shared" si="97"/>
        <v>2.011</v>
      </c>
      <c r="G2105" t="str">
        <f t="shared" si="98"/>
        <v>01.110.0000</v>
      </c>
    </row>
    <row r="2106" spans="1:7" hidden="1" x14ac:dyDescent="0.25">
      <c r="A2106" s="6" t="s">
        <v>4086</v>
      </c>
      <c r="B2106" s="28">
        <v>1</v>
      </c>
      <c r="C2106" s="6" t="s">
        <v>3706</v>
      </c>
      <c r="D2106" t="str">
        <f t="shared" si="96"/>
        <v>30.001.04.122.0001.2.011.3.3.90.39.00</v>
      </c>
      <c r="E2106" t="str">
        <f>VLOOKUP(LEFT(A2106,2),ConsolidadoLoa27_ATIVIDADES!A:I,9,0)</f>
        <v>30 - SECRETARIA EXECUTIVA DA PESSOA COM DEFICIÊNCIA</v>
      </c>
      <c r="F2106" t="str">
        <f t="shared" si="97"/>
        <v>2.011</v>
      </c>
      <c r="G2106" t="str">
        <f t="shared" si="98"/>
        <v>01.110.0000</v>
      </c>
    </row>
    <row r="2107" spans="1:7" hidden="1" x14ac:dyDescent="0.25">
      <c r="A2107" s="6" t="s">
        <v>4086</v>
      </c>
      <c r="B2107" s="28">
        <v>1</v>
      </c>
      <c r="C2107" s="14" t="s">
        <v>95</v>
      </c>
      <c r="D2107" t="str">
        <f t="shared" si="96"/>
        <v>30.001.04.122.0001.2.011.3.3.90.39.00</v>
      </c>
      <c r="E2107" t="str">
        <f>VLOOKUP(LEFT(A2107,2),ConsolidadoLoa27_ATIVIDADES!A:I,9,0)</f>
        <v>30 - SECRETARIA EXECUTIVA DA PESSOA COM DEFICIÊNCIA</v>
      </c>
      <c r="F2107" t="str">
        <f t="shared" si="97"/>
        <v>2.011</v>
      </c>
      <c r="G2107" t="str">
        <f t="shared" si="98"/>
        <v>01.110.0000</v>
      </c>
    </row>
    <row r="2108" spans="1:7" hidden="1" x14ac:dyDescent="0.25">
      <c r="A2108" s="6" t="s">
        <v>4086</v>
      </c>
      <c r="B2108" s="28">
        <v>1</v>
      </c>
      <c r="C2108" s="14" t="s">
        <v>107</v>
      </c>
      <c r="D2108" t="str">
        <f t="shared" si="96"/>
        <v>30.001.04.122.0001.2.011.3.3.90.39.00</v>
      </c>
      <c r="E2108" t="str">
        <f>VLOOKUP(LEFT(A2108,2),ConsolidadoLoa27_ATIVIDADES!A:I,9,0)</f>
        <v>30 - SECRETARIA EXECUTIVA DA PESSOA COM DEFICIÊNCIA</v>
      </c>
      <c r="F2108" t="str">
        <f t="shared" si="97"/>
        <v>2.011</v>
      </c>
      <c r="G2108" t="str">
        <f t="shared" si="98"/>
        <v>01.110.0000</v>
      </c>
    </row>
    <row r="2109" spans="1:7" hidden="1" x14ac:dyDescent="0.25">
      <c r="A2109" s="6" t="s">
        <v>4086</v>
      </c>
      <c r="B2109" s="28">
        <v>1</v>
      </c>
      <c r="C2109" s="6" t="s">
        <v>388</v>
      </c>
      <c r="D2109" t="str">
        <f t="shared" si="96"/>
        <v>30.001.04.122.0001.2.011.3.3.90.39.00</v>
      </c>
      <c r="E2109" t="str">
        <f>VLOOKUP(LEFT(A2109,2),ConsolidadoLoa27_ATIVIDADES!A:I,9,0)</f>
        <v>30 - SECRETARIA EXECUTIVA DA PESSOA COM DEFICIÊNCIA</v>
      </c>
      <c r="F2109" t="str">
        <f t="shared" si="97"/>
        <v>2.011</v>
      </c>
      <c r="G2109" t="str">
        <f t="shared" si="98"/>
        <v>01.110.0000</v>
      </c>
    </row>
    <row r="2110" spans="1:7" hidden="1" x14ac:dyDescent="0.25">
      <c r="A2110" s="6" t="s">
        <v>4086</v>
      </c>
      <c r="B2110" s="28">
        <v>1</v>
      </c>
      <c r="C2110" s="6" t="s">
        <v>106</v>
      </c>
      <c r="D2110" t="str">
        <f t="shared" si="96"/>
        <v>30.001.04.122.0001.2.011.3.3.90.39.00</v>
      </c>
      <c r="E2110" t="str">
        <f>VLOOKUP(LEFT(A2110,2),ConsolidadoLoa27_ATIVIDADES!A:I,9,0)</f>
        <v>30 - SECRETARIA EXECUTIVA DA PESSOA COM DEFICIÊNCIA</v>
      </c>
      <c r="F2110" t="str">
        <f t="shared" si="97"/>
        <v>2.011</v>
      </c>
      <c r="G2110" t="str">
        <f t="shared" si="98"/>
        <v>01.110.0000</v>
      </c>
    </row>
    <row r="2111" spans="1:7" hidden="1" x14ac:dyDescent="0.25">
      <c r="A2111" s="6" t="s">
        <v>4087</v>
      </c>
      <c r="B2111" s="28">
        <v>1</v>
      </c>
      <c r="C2111" s="6" t="s">
        <v>2520</v>
      </c>
      <c r="D2111" t="str">
        <f t="shared" si="96"/>
        <v>30.001.04.122.0001.2.011.4.4.90.52.00</v>
      </c>
      <c r="E2111" t="str">
        <f>VLOOKUP(LEFT(A2111,2),ConsolidadoLoa27_ATIVIDADES!A:I,9,0)</f>
        <v>30 - SECRETARIA EXECUTIVA DA PESSOA COM DEFICIÊNCIA</v>
      </c>
      <c r="F2111" t="str">
        <f t="shared" si="97"/>
        <v>2.011</v>
      </c>
      <c r="G2111" t="str">
        <f t="shared" si="98"/>
        <v>01.110.0000</v>
      </c>
    </row>
    <row r="2112" spans="1:7" hidden="1" x14ac:dyDescent="0.25">
      <c r="A2112" s="6" t="s">
        <v>4087</v>
      </c>
      <c r="B2112" s="28">
        <v>1</v>
      </c>
      <c r="C2112" s="6" t="s">
        <v>2498</v>
      </c>
      <c r="D2112" t="str">
        <f t="shared" si="96"/>
        <v>30.001.04.122.0001.2.011.4.4.90.52.00</v>
      </c>
      <c r="E2112" t="str">
        <f>VLOOKUP(LEFT(A2112,2),ConsolidadoLoa27_ATIVIDADES!A:I,9,0)</f>
        <v>30 - SECRETARIA EXECUTIVA DA PESSOA COM DEFICIÊNCIA</v>
      </c>
      <c r="F2112" t="str">
        <f t="shared" si="97"/>
        <v>2.011</v>
      </c>
      <c r="G2112" t="str">
        <f t="shared" si="98"/>
        <v>01.110.0000</v>
      </c>
    </row>
    <row r="2113" spans="1:7" hidden="1" x14ac:dyDescent="0.25">
      <c r="A2113" s="6" t="s">
        <v>4087</v>
      </c>
      <c r="B2113" s="28">
        <v>1</v>
      </c>
      <c r="C2113" s="6" t="s">
        <v>3241</v>
      </c>
      <c r="D2113" t="str">
        <f t="shared" si="96"/>
        <v>30.001.04.122.0001.2.011.4.4.90.52.00</v>
      </c>
      <c r="E2113" t="str">
        <f>VLOOKUP(LEFT(A2113,2),ConsolidadoLoa27_ATIVIDADES!A:I,9,0)</f>
        <v>30 - SECRETARIA EXECUTIVA DA PESSOA COM DEFICIÊNCIA</v>
      </c>
      <c r="F2113" t="str">
        <f t="shared" si="97"/>
        <v>2.011</v>
      </c>
      <c r="G2113" t="str">
        <f t="shared" si="98"/>
        <v>01.110.0000</v>
      </c>
    </row>
    <row r="2114" spans="1:7" hidden="1" x14ac:dyDescent="0.25">
      <c r="A2114" s="6" t="s">
        <v>4087</v>
      </c>
      <c r="B2114" s="28">
        <v>1</v>
      </c>
      <c r="C2114" s="6" t="s">
        <v>2502</v>
      </c>
      <c r="D2114" t="str">
        <f t="shared" si="96"/>
        <v>30.001.04.122.0001.2.011.4.4.90.52.00</v>
      </c>
      <c r="E2114" t="str">
        <f>VLOOKUP(LEFT(A2114,2),ConsolidadoLoa27_ATIVIDADES!A:I,9,0)</f>
        <v>30 - SECRETARIA EXECUTIVA DA PESSOA COM DEFICIÊNCIA</v>
      </c>
      <c r="F2114" t="str">
        <f t="shared" si="97"/>
        <v>2.011</v>
      </c>
      <c r="G2114" t="str">
        <f t="shared" si="98"/>
        <v>01.110.0000</v>
      </c>
    </row>
    <row r="2115" spans="1:7" hidden="1" x14ac:dyDescent="0.25">
      <c r="A2115" s="6" t="s">
        <v>4088</v>
      </c>
      <c r="B2115" s="28">
        <v>0</v>
      </c>
      <c r="C2115" s="6" t="s">
        <v>4089</v>
      </c>
      <c r="D2115" t="str">
        <f t="shared" ref="D2115:D2178" si="99">_xlfn.CONCAT(LEFT(A2115,34),".00")</f>
        <v>30.001.04.122.0001.2.011.4.4.90.52.00</v>
      </c>
      <c r="E2115" t="str">
        <f>VLOOKUP(LEFT(A2115,2),ConsolidadoLoa27_ATIVIDADES!A:I,9,0)</f>
        <v>30 - SECRETARIA EXECUTIVA DA PESSOA COM DEFICIÊNCIA</v>
      </c>
      <c r="F2115" t="str">
        <f t="shared" ref="F2115:F2178" si="100">MID(A2115,20,5)</f>
        <v>2.011</v>
      </c>
      <c r="G2115" t="str">
        <f t="shared" ref="G2115:G2178" si="101">RIGHT(A2115,11)</f>
        <v>08.110.0000</v>
      </c>
    </row>
    <row r="2116" spans="1:7" hidden="1" x14ac:dyDescent="0.25">
      <c r="A2116" s="6" t="s">
        <v>4090</v>
      </c>
      <c r="B2116" s="28">
        <v>1</v>
      </c>
      <c r="C2116" s="6" t="s">
        <v>4091</v>
      </c>
      <c r="D2116" t="str">
        <f t="shared" si="99"/>
        <v>30.001.04.128.0002.2.003.3.3.90.36.00</v>
      </c>
      <c r="E2116" t="str">
        <f>VLOOKUP(LEFT(A2116,2),ConsolidadoLoa27_ATIVIDADES!A:I,9,0)</f>
        <v>30 - SECRETARIA EXECUTIVA DA PESSOA COM DEFICIÊNCIA</v>
      </c>
      <c r="F2116" t="str">
        <f t="shared" si="100"/>
        <v>2.003</v>
      </c>
      <c r="G2116" t="str">
        <f t="shared" si="101"/>
        <v>01.110.0000</v>
      </c>
    </row>
    <row r="2117" spans="1:7" hidden="1" x14ac:dyDescent="0.25">
      <c r="A2117" s="6" t="s">
        <v>4090</v>
      </c>
      <c r="B2117" s="28">
        <v>1</v>
      </c>
      <c r="C2117" s="6" t="s">
        <v>318</v>
      </c>
      <c r="D2117" t="str">
        <f t="shared" si="99"/>
        <v>30.001.04.128.0002.2.003.3.3.90.36.00</v>
      </c>
      <c r="E2117" t="str">
        <f>VLOOKUP(LEFT(A2117,2),ConsolidadoLoa27_ATIVIDADES!A:I,9,0)</f>
        <v>30 - SECRETARIA EXECUTIVA DA PESSOA COM DEFICIÊNCIA</v>
      </c>
      <c r="F2117" t="str">
        <f t="shared" si="100"/>
        <v>2.003</v>
      </c>
      <c r="G2117" t="str">
        <f t="shared" si="101"/>
        <v>01.110.0000</v>
      </c>
    </row>
    <row r="2118" spans="1:7" hidden="1" x14ac:dyDescent="0.25">
      <c r="A2118" s="6" t="s">
        <v>4092</v>
      </c>
      <c r="B2118" s="28">
        <v>1</v>
      </c>
      <c r="C2118" s="6" t="s">
        <v>4091</v>
      </c>
      <c r="D2118" t="str">
        <f t="shared" si="99"/>
        <v>30.001.04.128.0002.2.003.3.3.90.39.00</v>
      </c>
      <c r="E2118" t="str">
        <f>VLOOKUP(LEFT(A2118,2),ConsolidadoLoa27_ATIVIDADES!A:I,9,0)</f>
        <v>30 - SECRETARIA EXECUTIVA DA PESSOA COM DEFICIÊNCIA</v>
      </c>
      <c r="F2118" t="str">
        <f t="shared" si="100"/>
        <v>2.003</v>
      </c>
      <c r="G2118" t="str">
        <f t="shared" si="101"/>
        <v>01.110.0000</v>
      </c>
    </row>
    <row r="2119" spans="1:7" hidden="1" x14ac:dyDescent="0.25">
      <c r="A2119" s="6" t="s">
        <v>4092</v>
      </c>
      <c r="B2119" s="28">
        <v>1</v>
      </c>
      <c r="C2119" s="6" t="s">
        <v>318</v>
      </c>
      <c r="D2119" t="str">
        <f t="shared" si="99"/>
        <v>30.001.04.128.0002.2.003.3.3.90.39.00</v>
      </c>
      <c r="E2119" t="str">
        <f>VLOOKUP(LEFT(A2119,2),ConsolidadoLoa27_ATIVIDADES!A:I,9,0)</f>
        <v>30 - SECRETARIA EXECUTIVA DA PESSOA COM DEFICIÊNCIA</v>
      </c>
      <c r="F2119" t="str">
        <f t="shared" si="100"/>
        <v>2.003</v>
      </c>
      <c r="G2119" t="str">
        <f t="shared" si="101"/>
        <v>01.110.0000</v>
      </c>
    </row>
    <row r="2120" spans="1:7" hidden="1" x14ac:dyDescent="0.25">
      <c r="A2120" s="6" t="s">
        <v>4093</v>
      </c>
      <c r="B2120" s="28">
        <v>5195.5</v>
      </c>
      <c r="C2120" s="6" t="s">
        <v>245</v>
      </c>
      <c r="D2120" t="str">
        <f t="shared" si="99"/>
        <v>30.001.04.131.0002.2.005.3.3.90.30.00</v>
      </c>
      <c r="E2120" t="str">
        <f>VLOOKUP(LEFT(A2120,2),ConsolidadoLoa27_ATIVIDADES!A:I,9,0)</f>
        <v>30 - SECRETARIA EXECUTIVA DA PESSOA COM DEFICIÊNCIA</v>
      </c>
      <c r="F2120" t="str">
        <f t="shared" si="100"/>
        <v>2.005</v>
      </c>
      <c r="G2120" t="str">
        <f t="shared" si="101"/>
        <v>01.110.0000</v>
      </c>
    </row>
    <row r="2121" spans="1:7" hidden="1" x14ac:dyDescent="0.25">
      <c r="A2121" s="6" t="s">
        <v>4094</v>
      </c>
      <c r="B2121" s="28">
        <v>7793.25</v>
      </c>
      <c r="C2121" s="6" t="s">
        <v>4000</v>
      </c>
      <c r="D2121" t="str">
        <f t="shared" si="99"/>
        <v>30.001.04.131.0002.2.005.3.3.90.36.00</v>
      </c>
      <c r="E2121" t="str">
        <f>VLOOKUP(LEFT(A2121,2),ConsolidadoLoa27_ATIVIDADES!A:I,9,0)</f>
        <v>30 - SECRETARIA EXECUTIVA DA PESSOA COM DEFICIÊNCIA</v>
      </c>
      <c r="F2121" t="str">
        <f t="shared" si="100"/>
        <v>2.005</v>
      </c>
      <c r="G2121" t="str">
        <f t="shared" si="101"/>
        <v>01.110.0000</v>
      </c>
    </row>
    <row r="2122" spans="1:7" hidden="1" x14ac:dyDescent="0.25">
      <c r="A2122" s="6" t="s">
        <v>4095</v>
      </c>
      <c r="B2122" s="28">
        <v>5336.8176000000003</v>
      </c>
      <c r="C2122" s="6" t="s">
        <v>198</v>
      </c>
      <c r="D2122" t="str">
        <f t="shared" si="99"/>
        <v>30.001.04.131.0002.2.005.3.3.90.39.00</v>
      </c>
      <c r="E2122" t="str">
        <f>VLOOKUP(LEFT(A2122,2),ConsolidadoLoa27_ATIVIDADES!A:I,9,0)</f>
        <v>30 - SECRETARIA EXECUTIVA DA PESSOA COM DEFICIÊNCIA</v>
      </c>
      <c r="F2122" t="str">
        <f t="shared" si="100"/>
        <v>2.005</v>
      </c>
      <c r="G2122" t="str">
        <f t="shared" si="101"/>
        <v>01.110.0000</v>
      </c>
    </row>
    <row r="2123" spans="1:7" hidden="1" x14ac:dyDescent="0.25">
      <c r="A2123" s="6" t="s">
        <v>4095</v>
      </c>
      <c r="B2123" s="28">
        <v>7793.25</v>
      </c>
      <c r="C2123" s="6" t="s">
        <v>4000</v>
      </c>
      <c r="D2123" t="str">
        <f t="shared" si="99"/>
        <v>30.001.04.131.0002.2.005.3.3.90.39.00</v>
      </c>
      <c r="E2123" t="str">
        <f>VLOOKUP(LEFT(A2123,2),ConsolidadoLoa27_ATIVIDADES!A:I,9,0)</f>
        <v>30 - SECRETARIA EXECUTIVA DA PESSOA COM DEFICIÊNCIA</v>
      </c>
      <c r="F2123" t="str">
        <f t="shared" si="100"/>
        <v>2.005</v>
      </c>
      <c r="G2123" t="str">
        <f t="shared" si="101"/>
        <v>01.110.0000</v>
      </c>
    </row>
    <row r="2124" spans="1:7" hidden="1" x14ac:dyDescent="0.25">
      <c r="A2124" s="6" t="s">
        <v>4095</v>
      </c>
      <c r="B2124" s="28">
        <v>10249.6824</v>
      </c>
      <c r="C2124" s="6" t="s">
        <v>2293</v>
      </c>
      <c r="D2124" t="str">
        <f t="shared" si="99"/>
        <v>30.001.04.131.0002.2.005.3.3.90.39.00</v>
      </c>
      <c r="E2124" t="str">
        <f>VLOOKUP(LEFT(A2124,2),ConsolidadoLoa27_ATIVIDADES!A:I,9,0)</f>
        <v>30 - SECRETARIA EXECUTIVA DA PESSOA COM DEFICIÊNCIA</v>
      </c>
      <c r="F2124" t="str">
        <f t="shared" si="100"/>
        <v>2.005</v>
      </c>
      <c r="G2124" t="str">
        <f t="shared" si="101"/>
        <v>01.110.0000</v>
      </c>
    </row>
    <row r="2125" spans="1:7" hidden="1" x14ac:dyDescent="0.25">
      <c r="A2125" s="6" t="s">
        <v>4095</v>
      </c>
      <c r="B2125" s="28">
        <v>1</v>
      </c>
      <c r="C2125" s="6" t="s">
        <v>196</v>
      </c>
      <c r="D2125" t="str">
        <f t="shared" si="99"/>
        <v>30.001.04.131.0002.2.005.3.3.90.39.00</v>
      </c>
      <c r="E2125" t="str">
        <f>VLOOKUP(LEFT(A2125,2),ConsolidadoLoa27_ATIVIDADES!A:I,9,0)</f>
        <v>30 - SECRETARIA EXECUTIVA DA PESSOA COM DEFICIÊNCIA</v>
      </c>
      <c r="F2125" t="str">
        <f t="shared" si="100"/>
        <v>2.005</v>
      </c>
      <c r="G2125" t="str">
        <f t="shared" si="101"/>
        <v>01.110.0000</v>
      </c>
    </row>
    <row r="2126" spans="1:7" hidden="1" x14ac:dyDescent="0.25">
      <c r="A2126" s="6" t="s">
        <v>4096</v>
      </c>
      <c r="B2126" s="28">
        <v>1</v>
      </c>
      <c r="C2126" s="13" t="s">
        <v>4097</v>
      </c>
      <c r="D2126" t="str">
        <f t="shared" si="99"/>
        <v>30.001.14.242.0001.1.002.3.3.90.30.00</v>
      </c>
      <c r="E2126" t="str">
        <f>VLOOKUP(LEFT(A2126,2),ConsolidadoLoa27_ATIVIDADES!A:I,9,0)</f>
        <v>30 - SECRETARIA EXECUTIVA DA PESSOA COM DEFICIÊNCIA</v>
      </c>
      <c r="F2126" t="str">
        <f t="shared" si="100"/>
        <v>1.002</v>
      </c>
      <c r="G2126" t="str">
        <f t="shared" si="101"/>
        <v>01.110.0000</v>
      </c>
    </row>
    <row r="2127" spans="1:7" hidden="1" x14ac:dyDescent="0.25">
      <c r="A2127" s="6" t="s">
        <v>4096</v>
      </c>
      <c r="B2127" s="28">
        <v>1</v>
      </c>
      <c r="C2127" s="6" t="s">
        <v>4098</v>
      </c>
      <c r="D2127" t="str">
        <f t="shared" si="99"/>
        <v>30.001.14.242.0001.1.002.3.3.90.30.00</v>
      </c>
      <c r="E2127" t="str">
        <f>VLOOKUP(LEFT(A2127,2),ConsolidadoLoa27_ATIVIDADES!A:I,9,0)</f>
        <v>30 - SECRETARIA EXECUTIVA DA PESSOA COM DEFICIÊNCIA</v>
      </c>
      <c r="F2127" t="str">
        <f t="shared" si="100"/>
        <v>1.002</v>
      </c>
      <c r="G2127" t="str">
        <f t="shared" si="101"/>
        <v>01.110.0000</v>
      </c>
    </row>
    <row r="2128" spans="1:7" hidden="1" x14ac:dyDescent="0.25">
      <c r="A2128" s="6" t="s">
        <v>4099</v>
      </c>
      <c r="B2128" s="28">
        <v>1</v>
      </c>
      <c r="C2128" s="6" t="s">
        <v>4100</v>
      </c>
      <c r="D2128" t="str">
        <f t="shared" si="99"/>
        <v>30.001.14.242.0001.1.002.3.3.90.39.00</v>
      </c>
      <c r="E2128" t="str">
        <f>VLOOKUP(LEFT(A2128,2),ConsolidadoLoa27_ATIVIDADES!A:I,9,0)</f>
        <v>30 - SECRETARIA EXECUTIVA DA PESSOA COM DEFICIÊNCIA</v>
      </c>
      <c r="F2128" t="str">
        <f t="shared" si="100"/>
        <v>1.002</v>
      </c>
      <c r="G2128" t="str">
        <f t="shared" si="101"/>
        <v>01.110.0000</v>
      </c>
    </row>
    <row r="2129" spans="1:7" hidden="1" x14ac:dyDescent="0.25">
      <c r="A2129" s="6" t="s">
        <v>4099</v>
      </c>
      <c r="B2129" s="28">
        <v>1</v>
      </c>
      <c r="C2129" s="6" t="s">
        <v>4101</v>
      </c>
      <c r="D2129" t="str">
        <f t="shared" si="99"/>
        <v>30.001.14.242.0001.1.002.3.3.90.39.00</v>
      </c>
      <c r="E2129" t="str">
        <f>VLOOKUP(LEFT(A2129,2),ConsolidadoLoa27_ATIVIDADES!A:I,9,0)</f>
        <v>30 - SECRETARIA EXECUTIVA DA PESSOA COM DEFICIÊNCIA</v>
      </c>
      <c r="F2129" t="str">
        <f t="shared" si="100"/>
        <v>1.002</v>
      </c>
      <c r="G2129" t="str">
        <f t="shared" si="101"/>
        <v>01.110.0000</v>
      </c>
    </row>
    <row r="2130" spans="1:7" hidden="1" x14ac:dyDescent="0.25">
      <c r="A2130" s="6" t="s">
        <v>4102</v>
      </c>
      <c r="B2130" s="28">
        <v>1</v>
      </c>
      <c r="C2130" s="6" t="s">
        <v>4103</v>
      </c>
      <c r="D2130" t="str">
        <f t="shared" si="99"/>
        <v>30.001.14.242.0010.2.041.3.3.50.39.00</v>
      </c>
      <c r="E2130" t="str">
        <f>VLOOKUP(LEFT(A2130,2),ConsolidadoLoa27_ATIVIDADES!A:I,9,0)</f>
        <v>30 - SECRETARIA EXECUTIVA DA PESSOA COM DEFICIÊNCIA</v>
      </c>
      <c r="F2130" t="str">
        <f t="shared" si="100"/>
        <v>2.041</v>
      </c>
      <c r="G2130" t="str">
        <f t="shared" si="101"/>
        <v>01.110.0000</v>
      </c>
    </row>
    <row r="2131" spans="1:7" hidden="1" x14ac:dyDescent="0.25">
      <c r="A2131" s="6" t="s">
        <v>4102</v>
      </c>
      <c r="B2131" s="28">
        <v>1</v>
      </c>
      <c r="C2131" s="6" t="s">
        <v>4104</v>
      </c>
      <c r="D2131" t="str">
        <f t="shared" si="99"/>
        <v>30.001.14.242.0010.2.041.3.3.50.39.00</v>
      </c>
      <c r="E2131" t="str">
        <f>VLOOKUP(LEFT(A2131,2),ConsolidadoLoa27_ATIVIDADES!A:I,9,0)</f>
        <v>30 - SECRETARIA EXECUTIVA DA PESSOA COM DEFICIÊNCIA</v>
      </c>
      <c r="F2131" t="str">
        <f t="shared" si="100"/>
        <v>2.041</v>
      </c>
      <c r="G2131" t="str">
        <f t="shared" si="101"/>
        <v>01.110.0000</v>
      </c>
    </row>
    <row r="2132" spans="1:7" hidden="1" x14ac:dyDescent="0.25">
      <c r="A2132" s="6" t="s">
        <v>4105</v>
      </c>
      <c r="B2132" s="28">
        <v>1</v>
      </c>
      <c r="C2132" s="6" t="s">
        <v>4106</v>
      </c>
      <c r="D2132" t="str">
        <f t="shared" si="99"/>
        <v>30.001.14.242.0016.2.041.3.3.90.39.00</v>
      </c>
      <c r="E2132" t="str">
        <f>VLOOKUP(LEFT(A2132,2),ConsolidadoLoa27_ATIVIDADES!A:I,9,0)</f>
        <v>30 - SECRETARIA EXECUTIVA DA PESSOA COM DEFICIÊNCIA</v>
      </c>
      <c r="F2132" t="str">
        <f t="shared" si="100"/>
        <v>2.041</v>
      </c>
      <c r="G2132" t="str">
        <f t="shared" si="101"/>
        <v>01.110.0000</v>
      </c>
    </row>
    <row r="2133" spans="1:7" hidden="1" x14ac:dyDescent="0.25">
      <c r="A2133" s="6" t="s">
        <v>4107</v>
      </c>
      <c r="B2133" s="28">
        <v>1</v>
      </c>
      <c r="C2133" s="6" t="s">
        <v>4108</v>
      </c>
      <c r="D2133" t="str">
        <f t="shared" si="99"/>
        <v>30.001.14.242.0018.1.003.3.3.90.30.00</v>
      </c>
      <c r="E2133" t="str">
        <f>VLOOKUP(LEFT(A2133,2),ConsolidadoLoa27_ATIVIDADES!A:I,9,0)</f>
        <v>30 - SECRETARIA EXECUTIVA DA PESSOA COM DEFICIÊNCIA</v>
      </c>
      <c r="F2133" t="str">
        <f t="shared" si="100"/>
        <v>1.003</v>
      </c>
      <c r="G2133" t="str">
        <f t="shared" si="101"/>
        <v>01.110.0000</v>
      </c>
    </row>
    <row r="2134" spans="1:7" hidden="1" x14ac:dyDescent="0.25">
      <c r="A2134" s="6" t="s">
        <v>4107</v>
      </c>
      <c r="B2134" s="28">
        <v>1</v>
      </c>
      <c r="C2134" s="6" t="s">
        <v>3241</v>
      </c>
      <c r="D2134" t="str">
        <f t="shared" si="99"/>
        <v>30.001.14.242.0018.1.003.3.3.90.30.00</v>
      </c>
      <c r="E2134" t="str">
        <f>VLOOKUP(LEFT(A2134,2),ConsolidadoLoa27_ATIVIDADES!A:I,9,0)</f>
        <v>30 - SECRETARIA EXECUTIVA DA PESSOA COM DEFICIÊNCIA</v>
      </c>
      <c r="F2134" t="str">
        <f t="shared" si="100"/>
        <v>1.003</v>
      </c>
      <c r="G2134" t="str">
        <f t="shared" si="101"/>
        <v>01.110.0000</v>
      </c>
    </row>
    <row r="2135" spans="1:7" hidden="1" x14ac:dyDescent="0.25">
      <c r="A2135" s="6" t="s">
        <v>4109</v>
      </c>
      <c r="B2135" s="28">
        <v>1</v>
      </c>
      <c r="C2135" s="6" t="s">
        <v>3241</v>
      </c>
      <c r="D2135" t="str">
        <f t="shared" si="99"/>
        <v>30.001.14.242.0018.1.003.3.3.90.39.00</v>
      </c>
      <c r="E2135" t="str">
        <f>VLOOKUP(LEFT(A2135,2),ConsolidadoLoa27_ATIVIDADES!A:I,9,0)</f>
        <v>30 - SECRETARIA EXECUTIVA DA PESSOA COM DEFICIÊNCIA</v>
      </c>
      <c r="F2135" t="str">
        <f t="shared" si="100"/>
        <v>1.003</v>
      </c>
      <c r="G2135" t="str">
        <f t="shared" si="101"/>
        <v>01.110.0000</v>
      </c>
    </row>
    <row r="2136" spans="1:7" hidden="1" x14ac:dyDescent="0.25">
      <c r="A2136" s="6" t="s">
        <v>4110</v>
      </c>
      <c r="B2136" s="28">
        <v>1</v>
      </c>
      <c r="C2136" s="6" t="s">
        <v>4111</v>
      </c>
      <c r="D2136" t="str">
        <f t="shared" si="99"/>
        <v>30.001.14.242.0018.1.003.4.4.90.51.00</v>
      </c>
      <c r="E2136" t="str">
        <f>VLOOKUP(LEFT(A2136,2),ConsolidadoLoa27_ATIVIDADES!A:I,9,0)</f>
        <v>30 - SECRETARIA EXECUTIVA DA PESSOA COM DEFICIÊNCIA</v>
      </c>
      <c r="F2136" t="str">
        <f t="shared" si="100"/>
        <v>1.003</v>
      </c>
      <c r="G2136" t="str">
        <f t="shared" si="101"/>
        <v>01.110.0000</v>
      </c>
    </row>
    <row r="2137" spans="1:7" hidden="1" x14ac:dyDescent="0.25">
      <c r="A2137" s="6" t="s">
        <v>4112</v>
      </c>
      <c r="B2137" s="28">
        <v>1</v>
      </c>
      <c r="C2137" s="6" t="s">
        <v>4108</v>
      </c>
      <c r="D2137" t="str">
        <f t="shared" si="99"/>
        <v>30.001.14.242.0018.1.003.4.4.90.52.00</v>
      </c>
      <c r="E2137" t="str">
        <f>VLOOKUP(LEFT(A2137,2),ConsolidadoLoa27_ATIVIDADES!A:I,9,0)</f>
        <v>30 - SECRETARIA EXECUTIVA DA PESSOA COM DEFICIÊNCIA</v>
      </c>
      <c r="F2137" t="str">
        <f t="shared" si="100"/>
        <v>1.003</v>
      </c>
      <c r="G2137" t="str">
        <f t="shared" si="101"/>
        <v>01.110.0000</v>
      </c>
    </row>
    <row r="2138" spans="1:7" hidden="1" x14ac:dyDescent="0.25">
      <c r="A2138" s="6" t="s">
        <v>4112</v>
      </c>
      <c r="B2138" s="28">
        <v>1</v>
      </c>
      <c r="C2138" s="6" t="s">
        <v>2520</v>
      </c>
      <c r="D2138" t="str">
        <f t="shared" si="99"/>
        <v>30.001.14.242.0018.1.003.4.4.90.52.00</v>
      </c>
      <c r="E2138" t="str">
        <f>VLOOKUP(LEFT(A2138,2),ConsolidadoLoa27_ATIVIDADES!A:I,9,0)</f>
        <v>30 - SECRETARIA EXECUTIVA DA PESSOA COM DEFICIÊNCIA</v>
      </c>
      <c r="F2138" t="str">
        <f t="shared" si="100"/>
        <v>1.003</v>
      </c>
      <c r="G2138" t="str">
        <f t="shared" si="101"/>
        <v>01.110.0000</v>
      </c>
    </row>
    <row r="2139" spans="1:7" hidden="1" x14ac:dyDescent="0.25">
      <c r="A2139" s="6" t="s">
        <v>4112</v>
      </c>
      <c r="B2139" s="28">
        <v>1</v>
      </c>
      <c r="C2139" s="6" t="s">
        <v>2498</v>
      </c>
      <c r="D2139" t="str">
        <f t="shared" si="99"/>
        <v>30.001.14.242.0018.1.003.4.4.90.52.00</v>
      </c>
      <c r="E2139" t="str">
        <f>VLOOKUP(LEFT(A2139,2),ConsolidadoLoa27_ATIVIDADES!A:I,9,0)</f>
        <v>30 - SECRETARIA EXECUTIVA DA PESSOA COM DEFICIÊNCIA</v>
      </c>
      <c r="F2139" t="str">
        <f t="shared" si="100"/>
        <v>1.003</v>
      </c>
      <c r="G2139" t="str">
        <f t="shared" si="101"/>
        <v>01.110.0000</v>
      </c>
    </row>
    <row r="2140" spans="1:7" hidden="1" x14ac:dyDescent="0.25">
      <c r="A2140" s="6" t="s">
        <v>4112</v>
      </c>
      <c r="B2140" s="28">
        <v>1</v>
      </c>
      <c r="C2140" s="6" t="s">
        <v>2500</v>
      </c>
      <c r="D2140" t="str">
        <f t="shared" si="99"/>
        <v>30.001.14.242.0018.1.003.4.4.90.52.00</v>
      </c>
      <c r="E2140" t="str">
        <f>VLOOKUP(LEFT(A2140,2),ConsolidadoLoa27_ATIVIDADES!A:I,9,0)</f>
        <v>30 - SECRETARIA EXECUTIVA DA PESSOA COM DEFICIÊNCIA</v>
      </c>
      <c r="F2140" t="str">
        <f t="shared" si="100"/>
        <v>1.003</v>
      </c>
      <c r="G2140" t="str">
        <f t="shared" si="101"/>
        <v>01.110.0000</v>
      </c>
    </row>
    <row r="2141" spans="1:7" hidden="1" x14ac:dyDescent="0.25">
      <c r="A2141" s="6" t="s">
        <v>4113</v>
      </c>
      <c r="B2141" s="28">
        <v>1</v>
      </c>
      <c r="C2141" s="6" t="s">
        <v>4114</v>
      </c>
      <c r="D2141" t="str">
        <f t="shared" si="99"/>
        <v>30.001.14.242.0018.2.041.3.3.50.39.00</v>
      </c>
      <c r="E2141" t="str">
        <f>VLOOKUP(LEFT(A2141,2),ConsolidadoLoa27_ATIVIDADES!A:I,9,0)</f>
        <v>30 - SECRETARIA EXECUTIVA DA PESSOA COM DEFICIÊNCIA</v>
      </c>
      <c r="F2141" t="str">
        <f t="shared" si="100"/>
        <v>2.041</v>
      </c>
      <c r="G2141" t="str">
        <f t="shared" si="101"/>
        <v>01.110.0000</v>
      </c>
    </row>
    <row r="2142" spans="1:7" hidden="1" x14ac:dyDescent="0.25">
      <c r="A2142" s="6" t="s">
        <v>4113</v>
      </c>
      <c r="B2142" s="28">
        <v>1</v>
      </c>
      <c r="C2142" s="6" t="s">
        <v>4115</v>
      </c>
      <c r="D2142" t="str">
        <f t="shared" si="99"/>
        <v>30.001.14.242.0018.2.041.3.3.50.39.00</v>
      </c>
      <c r="E2142" t="str">
        <f>VLOOKUP(LEFT(A2142,2),ConsolidadoLoa27_ATIVIDADES!A:I,9,0)</f>
        <v>30 - SECRETARIA EXECUTIVA DA PESSOA COM DEFICIÊNCIA</v>
      </c>
      <c r="F2142" t="str">
        <f t="shared" si="100"/>
        <v>2.041</v>
      </c>
      <c r="G2142" t="str">
        <f t="shared" si="101"/>
        <v>01.110.0000</v>
      </c>
    </row>
    <row r="2143" spans="1:7" hidden="1" x14ac:dyDescent="0.25">
      <c r="A2143" s="6" t="s">
        <v>4113</v>
      </c>
      <c r="B2143" s="28">
        <v>1</v>
      </c>
      <c r="C2143" s="6" t="s">
        <v>4116</v>
      </c>
      <c r="D2143" t="str">
        <f t="shared" si="99"/>
        <v>30.001.14.242.0018.2.041.3.3.50.39.00</v>
      </c>
      <c r="E2143" t="str">
        <f>VLOOKUP(LEFT(A2143,2),ConsolidadoLoa27_ATIVIDADES!A:I,9,0)</f>
        <v>30 - SECRETARIA EXECUTIVA DA PESSOA COM DEFICIÊNCIA</v>
      </c>
      <c r="F2143" t="str">
        <f t="shared" si="100"/>
        <v>2.041</v>
      </c>
      <c r="G2143" t="str">
        <f t="shared" si="101"/>
        <v>01.110.0000</v>
      </c>
    </row>
    <row r="2144" spans="1:7" hidden="1" x14ac:dyDescent="0.25">
      <c r="A2144" s="6" t="s">
        <v>4113</v>
      </c>
      <c r="B2144" s="28">
        <v>1558650</v>
      </c>
      <c r="C2144" s="6" t="s">
        <v>3351</v>
      </c>
      <c r="D2144" t="str">
        <f t="shared" si="99"/>
        <v>30.001.14.242.0018.2.041.3.3.50.39.00</v>
      </c>
      <c r="E2144" t="str">
        <f>VLOOKUP(LEFT(A2144,2),ConsolidadoLoa27_ATIVIDADES!A:I,9,0)</f>
        <v>30 - SECRETARIA EXECUTIVA DA PESSOA COM DEFICIÊNCIA</v>
      </c>
      <c r="F2144" t="str">
        <f t="shared" si="100"/>
        <v>2.041</v>
      </c>
      <c r="G2144" t="str">
        <f t="shared" si="101"/>
        <v>01.110.0000</v>
      </c>
    </row>
    <row r="2145" spans="1:7" hidden="1" x14ac:dyDescent="0.25">
      <c r="A2145" s="6" t="s">
        <v>4113</v>
      </c>
      <c r="B2145" s="28">
        <v>1</v>
      </c>
      <c r="C2145" s="6" t="s">
        <v>4117</v>
      </c>
      <c r="D2145" t="str">
        <f t="shared" si="99"/>
        <v>30.001.14.242.0018.2.041.3.3.50.39.00</v>
      </c>
      <c r="E2145" t="str">
        <f>VLOOKUP(LEFT(A2145,2),ConsolidadoLoa27_ATIVIDADES!A:I,9,0)</f>
        <v>30 - SECRETARIA EXECUTIVA DA PESSOA COM DEFICIÊNCIA</v>
      </c>
      <c r="F2145" t="str">
        <f t="shared" si="100"/>
        <v>2.041</v>
      </c>
      <c r="G2145" t="str">
        <f t="shared" si="101"/>
        <v>01.110.0000</v>
      </c>
    </row>
    <row r="2146" spans="1:7" hidden="1" x14ac:dyDescent="0.25">
      <c r="A2146" s="6" t="s">
        <v>4113</v>
      </c>
      <c r="B2146" s="28">
        <v>1795500</v>
      </c>
      <c r="C2146" s="6" t="s">
        <v>4118</v>
      </c>
      <c r="D2146" t="str">
        <f t="shared" si="99"/>
        <v>30.001.14.242.0018.2.041.3.3.50.39.00</v>
      </c>
      <c r="E2146" t="str">
        <f>VLOOKUP(LEFT(A2146,2),ConsolidadoLoa27_ATIVIDADES!A:I,9,0)</f>
        <v>30 - SECRETARIA EXECUTIVA DA PESSOA COM DEFICIÊNCIA</v>
      </c>
      <c r="F2146" t="str">
        <f t="shared" si="100"/>
        <v>2.041</v>
      </c>
      <c r="G2146" t="str">
        <f t="shared" si="101"/>
        <v>01.110.0000</v>
      </c>
    </row>
    <row r="2147" spans="1:7" hidden="1" x14ac:dyDescent="0.25">
      <c r="A2147" s="6" t="s">
        <v>4119</v>
      </c>
      <c r="B2147" s="28">
        <v>0</v>
      </c>
      <c r="C2147" s="6" t="s">
        <v>4120</v>
      </c>
      <c r="D2147" t="str">
        <f t="shared" si="99"/>
        <v>30.001.14.242.0018.2.041.3.3.50.39.00</v>
      </c>
      <c r="E2147" t="str">
        <f>VLOOKUP(LEFT(A2147,2),ConsolidadoLoa27_ATIVIDADES!A:I,9,0)</f>
        <v>30 - SECRETARIA EXECUTIVA DA PESSOA COM DEFICIÊNCIA</v>
      </c>
      <c r="F2147" t="str">
        <f t="shared" si="100"/>
        <v>2.041</v>
      </c>
      <c r="G2147" t="str">
        <f t="shared" si="101"/>
        <v>08.110.0000</v>
      </c>
    </row>
    <row r="2148" spans="1:7" hidden="1" x14ac:dyDescent="0.25">
      <c r="A2148" s="6" t="s">
        <v>4119</v>
      </c>
      <c r="B2148" s="28">
        <v>0</v>
      </c>
      <c r="C2148" s="6" t="s">
        <v>4121</v>
      </c>
      <c r="D2148" t="str">
        <f t="shared" si="99"/>
        <v>30.001.14.242.0018.2.041.3.3.50.39.00</v>
      </c>
      <c r="E2148" t="str">
        <f>VLOOKUP(LEFT(A2148,2),ConsolidadoLoa27_ATIVIDADES!A:I,9,0)</f>
        <v>30 - SECRETARIA EXECUTIVA DA PESSOA COM DEFICIÊNCIA</v>
      </c>
      <c r="F2148" t="str">
        <f t="shared" si="100"/>
        <v>2.041</v>
      </c>
      <c r="G2148" t="str">
        <f t="shared" si="101"/>
        <v>08.110.0000</v>
      </c>
    </row>
    <row r="2149" spans="1:7" hidden="1" x14ac:dyDescent="0.25">
      <c r="A2149" s="6" t="s">
        <v>4119</v>
      </c>
      <c r="B2149" s="28">
        <v>0</v>
      </c>
      <c r="C2149" s="6" t="s">
        <v>4122</v>
      </c>
      <c r="D2149" t="str">
        <f t="shared" si="99"/>
        <v>30.001.14.242.0018.2.041.3.3.50.39.00</v>
      </c>
      <c r="E2149" t="str">
        <f>VLOOKUP(LEFT(A2149,2),ConsolidadoLoa27_ATIVIDADES!A:I,9,0)</f>
        <v>30 - SECRETARIA EXECUTIVA DA PESSOA COM DEFICIÊNCIA</v>
      </c>
      <c r="F2149" t="str">
        <f t="shared" si="100"/>
        <v>2.041</v>
      </c>
      <c r="G2149" t="str">
        <f t="shared" si="101"/>
        <v>08.110.0000</v>
      </c>
    </row>
    <row r="2150" spans="1:7" hidden="1" x14ac:dyDescent="0.25">
      <c r="A2150" s="6" t="s">
        <v>4119</v>
      </c>
      <c r="B2150" s="28">
        <v>0</v>
      </c>
      <c r="C2150" s="6" t="s">
        <v>4123</v>
      </c>
      <c r="D2150" t="str">
        <f t="shared" si="99"/>
        <v>30.001.14.242.0018.2.041.3.3.50.39.00</v>
      </c>
      <c r="E2150" t="str">
        <f>VLOOKUP(LEFT(A2150,2),ConsolidadoLoa27_ATIVIDADES!A:I,9,0)</f>
        <v>30 - SECRETARIA EXECUTIVA DA PESSOA COM DEFICIÊNCIA</v>
      </c>
      <c r="F2150" t="str">
        <f t="shared" si="100"/>
        <v>2.041</v>
      </c>
      <c r="G2150" t="str">
        <f t="shared" si="101"/>
        <v>08.110.0000</v>
      </c>
    </row>
    <row r="2151" spans="1:7" hidden="1" x14ac:dyDescent="0.25">
      <c r="A2151" s="6" t="s">
        <v>4119</v>
      </c>
      <c r="B2151" s="28">
        <v>0</v>
      </c>
      <c r="C2151" s="6" t="s">
        <v>4124</v>
      </c>
      <c r="D2151" t="str">
        <f t="shared" si="99"/>
        <v>30.001.14.242.0018.2.041.3.3.50.39.00</v>
      </c>
      <c r="E2151" t="str">
        <f>VLOOKUP(LEFT(A2151,2),ConsolidadoLoa27_ATIVIDADES!A:I,9,0)</f>
        <v>30 - SECRETARIA EXECUTIVA DA PESSOA COM DEFICIÊNCIA</v>
      </c>
      <c r="F2151" t="str">
        <f t="shared" si="100"/>
        <v>2.041</v>
      </c>
      <c r="G2151" t="str">
        <f t="shared" si="101"/>
        <v>08.110.0000</v>
      </c>
    </row>
    <row r="2152" spans="1:7" hidden="1" x14ac:dyDescent="0.25">
      <c r="A2152" s="6" t="s">
        <v>4119</v>
      </c>
      <c r="B2152" s="28">
        <v>0</v>
      </c>
      <c r="C2152" s="6" t="s">
        <v>4125</v>
      </c>
      <c r="D2152" t="str">
        <f t="shared" si="99"/>
        <v>30.001.14.242.0018.2.041.3.3.50.39.00</v>
      </c>
      <c r="E2152" t="str">
        <f>VLOOKUP(LEFT(A2152,2),ConsolidadoLoa27_ATIVIDADES!A:I,9,0)</f>
        <v>30 - SECRETARIA EXECUTIVA DA PESSOA COM DEFICIÊNCIA</v>
      </c>
      <c r="F2152" t="str">
        <f t="shared" si="100"/>
        <v>2.041</v>
      </c>
      <c r="G2152" t="str">
        <f t="shared" si="101"/>
        <v>08.110.0000</v>
      </c>
    </row>
    <row r="2153" spans="1:7" hidden="1" x14ac:dyDescent="0.25">
      <c r="A2153" s="6" t="s">
        <v>4119</v>
      </c>
      <c r="B2153" s="28">
        <v>0</v>
      </c>
      <c r="C2153" s="6" t="s">
        <v>4126</v>
      </c>
      <c r="D2153" t="str">
        <f t="shared" si="99"/>
        <v>30.001.14.242.0018.2.041.3.3.50.39.00</v>
      </c>
      <c r="E2153" t="str">
        <f>VLOOKUP(LEFT(A2153,2),ConsolidadoLoa27_ATIVIDADES!A:I,9,0)</f>
        <v>30 - SECRETARIA EXECUTIVA DA PESSOA COM DEFICIÊNCIA</v>
      </c>
      <c r="F2153" t="str">
        <f t="shared" si="100"/>
        <v>2.041</v>
      </c>
      <c r="G2153" t="str">
        <f t="shared" si="101"/>
        <v>08.110.0000</v>
      </c>
    </row>
    <row r="2154" spans="1:7" hidden="1" x14ac:dyDescent="0.25">
      <c r="A2154" s="6" t="s">
        <v>4127</v>
      </c>
      <c r="B2154" s="28">
        <v>1</v>
      </c>
      <c r="C2154" s="6" t="s">
        <v>4117</v>
      </c>
      <c r="D2154" t="str">
        <f t="shared" si="99"/>
        <v>30.001.14.242.0018.2.041.3.3.90.36.00</v>
      </c>
      <c r="E2154" t="str">
        <f>VLOOKUP(LEFT(A2154,2),ConsolidadoLoa27_ATIVIDADES!A:I,9,0)</f>
        <v>30 - SECRETARIA EXECUTIVA DA PESSOA COM DEFICIÊNCIA</v>
      </c>
      <c r="F2154" t="str">
        <f t="shared" si="100"/>
        <v>2.041</v>
      </c>
      <c r="G2154" t="str">
        <f t="shared" si="101"/>
        <v>01.110.0000</v>
      </c>
    </row>
    <row r="2155" spans="1:7" hidden="1" x14ac:dyDescent="0.25">
      <c r="A2155" s="6" t="s">
        <v>4128</v>
      </c>
      <c r="B2155" s="28">
        <v>1</v>
      </c>
      <c r="C2155" s="6" t="s">
        <v>4129</v>
      </c>
      <c r="D2155" t="str">
        <f t="shared" si="99"/>
        <v>30.001.14.242.0018.2.041.3.3.90.39.00</v>
      </c>
      <c r="E2155" t="str">
        <f>VLOOKUP(LEFT(A2155,2),ConsolidadoLoa27_ATIVIDADES!A:I,9,0)</f>
        <v>30 - SECRETARIA EXECUTIVA DA PESSOA COM DEFICIÊNCIA</v>
      </c>
      <c r="F2155" t="str">
        <f t="shared" si="100"/>
        <v>2.041</v>
      </c>
      <c r="G2155" t="str">
        <f t="shared" si="101"/>
        <v>01.110.0000</v>
      </c>
    </row>
    <row r="2156" spans="1:7" hidden="1" x14ac:dyDescent="0.25">
      <c r="A2156" s="6" t="s">
        <v>4128</v>
      </c>
      <c r="B2156" s="28">
        <v>1</v>
      </c>
      <c r="C2156" s="6" t="s">
        <v>4117</v>
      </c>
      <c r="D2156" t="str">
        <f t="shared" si="99"/>
        <v>30.001.14.242.0018.2.041.3.3.90.39.00</v>
      </c>
      <c r="E2156" t="str">
        <f>VLOOKUP(LEFT(A2156,2),ConsolidadoLoa27_ATIVIDADES!A:I,9,0)</f>
        <v>30 - SECRETARIA EXECUTIVA DA PESSOA COM DEFICIÊNCIA</v>
      </c>
      <c r="F2156" t="str">
        <f t="shared" si="100"/>
        <v>2.041</v>
      </c>
      <c r="G2156" t="str">
        <f t="shared" si="101"/>
        <v>01.110.0000</v>
      </c>
    </row>
    <row r="2157" spans="1:7" hidden="1" x14ac:dyDescent="0.25">
      <c r="A2157" s="6" t="s">
        <v>4130</v>
      </c>
      <c r="B2157" s="28">
        <v>1</v>
      </c>
      <c r="C2157" s="6" t="s">
        <v>4131</v>
      </c>
      <c r="D2157" t="str">
        <f t="shared" si="99"/>
        <v>30.001.14.242.0018.2.041.3.3.90.40.00</v>
      </c>
      <c r="E2157" t="str">
        <f>VLOOKUP(LEFT(A2157,2),ConsolidadoLoa27_ATIVIDADES!A:I,9,0)</f>
        <v>30 - SECRETARIA EXECUTIVA DA PESSOA COM DEFICIÊNCIA</v>
      </c>
      <c r="F2157" t="str">
        <f t="shared" si="100"/>
        <v>2.041</v>
      </c>
      <c r="G2157" t="str">
        <f t="shared" si="101"/>
        <v>01.110.0000</v>
      </c>
    </row>
    <row r="2158" spans="1:7" hidden="1" x14ac:dyDescent="0.25">
      <c r="A2158" s="6" t="s">
        <v>4132</v>
      </c>
      <c r="B2158" s="28">
        <v>0</v>
      </c>
      <c r="C2158" s="6" t="s">
        <v>4120</v>
      </c>
      <c r="D2158" t="str">
        <f t="shared" si="99"/>
        <v>30.001.14.242.0018.2.041.4.4.50.52.00</v>
      </c>
      <c r="E2158" t="str">
        <f>VLOOKUP(LEFT(A2158,2),ConsolidadoLoa27_ATIVIDADES!A:I,9,0)</f>
        <v>30 - SECRETARIA EXECUTIVA DA PESSOA COM DEFICIÊNCIA</v>
      </c>
      <c r="F2158" t="str">
        <f t="shared" si="100"/>
        <v>2.041</v>
      </c>
      <c r="G2158" t="str">
        <f t="shared" si="101"/>
        <v>08.110.0000</v>
      </c>
    </row>
    <row r="2159" spans="1:7" hidden="1" x14ac:dyDescent="0.25">
      <c r="A2159" s="6" t="s">
        <v>4132</v>
      </c>
      <c r="B2159" s="28">
        <v>0</v>
      </c>
      <c r="C2159" s="6" t="s">
        <v>4123</v>
      </c>
      <c r="D2159" t="str">
        <f t="shared" si="99"/>
        <v>30.001.14.242.0018.2.041.4.4.50.52.00</v>
      </c>
      <c r="E2159" t="str">
        <f>VLOOKUP(LEFT(A2159,2),ConsolidadoLoa27_ATIVIDADES!A:I,9,0)</f>
        <v>30 - SECRETARIA EXECUTIVA DA PESSOA COM DEFICIÊNCIA</v>
      </c>
      <c r="F2159" t="str">
        <f t="shared" si="100"/>
        <v>2.041</v>
      </c>
      <c r="G2159" t="str">
        <f t="shared" si="101"/>
        <v>08.110.0000</v>
      </c>
    </row>
    <row r="2160" spans="1:7" hidden="1" x14ac:dyDescent="0.25">
      <c r="A2160" s="6" t="s">
        <v>4132</v>
      </c>
      <c r="B2160" s="28">
        <v>0</v>
      </c>
      <c r="C2160" s="6" t="s">
        <v>4133</v>
      </c>
      <c r="D2160" t="str">
        <f t="shared" si="99"/>
        <v>30.001.14.242.0018.2.041.4.4.50.52.00</v>
      </c>
      <c r="E2160" t="str">
        <f>VLOOKUP(LEFT(A2160,2),ConsolidadoLoa27_ATIVIDADES!A:I,9,0)</f>
        <v>30 - SECRETARIA EXECUTIVA DA PESSOA COM DEFICIÊNCIA</v>
      </c>
      <c r="F2160" t="str">
        <f t="shared" si="100"/>
        <v>2.041</v>
      </c>
      <c r="G2160" t="str">
        <f t="shared" si="101"/>
        <v>08.110.0000</v>
      </c>
    </row>
    <row r="2161" spans="1:7" hidden="1" x14ac:dyDescent="0.25">
      <c r="A2161" s="6" t="s">
        <v>4134</v>
      </c>
      <c r="B2161" s="28">
        <v>1</v>
      </c>
      <c r="C2161" s="6" t="s">
        <v>4135</v>
      </c>
      <c r="D2161" t="str">
        <f t="shared" si="99"/>
        <v>30.002.14.242.0018.2.041.3.3.90.30.00</v>
      </c>
      <c r="E2161" t="str">
        <f>VLOOKUP(LEFT(A2161,2),ConsolidadoLoa27_ATIVIDADES!A:I,9,0)</f>
        <v>30 - SECRETARIA EXECUTIVA DA PESSOA COM DEFICIÊNCIA</v>
      </c>
      <c r="F2161" t="str">
        <f t="shared" si="100"/>
        <v>2.041</v>
      </c>
      <c r="G2161" t="str">
        <f t="shared" si="101"/>
        <v>01.110.0000</v>
      </c>
    </row>
    <row r="2162" spans="1:7" hidden="1" x14ac:dyDescent="0.25">
      <c r="A2162" s="6" t="s">
        <v>4136</v>
      </c>
      <c r="B2162" s="28">
        <v>1</v>
      </c>
      <c r="C2162" s="6" t="s">
        <v>3241</v>
      </c>
      <c r="D2162" t="str">
        <f t="shared" si="99"/>
        <v>30.002.14.242.0018.2.041.3.3.90.39.00</v>
      </c>
      <c r="E2162" t="str">
        <f>VLOOKUP(LEFT(A2162,2),ConsolidadoLoa27_ATIVIDADES!A:I,9,0)</f>
        <v>30 - SECRETARIA EXECUTIVA DA PESSOA COM DEFICIÊNCIA</v>
      </c>
      <c r="F2162" t="str">
        <f t="shared" si="100"/>
        <v>2.041</v>
      </c>
      <c r="G2162" t="str">
        <f t="shared" si="101"/>
        <v>01.110.0000</v>
      </c>
    </row>
    <row r="2163" spans="1:7" hidden="1" x14ac:dyDescent="0.25">
      <c r="A2163" s="6" t="s">
        <v>4137</v>
      </c>
      <c r="B2163" s="28">
        <v>1</v>
      </c>
      <c r="C2163" s="6" t="s">
        <v>4111</v>
      </c>
      <c r="D2163" t="str">
        <f t="shared" si="99"/>
        <v>30.002.14.242.0018.2.041.4.4.90.51.00</v>
      </c>
      <c r="E2163" t="str">
        <f>VLOOKUP(LEFT(A2163,2),ConsolidadoLoa27_ATIVIDADES!A:I,9,0)</f>
        <v>30 - SECRETARIA EXECUTIVA DA PESSOA COM DEFICIÊNCIA</v>
      </c>
      <c r="F2163" t="str">
        <f t="shared" si="100"/>
        <v>2.041</v>
      </c>
      <c r="G2163" t="str">
        <f t="shared" si="101"/>
        <v>01.110.0000</v>
      </c>
    </row>
    <row r="2164" spans="1:7" hidden="1" x14ac:dyDescent="0.25">
      <c r="A2164" s="6" t="s">
        <v>4138</v>
      </c>
      <c r="B2164" s="28">
        <v>1</v>
      </c>
      <c r="C2164" s="6" t="s">
        <v>2520</v>
      </c>
      <c r="D2164" t="str">
        <f t="shared" si="99"/>
        <v>30.002.14.242.0018.2.041.4.4.90.52.00</v>
      </c>
      <c r="E2164" t="str">
        <f>VLOOKUP(LEFT(A2164,2),ConsolidadoLoa27_ATIVIDADES!A:I,9,0)</f>
        <v>30 - SECRETARIA EXECUTIVA DA PESSOA COM DEFICIÊNCIA</v>
      </c>
      <c r="F2164" t="str">
        <f t="shared" si="100"/>
        <v>2.041</v>
      </c>
      <c r="G2164" t="str">
        <f t="shared" si="101"/>
        <v>01.110.0000</v>
      </c>
    </row>
    <row r="2165" spans="1:7" hidden="1" x14ac:dyDescent="0.25">
      <c r="A2165" s="6" t="s">
        <v>4139</v>
      </c>
      <c r="B2165" s="28">
        <v>3151665.6</v>
      </c>
      <c r="C2165" s="6" t="s">
        <v>847</v>
      </c>
      <c r="D2165" t="str">
        <f t="shared" si="99"/>
        <v>31.001.04.122.0001.2.001.3.1.90.11.00</v>
      </c>
      <c r="E2165" t="str">
        <f>VLOOKUP(LEFT(A2165,2),ConsolidadoLoa27_ATIVIDADES!A:I,9,0)</f>
        <v>31 - SECRETARIA EXECUTIVA DE POLITICAS DE PROMOÇÃO DA IGUALDADE RACIAL</v>
      </c>
      <c r="F2165" t="str">
        <f t="shared" si="100"/>
        <v>2.001</v>
      </c>
      <c r="G2165" t="str">
        <f t="shared" si="101"/>
        <v>01.110.0000</v>
      </c>
    </row>
    <row r="2166" spans="1:7" hidden="1" x14ac:dyDescent="0.25">
      <c r="A2166" s="6" t="s">
        <v>4140</v>
      </c>
      <c r="B2166" s="28">
        <v>538459.81000000006</v>
      </c>
      <c r="C2166" s="6" t="s">
        <v>847</v>
      </c>
      <c r="D2166" t="str">
        <f t="shared" si="99"/>
        <v>31.001.04.122.0001.2.001.3.1.90.13.00</v>
      </c>
      <c r="E2166" t="str">
        <f>VLOOKUP(LEFT(A2166,2),ConsolidadoLoa27_ATIVIDADES!A:I,9,0)</f>
        <v>31 - SECRETARIA EXECUTIVA DE POLITICAS DE PROMOÇÃO DA IGUALDADE RACIAL</v>
      </c>
      <c r="F2166" t="str">
        <f t="shared" si="100"/>
        <v>2.001</v>
      </c>
      <c r="G2166" t="str">
        <f t="shared" si="101"/>
        <v>01.110.0000</v>
      </c>
    </row>
    <row r="2167" spans="1:7" hidden="1" x14ac:dyDescent="0.25">
      <c r="A2167" s="6" t="s">
        <v>4141</v>
      </c>
      <c r="B2167" s="28">
        <v>187886.01</v>
      </c>
      <c r="C2167" s="12" t="s">
        <v>847</v>
      </c>
      <c r="D2167" t="str">
        <f t="shared" si="99"/>
        <v>31.001.04.122.0001.2.001.3.1.91.13.00</v>
      </c>
      <c r="E2167" t="str">
        <f>VLOOKUP(LEFT(A2167,2),ConsolidadoLoa27_ATIVIDADES!A:I,9,0)</f>
        <v>31 - SECRETARIA EXECUTIVA DE POLITICAS DE PROMOÇÃO DA IGUALDADE RACIAL</v>
      </c>
      <c r="F2167" t="str">
        <f t="shared" si="100"/>
        <v>2.001</v>
      </c>
      <c r="G2167" t="str">
        <f t="shared" si="101"/>
        <v>01.110.0000</v>
      </c>
    </row>
    <row r="2168" spans="1:7" hidden="1" x14ac:dyDescent="0.25">
      <c r="A2168" s="6" t="s">
        <v>4142</v>
      </c>
      <c r="B2168" s="28">
        <v>5.73</v>
      </c>
      <c r="C2168" s="6" t="s">
        <v>2278</v>
      </c>
      <c r="D2168" t="str">
        <f t="shared" si="99"/>
        <v>31.001.04.122.0001.2.001.3.3.90.46.00</v>
      </c>
      <c r="E2168" t="str">
        <f>VLOOKUP(LEFT(A2168,2),ConsolidadoLoa27_ATIVIDADES!A:I,9,0)</f>
        <v>31 - SECRETARIA EXECUTIVA DE POLITICAS DE PROMOÇÃO DA IGUALDADE RACIAL</v>
      </c>
      <c r="F2168" t="str">
        <f t="shared" si="100"/>
        <v>2.001</v>
      </c>
      <c r="G2168" t="str">
        <f t="shared" si="101"/>
        <v>01.110.0000</v>
      </c>
    </row>
    <row r="2169" spans="1:7" hidden="1" x14ac:dyDescent="0.25">
      <c r="A2169" s="6" t="s">
        <v>4143</v>
      </c>
      <c r="B2169" s="28">
        <v>33063.51</v>
      </c>
      <c r="C2169" s="6" t="s">
        <v>2280</v>
      </c>
      <c r="D2169" t="str">
        <f t="shared" si="99"/>
        <v>31.001.04.122.0001.2.001.3.3.90.49.00</v>
      </c>
      <c r="E2169" t="str">
        <f>VLOOKUP(LEFT(A2169,2),ConsolidadoLoa27_ATIVIDADES!A:I,9,0)</f>
        <v>31 - SECRETARIA EXECUTIVA DE POLITICAS DE PROMOÇÃO DA IGUALDADE RACIAL</v>
      </c>
      <c r="F2169" t="str">
        <f t="shared" si="100"/>
        <v>2.001</v>
      </c>
      <c r="G2169" t="str">
        <f t="shared" si="101"/>
        <v>01.110.0000</v>
      </c>
    </row>
    <row r="2170" spans="1:7" hidden="1" x14ac:dyDescent="0.25">
      <c r="A2170" s="6" t="s">
        <v>4144</v>
      </c>
      <c r="B2170" s="28">
        <v>1</v>
      </c>
      <c r="C2170" s="6" t="s">
        <v>2282</v>
      </c>
      <c r="D2170" t="str">
        <f t="shared" si="99"/>
        <v>31.001.04.122.0001.2.006.3.3.90.33.00</v>
      </c>
      <c r="E2170" t="str">
        <f>VLOOKUP(LEFT(A2170,2),ConsolidadoLoa27_ATIVIDADES!A:I,9,0)</f>
        <v>31 - SECRETARIA EXECUTIVA DE POLITICAS DE PROMOÇÃO DA IGUALDADE RACIAL</v>
      </c>
      <c r="F2170" t="str">
        <f t="shared" si="100"/>
        <v>2.006</v>
      </c>
      <c r="G2170" t="str">
        <f t="shared" si="101"/>
        <v>01.110.0000</v>
      </c>
    </row>
    <row r="2171" spans="1:7" hidden="1" x14ac:dyDescent="0.25">
      <c r="A2171" s="6" t="s">
        <v>4145</v>
      </c>
      <c r="B2171" s="28">
        <v>1</v>
      </c>
      <c r="C2171" s="6" t="s">
        <v>421</v>
      </c>
      <c r="D2171" t="str">
        <f t="shared" si="99"/>
        <v>31.001.04.122.0001.2.006.3.3.90.39.00</v>
      </c>
      <c r="E2171" t="str">
        <f>VLOOKUP(LEFT(A2171,2),ConsolidadoLoa27_ATIVIDADES!A:I,9,0)</f>
        <v>31 - SECRETARIA EXECUTIVA DE POLITICAS DE PROMOÇÃO DA IGUALDADE RACIAL</v>
      </c>
      <c r="F2171" t="str">
        <f t="shared" si="100"/>
        <v>2.006</v>
      </c>
      <c r="G2171" t="str">
        <f t="shared" si="101"/>
        <v>01.110.0000</v>
      </c>
    </row>
    <row r="2172" spans="1:7" hidden="1" x14ac:dyDescent="0.25">
      <c r="A2172" s="6" t="s">
        <v>4146</v>
      </c>
      <c r="B2172" s="28">
        <v>1</v>
      </c>
      <c r="C2172" s="6" t="s">
        <v>318</v>
      </c>
      <c r="D2172" t="str">
        <f t="shared" si="99"/>
        <v>31.001.04.128.0002.2.003.3.3.90.39.00</v>
      </c>
      <c r="E2172" t="str">
        <f>VLOOKUP(LEFT(A2172,2),ConsolidadoLoa27_ATIVIDADES!A:I,9,0)</f>
        <v>31 - SECRETARIA EXECUTIVA DE POLITICAS DE PROMOÇÃO DA IGUALDADE RACIAL</v>
      </c>
      <c r="F2172" t="str">
        <f t="shared" si="100"/>
        <v>2.003</v>
      </c>
      <c r="G2172" t="str">
        <f t="shared" si="101"/>
        <v>01.110.0000</v>
      </c>
    </row>
    <row r="2173" spans="1:7" hidden="1" x14ac:dyDescent="0.25">
      <c r="A2173" s="6" t="s">
        <v>4147</v>
      </c>
      <c r="B2173" s="28">
        <v>2078.1999999999998</v>
      </c>
      <c r="C2173" s="6" t="s">
        <v>245</v>
      </c>
      <c r="D2173" t="str">
        <f t="shared" si="99"/>
        <v>31.001.04.131.0002.2.005.3.3.90.30.00</v>
      </c>
      <c r="E2173" t="str">
        <f>VLOOKUP(LEFT(A2173,2),ConsolidadoLoa27_ATIVIDADES!A:I,9,0)</f>
        <v>31 - SECRETARIA EXECUTIVA DE POLITICAS DE PROMOÇÃO DA IGUALDADE RACIAL</v>
      </c>
      <c r="F2173" t="str">
        <f t="shared" si="100"/>
        <v>2.005</v>
      </c>
      <c r="G2173" t="str">
        <f t="shared" si="101"/>
        <v>01.110.0000</v>
      </c>
    </row>
    <row r="2174" spans="1:7" hidden="1" x14ac:dyDescent="0.25">
      <c r="A2174" s="6" t="s">
        <v>4148</v>
      </c>
      <c r="B2174" s="28">
        <v>4156.3999999999996</v>
      </c>
      <c r="C2174" s="6" t="s">
        <v>198</v>
      </c>
      <c r="D2174" t="str">
        <f t="shared" si="99"/>
        <v>31.001.04.131.0002.2.005.3.3.90.39.00</v>
      </c>
      <c r="E2174" t="str">
        <f>VLOOKUP(LEFT(A2174,2),ConsolidadoLoa27_ATIVIDADES!A:I,9,0)</f>
        <v>31 - SECRETARIA EXECUTIVA DE POLITICAS DE PROMOÇÃO DA IGUALDADE RACIAL</v>
      </c>
      <c r="F2174" t="str">
        <f t="shared" si="100"/>
        <v>2.005</v>
      </c>
      <c r="G2174" t="str">
        <f t="shared" si="101"/>
        <v>01.110.0000</v>
      </c>
    </row>
    <row r="2175" spans="1:7" hidden="1" x14ac:dyDescent="0.25">
      <c r="A2175" s="6" t="s">
        <v>4148</v>
      </c>
      <c r="B2175" s="28">
        <v>12469.2</v>
      </c>
      <c r="C2175" s="6" t="s">
        <v>2293</v>
      </c>
      <c r="D2175" t="str">
        <f t="shared" si="99"/>
        <v>31.001.04.131.0002.2.005.3.3.90.39.00</v>
      </c>
      <c r="E2175" t="str">
        <f>VLOOKUP(LEFT(A2175,2),ConsolidadoLoa27_ATIVIDADES!A:I,9,0)</f>
        <v>31 - SECRETARIA EXECUTIVA DE POLITICAS DE PROMOÇÃO DA IGUALDADE RACIAL</v>
      </c>
      <c r="F2175" t="str">
        <f t="shared" si="100"/>
        <v>2.005</v>
      </c>
      <c r="G2175" t="str">
        <f t="shared" si="101"/>
        <v>01.110.0000</v>
      </c>
    </row>
    <row r="2176" spans="1:7" hidden="1" x14ac:dyDescent="0.25">
      <c r="A2176" s="6" t="s">
        <v>4148</v>
      </c>
      <c r="B2176" s="28">
        <v>1</v>
      </c>
      <c r="C2176" s="6" t="s">
        <v>196</v>
      </c>
      <c r="D2176" t="str">
        <f t="shared" si="99"/>
        <v>31.001.04.131.0002.2.005.3.3.90.39.00</v>
      </c>
      <c r="E2176" t="str">
        <f>VLOOKUP(LEFT(A2176,2),ConsolidadoLoa27_ATIVIDADES!A:I,9,0)</f>
        <v>31 - SECRETARIA EXECUTIVA DE POLITICAS DE PROMOÇÃO DA IGUALDADE RACIAL</v>
      </c>
      <c r="F2176" t="str">
        <f t="shared" si="100"/>
        <v>2.005</v>
      </c>
      <c r="G2176" t="str">
        <f t="shared" si="101"/>
        <v>01.110.0000</v>
      </c>
    </row>
    <row r="2177" spans="1:7" hidden="1" x14ac:dyDescent="0.25">
      <c r="A2177" s="6" t="s">
        <v>4149</v>
      </c>
      <c r="B2177" s="28">
        <v>20487.934700000002</v>
      </c>
      <c r="C2177" s="6" t="s">
        <v>4150</v>
      </c>
      <c r="D2177" t="str">
        <f t="shared" si="99"/>
        <v>31.001.14.391.0009.2.029.3.3.90.40.00</v>
      </c>
      <c r="E2177" t="str">
        <f>VLOOKUP(LEFT(A2177,2),ConsolidadoLoa27_ATIVIDADES!A:I,9,0)</f>
        <v>31 - SECRETARIA EXECUTIVA DE POLITICAS DE PROMOÇÃO DA IGUALDADE RACIAL</v>
      </c>
      <c r="F2177" t="str">
        <f t="shared" si="100"/>
        <v>2.029</v>
      </c>
      <c r="G2177" t="str">
        <f t="shared" si="101"/>
        <v>01.110.0000</v>
      </c>
    </row>
    <row r="2178" spans="1:7" hidden="1" x14ac:dyDescent="0.25">
      <c r="A2178" s="6" t="s">
        <v>4149</v>
      </c>
      <c r="B2178" s="28">
        <v>20487.934700000002</v>
      </c>
      <c r="C2178" s="6" t="s">
        <v>4151</v>
      </c>
      <c r="D2178" t="str">
        <f t="shared" si="99"/>
        <v>31.001.14.391.0009.2.029.3.3.90.40.00</v>
      </c>
      <c r="E2178" t="str">
        <f>VLOOKUP(LEFT(A2178,2),ConsolidadoLoa27_ATIVIDADES!A:I,9,0)</f>
        <v>31 - SECRETARIA EXECUTIVA DE POLITICAS DE PROMOÇÃO DA IGUALDADE RACIAL</v>
      </c>
      <c r="F2178" t="str">
        <f t="shared" si="100"/>
        <v>2.029</v>
      </c>
      <c r="G2178" t="str">
        <f t="shared" si="101"/>
        <v>01.110.0000</v>
      </c>
    </row>
    <row r="2179" spans="1:7" hidden="1" x14ac:dyDescent="0.25">
      <c r="A2179" s="6" t="s">
        <v>4152</v>
      </c>
      <c r="B2179" s="28">
        <v>1</v>
      </c>
      <c r="C2179" s="12" t="s">
        <v>4153</v>
      </c>
      <c r="D2179" t="str">
        <f t="shared" ref="D2179:D2242" si="102">_xlfn.CONCAT(LEFT(A2179,34),".00")</f>
        <v>31.001.14.422.0018.1.002.3.3.90.39.00</v>
      </c>
      <c r="E2179" t="str">
        <f>VLOOKUP(LEFT(A2179,2),ConsolidadoLoa27_ATIVIDADES!A:I,9,0)</f>
        <v>31 - SECRETARIA EXECUTIVA DE POLITICAS DE PROMOÇÃO DA IGUALDADE RACIAL</v>
      </c>
      <c r="F2179" t="str">
        <f t="shared" ref="F2179:F2242" si="103">MID(A2179,20,5)</f>
        <v>1.002</v>
      </c>
      <c r="G2179" t="str">
        <f t="shared" ref="G2179:G2242" si="104">RIGHT(A2179,11)</f>
        <v>01.110.0000</v>
      </c>
    </row>
    <row r="2180" spans="1:7" hidden="1" x14ac:dyDescent="0.25">
      <c r="A2180" s="6" t="s">
        <v>4154</v>
      </c>
      <c r="B2180" s="28">
        <v>5195.5</v>
      </c>
      <c r="C2180" s="6" t="s">
        <v>2318</v>
      </c>
      <c r="D2180" t="str">
        <f t="shared" si="102"/>
        <v>31.001.14.422.0018.2.011.3.3.90.30.00</v>
      </c>
      <c r="E2180" t="str">
        <f>VLOOKUP(LEFT(A2180,2),ConsolidadoLoa27_ATIVIDADES!A:I,9,0)</f>
        <v>31 - SECRETARIA EXECUTIVA DE POLITICAS DE PROMOÇÃO DA IGUALDADE RACIAL</v>
      </c>
      <c r="F2180" t="str">
        <f t="shared" si="103"/>
        <v>2.011</v>
      </c>
      <c r="G2180" t="str">
        <f t="shared" si="104"/>
        <v>01.110.0000</v>
      </c>
    </row>
    <row r="2181" spans="1:7" hidden="1" x14ac:dyDescent="0.25">
      <c r="A2181" s="6" t="s">
        <v>4154</v>
      </c>
      <c r="B2181" s="28">
        <v>67541.5</v>
      </c>
      <c r="C2181" s="6" t="s">
        <v>2288</v>
      </c>
      <c r="D2181" t="str">
        <f t="shared" si="102"/>
        <v>31.001.14.422.0018.2.011.3.3.90.30.00</v>
      </c>
      <c r="E2181" t="str">
        <f>VLOOKUP(LEFT(A2181,2),ConsolidadoLoa27_ATIVIDADES!A:I,9,0)</f>
        <v>31 - SECRETARIA EXECUTIVA DE POLITICAS DE PROMOÇÃO DA IGUALDADE RACIAL</v>
      </c>
      <c r="F2181" t="str">
        <f t="shared" si="103"/>
        <v>2.011</v>
      </c>
      <c r="G2181" t="str">
        <f t="shared" si="104"/>
        <v>01.110.0000</v>
      </c>
    </row>
    <row r="2182" spans="1:7" hidden="1" x14ac:dyDescent="0.25">
      <c r="A2182" s="6" t="s">
        <v>4154</v>
      </c>
      <c r="B2182" s="28">
        <v>31173</v>
      </c>
      <c r="C2182" s="6" t="s">
        <v>2295</v>
      </c>
      <c r="D2182" t="str">
        <f t="shared" si="102"/>
        <v>31.001.14.422.0018.2.011.3.3.90.30.00</v>
      </c>
      <c r="E2182" t="str">
        <f>VLOOKUP(LEFT(A2182,2),ConsolidadoLoa27_ATIVIDADES!A:I,9,0)</f>
        <v>31 - SECRETARIA EXECUTIVA DE POLITICAS DE PROMOÇÃO DA IGUALDADE RACIAL</v>
      </c>
      <c r="F2182" t="str">
        <f t="shared" si="103"/>
        <v>2.011</v>
      </c>
      <c r="G2182" t="str">
        <f t="shared" si="104"/>
        <v>01.110.0000</v>
      </c>
    </row>
    <row r="2183" spans="1:7" hidden="1" x14ac:dyDescent="0.25">
      <c r="A2183" s="6" t="s">
        <v>4154</v>
      </c>
      <c r="B2183" s="28">
        <v>41564</v>
      </c>
      <c r="C2183" s="6" t="s">
        <v>107</v>
      </c>
      <c r="D2183" t="str">
        <f t="shared" si="102"/>
        <v>31.001.14.422.0018.2.011.3.3.90.30.00</v>
      </c>
      <c r="E2183" t="str">
        <f>VLOOKUP(LEFT(A2183,2),ConsolidadoLoa27_ATIVIDADES!A:I,9,0)</f>
        <v>31 - SECRETARIA EXECUTIVA DE POLITICAS DE PROMOÇÃO DA IGUALDADE RACIAL</v>
      </c>
      <c r="F2183" t="str">
        <f t="shared" si="103"/>
        <v>2.011</v>
      </c>
      <c r="G2183" t="str">
        <f t="shared" si="104"/>
        <v>01.110.0000</v>
      </c>
    </row>
    <row r="2184" spans="1:7" hidden="1" x14ac:dyDescent="0.25">
      <c r="A2184" s="6" t="s">
        <v>4154</v>
      </c>
      <c r="B2184" s="28">
        <v>3117.3</v>
      </c>
      <c r="C2184" s="6" t="s">
        <v>104</v>
      </c>
      <c r="D2184" t="str">
        <f t="shared" si="102"/>
        <v>31.001.14.422.0018.2.011.3.3.90.30.00</v>
      </c>
      <c r="E2184" t="str">
        <f>VLOOKUP(LEFT(A2184,2),ConsolidadoLoa27_ATIVIDADES!A:I,9,0)</f>
        <v>31 - SECRETARIA EXECUTIVA DE POLITICAS DE PROMOÇÃO DA IGUALDADE RACIAL</v>
      </c>
      <c r="F2184" t="str">
        <f t="shared" si="103"/>
        <v>2.011</v>
      </c>
      <c r="G2184" t="str">
        <f t="shared" si="104"/>
        <v>01.110.0000</v>
      </c>
    </row>
    <row r="2185" spans="1:7" hidden="1" x14ac:dyDescent="0.25">
      <c r="A2185" s="6" t="s">
        <v>4155</v>
      </c>
      <c r="B2185" s="28">
        <v>4000</v>
      </c>
      <c r="C2185" s="14" t="s">
        <v>95</v>
      </c>
      <c r="D2185" t="str">
        <f t="shared" si="102"/>
        <v>31.001.14.422.0018.2.011.3.3.90.39.00</v>
      </c>
      <c r="E2185" t="str">
        <f>VLOOKUP(LEFT(A2185,2),ConsolidadoLoa27_ATIVIDADES!A:I,9,0)</f>
        <v>31 - SECRETARIA EXECUTIVA DE POLITICAS DE PROMOÇÃO DA IGUALDADE RACIAL</v>
      </c>
      <c r="F2185" t="str">
        <f t="shared" si="103"/>
        <v>2.011</v>
      </c>
      <c r="G2185" t="str">
        <f t="shared" si="104"/>
        <v>01.110.0000</v>
      </c>
    </row>
    <row r="2186" spans="1:7" hidden="1" x14ac:dyDescent="0.25">
      <c r="A2186" s="6" t="s">
        <v>4155</v>
      </c>
      <c r="B2186" s="28">
        <v>18703.8</v>
      </c>
      <c r="C2186" s="6" t="s">
        <v>107</v>
      </c>
      <c r="D2186" t="str">
        <f t="shared" si="102"/>
        <v>31.001.14.422.0018.2.011.3.3.90.39.00</v>
      </c>
      <c r="E2186" t="str">
        <f>VLOOKUP(LEFT(A2186,2),ConsolidadoLoa27_ATIVIDADES!A:I,9,0)</f>
        <v>31 - SECRETARIA EXECUTIVA DE POLITICAS DE PROMOÇÃO DA IGUALDADE RACIAL</v>
      </c>
      <c r="F2186" t="str">
        <f t="shared" si="103"/>
        <v>2.011</v>
      </c>
      <c r="G2186" t="str">
        <f t="shared" si="104"/>
        <v>01.110.0000</v>
      </c>
    </row>
    <row r="2187" spans="1:7" hidden="1" x14ac:dyDescent="0.25">
      <c r="A2187" s="6" t="s">
        <v>4155</v>
      </c>
      <c r="B2187" s="28">
        <v>18703.8</v>
      </c>
      <c r="C2187" s="6" t="s">
        <v>2289</v>
      </c>
      <c r="D2187" t="str">
        <f t="shared" si="102"/>
        <v>31.001.14.422.0018.2.011.3.3.90.39.00</v>
      </c>
      <c r="E2187" t="str">
        <f>VLOOKUP(LEFT(A2187,2),ConsolidadoLoa27_ATIVIDADES!A:I,9,0)</f>
        <v>31 - SECRETARIA EXECUTIVA DE POLITICAS DE PROMOÇÃO DA IGUALDADE RACIAL</v>
      </c>
      <c r="F2187" t="str">
        <f t="shared" si="103"/>
        <v>2.011</v>
      </c>
      <c r="G2187" t="str">
        <f t="shared" si="104"/>
        <v>01.110.0000</v>
      </c>
    </row>
    <row r="2188" spans="1:7" hidden="1" x14ac:dyDescent="0.25">
      <c r="A2188" s="6" t="s">
        <v>4155</v>
      </c>
      <c r="B2188" s="28">
        <v>3117.3</v>
      </c>
      <c r="C2188" s="6" t="s">
        <v>106</v>
      </c>
      <c r="D2188" t="str">
        <f t="shared" si="102"/>
        <v>31.001.14.422.0018.2.011.3.3.90.39.00</v>
      </c>
      <c r="E2188" t="str">
        <f>VLOOKUP(LEFT(A2188,2),ConsolidadoLoa27_ATIVIDADES!A:I,9,0)</f>
        <v>31 - SECRETARIA EXECUTIVA DE POLITICAS DE PROMOÇÃO DA IGUALDADE RACIAL</v>
      </c>
      <c r="F2188" t="str">
        <f t="shared" si="103"/>
        <v>2.011</v>
      </c>
      <c r="G2188" t="str">
        <f t="shared" si="104"/>
        <v>01.110.0000</v>
      </c>
    </row>
    <row r="2189" spans="1:7" hidden="1" x14ac:dyDescent="0.25">
      <c r="A2189" s="6" t="s">
        <v>4155</v>
      </c>
      <c r="B2189" s="28">
        <v>1039.0999999999999</v>
      </c>
      <c r="C2189" s="6" t="s">
        <v>100</v>
      </c>
      <c r="D2189" t="str">
        <f t="shared" si="102"/>
        <v>31.001.14.422.0018.2.011.3.3.90.39.00</v>
      </c>
      <c r="E2189" t="str">
        <f>VLOOKUP(LEFT(A2189,2),ConsolidadoLoa27_ATIVIDADES!A:I,9,0)</f>
        <v>31 - SECRETARIA EXECUTIVA DE POLITICAS DE PROMOÇÃO DA IGUALDADE RACIAL</v>
      </c>
      <c r="F2189" t="str">
        <f t="shared" si="103"/>
        <v>2.011</v>
      </c>
      <c r="G2189" t="str">
        <f t="shared" si="104"/>
        <v>01.110.0000</v>
      </c>
    </row>
    <row r="2190" spans="1:7" hidden="1" x14ac:dyDescent="0.25">
      <c r="A2190" s="6" t="s">
        <v>4156</v>
      </c>
      <c r="B2190" s="28">
        <v>3117.3</v>
      </c>
      <c r="C2190" s="6" t="s">
        <v>2520</v>
      </c>
      <c r="D2190" t="str">
        <f t="shared" si="102"/>
        <v>31.001.14.422.0018.2.011.4.4.90.52.00</v>
      </c>
      <c r="E2190" t="str">
        <f>VLOOKUP(LEFT(A2190,2),ConsolidadoLoa27_ATIVIDADES!A:I,9,0)</f>
        <v>31 - SECRETARIA EXECUTIVA DE POLITICAS DE PROMOÇÃO DA IGUALDADE RACIAL</v>
      </c>
      <c r="F2190" t="str">
        <f t="shared" si="103"/>
        <v>2.011</v>
      </c>
      <c r="G2190" t="str">
        <f t="shared" si="104"/>
        <v>01.110.0000</v>
      </c>
    </row>
    <row r="2191" spans="1:7" hidden="1" x14ac:dyDescent="0.25">
      <c r="A2191" s="6" t="s">
        <v>4156</v>
      </c>
      <c r="B2191" s="28">
        <v>2778.5533999999998</v>
      </c>
      <c r="C2191" s="6" t="s">
        <v>2498</v>
      </c>
      <c r="D2191" t="str">
        <f t="shared" si="102"/>
        <v>31.001.14.422.0018.2.011.4.4.90.52.00</v>
      </c>
      <c r="E2191" t="str">
        <f>VLOOKUP(LEFT(A2191,2),ConsolidadoLoa27_ATIVIDADES!A:I,9,0)</f>
        <v>31 - SECRETARIA EXECUTIVA DE POLITICAS DE PROMOÇÃO DA IGUALDADE RACIAL</v>
      </c>
      <c r="F2191" t="str">
        <f t="shared" si="103"/>
        <v>2.011</v>
      </c>
      <c r="G2191" t="str">
        <f t="shared" si="104"/>
        <v>01.110.0000</v>
      </c>
    </row>
    <row r="2192" spans="1:7" hidden="1" x14ac:dyDescent="0.25">
      <c r="A2192" s="6" t="s">
        <v>4156</v>
      </c>
      <c r="B2192" s="28">
        <v>6234.6</v>
      </c>
      <c r="C2192" s="6" t="s">
        <v>2500</v>
      </c>
      <c r="D2192" t="str">
        <f t="shared" si="102"/>
        <v>31.001.14.422.0018.2.011.4.4.90.52.00</v>
      </c>
      <c r="E2192" t="str">
        <f>VLOOKUP(LEFT(A2192,2),ConsolidadoLoa27_ATIVIDADES!A:I,9,0)</f>
        <v>31 - SECRETARIA EXECUTIVA DE POLITICAS DE PROMOÇÃO DA IGUALDADE RACIAL</v>
      </c>
      <c r="F2192" t="str">
        <f t="shared" si="103"/>
        <v>2.011</v>
      </c>
      <c r="G2192" t="str">
        <f t="shared" si="104"/>
        <v>01.110.0000</v>
      </c>
    </row>
    <row r="2193" spans="1:7" hidden="1" x14ac:dyDescent="0.25">
      <c r="A2193" s="6" t="s">
        <v>4156</v>
      </c>
      <c r="B2193" s="28">
        <v>4156.3999999999996</v>
      </c>
      <c r="C2193" s="6" t="s">
        <v>2502</v>
      </c>
      <c r="D2193" t="str">
        <f t="shared" si="102"/>
        <v>31.001.14.422.0018.2.011.4.4.90.52.00</v>
      </c>
      <c r="E2193" t="str">
        <f>VLOOKUP(LEFT(A2193,2),ConsolidadoLoa27_ATIVIDADES!A:I,9,0)</f>
        <v>31 - SECRETARIA EXECUTIVA DE POLITICAS DE PROMOÇÃO DA IGUALDADE RACIAL</v>
      </c>
      <c r="F2193" t="str">
        <f t="shared" si="103"/>
        <v>2.011</v>
      </c>
      <c r="G2193" t="str">
        <f t="shared" si="104"/>
        <v>01.110.0000</v>
      </c>
    </row>
    <row r="2194" spans="1:7" hidden="1" x14ac:dyDescent="0.25">
      <c r="A2194" s="6" t="s">
        <v>4157</v>
      </c>
      <c r="B2194" s="28">
        <v>1</v>
      </c>
      <c r="C2194" s="6" t="s">
        <v>4158</v>
      </c>
      <c r="D2194" t="str">
        <f t="shared" si="102"/>
        <v>32.001.04.121.0004.1.001.3.3.90.35.00</v>
      </c>
      <c r="E2194" t="str">
        <f>VLOOKUP(LEFT(A2194,2),ConsolidadoLoa27_ATIVIDADES!A:I,9,0)</f>
        <v>32 - SECRETARIA EXECUTIVA DE POLÍTICAS PARA MULHERES E DIVERSIDADE</v>
      </c>
      <c r="F2194" t="str">
        <f t="shared" si="103"/>
        <v>1.001</v>
      </c>
      <c r="G2194" t="str">
        <f t="shared" si="104"/>
        <v>01.110.0000</v>
      </c>
    </row>
    <row r="2195" spans="1:7" hidden="1" x14ac:dyDescent="0.25">
      <c r="A2195" s="6" t="s">
        <v>4157</v>
      </c>
      <c r="B2195" s="28">
        <v>1</v>
      </c>
      <c r="C2195" s="6" t="s">
        <v>4159</v>
      </c>
      <c r="D2195" t="str">
        <f t="shared" si="102"/>
        <v>32.001.04.121.0004.1.001.3.3.90.35.00</v>
      </c>
      <c r="E2195" t="str">
        <f>VLOOKUP(LEFT(A2195,2),ConsolidadoLoa27_ATIVIDADES!A:I,9,0)</f>
        <v>32 - SECRETARIA EXECUTIVA DE POLÍTICAS PARA MULHERES E DIVERSIDADE</v>
      </c>
      <c r="F2195" t="str">
        <f t="shared" si="103"/>
        <v>1.001</v>
      </c>
      <c r="G2195" t="str">
        <f t="shared" si="104"/>
        <v>01.110.0000</v>
      </c>
    </row>
    <row r="2196" spans="1:7" hidden="1" x14ac:dyDescent="0.25">
      <c r="A2196" s="6" t="s">
        <v>4160</v>
      </c>
      <c r="B2196" s="28">
        <v>3613790.86</v>
      </c>
      <c r="C2196" s="6" t="s">
        <v>847</v>
      </c>
      <c r="D2196" t="str">
        <f t="shared" si="102"/>
        <v>32.001.04.122.0001.2.001.3.1.90.11.00</v>
      </c>
      <c r="E2196" t="str">
        <f>VLOOKUP(LEFT(A2196,2),ConsolidadoLoa27_ATIVIDADES!A:I,9,0)</f>
        <v>32 - SECRETARIA EXECUTIVA DE POLÍTICAS PARA MULHERES E DIVERSIDADE</v>
      </c>
      <c r="F2196" t="str">
        <f t="shared" si="103"/>
        <v>2.001</v>
      </c>
      <c r="G2196" t="str">
        <f t="shared" si="104"/>
        <v>01.110.0000</v>
      </c>
    </row>
    <row r="2197" spans="1:7" hidden="1" x14ac:dyDescent="0.25">
      <c r="A2197" s="6" t="s">
        <v>4161</v>
      </c>
      <c r="B2197" s="28">
        <v>555417.38</v>
      </c>
      <c r="C2197" s="6" t="s">
        <v>847</v>
      </c>
      <c r="D2197" t="str">
        <f t="shared" si="102"/>
        <v>32.001.04.122.0001.2.001.3.1.90.13.00</v>
      </c>
      <c r="E2197" t="str">
        <f>VLOOKUP(LEFT(A2197,2),ConsolidadoLoa27_ATIVIDADES!A:I,9,0)</f>
        <v>32 - SECRETARIA EXECUTIVA DE POLÍTICAS PARA MULHERES E DIVERSIDADE</v>
      </c>
      <c r="F2197" t="str">
        <f t="shared" si="103"/>
        <v>2.001</v>
      </c>
      <c r="G2197" t="str">
        <f t="shared" si="104"/>
        <v>01.110.0000</v>
      </c>
    </row>
    <row r="2198" spans="1:7" hidden="1" x14ac:dyDescent="0.25">
      <c r="A2198" s="6" t="s">
        <v>4162</v>
      </c>
      <c r="B2198" s="28">
        <v>325018.11</v>
      </c>
      <c r="C2198" s="12" t="s">
        <v>847</v>
      </c>
      <c r="D2198" t="str">
        <f t="shared" si="102"/>
        <v>32.001.04.122.0001.2.001.3.1.91.13.00</v>
      </c>
      <c r="E2198" t="str">
        <f>VLOOKUP(LEFT(A2198,2),ConsolidadoLoa27_ATIVIDADES!A:I,9,0)</f>
        <v>32 - SECRETARIA EXECUTIVA DE POLÍTICAS PARA MULHERES E DIVERSIDADE</v>
      </c>
      <c r="F2198" t="str">
        <f t="shared" si="103"/>
        <v>2.001</v>
      </c>
      <c r="G2198" t="str">
        <f t="shared" si="104"/>
        <v>01.110.0000</v>
      </c>
    </row>
    <row r="2199" spans="1:7" hidden="1" x14ac:dyDescent="0.25">
      <c r="A2199" s="6" t="s">
        <v>4163</v>
      </c>
      <c r="B2199" s="28">
        <v>6.04</v>
      </c>
      <c r="C2199" s="6" t="s">
        <v>2278</v>
      </c>
      <c r="D2199" t="str">
        <f t="shared" si="102"/>
        <v>32.001.04.122.0001.2.001.3.3.90.46.00</v>
      </c>
      <c r="E2199" t="str">
        <f>VLOOKUP(LEFT(A2199,2),ConsolidadoLoa27_ATIVIDADES!A:I,9,0)</f>
        <v>32 - SECRETARIA EXECUTIVA DE POLÍTICAS PARA MULHERES E DIVERSIDADE</v>
      </c>
      <c r="F2199" t="str">
        <f t="shared" si="103"/>
        <v>2.001</v>
      </c>
      <c r="G2199" t="str">
        <f t="shared" si="104"/>
        <v>01.110.0000</v>
      </c>
    </row>
    <row r="2200" spans="1:7" hidden="1" x14ac:dyDescent="0.25">
      <c r="A2200" s="6" t="s">
        <v>4164</v>
      </c>
      <c r="B2200" s="28">
        <v>18071.78</v>
      </c>
      <c r="C2200" s="6" t="s">
        <v>2280</v>
      </c>
      <c r="D2200" t="str">
        <f t="shared" si="102"/>
        <v>32.001.04.122.0001.2.001.3.3.90.49.00</v>
      </c>
      <c r="E2200" t="str">
        <f>VLOOKUP(LEFT(A2200,2),ConsolidadoLoa27_ATIVIDADES!A:I,9,0)</f>
        <v>32 - SECRETARIA EXECUTIVA DE POLÍTICAS PARA MULHERES E DIVERSIDADE</v>
      </c>
      <c r="F2200" t="str">
        <f t="shared" si="103"/>
        <v>2.001</v>
      </c>
      <c r="G2200" t="str">
        <f t="shared" si="104"/>
        <v>01.110.0000</v>
      </c>
    </row>
    <row r="2201" spans="1:7" hidden="1" x14ac:dyDescent="0.25">
      <c r="A2201" s="6" t="s">
        <v>4165</v>
      </c>
      <c r="B2201" s="28">
        <v>1</v>
      </c>
      <c r="C2201" s="6" t="s">
        <v>2282</v>
      </c>
      <c r="D2201" t="str">
        <f t="shared" si="102"/>
        <v>32.001.04.122.0001.2.006.3.3.90.33.00</v>
      </c>
      <c r="E2201" t="str">
        <f>VLOOKUP(LEFT(A2201,2),ConsolidadoLoa27_ATIVIDADES!A:I,9,0)</f>
        <v>32 - SECRETARIA EXECUTIVA DE POLÍTICAS PARA MULHERES E DIVERSIDADE</v>
      </c>
      <c r="F2201" t="str">
        <f t="shared" si="103"/>
        <v>2.006</v>
      </c>
      <c r="G2201" t="str">
        <f t="shared" si="104"/>
        <v>01.110.0000</v>
      </c>
    </row>
    <row r="2202" spans="1:7" hidden="1" x14ac:dyDescent="0.25">
      <c r="A2202" s="6" t="s">
        <v>4166</v>
      </c>
      <c r="B2202" s="28">
        <v>1</v>
      </c>
      <c r="C2202" s="6" t="s">
        <v>421</v>
      </c>
      <c r="D2202" t="str">
        <f t="shared" si="102"/>
        <v>32.001.04.122.0001.2.006.3.3.90.39.00</v>
      </c>
      <c r="E2202" t="str">
        <f>VLOOKUP(LEFT(A2202,2),ConsolidadoLoa27_ATIVIDADES!A:I,9,0)</f>
        <v>32 - SECRETARIA EXECUTIVA DE POLÍTICAS PARA MULHERES E DIVERSIDADE</v>
      </c>
      <c r="F2202" t="str">
        <f t="shared" si="103"/>
        <v>2.006</v>
      </c>
      <c r="G2202" t="str">
        <f t="shared" si="104"/>
        <v>01.110.0000</v>
      </c>
    </row>
    <row r="2203" spans="1:7" hidden="1" x14ac:dyDescent="0.25">
      <c r="A2203" s="6" t="s">
        <v>4167</v>
      </c>
      <c r="B2203" s="28">
        <v>1</v>
      </c>
      <c r="C2203" s="6" t="s">
        <v>4000</v>
      </c>
      <c r="D2203" t="str">
        <f t="shared" si="102"/>
        <v>32.001.04.128.0002.2.003.3.3.90.36.00</v>
      </c>
      <c r="E2203" t="str">
        <f>VLOOKUP(LEFT(A2203,2),ConsolidadoLoa27_ATIVIDADES!A:I,9,0)</f>
        <v>32 - SECRETARIA EXECUTIVA DE POLÍTICAS PARA MULHERES E DIVERSIDADE</v>
      </c>
      <c r="F2203" t="str">
        <f t="shared" si="103"/>
        <v>2.003</v>
      </c>
      <c r="G2203" t="str">
        <f t="shared" si="104"/>
        <v>01.110.0000</v>
      </c>
    </row>
    <row r="2204" spans="1:7" hidden="1" x14ac:dyDescent="0.25">
      <c r="A2204" s="6" t="s">
        <v>4168</v>
      </c>
      <c r="B2204" s="28">
        <v>2992.6080000000002</v>
      </c>
      <c r="C2204" s="6" t="s">
        <v>245</v>
      </c>
      <c r="D2204" t="str">
        <f t="shared" si="102"/>
        <v>32.001.04.131.0002.2.005.3.3.90.30.00</v>
      </c>
      <c r="E2204" t="str">
        <f>VLOOKUP(LEFT(A2204,2),ConsolidadoLoa27_ATIVIDADES!A:I,9,0)</f>
        <v>32 - SECRETARIA EXECUTIVA DE POLÍTICAS PARA MULHERES E DIVERSIDADE</v>
      </c>
      <c r="F2204" t="str">
        <f t="shared" si="103"/>
        <v>2.005</v>
      </c>
      <c r="G2204" t="str">
        <f t="shared" si="104"/>
        <v>01.110.0000</v>
      </c>
    </row>
    <row r="2205" spans="1:7" hidden="1" x14ac:dyDescent="0.25">
      <c r="A2205" s="6" t="s">
        <v>4169</v>
      </c>
      <c r="B2205" s="28">
        <v>3117.3</v>
      </c>
      <c r="C2205" s="6" t="s">
        <v>198</v>
      </c>
      <c r="D2205" t="str">
        <f t="shared" si="102"/>
        <v>32.001.04.131.0002.2.005.3.3.90.39.00</v>
      </c>
      <c r="E2205" t="str">
        <f>VLOOKUP(LEFT(A2205,2),ConsolidadoLoa27_ATIVIDADES!A:I,9,0)</f>
        <v>32 - SECRETARIA EXECUTIVA DE POLÍTICAS PARA MULHERES E DIVERSIDADE</v>
      </c>
      <c r="F2205" t="str">
        <f t="shared" si="103"/>
        <v>2.005</v>
      </c>
      <c r="G2205" t="str">
        <f t="shared" si="104"/>
        <v>01.110.0000</v>
      </c>
    </row>
    <row r="2206" spans="1:7" hidden="1" x14ac:dyDescent="0.25">
      <c r="A2206" s="6" t="s">
        <v>4169</v>
      </c>
      <c r="B2206" s="28">
        <v>10391</v>
      </c>
      <c r="C2206" s="6" t="s">
        <v>2293</v>
      </c>
      <c r="D2206" t="str">
        <f t="shared" si="102"/>
        <v>32.001.04.131.0002.2.005.3.3.90.39.00</v>
      </c>
      <c r="E2206" t="str">
        <f>VLOOKUP(LEFT(A2206,2),ConsolidadoLoa27_ATIVIDADES!A:I,9,0)</f>
        <v>32 - SECRETARIA EXECUTIVA DE POLÍTICAS PARA MULHERES E DIVERSIDADE</v>
      </c>
      <c r="F2206" t="str">
        <f t="shared" si="103"/>
        <v>2.005</v>
      </c>
      <c r="G2206" t="str">
        <f t="shared" si="104"/>
        <v>01.110.0000</v>
      </c>
    </row>
    <row r="2207" spans="1:7" hidden="1" x14ac:dyDescent="0.25">
      <c r="A2207" s="6" t="s">
        <v>4169</v>
      </c>
      <c r="B2207" s="28">
        <v>1</v>
      </c>
      <c r="C2207" s="6" t="s">
        <v>196</v>
      </c>
      <c r="D2207" t="str">
        <f t="shared" si="102"/>
        <v>32.001.04.131.0002.2.005.3.3.90.39.00</v>
      </c>
      <c r="E2207" t="str">
        <f>VLOOKUP(LEFT(A2207,2),ConsolidadoLoa27_ATIVIDADES!A:I,9,0)</f>
        <v>32 - SECRETARIA EXECUTIVA DE POLÍTICAS PARA MULHERES E DIVERSIDADE</v>
      </c>
      <c r="F2207" t="str">
        <f t="shared" si="103"/>
        <v>2.005</v>
      </c>
      <c r="G2207" t="str">
        <f t="shared" si="104"/>
        <v>01.110.0000</v>
      </c>
    </row>
    <row r="2208" spans="1:7" hidden="1" x14ac:dyDescent="0.25">
      <c r="A2208" s="6" t="s">
        <v>4170</v>
      </c>
      <c r="B2208" s="28">
        <v>0</v>
      </c>
      <c r="C2208" s="6" t="s">
        <v>4171</v>
      </c>
      <c r="D2208" t="str">
        <f t="shared" si="102"/>
        <v>32.001.04.131.0002.2.005.3.3.90.39.00</v>
      </c>
      <c r="E2208" t="str">
        <f>VLOOKUP(LEFT(A2208,2),ConsolidadoLoa27_ATIVIDADES!A:I,9,0)</f>
        <v>32 - SECRETARIA EXECUTIVA DE POLÍTICAS PARA MULHERES E DIVERSIDADE</v>
      </c>
      <c r="F2208" t="str">
        <f t="shared" si="103"/>
        <v>2.005</v>
      </c>
      <c r="G2208" t="str">
        <f t="shared" si="104"/>
        <v>08.110.0000</v>
      </c>
    </row>
    <row r="2209" spans="1:7" hidden="1" x14ac:dyDescent="0.25">
      <c r="A2209" s="6" t="s">
        <v>4172</v>
      </c>
      <c r="B2209" s="28">
        <v>98200</v>
      </c>
      <c r="C2209" s="21" t="s">
        <v>4173</v>
      </c>
      <c r="D2209" t="str">
        <f t="shared" si="102"/>
        <v>32.001.14.334.0017.2.004.3.3.90.39.00</v>
      </c>
      <c r="E2209" t="str">
        <f>VLOOKUP(LEFT(A2209,2),ConsolidadoLoa27_ATIVIDADES!A:I,9,0)</f>
        <v>32 - SECRETARIA EXECUTIVA DE POLÍTICAS PARA MULHERES E DIVERSIDADE</v>
      </c>
      <c r="F2209" t="str">
        <f t="shared" si="103"/>
        <v>2.004</v>
      </c>
      <c r="G2209" t="str">
        <f t="shared" si="104"/>
        <v>01.110.0000</v>
      </c>
    </row>
    <row r="2210" spans="1:7" hidden="1" x14ac:dyDescent="0.25">
      <c r="A2210" s="6" t="s">
        <v>4172</v>
      </c>
      <c r="B2210" s="28">
        <v>48666.248500000002</v>
      </c>
      <c r="C2210" s="21" t="s">
        <v>4174</v>
      </c>
      <c r="D2210" t="str">
        <f t="shared" si="102"/>
        <v>32.001.14.334.0017.2.004.3.3.90.39.00</v>
      </c>
      <c r="E2210" t="str">
        <f>VLOOKUP(LEFT(A2210,2),ConsolidadoLoa27_ATIVIDADES!A:I,9,0)</f>
        <v>32 - SECRETARIA EXECUTIVA DE POLÍTICAS PARA MULHERES E DIVERSIDADE</v>
      </c>
      <c r="F2210" t="str">
        <f t="shared" si="103"/>
        <v>2.004</v>
      </c>
      <c r="G2210" t="str">
        <f t="shared" si="104"/>
        <v>01.110.0000</v>
      </c>
    </row>
    <row r="2211" spans="1:7" hidden="1" x14ac:dyDescent="0.25">
      <c r="A2211" s="6" t="s">
        <v>4172</v>
      </c>
      <c r="B2211" s="28">
        <v>48666.248500000002</v>
      </c>
      <c r="C2211" s="21" t="s">
        <v>4175</v>
      </c>
      <c r="D2211" t="str">
        <f t="shared" si="102"/>
        <v>32.001.14.334.0017.2.004.3.3.90.39.00</v>
      </c>
      <c r="E2211" t="str">
        <f>VLOOKUP(LEFT(A2211,2),ConsolidadoLoa27_ATIVIDADES!A:I,9,0)</f>
        <v>32 - SECRETARIA EXECUTIVA DE POLÍTICAS PARA MULHERES E DIVERSIDADE</v>
      </c>
      <c r="F2211" t="str">
        <f t="shared" si="103"/>
        <v>2.004</v>
      </c>
      <c r="G2211" t="str">
        <f t="shared" si="104"/>
        <v>01.110.0000</v>
      </c>
    </row>
    <row r="2212" spans="1:7" hidden="1" x14ac:dyDescent="0.25">
      <c r="A2212" s="6" t="s">
        <v>4172</v>
      </c>
      <c r="B2212" s="28">
        <v>48666.248500000002</v>
      </c>
      <c r="C2212" s="6" t="s">
        <v>4176</v>
      </c>
      <c r="D2212" t="str">
        <f t="shared" si="102"/>
        <v>32.001.14.334.0017.2.004.3.3.90.39.00</v>
      </c>
      <c r="E2212" t="str">
        <f>VLOOKUP(LEFT(A2212,2),ConsolidadoLoa27_ATIVIDADES!A:I,9,0)</f>
        <v>32 - SECRETARIA EXECUTIVA DE POLÍTICAS PARA MULHERES E DIVERSIDADE</v>
      </c>
      <c r="F2212" t="str">
        <f t="shared" si="103"/>
        <v>2.004</v>
      </c>
      <c r="G2212" t="str">
        <f t="shared" si="104"/>
        <v>01.110.0000</v>
      </c>
    </row>
    <row r="2213" spans="1:7" hidden="1" x14ac:dyDescent="0.25">
      <c r="A2213" s="6" t="s">
        <v>4172</v>
      </c>
      <c r="B2213" s="28">
        <v>48666.248500000002</v>
      </c>
      <c r="C2213" s="6" t="s">
        <v>4177</v>
      </c>
      <c r="D2213" t="str">
        <f t="shared" si="102"/>
        <v>32.001.14.334.0017.2.004.3.3.90.39.00</v>
      </c>
      <c r="E2213" t="str">
        <f>VLOOKUP(LEFT(A2213,2),ConsolidadoLoa27_ATIVIDADES!A:I,9,0)</f>
        <v>32 - SECRETARIA EXECUTIVA DE POLÍTICAS PARA MULHERES E DIVERSIDADE</v>
      </c>
      <c r="F2213" t="str">
        <f t="shared" si="103"/>
        <v>2.004</v>
      </c>
      <c r="G2213" t="str">
        <f t="shared" si="104"/>
        <v>01.110.0000</v>
      </c>
    </row>
    <row r="2214" spans="1:7" hidden="1" x14ac:dyDescent="0.25">
      <c r="A2214" s="6" t="s">
        <v>4172</v>
      </c>
      <c r="B2214" s="28">
        <v>98200</v>
      </c>
      <c r="C2214" s="6" t="s">
        <v>4178</v>
      </c>
      <c r="D2214" t="str">
        <f t="shared" si="102"/>
        <v>32.001.14.334.0017.2.004.3.3.90.39.00</v>
      </c>
      <c r="E2214" t="str">
        <f>VLOOKUP(LEFT(A2214,2),ConsolidadoLoa27_ATIVIDADES!A:I,9,0)</f>
        <v>32 - SECRETARIA EXECUTIVA DE POLÍTICAS PARA MULHERES E DIVERSIDADE</v>
      </c>
      <c r="F2214" t="str">
        <f t="shared" si="103"/>
        <v>2.004</v>
      </c>
      <c r="G2214" t="str">
        <f t="shared" si="104"/>
        <v>01.110.0000</v>
      </c>
    </row>
    <row r="2215" spans="1:7" hidden="1" x14ac:dyDescent="0.25">
      <c r="A2215" s="6" t="s">
        <v>4172</v>
      </c>
      <c r="B2215" s="28">
        <v>98200</v>
      </c>
      <c r="C2215" s="21" t="s">
        <v>4179</v>
      </c>
      <c r="D2215" t="str">
        <f t="shared" si="102"/>
        <v>32.001.14.334.0017.2.004.3.3.90.39.00</v>
      </c>
      <c r="E2215" t="str">
        <f>VLOOKUP(LEFT(A2215,2),ConsolidadoLoa27_ATIVIDADES!A:I,9,0)</f>
        <v>32 - SECRETARIA EXECUTIVA DE POLÍTICAS PARA MULHERES E DIVERSIDADE</v>
      </c>
      <c r="F2215" t="str">
        <f t="shared" si="103"/>
        <v>2.004</v>
      </c>
      <c r="G2215" t="str">
        <f t="shared" si="104"/>
        <v>01.110.0000</v>
      </c>
    </row>
    <row r="2216" spans="1:7" hidden="1" x14ac:dyDescent="0.25">
      <c r="A2216" s="6" t="s">
        <v>4180</v>
      </c>
      <c r="B2216" s="28">
        <v>0</v>
      </c>
      <c r="C2216" s="21" t="s">
        <v>4173</v>
      </c>
      <c r="D2216" t="str">
        <f t="shared" si="102"/>
        <v>32.001.14.334.0017.2.004.3.3.90.39.00</v>
      </c>
      <c r="E2216" t="str">
        <f>VLOOKUP(LEFT(A2216,2),ConsolidadoLoa27_ATIVIDADES!A:I,9,0)</f>
        <v>32 - SECRETARIA EXECUTIVA DE POLÍTICAS PARA MULHERES E DIVERSIDADE</v>
      </c>
      <c r="F2216" t="str">
        <f t="shared" si="103"/>
        <v>2.004</v>
      </c>
      <c r="G2216" t="str">
        <f t="shared" si="104"/>
        <v>05.100.0000</v>
      </c>
    </row>
    <row r="2217" spans="1:7" hidden="1" x14ac:dyDescent="0.25">
      <c r="A2217" s="6" t="s">
        <v>4180</v>
      </c>
      <c r="B2217" s="28">
        <v>0</v>
      </c>
      <c r="C2217" s="21" t="s">
        <v>4174</v>
      </c>
      <c r="D2217" t="str">
        <f t="shared" si="102"/>
        <v>32.001.14.334.0017.2.004.3.3.90.39.00</v>
      </c>
      <c r="E2217" t="str">
        <f>VLOOKUP(LEFT(A2217,2),ConsolidadoLoa27_ATIVIDADES!A:I,9,0)</f>
        <v>32 - SECRETARIA EXECUTIVA DE POLÍTICAS PARA MULHERES E DIVERSIDADE</v>
      </c>
      <c r="F2217" t="str">
        <f t="shared" si="103"/>
        <v>2.004</v>
      </c>
      <c r="G2217" t="str">
        <f t="shared" si="104"/>
        <v>05.100.0000</v>
      </c>
    </row>
    <row r="2218" spans="1:7" hidden="1" x14ac:dyDescent="0.25">
      <c r="A2218" s="6" t="s">
        <v>4180</v>
      </c>
      <c r="B2218" s="28">
        <v>0</v>
      </c>
      <c r="C2218" s="21" t="s">
        <v>4175</v>
      </c>
      <c r="D2218" t="str">
        <f t="shared" si="102"/>
        <v>32.001.14.334.0017.2.004.3.3.90.39.00</v>
      </c>
      <c r="E2218" t="str">
        <f>VLOOKUP(LEFT(A2218,2),ConsolidadoLoa27_ATIVIDADES!A:I,9,0)</f>
        <v>32 - SECRETARIA EXECUTIVA DE POLÍTICAS PARA MULHERES E DIVERSIDADE</v>
      </c>
      <c r="F2218" t="str">
        <f t="shared" si="103"/>
        <v>2.004</v>
      </c>
      <c r="G2218" t="str">
        <f t="shared" si="104"/>
        <v>05.100.0000</v>
      </c>
    </row>
    <row r="2219" spans="1:7" hidden="1" x14ac:dyDescent="0.25">
      <c r="A2219" s="6" t="s">
        <v>4180</v>
      </c>
      <c r="B2219" s="28">
        <v>0</v>
      </c>
      <c r="C2219" s="6" t="s">
        <v>4176</v>
      </c>
      <c r="D2219" t="str">
        <f t="shared" si="102"/>
        <v>32.001.14.334.0017.2.004.3.3.90.39.00</v>
      </c>
      <c r="E2219" t="str">
        <f>VLOOKUP(LEFT(A2219,2),ConsolidadoLoa27_ATIVIDADES!A:I,9,0)</f>
        <v>32 - SECRETARIA EXECUTIVA DE POLÍTICAS PARA MULHERES E DIVERSIDADE</v>
      </c>
      <c r="F2219" t="str">
        <f t="shared" si="103"/>
        <v>2.004</v>
      </c>
      <c r="G2219" t="str">
        <f t="shared" si="104"/>
        <v>05.100.0000</v>
      </c>
    </row>
    <row r="2220" spans="1:7" hidden="1" x14ac:dyDescent="0.25">
      <c r="A2220" s="6" t="s">
        <v>4180</v>
      </c>
      <c r="B2220" s="28">
        <v>0</v>
      </c>
      <c r="C2220" s="6" t="s">
        <v>4177</v>
      </c>
      <c r="D2220" t="str">
        <f t="shared" si="102"/>
        <v>32.001.14.334.0017.2.004.3.3.90.39.00</v>
      </c>
      <c r="E2220" t="str">
        <f>VLOOKUP(LEFT(A2220,2),ConsolidadoLoa27_ATIVIDADES!A:I,9,0)</f>
        <v>32 - SECRETARIA EXECUTIVA DE POLÍTICAS PARA MULHERES E DIVERSIDADE</v>
      </c>
      <c r="F2220" t="str">
        <f t="shared" si="103"/>
        <v>2.004</v>
      </c>
      <c r="G2220" t="str">
        <f t="shared" si="104"/>
        <v>05.100.0000</v>
      </c>
    </row>
    <row r="2221" spans="1:7" hidden="1" x14ac:dyDescent="0.25">
      <c r="A2221" s="6" t="s">
        <v>4180</v>
      </c>
      <c r="B2221" s="28">
        <v>0</v>
      </c>
      <c r="C2221" s="6" t="s">
        <v>4178</v>
      </c>
      <c r="D2221" t="str">
        <f t="shared" si="102"/>
        <v>32.001.14.334.0017.2.004.3.3.90.39.00</v>
      </c>
      <c r="E2221" t="str">
        <f>VLOOKUP(LEFT(A2221,2),ConsolidadoLoa27_ATIVIDADES!A:I,9,0)</f>
        <v>32 - SECRETARIA EXECUTIVA DE POLÍTICAS PARA MULHERES E DIVERSIDADE</v>
      </c>
      <c r="F2221" t="str">
        <f t="shared" si="103"/>
        <v>2.004</v>
      </c>
      <c r="G2221" t="str">
        <f t="shared" si="104"/>
        <v>05.100.0000</v>
      </c>
    </row>
    <row r="2222" spans="1:7" hidden="1" x14ac:dyDescent="0.25">
      <c r="A2222" s="6" t="s">
        <v>4181</v>
      </c>
      <c r="B2222" s="28">
        <v>1</v>
      </c>
      <c r="C2222" s="21" t="s">
        <v>4179</v>
      </c>
      <c r="D2222" t="str">
        <f t="shared" si="102"/>
        <v>32.001.14.422.0001.1.002.3.3.90.30.00</v>
      </c>
      <c r="E2222" t="str">
        <f>VLOOKUP(LEFT(A2222,2),ConsolidadoLoa27_ATIVIDADES!A:I,9,0)</f>
        <v>32 - SECRETARIA EXECUTIVA DE POLÍTICAS PARA MULHERES E DIVERSIDADE</v>
      </c>
      <c r="F2222" t="str">
        <f t="shared" si="103"/>
        <v>1.002</v>
      </c>
      <c r="G2222" t="str">
        <f t="shared" si="104"/>
        <v>01.110.0000</v>
      </c>
    </row>
    <row r="2223" spans="1:7" hidden="1" x14ac:dyDescent="0.25">
      <c r="A2223" s="6" t="s">
        <v>4181</v>
      </c>
      <c r="B2223" s="28">
        <v>1</v>
      </c>
      <c r="C2223" s="6" t="s">
        <v>4182</v>
      </c>
      <c r="D2223" t="str">
        <f t="shared" si="102"/>
        <v>32.001.14.422.0001.1.002.3.3.90.30.00</v>
      </c>
      <c r="E2223" t="str">
        <f>VLOOKUP(LEFT(A2223,2),ConsolidadoLoa27_ATIVIDADES!A:I,9,0)</f>
        <v>32 - SECRETARIA EXECUTIVA DE POLÍTICAS PARA MULHERES E DIVERSIDADE</v>
      </c>
      <c r="F2223" t="str">
        <f t="shared" si="103"/>
        <v>1.002</v>
      </c>
      <c r="G2223" t="str">
        <f t="shared" si="104"/>
        <v>01.110.0000</v>
      </c>
    </row>
    <row r="2224" spans="1:7" hidden="1" x14ac:dyDescent="0.25">
      <c r="A2224" s="6" t="s">
        <v>4183</v>
      </c>
      <c r="B2224" s="28">
        <v>1</v>
      </c>
      <c r="C2224" s="6" t="s">
        <v>4184</v>
      </c>
      <c r="D2224" t="str">
        <f t="shared" si="102"/>
        <v>32.001.14.422.0001.1.002.3.3.90.39.00</v>
      </c>
      <c r="E2224" t="str">
        <f>VLOOKUP(LEFT(A2224,2),ConsolidadoLoa27_ATIVIDADES!A:I,9,0)</f>
        <v>32 - SECRETARIA EXECUTIVA DE POLÍTICAS PARA MULHERES E DIVERSIDADE</v>
      </c>
      <c r="F2224" t="str">
        <f t="shared" si="103"/>
        <v>1.002</v>
      </c>
      <c r="G2224" t="str">
        <f t="shared" si="104"/>
        <v>01.110.0000</v>
      </c>
    </row>
    <row r="2225" spans="1:7" hidden="1" x14ac:dyDescent="0.25">
      <c r="A2225" s="6" t="s">
        <v>4183</v>
      </c>
      <c r="B2225" s="28">
        <v>1</v>
      </c>
      <c r="C2225" s="6" t="s">
        <v>4182</v>
      </c>
      <c r="D2225" t="str">
        <f t="shared" si="102"/>
        <v>32.001.14.422.0001.1.002.3.3.90.39.00</v>
      </c>
      <c r="E2225" t="str">
        <f>VLOOKUP(LEFT(A2225,2),ConsolidadoLoa27_ATIVIDADES!A:I,9,0)</f>
        <v>32 - SECRETARIA EXECUTIVA DE POLÍTICAS PARA MULHERES E DIVERSIDADE</v>
      </c>
      <c r="F2225" t="str">
        <f t="shared" si="103"/>
        <v>1.002</v>
      </c>
      <c r="G2225" t="str">
        <f t="shared" si="104"/>
        <v>01.110.0000</v>
      </c>
    </row>
    <row r="2226" spans="1:7" hidden="1" x14ac:dyDescent="0.25">
      <c r="A2226" s="6" t="s">
        <v>4185</v>
      </c>
      <c r="B2226" s="28">
        <v>1171600.1100000001</v>
      </c>
      <c r="C2226" s="6" t="s">
        <v>4186</v>
      </c>
      <c r="D2226" t="str">
        <f t="shared" si="102"/>
        <v>32.001.14.422.0018.2.011.3.3.50.39.00</v>
      </c>
      <c r="E2226" t="str">
        <f>VLOOKUP(LEFT(A2226,2),ConsolidadoLoa27_ATIVIDADES!A:I,9,0)</f>
        <v>32 - SECRETARIA EXECUTIVA DE POLÍTICAS PARA MULHERES E DIVERSIDADE</v>
      </c>
      <c r="F2226" t="str">
        <f t="shared" si="103"/>
        <v>2.011</v>
      </c>
      <c r="G2226" t="str">
        <f t="shared" si="104"/>
        <v>01.110.0000</v>
      </c>
    </row>
    <row r="2227" spans="1:7" hidden="1" x14ac:dyDescent="0.25">
      <c r="A2227" s="6" t="s">
        <v>4187</v>
      </c>
      <c r="B2227" s="28">
        <v>234633.435168</v>
      </c>
      <c r="C2227" s="6" t="s">
        <v>4188</v>
      </c>
      <c r="D2227" t="str">
        <f t="shared" si="102"/>
        <v>32.001.14.422.0018.2.011.3.3.71.70.00</v>
      </c>
      <c r="E2227" t="str">
        <f>VLOOKUP(LEFT(A2227,2),ConsolidadoLoa27_ATIVIDADES!A:I,9,0)</f>
        <v>32 - SECRETARIA EXECUTIVA DE POLÍTICAS PARA MULHERES E DIVERSIDADE</v>
      </c>
      <c r="F2227" t="str">
        <f t="shared" si="103"/>
        <v>2.011</v>
      </c>
      <c r="G2227" t="str">
        <f t="shared" si="104"/>
        <v>01.110.0000</v>
      </c>
    </row>
    <row r="2228" spans="1:7" hidden="1" x14ac:dyDescent="0.25">
      <c r="A2228" s="6" t="s">
        <v>4189</v>
      </c>
      <c r="B2228" s="28">
        <v>15586.5</v>
      </c>
      <c r="C2228" s="6" t="s">
        <v>2288</v>
      </c>
      <c r="D2228" t="str">
        <f t="shared" si="102"/>
        <v>32.001.14.422.0018.2.011.3.3.90.30.00</v>
      </c>
      <c r="E2228" t="str">
        <f>VLOOKUP(LEFT(A2228,2),ConsolidadoLoa27_ATIVIDADES!A:I,9,0)</f>
        <v>32 - SECRETARIA EXECUTIVA DE POLÍTICAS PARA MULHERES E DIVERSIDADE</v>
      </c>
      <c r="F2228" t="str">
        <f t="shared" si="103"/>
        <v>2.011</v>
      </c>
      <c r="G2228" t="str">
        <f t="shared" si="104"/>
        <v>01.110.0000</v>
      </c>
    </row>
    <row r="2229" spans="1:7" hidden="1" x14ac:dyDescent="0.25">
      <c r="A2229" s="6" t="s">
        <v>4189</v>
      </c>
      <c r="B2229" s="28">
        <v>15586.5</v>
      </c>
      <c r="C2229" s="6" t="s">
        <v>2295</v>
      </c>
      <c r="D2229" t="str">
        <f t="shared" si="102"/>
        <v>32.001.14.422.0018.2.011.3.3.90.30.00</v>
      </c>
      <c r="E2229" t="str">
        <f>VLOOKUP(LEFT(A2229,2),ConsolidadoLoa27_ATIVIDADES!A:I,9,0)</f>
        <v>32 - SECRETARIA EXECUTIVA DE POLÍTICAS PARA MULHERES E DIVERSIDADE</v>
      </c>
      <c r="F2229" t="str">
        <f t="shared" si="103"/>
        <v>2.011</v>
      </c>
      <c r="G2229" t="str">
        <f t="shared" si="104"/>
        <v>01.110.0000</v>
      </c>
    </row>
    <row r="2230" spans="1:7" hidden="1" x14ac:dyDescent="0.25">
      <c r="A2230" s="6" t="s">
        <v>4189</v>
      </c>
      <c r="B2230" s="28">
        <v>1</v>
      </c>
      <c r="C2230" s="14" t="s">
        <v>107</v>
      </c>
      <c r="D2230" t="str">
        <f t="shared" si="102"/>
        <v>32.001.14.422.0018.2.011.3.3.90.30.00</v>
      </c>
      <c r="E2230" t="str">
        <f>VLOOKUP(LEFT(A2230,2),ConsolidadoLoa27_ATIVIDADES!A:I,9,0)</f>
        <v>32 - SECRETARIA EXECUTIVA DE POLÍTICAS PARA MULHERES E DIVERSIDADE</v>
      </c>
      <c r="F2230" t="str">
        <f t="shared" si="103"/>
        <v>2.011</v>
      </c>
      <c r="G2230" t="str">
        <f t="shared" si="104"/>
        <v>01.110.0000</v>
      </c>
    </row>
    <row r="2231" spans="1:7" hidden="1" x14ac:dyDescent="0.25">
      <c r="A2231" s="6" t="s">
        <v>4189</v>
      </c>
      <c r="B2231" s="28">
        <v>10391</v>
      </c>
      <c r="C2231" s="6" t="s">
        <v>2289</v>
      </c>
      <c r="D2231" t="str">
        <f t="shared" si="102"/>
        <v>32.001.14.422.0018.2.011.3.3.90.30.00</v>
      </c>
      <c r="E2231" t="str">
        <f>VLOOKUP(LEFT(A2231,2),ConsolidadoLoa27_ATIVIDADES!A:I,9,0)</f>
        <v>32 - SECRETARIA EXECUTIVA DE POLÍTICAS PARA MULHERES E DIVERSIDADE</v>
      </c>
      <c r="F2231" t="str">
        <f t="shared" si="103"/>
        <v>2.011</v>
      </c>
      <c r="G2231" t="str">
        <f t="shared" si="104"/>
        <v>01.110.0000</v>
      </c>
    </row>
    <row r="2232" spans="1:7" hidden="1" x14ac:dyDescent="0.25">
      <c r="A2232" s="6" t="s">
        <v>4189</v>
      </c>
      <c r="B2232" s="28">
        <v>1</v>
      </c>
      <c r="C2232" s="6" t="s">
        <v>104</v>
      </c>
      <c r="D2232" t="str">
        <f t="shared" si="102"/>
        <v>32.001.14.422.0018.2.011.3.3.90.30.00</v>
      </c>
      <c r="E2232" t="str">
        <f>VLOOKUP(LEFT(A2232,2),ConsolidadoLoa27_ATIVIDADES!A:I,9,0)</f>
        <v>32 - SECRETARIA EXECUTIVA DE POLÍTICAS PARA MULHERES E DIVERSIDADE</v>
      </c>
      <c r="F2232" t="str">
        <f t="shared" si="103"/>
        <v>2.011</v>
      </c>
      <c r="G2232" t="str">
        <f t="shared" si="104"/>
        <v>01.110.0000</v>
      </c>
    </row>
    <row r="2233" spans="1:7" hidden="1" x14ac:dyDescent="0.25">
      <c r="A2233" s="6" t="s">
        <v>4190</v>
      </c>
      <c r="B2233" s="28">
        <v>72737</v>
      </c>
      <c r="C2233" s="6" t="s">
        <v>4191</v>
      </c>
      <c r="D2233" t="str">
        <f t="shared" si="102"/>
        <v>32.001.14.422.0018.2.011.3.3.90.39.00</v>
      </c>
      <c r="E2233" t="str">
        <f>VLOOKUP(LEFT(A2233,2),ConsolidadoLoa27_ATIVIDADES!A:I,9,0)</f>
        <v>32 - SECRETARIA EXECUTIVA DE POLÍTICAS PARA MULHERES E DIVERSIDADE</v>
      </c>
      <c r="F2233" t="str">
        <f t="shared" si="103"/>
        <v>2.011</v>
      </c>
      <c r="G2233" t="str">
        <f t="shared" si="104"/>
        <v>01.110.0000</v>
      </c>
    </row>
    <row r="2234" spans="1:7" hidden="1" x14ac:dyDescent="0.25">
      <c r="A2234" s="6" t="s">
        <v>4190</v>
      </c>
      <c r="B2234" s="28">
        <v>1</v>
      </c>
      <c r="C2234" s="14" t="s">
        <v>107</v>
      </c>
      <c r="D2234" t="str">
        <f t="shared" si="102"/>
        <v>32.001.14.422.0018.2.011.3.3.90.39.00</v>
      </c>
      <c r="E2234" t="str">
        <f>VLOOKUP(LEFT(A2234,2),ConsolidadoLoa27_ATIVIDADES!A:I,9,0)</f>
        <v>32 - SECRETARIA EXECUTIVA DE POLÍTICAS PARA MULHERES E DIVERSIDADE</v>
      </c>
      <c r="F2234" t="str">
        <f t="shared" si="103"/>
        <v>2.011</v>
      </c>
      <c r="G2234" t="str">
        <f t="shared" si="104"/>
        <v>01.110.0000</v>
      </c>
    </row>
    <row r="2235" spans="1:7" hidden="1" x14ac:dyDescent="0.25">
      <c r="A2235" s="6" t="s">
        <v>4190</v>
      </c>
      <c r="B2235" s="28">
        <v>1</v>
      </c>
      <c r="C2235" s="6" t="s">
        <v>106</v>
      </c>
      <c r="D2235" t="str">
        <f t="shared" si="102"/>
        <v>32.001.14.422.0018.2.011.3.3.90.39.00</v>
      </c>
      <c r="E2235" t="str">
        <f>VLOOKUP(LEFT(A2235,2),ConsolidadoLoa27_ATIVIDADES!A:I,9,0)</f>
        <v>32 - SECRETARIA EXECUTIVA DE POLÍTICAS PARA MULHERES E DIVERSIDADE</v>
      </c>
      <c r="F2235" t="str">
        <f t="shared" si="103"/>
        <v>2.011</v>
      </c>
      <c r="G2235" t="str">
        <f t="shared" si="104"/>
        <v>01.110.0000</v>
      </c>
    </row>
    <row r="2236" spans="1:7" hidden="1" x14ac:dyDescent="0.25">
      <c r="A2236" s="6" t="s">
        <v>4192</v>
      </c>
      <c r="B2236" s="28">
        <v>31995.468431999998</v>
      </c>
      <c r="C2236" s="6" t="s">
        <v>4188</v>
      </c>
      <c r="D2236" t="str">
        <f t="shared" si="102"/>
        <v>32.001.14.422.0018.2.011.4.4.71.70.00</v>
      </c>
      <c r="E2236" t="str">
        <f>VLOOKUP(LEFT(A2236,2),ConsolidadoLoa27_ATIVIDADES!A:I,9,0)</f>
        <v>32 - SECRETARIA EXECUTIVA DE POLÍTICAS PARA MULHERES E DIVERSIDADE</v>
      </c>
      <c r="F2236" t="str">
        <f t="shared" si="103"/>
        <v>2.011</v>
      </c>
      <c r="G2236" t="str">
        <f t="shared" si="104"/>
        <v>01.110.0000</v>
      </c>
    </row>
    <row r="2237" spans="1:7" hidden="1" x14ac:dyDescent="0.25">
      <c r="A2237" s="6" t="s">
        <v>4193</v>
      </c>
      <c r="B2237" s="28">
        <v>0</v>
      </c>
      <c r="C2237" s="6" t="s">
        <v>4194</v>
      </c>
      <c r="D2237" t="str">
        <f t="shared" si="102"/>
        <v>32.001.14.422.0018.2.011.4.4.90.52.00</v>
      </c>
      <c r="E2237" t="str">
        <f>VLOOKUP(LEFT(A2237,2),ConsolidadoLoa27_ATIVIDADES!A:I,9,0)</f>
        <v>32 - SECRETARIA EXECUTIVA DE POLÍTICAS PARA MULHERES E DIVERSIDADE</v>
      </c>
      <c r="F2237" t="str">
        <f t="shared" si="103"/>
        <v>2.011</v>
      </c>
      <c r="G2237" t="str">
        <f t="shared" si="104"/>
        <v>08.110.0000</v>
      </c>
    </row>
    <row r="2238" spans="1:7" hidden="1" x14ac:dyDescent="0.25">
      <c r="A2238" s="6" t="s">
        <v>4195</v>
      </c>
      <c r="B2238" s="28">
        <v>1</v>
      </c>
      <c r="C2238" s="6" t="s">
        <v>2289</v>
      </c>
      <c r="D2238" t="str">
        <f t="shared" si="102"/>
        <v>32.002.14.422.0018.2.011.3.3.90.30.00</v>
      </c>
      <c r="E2238" t="str">
        <f>VLOOKUP(LEFT(A2238,2),ConsolidadoLoa27_ATIVIDADES!A:I,9,0)</f>
        <v>32 - SECRETARIA EXECUTIVA DE POLÍTICAS PARA MULHERES E DIVERSIDADE</v>
      </c>
      <c r="F2238" t="str">
        <f t="shared" si="103"/>
        <v>2.011</v>
      </c>
      <c r="G2238" t="str">
        <f t="shared" si="104"/>
        <v>01.110.0000</v>
      </c>
    </row>
    <row r="2239" spans="1:7" hidden="1" x14ac:dyDescent="0.25">
      <c r="A2239" s="6" t="s">
        <v>4196</v>
      </c>
      <c r="B2239" s="28">
        <v>1</v>
      </c>
      <c r="C2239" s="6" t="s">
        <v>196</v>
      </c>
      <c r="D2239" t="str">
        <f t="shared" si="102"/>
        <v>32.002.14.422.0018.2.011.3.3.90.39.00</v>
      </c>
      <c r="E2239" t="str">
        <f>VLOOKUP(LEFT(A2239,2),ConsolidadoLoa27_ATIVIDADES!A:I,9,0)</f>
        <v>32 - SECRETARIA EXECUTIVA DE POLÍTICAS PARA MULHERES E DIVERSIDADE</v>
      </c>
      <c r="F2239" t="str">
        <f t="shared" si="103"/>
        <v>2.011</v>
      </c>
      <c r="G2239" t="str">
        <f t="shared" si="104"/>
        <v>01.110.0000</v>
      </c>
    </row>
    <row r="2240" spans="1:7" hidden="1" x14ac:dyDescent="0.25">
      <c r="A2240" s="6" t="s">
        <v>4197</v>
      </c>
      <c r="B2240" s="28">
        <v>1</v>
      </c>
      <c r="C2240" s="6" t="s">
        <v>2500</v>
      </c>
      <c r="D2240" t="str">
        <f t="shared" si="102"/>
        <v>32.002.14.422.0018.2.011.4.4.90.52.00</v>
      </c>
      <c r="E2240" t="str">
        <f>VLOOKUP(LEFT(A2240,2),ConsolidadoLoa27_ATIVIDADES!A:I,9,0)</f>
        <v>32 - SECRETARIA EXECUTIVA DE POLÍTICAS PARA MULHERES E DIVERSIDADE</v>
      </c>
      <c r="F2240" t="str">
        <f t="shared" si="103"/>
        <v>2.011</v>
      </c>
      <c r="G2240" t="str">
        <f t="shared" si="104"/>
        <v>01.110.0000</v>
      </c>
    </row>
    <row r="2241" spans="1:7" hidden="1" x14ac:dyDescent="0.25">
      <c r="A2241" s="6" t="s">
        <v>4198</v>
      </c>
      <c r="B2241" s="28">
        <v>1</v>
      </c>
      <c r="C2241" s="6" t="s">
        <v>4199</v>
      </c>
      <c r="D2241" t="str">
        <f t="shared" si="102"/>
        <v>33.001.04.122.0001.1.002.3.3.90.39.00</v>
      </c>
      <c r="E2241" t="str">
        <f>VLOOKUP(LEFT(A2241,2),ConsolidadoLoa27_ATIVIDADES!A:I,9,0)</f>
        <v>33 - SECRETARIA EXECUTIVA DE COMPRAS E LICITAÇÕES</v>
      </c>
      <c r="F2241" t="str">
        <f t="shared" si="103"/>
        <v>1.002</v>
      </c>
      <c r="G2241" t="str">
        <f t="shared" si="104"/>
        <v>01.110.0000</v>
      </c>
    </row>
    <row r="2242" spans="1:7" hidden="1" x14ac:dyDescent="0.25">
      <c r="A2242" s="6" t="s">
        <v>4200</v>
      </c>
      <c r="B2242" s="28">
        <v>9309879.5999999996</v>
      </c>
      <c r="C2242" s="6" t="s">
        <v>847</v>
      </c>
      <c r="D2242" t="str">
        <f t="shared" si="102"/>
        <v>33.001.04.122.0001.2.001.3.1.90.11.00</v>
      </c>
      <c r="E2242" t="str">
        <f>VLOOKUP(LEFT(A2242,2),ConsolidadoLoa27_ATIVIDADES!A:I,9,0)</f>
        <v>33 - SECRETARIA EXECUTIVA DE COMPRAS E LICITAÇÕES</v>
      </c>
      <c r="F2242" t="str">
        <f t="shared" si="103"/>
        <v>2.001</v>
      </c>
      <c r="G2242" t="str">
        <f t="shared" si="104"/>
        <v>01.110.0000</v>
      </c>
    </row>
    <row r="2243" spans="1:7" hidden="1" x14ac:dyDescent="0.25">
      <c r="A2243" s="6" t="s">
        <v>4201</v>
      </c>
      <c r="B2243" s="28">
        <v>658906.91</v>
      </c>
      <c r="C2243" s="6" t="s">
        <v>847</v>
      </c>
      <c r="D2243" t="str">
        <f t="shared" ref="D2243:D2306" si="105">_xlfn.CONCAT(LEFT(A2243,34),".00")</f>
        <v>33.001.04.122.0001.2.001.3.1.90.13.00</v>
      </c>
      <c r="E2243" t="str">
        <f>VLOOKUP(LEFT(A2243,2),ConsolidadoLoa27_ATIVIDADES!A:I,9,0)</f>
        <v>33 - SECRETARIA EXECUTIVA DE COMPRAS E LICITAÇÕES</v>
      </c>
      <c r="F2243" t="str">
        <f t="shared" ref="F2243:F2306" si="106">MID(A2243,20,5)</f>
        <v>2.001</v>
      </c>
      <c r="G2243" t="str">
        <f t="shared" ref="G2243:G2306" si="107">RIGHT(A2243,11)</f>
        <v>01.110.0000</v>
      </c>
    </row>
    <row r="2244" spans="1:7" hidden="1" x14ac:dyDescent="0.25">
      <c r="A2244" s="6" t="s">
        <v>4202</v>
      </c>
      <c r="B2244" s="28">
        <v>324724.21000000002</v>
      </c>
      <c r="C2244" s="12" t="s">
        <v>847</v>
      </c>
      <c r="D2244" t="str">
        <f t="shared" si="105"/>
        <v>33.001.04.122.0001.2.001.3.1.91.13.00</v>
      </c>
      <c r="E2244" t="str">
        <f>VLOOKUP(LEFT(A2244,2),ConsolidadoLoa27_ATIVIDADES!A:I,9,0)</f>
        <v>33 - SECRETARIA EXECUTIVA DE COMPRAS E LICITAÇÕES</v>
      </c>
      <c r="F2244" t="str">
        <f t="shared" si="106"/>
        <v>2.001</v>
      </c>
      <c r="G2244" t="str">
        <f t="shared" si="107"/>
        <v>01.110.0000</v>
      </c>
    </row>
    <row r="2245" spans="1:7" hidden="1" x14ac:dyDescent="0.25">
      <c r="A2245" s="6" t="s">
        <v>4203</v>
      </c>
      <c r="B2245" s="28">
        <v>2.36</v>
      </c>
      <c r="C2245" s="6" t="s">
        <v>2278</v>
      </c>
      <c r="D2245" t="str">
        <f t="shared" si="105"/>
        <v>33.001.04.122.0001.2.001.3.3.90.46.00</v>
      </c>
      <c r="E2245" t="str">
        <f>VLOOKUP(LEFT(A2245,2),ConsolidadoLoa27_ATIVIDADES!A:I,9,0)</f>
        <v>33 - SECRETARIA EXECUTIVA DE COMPRAS E LICITAÇÕES</v>
      </c>
      <c r="F2245" t="str">
        <f t="shared" si="106"/>
        <v>2.001</v>
      </c>
      <c r="G2245" t="str">
        <f t="shared" si="107"/>
        <v>01.110.0000</v>
      </c>
    </row>
    <row r="2246" spans="1:7" hidden="1" x14ac:dyDescent="0.25">
      <c r="A2246" s="6" t="s">
        <v>4204</v>
      </c>
      <c r="B2246" s="28">
        <v>26315.78</v>
      </c>
      <c r="C2246" s="6" t="s">
        <v>2280</v>
      </c>
      <c r="D2246" t="str">
        <f t="shared" si="105"/>
        <v>33.001.04.122.0001.2.001.3.3.90.49.00</v>
      </c>
      <c r="E2246" t="str">
        <f>VLOOKUP(LEFT(A2246,2),ConsolidadoLoa27_ATIVIDADES!A:I,9,0)</f>
        <v>33 - SECRETARIA EXECUTIVA DE COMPRAS E LICITAÇÕES</v>
      </c>
      <c r="F2246" t="str">
        <f t="shared" si="106"/>
        <v>2.001</v>
      </c>
      <c r="G2246" t="str">
        <f t="shared" si="107"/>
        <v>01.110.0000</v>
      </c>
    </row>
    <row r="2247" spans="1:7" hidden="1" x14ac:dyDescent="0.25">
      <c r="A2247" s="6" t="s">
        <v>4205</v>
      </c>
      <c r="B2247" s="28">
        <v>1</v>
      </c>
      <c r="C2247" s="6" t="s">
        <v>2282</v>
      </c>
      <c r="D2247" t="str">
        <f t="shared" si="105"/>
        <v>33.001.04.122.0001.2.006.3.3.90.33.00</v>
      </c>
      <c r="E2247" t="str">
        <f>VLOOKUP(LEFT(A2247,2),ConsolidadoLoa27_ATIVIDADES!A:I,9,0)</f>
        <v>33 - SECRETARIA EXECUTIVA DE COMPRAS E LICITAÇÕES</v>
      </c>
      <c r="F2247" t="str">
        <f t="shared" si="106"/>
        <v>2.006</v>
      </c>
      <c r="G2247" t="str">
        <f t="shared" si="107"/>
        <v>01.110.0000</v>
      </c>
    </row>
    <row r="2248" spans="1:7" hidden="1" x14ac:dyDescent="0.25">
      <c r="A2248" s="6" t="s">
        <v>4206</v>
      </c>
      <c r="B2248" s="28">
        <v>1</v>
      </c>
      <c r="C2248" s="6" t="s">
        <v>4207</v>
      </c>
      <c r="D2248" t="str">
        <f t="shared" si="105"/>
        <v>33.001.04.122.0001.2.006.3.3.90.39.00</v>
      </c>
      <c r="E2248" t="str">
        <f>VLOOKUP(LEFT(A2248,2),ConsolidadoLoa27_ATIVIDADES!A:I,9,0)</f>
        <v>33 - SECRETARIA EXECUTIVA DE COMPRAS E LICITAÇÕES</v>
      </c>
      <c r="F2248" t="str">
        <f t="shared" si="106"/>
        <v>2.006</v>
      </c>
      <c r="G2248" t="str">
        <f t="shared" si="107"/>
        <v>01.110.0000</v>
      </c>
    </row>
    <row r="2249" spans="1:7" hidden="1" x14ac:dyDescent="0.25">
      <c r="A2249" s="6" t="s">
        <v>4206</v>
      </c>
      <c r="B2249" s="28">
        <v>1</v>
      </c>
      <c r="C2249" s="6" t="s">
        <v>421</v>
      </c>
      <c r="D2249" t="str">
        <f t="shared" si="105"/>
        <v>33.001.04.122.0001.2.006.3.3.90.39.00</v>
      </c>
      <c r="E2249" t="str">
        <f>VLOOKUP(LEFT(A2249,2),ConsolidadoLoa27_ATIVIDADES!A:I,9,0)</f>
        <v>33 - SECRETARIA EXECUTIVA DE COMPRAS E LICITAÇÕES</v>
      </c>
      <c r="F2249" t="str">
        <f t="shared" si="106"/>
        <v>2.006</v>
      </c>
      <c r="G2249" t="str">
        <f t="shared" si="107"/>
        <v>01.110.0000</v>
      </c>
    </row>
    <row r="2250" spans="1:7" hidden="1" x14ac:dyDescent="0.25">
      <c r="A2250" s="6" t="s">
        <v>4208</v>
      </c>
      <c r="B2250" s="28">
        <v>12469.2</v>
      </c>
      <c r="C2250" s="6" t="s">
        <v>2288</v>
      </c>
      <c r="D2250" t="str">
        <f t="shared" si="105"/>
        <v>33.001.04.122.0001.2.011.3.3.90.30.00</v>
      </c>
      <c r="E2250" t="str">
        <f>VLOOKUP(LEFT(A2250,2),ConsolidadoLoa27_ATIVIDADES!A:I,9,0)</f>
        <v>33 - SECRETARIA EXECUTIVA DE COMPRAS E LICITAÇÕES</v>
      </c>
      <c r="F2250" t="str">
        <f t="shared" si="106"/>
        <v>2.011</v>
      </c>
      <c r="G2250" t="str">
        <f t="shared" si="107"/>
        <v>01.110.0000</v>
      </c>
    </row>
    <row r="2251" spans="1:7" hidden="1" x14ac:dyDescent="0.25">
      <c r="A2251" s="6" t="s">
        <v>4208</v>
      </c>
      <c r="B2251" s="28">
        <v>15586.5</v>
      </c>
      <c r="C2251" s="6" t="s">
        <v>2295</v>
      </c>
      <c r="D2251" t="str">
        <f t="shared" si="105"/>
        <v>33.001.04.122.0001.2.011.3.3.90.30.00</v>
      </c>
      <c r="E2251" t="str">
        <f>VLOOKUP(LEFT(A2251,2),ConsolidadoLoa27_ATIVIDADES!A:I,9,0)</f>
        <v>33 - SECRETARIA EXECUTIVA DE COMPRAS E LICITAÇÕES</v>
      </c>
      <c r="F2251" t="str">
        <f t="shared" si="106"/>
        <v>2.011</v>
      </c>
      <c r="G2251" t="str">
        <f t="shared" si="107"/>
        <v>01.110.0000</v>
      </c>
    </row>
    <row r="2252" spans="1:7" hidden="1" x14ac:dyDescent="0.25">
      <c r="A2252" s="6" t="s">
        <v>4208</v>
      </c>
      <c r="B2252" s="28">
        <v>1558.65</v>
      </c>
      <c r="C2252" s="14" t="s">
        <v>107</v>
      </c>
      <c r="D2252" t="str">
        <f t="shared" si="105"/>
        <v>33.001.04.122.0001.2.011.3.3.90.30.00</v>
      </c>
      <c r="E2252" t="str">
        <f>VLOOKUP(LEFT(A2252,2),ConsolidadoLoa27_ATIVIDADES!A:I,9,0)</f>
        <v>33 - SECRETARIA EXECUTIVA DE COMPRAS E LICITAÇÕES</v>
      </c>
      <c r="F2252" t="str">
        <f t="shared" si="106"/>
        <v>2.011</v>
      </c>
      <c r="G2252" t="str">
        <f t="shared" si="107"/>
        <v>01.110.0000</v>
      </c>
    </row>
    <row r="2253" spans="1:7" hidden="1" x14ac:dyDescent="0.25">
      <c r="A2253" s="6" t="s">
        <v>4208</v>
      </c>
      <c r="B2253" s="28">
        <v>519.54999999999995</v>
      </c>
      <c r="C2253" s="6" t="s">
        <v>387</v>
      </c>
      <c r="D2253" t="str">
        <f t="shared" si="105"/>
        <v>33.001.04.122.0001.2.011.3.3.90.30.00</v>
      </c>
      <c r="E2253" t="str">
        <f>VLOOKUP(LEFT(A2253,2),ConsolidadoLoa27_ATIVIDADES!A:I,9,0)</f>
        <v>33 - SECRETARIA EXECUTIVA DE COMPRAS E LICITAÇÕES</v>
      </c>
      <c r="F2253" t="str">
        <f t="shared" si="106"/>
        <v>2.011</v>
      </c>
      <c r="G2253" t="str">
        <f t="shared" si="107"/>
        <v>01.110.0000</v>
      </c>
    </row>
    <row r="2254" spans="1:7" hidden="1" x14ac:dyDescent="0.25">
      <c r="A2254" s="6" t="s">
        <v>4208</v>
      </c>
      <c r="B2254" s="28">
        <v>9351.9</v>
      </c>
      <c r="C2254" s="6" t="s">
        <v>2289</v>
      </c>
      <c r="D2254" t="str">
        <f t="shared" si="105"/>
        <v>33.001.04.122.0001.2.011.3.3.90.30.00</v>
      </c>
      <c r="E2254" t="str">
        <f>VLOOKUP(LEFT(A2254,2),ConsolidadoLoa27_ATIVIDADES!A:I,9,0)</f>
        <v>33 - SECRETARIA EXECUTIVA DE COMPRAS E LICITAÇÕES</v>
      </c>
      <c r="F2254" t="str">
        <f t="shared" si="106"/>
        <v>2.011</v>
      </c>
      <c r="G2254" t="str">
        <f t="shared" si="107"/>
        <v>01.110.0000</v>
      </c>
    </row>
    <row r="2255" spans="1:7" hidden="1" x14ac:dyDescent="0.25">
      <c r="A2255" s="6" t="s">
        <v>4209</v>
      </c>
      <c r="B2255" s="28">
        <v>1</v>
      </c>
      <c r="C2255" s="14" t="s">
        <v>95</v>
      </c>
      <c r="D2255" t="str">
        <f t="shared" si="105"/>
        <v>33.001.04.122.0001.2.011.3.3.90.39.00</v>
      </c>
      <c r="E2255" t="str">
        <f>VLOOKUP(LEFT(A2255,2),ConsolidadoLoa27_ATIVIDADES!A:I,9,0)</f>
        <v>33 - SECRETARIA EXECUTIVA DE COMPRAS E LICITAÇÕES</v>
      </c>
      <c r="F2255" t="str">
        <f t="shared" si="106"/>
        <v>2.011</v>
      </c>
      <c r="G2255" t="str">
        <f t="shared" si="107"/>
        <v>01.110.0000</v>
      </c>
    </row>
    <row r="2256" spans="1:7" hidden="1" x14ac:dyDescent="0.25">
      <c r="A2256" s="6" t="s">
        <v>4209</v>
      </c>
      <c r="B2256" s="28">
        <v>1039.0999999999999</v>
      </c>
      <c r="C2256" s="14" t="s">
        <v>107</v>
      </c>
      <c r="D2256" t="str">
        <f t="shared" si="105"/>
        <v>33.001.04.122.0001.2.011.3.3.90.39.00</v>
      </c>
      <c r="E2256" t="str">
        <f>VLOOKUP(LEFT(A2256,2),ConsolidadoLoa27_ATIVIDADES!A:I,9,0)</f>
        <v>33 - SECRETARIA EXECUTIVA DE COMPRAS E LICITAÇÕES</v>
      </c>
      <c r="F2256" t="str">
        <f t="shared" si="106"/>
        <v>2.011</v>
      </c>
      <c r="G2256" t="str">
        <f t="shared" si="107"/>
        <v>01.110.0000</v>
      </c>
    </row>
    <row r="2257" spans="1:7" hidden="1" x14ac:dyDescent="0.25">
      <c r="A2257" s="6" t="s">
        <v>4209</v>
      </c>
      <c r="B2257" s="28">
        <v>9351.9</v>
      </c>
      <c r="C2257" s="6" t="s">
        <v>106</v>
      </c>
      <c r="D2257" t="str">
        <f t="shared" si="105"/>
        <v>33.001.04.122.0001.2.011.3.3.90.39.00</v>
      </c>
      <c r="E2257" t="str">
        <f>VLOOKUP(LEFT(A2257,2),ConsolidadoLoa27_ATIVIDADES!A:I,9,0)</f>
        <v>33 - SECRETARIA EXECUTIVA DE COMPRAS E LICITAÇÕES</v>
      </c>
      <c r="F2257" t="str">
        <f t="shared" si="106"/>
        <v>2.011</v>
      </c>
      <c r="G2257" t="str">
        <f t="shared" si="107"/>
        <v>01.110.0000</v>
      </c>
    </row>
    <row r="2258" spans="1:7" hidden="1" x14ac:dyDescent="0.25">
      <c r="A2258" s="6" t="s">
        <v>4210</v>
      </c>
      <c r="B2258" s="28">
        <v>1558.65</v>
      </c>
      <c r="C2258" s="6" t="s">
        <v>2520</v>
      </c>
      <c r="D2258" t="str">
        <f t="shared" si="105"/>
        <v>33.001.04.122.0001.2.011.4.4.90.52.00</v>
      </c>
      <c r="E2258" t="str">
        <f>VLOOKUP(LEFT(A2258,2),ConsolidadoLoa27_ATIVIDADES!A:I,9,0)</f>
        <v>33 - SECRETARIA EXECUTIVA DE COMPRAS E LICITAÇÕES</v>
      </c>
      <c r="F2258" t="str">
        <f t="shared" si="106"/>
        <v>2.011</v>
      </c>
      <c r="G2258" t="str">
        <f t="shared" si="107"/>
        <v>01.110.0000</v>
      </c>
    </row>
    <row r="2259" spans="1:7" hidden="1" x14ac:dyDescent="0.25">
      <c r="A2259" s="6" t="s">
        <v>4210</v>
      </c>
      <c r="B2259" s="28">
        <v>5195.5</v>
      </c>
      <c r="C2259" s="6" t="s">
        <v>2500</v>
      </c>
      <c r="D2259" t="str">
        <f t="shared" si="105"/>
        <v>33.001.04.122.0001.2.011.4.4.90.52.00</v>
      </c>
      <c r="E2259" t="str">
        <f>VLOOKUP(LEFT(A2259,2),ConsolidadoLoa27_ATIVIDADES!A:I,9,0)</f>
        <v>33 - SECRETARIA EXECUTIVA DE COMPRAS E LICITAÇÕES</v>
      </c>
      <c r="F2259" t="str">
        <f t="shared" si="106"/>
        <v>2.011</v>
      </c>
      <c r="G2259" t="str">
        <f t="shared" si="107"/>
        <v>01.110.0000</v>
      </c>
    </row>
    <row r="2260" spans="1:7" hidden="1" x14ac:dyDescent="0.25">
      <c r="A2260" s="6" t="s">
        <v>4211</v>
      </c>
      <c r="B2260" s="28">
        <v>348000</v>
      </c>
      <c r="C2260" s="6" t="s">
        <v>4212</v>
      </c>
      <c r="D2260" t="str">
        <f t="shared" si="105"/>
        <v>33.001.04.126.0002.2.007.3.3.90.39.00</v>
      </c>
      <c r="E2260" t="str">
        <f>VLOOKUP(LEFT(A2260,2),ConsolidadoLoa27_ATIVIDADES!A:I,9,0)</f>
        <v>33 - SECRETARIA EXECUTIVA DE COMPRAS E LICITAÇÕES</v>
      </c>
      <c r="F2260" t="str">
        <f t="shared" si="106"/>
        <v>2.007</v>
      </c>
      <c r="G2260" t="str">
        <f t="shared" si="107"/>
        <v>01.110.0000</v>
      </c>
    </row>
    <row r="2261" spans="1:7" hidden="1" x14ac:dyDescent="0.25">
      <c r="A2261" s="6" t="s">
        <v>4213</v>
      </c>
      <c r="B2261" s="28">
        <v>1</v>
      </c>
      <c r="C2261" s="6" t="s">
        <v>2345</v>
      </c>
      <c r="D2261" t="str">
        <f t="shared" si="105"/>
        <v>33.001.04.126.0002.2.007.3.3.90.40.00</v>
      </c>
      <c r="E2261" t="str">
        <f>VLOOKUP(LEFT(A2261,2),ConsolidadoLoa27_ATIVIDADES!A:I,9,0)</f>
        <v>33 - SECRETARIA EXECUTIVA DE COMPRAS E LICITAÇÕES</v>
      </c>
      <c r="F2261" t="str">
        <f t="shared" si="106"/>
        <v>2.007</v>
      </c>
      <c r="G2261" t="str">
        <f t="shared" si="107"/>
        <v>01.110.0000</v>
      </c>
    </row>
    <row r="2262" spans="1:7" hidden="1" x14ac:dyDescent="0.25">
      <c r="A2262" s="6" t="s">
        <v>4214</v>
      </c>
      <c r="B2262" s="28">
        <v>15001</v>
      </c>
      <c r="C2262" s="6" t="s">
        <v>198</v>
      </c>
      <c r="D2262" t="str">
        <f t="shared" si="105"/>
        <v>33.001.04.128.0002.2.003.3.3.90.39.00</v>
      </c>
      <c r="E2262" t="str">
        <f>VLOOKUP(LEFT(A2262,2),ConsolidadoLoa27_ATIVIDADES!A:I,9,0)</f>
        <v>33 - SECRETARIA EXECUTIVA DE COMPRAS E LICITAÇÕES</v>
      </c>
      <c r="F2262" t="str">
        <f t="shared" si="106"/>
        <v>2.003</v>
      </c>
      <c r="G2262" t="str">
        <f t="shared" si="107"/>
        <v>01.110.0000</v>
      </c>
    </row>
    <row r="2263" spans="1:7" hidden="1" x14ac:dyDescent="0.25">
      <c r="A2263" s="6" t="s">
        <v>4214</v>
      </c>
      <c r="B2263" s="28">
        <v>1</v>
      </c>
      <c r="C2263" s="6" t="s">
        <v>318</v>
      </c>
      <c r="D2263" t="str">
        <f t="shared" si="105"/>
        <v>33.001.04.128.0002.2.003.3.3.90.39.00</v>
      </c>
      <c r="E2263" t="str">
        <f>VLOOKUP(LEFT(A2263,2),ConsolidadoLoa27_ATIVIDADES!A:I,9,0)</f>
        <v>33 - SECRETARIA EXECUTIVA DE COMPRAS E LICITAÇÕES</v>
      </c>
      <c r="F2263" t="str">
        <f t="shared" si="106"/>
        <v>2.003</v>
      </c>
      <c r="G2263" t="str">
        <f t="shared" si="107"/>
        <v>01.110.0000</v>
      </c>
    </row>
    <row r="2264" spans="1:7" hidden="1" x14ac:dyDescent="0.25">
      <c r="A2264" s="6" t="s">
        <v>4215</v>
      </c>
      <c r="B2264" s="28">
        <v>36968</v>
      </c>
      <c r="C2264" s="6" t="s">
        <v>4216</v>
      </c>
      <c r="D2264" t="str">
        <f t="shared" si="105"/>
        <v>33.001.04.131.0002.2.005.3.3.90.39.00</v>
      </c>
      <c r="E2264" t="str">
        <f>VLOOKUP(LEFT(A2264,2),ConsolidadoLoa27_ATIVIDADES!A:I,9,0)</f>
        <v>33 - SECRETARIA EXECUTIVA DE COMPRAS E LICITAÇÕES</v>
      </c>
      <c r="F2264" t="str">
        <f t="shared" si="106"/>
        <v>2.005</v>
      </c>
      <c r="G2264" t="str">
        <f t="shared" si="107"/>
        <v>01.110.0000</v>
      </c>
    </row>
    <row r="2265" spans="1:7" hidden="1" x14ac:dyDescent="0.25">
      <c r="A2265" s="6" t="s">
        <v>4215</v>
      </c>
      <c r="B2265" s="28">
        <v>153200</v>
      </c>
      <c r="C2265" s="6" t="s">
        <v>2372</v>
      </c>
      <c r="D2265" t="str">
        <f t="shared" si="105"/>
        <v>33.001.04.131.0002.2.005.3.3.90.39.00</v>
      </c>
      <c r="E2265" t="str">
        <f>VLOOKUP(LEFT(A2265,2),ConsolidadoLoa27_ATIVIDADES!A:I,9,0)</f>
        <v>33 - SECRETARIA EXECUTIVA DE COMPRAS E LICITAÇÕES</v>
      </c>
      <c r="F2265" t="str">
        <f t="shared" si="106"/>
        <v>2.005</v>
      </c>
      <c r="G2265" t="str">
        <f t="shared" si="107"/>
        <v>01.110.0000</v>
      </c>
    </row>
    <row r="2266" spans="1:7" hidden="1" x14ac:dyDescent="0.25">
      <c r="A2266" s="6" t="s">
        <v>4215</v>
      </c>
      <c r="B2266" s="28">
        <v>60000</v>
      </c>
      <c r="C2266" s="6" t="s">
        <v>4217</v>
      </c>
      <c r="D2266" t="str">
        <f t="shared" si="105"/>
        <v>33.001.04.131.0002.2.005.3.3.90.39.00</v>
      </c>
      <c r="E2266" t="str">
        <f>VLOOKUP(LEFT(A2266,2),ConsolidadoLoa27_ATIVIDADES!A:I,9,0)</f>
        <v>33 - SECRETARIA EXECUTIVA DE COMPRAS E LICITAÇÕES</v>
      </c>
      <c r="F2266" t="str">
        <f t="shared" si="106"/>
        <v>2.005</v>
      </c>
      <c r="G2266" t="str">
        <f t="shared" si="107"/>
        <v>01.110.0000</v>
      </c>
    </row>
    <row r="2267" spans="1:7" hidden="1" x14ac:dyDescent="0.25">
      <c r="A2267" s="6" t="s">
        <v>4218</v>
      </c>
      <c r="B2267" s="28">
        <v>0</v>
      </c>
      <c r="C2267" s="6" t="s">
        <v>4216</v>
      </c>
      <c r="D2267" t="str">
        <f t="shared" si="105"/>
        <v>33.001.04.131.0002.2.005.3.3.90.39.00</v>
      </c>
      <c r="E2267" t="str">
        <f>VLOOKUP(LEFT(A2267,2),ConsolidadoLoa27_ATIVIDADES!A:I,9,0)</f>
        <v>33 - SECRETARIA EXECUTIVA DE COMPRAS E LICITAÇÕES</v>
      </c>
      <c r="F2267" t="str">
        <f t="shared" si="106"/>
        <v>2.005</v>
      </c>
      <c r="G2267" t="str">
        <f t="shared" si="107"/>
        <v>01.700.0000</v>
      </c>
    </row>
    <row r="2268" spans="1:7" hidden="1" x14ac:dyDescent="0.25">
      <c r="A2268" s="6" t="s">
        <v>4219</v>
      </c>
      <c r="B2268" s="28">
        <v>1</v>
      </c>
      <c r="C2268" s="6" t="s">
        <v>4220</v>
      </c>
      <c r="D2268" t="str">
        <f t="shared" si="105"/>
        <v>34.001.04.121.0004.1.001.3.3.90.35.00</v>
      </c>
      <c r="E2268" t="str">
        <f>VLOOKUP(LEFT(A2268,2),ConsolidadoLoa27_ATIVIDADES!A:I,9,0)</f>
        <v>34 - COORDENADORIA DA DEFESA CIVIL</v>
      </c>
      <c r="F2268" t="str">
        <f t="shared" si="106"/>
        <v>1.001</v>
      </c>
      <c r="G2268" t="str">
        <f t="shared" si="107"/>
        <v>01.110.0000</v>
      </c>
    </row>
    <row r="2269" spans="1:7" hidden="1" x14ac:dyDescent="0.25">
      <c r="A2269" s="6" t="s">
        <v>4221</v>
      </c>
      <c r="B2269" s="28">
        <v>6082852.0199999996</v>
      </c>
      <c r="C2269" s="6" t="s">
        <v>847</v>
      </c>
      <c r="D2269" t="str">
        <f t="shared" si="105"/>
        <v>34.001.04.122.0001.2.001.3.1.90.11.00</v>
      </c>
      <c r="E2269" t="str">
        <f>VLOOKUP(LEFT(A2269,2),ConsolidadoLoa27_ATIVIDADES!A:I,9,0)</f>
        <v>34 - COORDENADORIA DA DEFESA CIVIL</v>
      </c>
      <c r="F2269" t="str">
        <f t="shared" si="106"/>
        <v>2.001</v>
      </c>
      <c r="G2269" t="str">
        <f t="shared" si="107"/>
        <v>01.110.0000</v>
      </c>
    </row>
    <row r="2270" spans="1:7" hidden="1" x14ac:dyDescent="0.25">
      <c r="A2270" s="6" t="s">
        <v>4222</v>
      </c>
      <c r="B2270" s="28">
        <v>212998.92</v>
      </c>
      <c r="C2270" s="6" t="s">
        <v>847</v>
      </c>
      <c r="D2270" t="str">
        <f t="shared" si="105"/>
        <v>34.001.04.122.0001.2.001.3.1.90.13.00</v>
      </c>
      <c r="E2270" t="str">
        <f>VLOOKUP(LEFT(A2270,2),ConsolidadoLoa27_ATIVIDADES!A:I,9,0)</f>
        <v>34 - COORDENADORIA DA DEFESA CIVIL</v>
      </c>
      <c r="F2270" t="str">
        <f t="shared" si="106"/>
        <v>2.001</v>
      </c>
      <c r="G2270" t="str">
        <f t="shared" si="107"/>
        <v>01.110.0000</v>
      </c>
    </row>
    <row r="2271" spans="1:7" hidden="1" x14ac:dyDescent="0.25">
      <c r="A2271" s="6" t="s">
        <v>4223</v>
      </c>
      <c r="B2271" s="28">
        <v>781851.92</v>
      </c>
      <c r="C2271" s="12" t="s">
        <v>847</v>
      </c>
      <c r="D2271" t="str">
        <f t="shared" si="105"/>
        <v>34.001.04.122.0001.2.001.3.1.91.13.00</v>
      </c>
      <c r="E2271" t="str">
        <f>VLOOKUP(LEFT(A2271,2),ConsolidadoLoa27_ATIVIDADES!A:I,9,0)</f>
        <v>34 - COORDENADORIA DA DEFESA CIVIL</v>
      </c>
      <c r="F2271" t="str">
        <f t="shared" si="106"/>
        <v>2.001</v>
      </c>
      <c r="G2271" t="str">
        <f t="shared" si="107"/>
        <v>01.110.0000</v>
      </c>
    </row>
    <row r="2272" spans="1:7" hidden="1" x14ac:dyDescent="0.25">
      <c r="A2272" s="6" t="s">
        <v>4224</v>
      </c>
      <c r="B2272" s="28">
        <v>128330.62</v>
      </c>
      <c r="C2272" s="6" t="s">
        <v>2280</v>
      </c>
      <c r="D2272" t="str">
        <f t="shared" si="105"/>
        <v>34.001.04.122.0001.2.001.3.3.90.49.00</v>
      </c>
      <c r="E2272" t="str">
        <f>VLOOKUP(LEFT(A2272,2),ConsolidadoLoa27_ATIVIDADES!A:I,9,0)</f>
        <v>34 - COORDENADORIA DA DEFESA CIVIL</v>
      </c>
      <c r="F2272" t="str">
        <f t="shared" si="106"/>
        <v>2.001</v>
      </c>
      <c r="G2272" t="str">
        <f t="shared" si="107"/>
        <v>01.110.0000</v>
      </c>
    </row>
    <row r="2273" spans="1:7" hidden="1" x14ac:dyDescent="0.25">
      <c r="A2273" s="6" t="s">
        <v>4225</v>
      </c>
      <c r="B2273" s="28">
        <v>1</v>
      </c>
      <c r="C2273" s="6" t="s">
        <v>2282</v>
      </c>
      <c r="D2273" t="str">
        <f t="shared" si="105"/>
        <v>34.001.04.122.0001.2.006.3.3.90.33.00</v>
      </c>
      <c r="E2273" t="str">
        <f>VLOOKUP(LEFT(A2273,2),ConsolidadoLoa27_ATIVIDADES!A:I,9,0)</f>
        <v>34 - COORDENADORIA DA DEFESA CIVIL</v>
      </c>
      <c r="F2273" t="str">
        <f t="shared" si="106"/>
        <v>2.006</v>
      </c>
      <c r="G2273" t="str">
        <f t="shared" si="107"/>
        <v>01.110.0000</v>
      </c>
    </row>
    <row r="2274" spans="1:7" hidden="1" x14ac:dyDescent="0.25">
      <c r="A2274" s="6" t="s">
        <v>4226</v>
      </c>
      <c r="B2274" s="28">
        <v>1</v>
      </c>
      <c r="C2274" s="6" t="s">
        <v>421</v>
      </c>
      <c r="D2274" t="str">
        <f t="shared" si="105"/>
        <v>34.001.04.122.0001.2.006.3.3.90.39.00</v>
      </c>
      <c r="E2274" t="str">
        <f>VLOOKUP(LEFT(A2274,2),ConsolidadoLoa27_ATIVIDADES!A:I,9,0)</f>
        <v>34 - COORDENADORIA DA DEFESA CIVIL</v>
      </c>
      <c r="F2274" t="str">
        <f t="shared" si="106"/>
        <v>2.006</v>
      </c>
      <c r="G2274" t="str">
        <f t="shared" si="107"/>
        <v>01.110.0000</v>
      </c>
    </row>
    <row r="2275" spans="1:7" hidden="1" x14ac:dyDescent="0.25">
      <c r="A2275" s="6" t="s">
        <v>4227</v>
      </c>
      <c r="B2275" s="28">
        <v>0</v>
      </c>
      <c r="C2275" s="6" t="s">
        <v>4228</v>
      </c>
      <c r="D2275" t="str">
        <f t="shared" si="105"/>
        <v>34.001.04.126.0002.2.007.3.3.90.30.00</v>
      </c>
      <c r="E2275" t="str">
        <f>VLOOKUP(LEFT(A2275,2),ConsolidadoLoa27_ATIVIDADES!A:I,9,0)</f>
        <v>34 - COORDENADORIA DA DEFESA CIVIL</v>
      </c>
      <c r="F2275" t="str">
        <f t="shared" si="106"/>
        <v>2.007</v>
      </c>
      <c r="G2275" t="str">
        <f t="shared" si="107"/>
        <v>08.110.0000</v>
      </c>
    </row>
    <row r="2276" spans="1:7" hidden="1" x14ac:dyDescent="0.25">
      <c r="A2276" s="6" t="s">
        <v>4229</v>
      </c>
      <c r="B2276" s="28">
        <v>0</v>
      </c>
      <c r="C2276" s="6" t="s">
        <v>4228</v>
      </c>
      <c r="D2276" t="str">
        <f t="shared" si="105"/>
        <v>34.001.04.126.0002.2.007.3.3.90.39.00</v>
      </c>
      <c r="E2276" t="str">
        <f>VLOOKUP(LEFT(A2276,2),ConsolidadoLoa27_ATIVIDADES!A:I,9,0)</f>
        <v>34 - COORDENADORIA DA DEFESA CIVIL</v>
      </c>
      <c r="F2276" t="str">
        <f t="shared" si="106"/>
        <v>2.007</v>
      </c>
      <c r="G2276" t="str">
        <f t="shared" si="107"/>
        <v>08.110.0000</v>
      </c>
    </row>
    <row r="2277" spans="1:7" hidden="1" x14ac:dyDescent="0.25">
      <c r="A2277" s="6" t="s">
        <v>4230</v>
      </c>
      <c r="B2277" s="28">
        <v>0</v>
      </c>
      <c r="C2277" s="6" t="s">
        <v>4231</v>
      </c>
      <c r="D2277" t="str">
        <f t="shared" si="105"/>
        <v>34.001.04.126.0002.2.007.4.4.90.52.00</v>
      </c>
      <c r="E2277" t="str">
        <f>VLOOKUP(LEFT(A2277,2),ConsolidadoLoa27_ATIVIDADES!A:I,9,0)</f>
        <v>34 - COORDENADORIA DA DEFESA CIVIL</v>
      </c>
      <c r="F2277" t="str">
        <f t="shared" si="106"/>
        <v>2.007</v>
      </c>
      <c r="G2277" t="str">
        <f t="shared" si="107"/>
        <v>08.110.0000</v>
      </c>
    </row>
    <row r="2278" spans="1:7" hidden="1" x14ac:dyDescent="0.25">
      <c r="A2278" s="6" t="s">
        <v>4230</v>
      </c>
      <c r="B2278" s="28">
        <v>0</v>
      </c>
      <c r="C2278" s="6" t="s">
        <v>4228</v>
      </c>
      <c r="D2278" t="str">
        <f t="shared" si="105"/>
        <v>34.001.04.126.0002.2.007.4.4.90.52.00</v>
      </c>
      <c r="E2278" t="str">
        <f>VLOOKUP(LEFT(A2278,2),ConsolidadoLoa27_ATIVIDADES!A:I,9,0)</f>
        <v>34 - COORDENADORIA DA DEFESA CIVIL</v>
      </c>
      <c r="F2278" t="str">
        <f t="shared" si="106"/>
        <v>2.007</v>
      </c>
      <c r="G2278" t="str">
        <f t="shared" si="107"/>
        <v>08.110.0000</v>
      </c>
    </row>
    <row r="2279" spans="1:7" hidden="1" x14ac:dyDescent="0.25">
      <c r="A2279" s="6" t="s">
        <v>4230</v>
      </c>
      <c r="B2279" s="28">
        <v>0</v>
      </c>
      <c r="C2279" s="6" t="s">
        <v>4232</v>
      </c>
      <c r="D2279" t="str">
        <f t="shared" si="105"/>
        <v>34.001.04.126.0002.2.007.4.4.90.52.00</v>
      </c>
      <c r="E2279" t="str">
        <f>VLOOKUP(LEFT(A2279,2),ConsolidadoLoa27_ATIVIDADES!A:I,9,0)</f>
        <v>34 - COORDENADORIA DA DEFESA CIVIL</v>
      </c>
      <c r="F2279" t="str">
        <f t="shared" si="106"/>
        <v>2.007</v>
      </c>
      <c r="G2279" t="str">
        <f t="shared" si="107"/>
        <v>08.110.0000</v>
      </c>
    </row>
    <row r="2280" spans="1:7" hidden="1" x14ac:dyDescent="0.25">
      <c r="A2280" s="6" t="s">
        <v>4233</v>
      </c>
      <c r="B2280" s="28">
        <v>1</v>
      </c>
      <c r="C2280" s="6" t="s">
        <v>318</v>
      </c>
      <c r="D2280" t="str">
        <f t="shared" si="105"/>
        <v>34.001.04.128.0002.2.003.3.3.90.36.00</v>
      </c>
      <c r="E2280" t="str">
        <f>VLOOKUP(LEFT(A2280,2),ConsolidadoLoa27_ATIVIDADES!A:I,9,0)</f>
        <v>34 - COORDENADORIA DA DEFESA CIVIL</v>
      </c>
      <c r="F2280" t="str">
        <f t="shared" si="106"/>
        <v>2.003</v>
      </c>
      <c r="G2280" t="str">
        <f t="shared" si="107"/>
        <v>01.110.0000</v>
      </c>
    </row>
    <row r="2281" spans="1:7" hidden="1" x14ac:dyDescent="0.25">
      <c r="A2281" s="6" t="s">
        <v>4234</v>
      </c>
      <c r="B2281" s="28">
        <v>7273.7</v>
      </c>
      <c r="C2281" s="6" t="s">
        <v>2318</v>
      </c>
      <c r="D2281" t="str">
        <f t="shared" si="105"/>
        <v>34.001.04.131.0002.2.005.3.3.90.30.00</v>
      </c>
      <c r="E2281" t="str">
        <f>VLOOKUP(LEFT(A2281,2),ConsolidadoLoa27_ATIVIDADES!A:I,9,0)</f>
        <v>34 - COORDENADORIA DA DEFESA CIVIL</v>
      </c>
      <c r="F2281" t="str">
        <f t="shared" si="106"/>
        <v>2.005</v>
      </c>
      <c r="G2281" t="str">
        <f t="shared" si="107"/>
        <v>01.110.0000</v>
      </c>
    </row>
    <row r="2282" spans="1:7" hidden="1" x14ac:dyDescent="0.25">
      <c r="A2282" s="6" t="s">
        <v>4234</v>
      </c>
      <c r="B2282" s="28">
        <v>8312.7999999999993</v>
      </c>
      <c r="C2282" s="6" t="s">
        <v>245</v>
      </c>
      <c r="D2282" t="str">
        <f t="shared" si="105"/>
        <v>34.001.04.131.0002.2.005.3.3.90.30.00</v>
      </c>
      <c r="E2282" t="str">
        <f>VLOOKUP(LEFT(A2282,2),ConsolidadoLoa27_ATIVIDADES!A:I,9,0)</f>
        <v>34 - COORDENADORIA DA DEFESA CIVIL</v>
      </c>
      <c r="F2282" t="str">
        <f t="shared" si="106"/>
        <v>2.005</v>
      </c>
      <c r="G2282" t="str">
        <f t="shared" si="107"/>
        <v>01.110.0000</v>
      </c>
    </row>
    <row r="2283" spans="1:7" hidden="1" x14ac:dyDescent="0.25">
      <c r="A2283" s="6" t="s">
        <v>4235</v>
      </c>
      <c r="B2283" s="28">
        <v>15586.5</v>
      </c>
      <c r="C2283" s="6" t="s">
        <v>198</v>
      </c>
      <c r="D2283" t="str">
        <f t="shared" si="105"/>
        <v>34.001.04.131.0002.2.005.3.3.90.39.00</v>
      </c>
      <c r="E2283" t="str">
        <f>VLOOKUP(LEFT(A2283,2),ConsolidadoLoa27_ATIVIDADES!A:I,9,0)</f>
        <v>34 - COORDENADORIA DA DEFESA CIVIL</v>
      </c>
      <c r="F2283" t="str">
        <f t="shared" si="106"/>
        <v>2.005</v>
      </c>
      <c r="G2283" t="str">
        <f t="shared" si="107"/>
        <v>01.110.0000</v>
      </c>
    </row>
    <row r="2284" spans="1:7" hidden="1" x14ac:dyDescent="0.25">
      <c r="A2284" s="6" t="s">
        <v>4235</v>
      </c>
      <c r="B2284" s="28">
        <v>31173</v>
      </c>
      <c r="C2284" s="6" t="s">
        <v>2293</v>
      </c>
      <c r="D2284" t="str">
        <f t="shared" si="105"/>
        <v>34.001.04.131.0002.2.005.3.3.90.39.00</v>
      </c>
      <c r="E2284" t="str">
        <f>VLOOKUP(LEFT(A2284,2),ConsolidadoLoa27_ATIVIDADES!A:I,9,0)</f>
        <v>34 - COORDENADORIA DA DEFESA CIVIL</v>
      </c>
      <c r="F2284" t="str">
        <f t="shared" si="106"/>
        <v>2.005</v>
      </c>
      <c r="G2284" t="str">
        <f t="shared" si="107"/>
        <v>01.110.0000</v>
      </c>
    </row>
    <row r="2285" spans="1:7" hidden="1" x14ac:dyDescent="0.25">
      <c r="A2285" s="6" t="s">
        <v>4235</v>
      </c>
      <c r="B2285" s="28">
        <v>1</v>
      </c>
      <c r="C2285" s="6" t="s">
        <v>196</v>
      </c>
      <c r="D2285" t="str">
        <f t="shared" si="105"/>
        <v>34.001.04.131.0002.2.005.3.3.90.39.00</v>
      </c>
      <c r="E2285" t="str">
        <f>VLOOKUP(LEFT(A2285,2),ConsolidadoLoa27_ATIVIDADES!A:I,9,0)</f>
        <v>34 - COORDENADORIA DA DEFESA CIVIL</v>
      </c>
      <c r="F2285" t="str">
        <f t="shared" si="106"/>
        <v>2.005</v>
      </c>
      <c r="G2285" t="str">
        <f t="shared" si="107"/>
        <v>01.110.0000</v>
      </c>
    </row>
    <row r="2286" spans="1:7" hidden="1" x14ac:dyDescent="0.25">
      <c r="A2286" s="6" t="s">
        <v>4236</v>
      </c>
      <c r="B2286" s="28">
        <v>1</v>
      </c>
      <c r="C2286" s="6" t="s">
        <v>4237</v>
      </c>
      <c r="D2286" t="str">
        <f t="shared" si="105"/>
        <v>34.001.15.182.0005.1.002.3.3.90.39.00</v>
      </c>
      <c r="E2286" t="str">
        <f>VLOOKUP(LEFT(A2286,2),ConsolidadoLoa27_ATIVIDADES!A:I,9,0)</f>
        <v>34 - COORDENADORIA DA DEFESA CIVIL</v>
      </c>
      <c r="F2286" t="str">
        <f t="shared" si="106"/>
        <v>1.002</v>
      </c>
      <c r="G2286" t="str">
        <f t="shared" si="107"/>
        <v>01.110.0000</v>
      </c>
    </row>
    <row r="2287" spans="1:7" hidden="1" x14ac:dyDescent="0.25">
      <c r="A2287" s="6" t="s">
        <v>4238</v>
      </c>
      <c r="B2287" s="28">
        <v>1039.0999999999999</v>
      </c>
      <c r="C2287" s="6" t="s">
        <v>2956</v>
      </c>
      <c r="D2287" t="str">
        <f t="shared" si="105"/>
        <v>34.001.15.182.0005.2.011.3.3.90.30.00</v>
      </c>
      <c r="E2287" t="str">
        <f>VLOOKUP(LEFT(A2287,2),ConsolidadoLoa27_ATIVIDADES!A:I,9,0)</f>
        <v>34 - COORDENADORIA DA DEFESA CIVIL</v>
      </c>
      <c r="F2287" t="str">
        <f t="shared" si="106"/>
        <v>2.011</v>
      </c>
      <c r="G2287" t="str">
        <f t="shared" si="107"/>
        <v>01.110.0000</v>
      </c>
    </row>
    <row r="2288" spans="1:7" hidden="1" x14ac:dyDescent="0.25">
      <c r="A2288" s="6" t="s">
        <v>4238</v>
      </c>
      <c r="B2288" s="28">
        <v>34809.85</v>
      </c>
      <c r="C2288" s="6" t="s">
        <v>2288</v>
      </c>
      <c r="D2288" t="str">
        <f t="shared" si="105"/>
        <v>34.001.15.182.0005.2.011.3.3.90.30.00</v>
      </c>
      <c r="E2288" t="str">
        <f>VLOOKUP(LEFT(A2288,2),ConsolidadoLoa27_ATIVIDADES!A:I,9,0)</f>
        <v>34 - COORDENADORIA DA DEFESA CIVIL</v>
      </c>
      <c r="F2288" t="str">
        <f t="shared" si="106"/>
        <v>2.011</v>
      </c>
      <c r="G2288" t="str">
        <f t="shared" si="107"/>
        <v>01.110.0000</v>
      </c>
    </row>
    <row r="2289" spans="1:7" hidden="1" x14ac:dyDescent="0.25">
      <c r="A2289" s="6" t="s">
        <v>4238</v>
      </c>
      <c r="B2289" s="28">
        <v>1558.65</v>
      </c>
      <c r="C2289" s="6" t="s">
        <v>2323</v>
      </c>
      <c r="D2289" t="str">
        <f t="shared" si="105"/>
        <v>34.001.15.182.0005.2.011.3.3.90.30.00</v>
      </c>
      <c r="E2289" t="str">
        <f>VLOOKUP(LEFT(A2289,2),ConsolidadoLoa27_ATIVIDADES!A:I,9,0)</f>
        <v>34 - COORDENADORIA DA DEFESA CIVIL</v>
      </c>
      <c r="F2289" t="str">
        <f t="shared" si="106"/>
        <v>2.011</v>
      </c>
      <c r="G2289" t="str">
        <f t="shared" si="107"/>
        <v>01.110.0000</v>
      </c>
    </row>
    <row r="2290" spans="1:7" hidden="1" x14ac:dyDescent="0.25">
      <c r="A2290" s="6" t="s">
        <v>4238</v>
      </c>
      <c r="B2290" s="28">
        <v>30133.9</v>
      </c>
      <c r="C2290" s="6" t="s">
        <v>2295</v>
      </c>
      <c r="D2290" t="str">
        <f t="shared" si="105"/>
        <v>34.001.15.182.0005.2.011.3.3.90.30.00</v>
      </c>
      <c r="E2290" t="str">
        <f>VLOOKUP(LEFT(A2290,2),ConsolidadoLoa27_ATIVIDADES!A:I,9,0)</f>
        <v>34 - COORDENADORIA DA DEFESA CIVIL</v>
      </c>
      <c r="F2290" t="str">
        <f t="shared" si="106"/>
        <v>2.011</v>
      </c>
      <c r="G2290" t="str">
        <f t="shared" si="107"/>
        <v>01.110.0000</v>
      </c>
    </row>
    <row r="2291" spans="1:7" hidden="1" x14ac:dyDescent="0.25">
      <c r="A2291" s="6" t="s">
        <v>4238</v>
      </c>
      <c r="B2291" s="28">
        <v>14027.85</v>
      </c>
      <c r="C2291" s="14" t="s">
        <v>107</v>
      </c>
      <c r="D2291" t="str">
        <f t="shared" si="105"/>
        <v>34.001.15.182.0005.2.011.3.3.90.30.00</v>
      </c>
      <c r="E2291" t="str">
        <f>VLOOKUP(LEFT(A2291,2),ConsolidadoLoa27_ATIVIDADES!A:I,9,0)</f>
        <v>34 - COORDENADORIA DA DEFESA CIVIL</v>
      </c>
      <c r="F2291" t="str">
        <f t="shared" si="106"/>
        <v>2.011</v>
      </c>
      <c r="G2291" t="str">
        <f t="shared" si="107"/>
        <v>01.110.0000</v>
      </c>
    </row>
    <row r="2292" spans="1:7" hidden="1" x14ac:dyDescent="0.25">
      <c r="A2292" s="6" t="s">
        <v>4238</v>
      </c>
      <c r="B2292" s="28">
        <v>8832.35</v>
      </c>
      <c r="C2292" s="6" t="s">
        <v>2289</v>
      </c>
      <c r="D2292" t="str">
        <f t="shared" si="105"/>
        <v>34.001.15.182.0005.2.011.3.3.90.30.00</v>
      </c>
      <c r="E2292" t="str">
        <f>VLOOKUP(LEFT(A2292,2),ConsolidadoLoa27_ATIVIDADES!A:I,9,0)</f>
        <v>34 - COORDENADORIA DA DEFESA CIVIL</v>
      </c>
      <c r="F2292" t="str">
        <f t="shared" si="106"/>
        <v>2.011</v>
      </c>
      <c r="G2292" t="str">
        <f t="shared" si="107"/>
        <v>01.110.0000</v>
      </c>
    </row>
    <row r="2293" spans="1:7" hidden="1" x14ac:dyDescent="0.25">
      <c r="A2293" s="6" t="s">
        <v>4238</v>
      </c>
      <c r="B2293" s="28">
        <v>3117.3</v>
      </c>
      <c r="C2293" s="6" t="s">
        <v>411</v>
      </c>
      <c r="D2293" t="str">
        <f t="shared" si="105"/>
        <v>34.001.15.182.0005.2.011.3.3.90.30.00</v>
      </c>
      <c r="E2293" t="str">
        <f>VLOOKUP(LEFT(A2293,2),ConsolidadoLoa27_ATIVIDADES!A:I,9,0)</f>
        <v>34 - COORDENADORIA DA DEFESA CIVIL</v>
      </c>
      <c r="F2293" t="str">
        <f t="shared" si="106"/>
        <v>2.011</v>
      </c>
      <c r="G2293" t="str">
        <f t="shared" si="107"/>
        <v>01.110.0000</v>
      </c>
    </row>
    <row r="2294" spans="1:7" hidden="1" x14ac:dyDescent="0.25">
      <c r="A2294" s="6" t="s">
        <v>4239</v>
      </c>
      <c r="B2294" s="28">
        <v>0</v>
      </c>
      <c r="C2294" s="6" t="s">
        <v>4240</v>
      </c>
      <c r="D2294" t="str">
        <f t="shared" si="105"/>
        <v>34.001.15.182.0005.2.011.3.3.90.30.00</v>
      </c>
      <c r="E2294" t="str">
        <f>VLOOKUP(LEFT(A2294,2),ConsolidadoLoa27_ATIVIDADES!A:I,9,0)</f>
        <v>34 - COORDENADORIA DA DEFESA CIVIL</v>
      </c>
      <c r="F2294" t="str">
        <f t="shared" si="106"/>
        <v>2.011</v>
      </c>
      <c r="G2294" t="str">
        <f t="shared" si="107"/>
        <v>08.110.0000</v>
      </c>
    </row>
    <row r="2295" spans="1:7" hidden="1" x14ac:dyDescent="0.25">
      <c r="A2295" s="6" t="s">
        <v>4241</v>
      </c>
      <c r="B2295" s="28">
        <v>5000</v>
      </c>
      <c r="C2295" s="14" t="s">
        <v>95</v>
      </c>
      <c r="D2295" t="str">
        <f t="shared" si="105"/>
        <v>34.001.15.182.0005.2.011.3.3.90.39.00</v>
      </c>
      <c r="E2295" t="str">
        <f>VLOOKUP(LEFT(A2295,2),ConsolidadoLoa27_ATIVIDADES!A:I,9,0)</f>
        <v>34 - COORDENADORIA DA DEFESA CIVIL</v>
      </c>
      <c r="F2295" t="str">
        <f t="shared" si="106"/>
        <v>2.011</v>
      </c>
      <c r="G2295" t="str">
        <f t="shared" si="107"/>
        <v>01.110.0000</v>
      </c>
    </row>
    <row r="2296" spans="1:7" hidden="1" x14ac:dyDescent="0.25">
      <c r="A2296" s="6" t="s">
        <v>4241</v>
      </c>
      <c r="B2296" s="28">
        <v>10391</v>
      </c>
      <c r="C2296" s="14" t="s">
        <v>107</v>
      </c>
      <c r="D2296" t="str">
        <f t="shared" si="105"/>
        <v>34.001.15.182.0005.2.011.3.3.90.39.00</v>
      </c>
      <c r="E2296" t="str">
        <f>VLOOKUP(LEFT(A2296,2),ConsolidadoLoa27_ATIVIDADES!A:I,9,0)</f>
        <v>34 - COORDENADORIA DA DEFESA CIVIL</v>
      </c>
      <c r="F2296" t="str">
        <f t="shared" si="106"/>
        <v>2.011</v>
      </c>
      <c r="G2296" t="str">
        <f t="shared" si="107"/>
        <v>01.110.0000</v>
      </c>
    </row>
    <row r="2297" spans="1:7" hidden="1" x14ac:dyDescent="0.25">
      <c r="A2297" s="6" t="s">
        <v>4241</v>
      </c>
      <c r="B2297" s="28">
        <v>3117.3</v>
      </c>
      <c r="C2297" s="6" t="s">
        <v>100</v>
      </c>
      <c r="D2297" t="str">
        <f t="shared" si="105"/>
        <v>34.001.15.182.0005.2.011.3.3.90.39.00</v>
      </c>
      <c r="E2297" t="str">
        <f>VLOOKUP(LEFT(A2297,2),ConsolidadoLoa27_ATIVIDADES!A:I,9,0)</f>
        <v>34 - COORDENADORIA DA DEFESA CIVIL</v>
      </c>
      <c r="F2297" t="str">
        <f t="shared" si="106"/>
        <v>2.011</v>
      </c>
      <c r="G2297" t="str">
        <f t="shared" si="107"/>
        <v>01.110.0000</v>
      </c>
    </row>
    <row r="2298" spans="1:7" hidden="1" x14ac:dyDescent="0.25">
      <c r="A2298" s="6" t="s">
        <v>4242</v>
      </c>
      <c r="B2298" s="28">
        <v>0</v>
      </c>
      <c r="C2298" s="6" t="s">
        <v>4240</v>
      </c>
      <c r="D2298" t="str">
        <f t="shared" si="105"/>
        <v>34.001.15.182.0005.2.011.3.3.90.39.00</v>
      </c>
      <c r="E2298" t="str">
        <f>VLOOKUP(LEFT(A2298,2),ConsolidadoLoa27_ATIVIDADES!A:I,9,0)</f>
        <v>34 - COORDENADORIA DA DEFESA CIVIL</v>
      </c>
      <c r="F2298" t="str">
        <f t="shared" si="106"/>
        <v>2.011</v>
      </c>
      <c r="G2298" t="str">
        <f t="shared" si="107"/>
        <v>08.110.0000</v>
      </c>
    </row>
    <row r="2299" spans="1:7" hidden="1" x14ac:dyDescent="0.25">
      <c r="A2299" s="6" t="s">
        <v>4243</v>
      </c>
      <c r="B2299" s="28">
        <v>0</v>
      </c>
      <c r="C2299" s="6" t="s">
        <v>4240</v>
      </c>
      <c r="D2299" t="str">
        <f t="shared" si="105"/>
        <v>34.001.15.182.0005.2.011.4.4.90.52.00</v>
      </c>
      <c r="E2299" t="str">
        <f>VLOOKUP(LEFT(A2299,2),ConsolidadoLoa27_ATIVIDADES!A:I,9,0)</f>
        <v>34 - COORDENADORIA DA DEFESA CIVIL</v>
      </c>
      <c r="F2299" t="str">
        <f t="shared" si="106"/>
        <v>2.011</v>
      </c>
      <c r="G2299" t="str">
        <f t="shared" si="107"/>
        <v>08.110.0000</v>
      </c>
    </row>
    <row r="2300" spans="1:7" hidden="1" x14ac:dyDescent="0.25">
      <c r="A2300" s="6" t="s">
        <v>4244</v>
      </c>
      <c r="B2300" s="28">
        <v>1</v>
      </c>
      <c r="C2300" s="6" t="s">
        <v>4245</v>
      </c>
      <c r="D2300" t="str">
        <f t="shared" si="105"/>
        <v>35.001.04.122.0001.1.002.3.3.90.30.00</v>
      </c>
      <c r="E2300" t="str">
        <f>VLOOKUP(LEFT(A2300,2),ConsolidadoLoa27_ATIVIDADES!A:I,9,0)</f>
        <v>35 - CASA CIVIL</v>
      </c>
      <c r="F2300" t="str">
        <f t="shared" si="106"/>
        <v>1.002</v>
      </c>
      <c r="G2300" t="str">
        <f t="shared" si="107"/>
        <v>01.110.0000</v>
      </c>
    </row>
    <row r="2301" spans="1:7" hidden="1" x14ac:dyDescent="0.25">
      <c r="A2301" s="6" t="s">
        <v>4246</v>
      </c>
      <c r="B2301" s="28">
        <v>1</v>
      </c>
      <c r="C2301" s="6" t="s">
        <v>4245</v>
      </c>
      <c r="D2301" t="str">
        <f t="shared" si="105"/>
        <v>35.001.04.122.0001.1.002.3.3.90.39.00</v>
      </c>
      <c r="E2301" t="str">
        <f>VLOOKUP(LEFT(A2301,2),ConsolidadoLoa27_ATIVIDADES!A:I,9,0)</f>
        <v>35 - CASA CIVIL</v>
      </c>
      <c r="F2301" t="str">
        <f t="shared" si="106"/>
        <v>1.002</v>
      </c>
      <c r="G2301" t="str">
        <f t="shared" si="107"/>
        <v>01.110.0000</v>
      </c>
    </row>
    <row r="2302" spans="1:7" hidden="1" x14ac:dyDescent="0.25">
      <c r="A2302" s="6" t="s">
        <v>4247</v>
      </c>
      <c r="B2302" s="28">
        <v>1</v>
      </c>
      <c r="C2302" s="6" t="s">
        <v>4245</v>
      </c>
      <c r="D2302" t="str">
        <f t="shared" si="105"/>
        <v>35.001.04.122.0001.1.002.4.4.90.52.00</v>
      </c>
      <c r="E2302" t="str">
        <f>VLOOKUP(LEFT(A2302,2),ConsolidadoLoa27_ATIVIDADES!A:I,9,0)</f>
        <v>35 - CASA CIVIL</v>
      </c>
      <c r="F2302" t="str">
        <f t="shared" si="106"/>
        <v>1.002</v>
      </c>
      <c r="G2302" t="str">
        <f t="shared" si="107"/>
        <v>01.110.0000</v>
      </c>
    </row>
    <row r="2303" spans="1:7" hidden="1" x14ac:dyDescent="0.25">
      <c r="A2303" s="6" t="s">
        <v>4248</v>
      </c>
      <c r="B2303" s="28">
        <v>3633832.7</v>
      </c>
      <c r="C2303" s="6" t="s">
        <v>847</v>
      </c>
      <c r="D2303" t="str">
        <f t="shared" si="105"/>
        <v>35.001.04.122.0001.2.001.3.1.90.11.00</v>
      </c>
      <c r="E2303" t="str">
        <f>VLOOKUP(LEFT(A2303,2),ConsolidadoLoa27_ATIVIDADES!A:I,9,0)</f>
        <v>35 - CASA CIVIL</v>
      </c>
      <c r="F2303" t="str">
        <f t="shared" si="106"/>
        <v>2.001</v>
      </c>
      <c r="G2303" t="str">
        <f t="shared" si="107"/>
        <v>01.110.0000</v>
      </c>
    </row>
    <row r="2304" spans="1:7" hidden="1" x14ac:dyDescent="0.25">
      <c r="A2304" s="6" t="s">
        <v>4249</v>
      </c>
      <c r="B2304" s="28">
        <v>959030.54</v>
      </c>
      <c r="C2304" s="6" t="s">
        <v>847</v>
      </c>
      <c r="D2304" t="str">
        <f t="shared" si="105"/>
        <v>35.001.04.122.0001.2.001.3.1.90.13.00</v>
      </c>
      <c r="E2304" t="str">
        <f>VLOOKUP(LEFT(A2304,2),ConsolidadoLoa27_ATIVIDADES!A:I,9,0)</f>
        <v>35 - CASA CIVIL</v>
      </c>
      <c r="F2304" t="str">
        <f t="shared" si="106"/>
        <v>2.001</v>
      </c>
      <c r="G2304" t="str">
        <f t="shared" si="107"/>
        <v>01.110.0000</v>
      </c>
    </row>
    <row r="2305" spans="1:7" hidden="1" x14ac:dyDescent="0.25">
      <c r="A2305" s="6" t="s">
        <v>4250</v>
      </c>
      <c r="B2305" s="28">
        <v>46406.53</v>
      </c>
      <c r="C2305" s="12" t="s">
        <v>847</v>
      </c>
      <c r="D2305" t="str">
        <f t="shared" si="105"/>
        <v>35.001.04.122.0001.2.001.3.1.91.13.00</v>
      </c>
      <c r="E2305" t="str">
        <f>VLOOKUP(LEFT(A2305,2),ConsolidadoLoa27_ATIVIDADES!A:I,9,0)</f>
        <v>35 - CASA CIVIL</v>
      </c>
      <c r="F2305" t="str">
        <f t="shared" si="106"/>
        <v>2.001</v>
      </c>
      <c r="G2305" t="str">
        <f t="shared" si="107"/>
        <v>01.110.0000</v>
      </c>
    </row>
    <row r="2306" spans="1:7" hidden="1" x14ac:dyDescent="0.25">
      <c r="A2306" s="6" t="s">
        <v>4251</v>
      </c>
      <c r="B2306" s="28">
        <v>5.44</v>
      </c>
      <c r="C2306" s="6" t="s">
        <v>2278</v>
      </c>
      <c r="D2306" t="str">
        <f t="shared" si="105"/>
        <v>35.001.04.122.0001.2.001.3.3.90.46.00</v>
      </c>
      <c r="E2306" t="str">
        <f>VLOOKUP(LEFT(A2306,2),ConsolidadoLoa27_ATIVIDADES!A:I,9,0)</f>
        <v>35 - CASA CIVIL</v>
      </c>
      <c r="F2306" t="str">
        <f t="shared" si="106"/>
        <v>2.001</v>
      </c>
      <c r="G2306" t="str">
        <f t="shared" si="107"/>
        <v>01.110.0000</v>
      </c>
    </row>
    <row r="2307" spans="1:7" hidden="1" x14ac:dyDescent="0.25">
      <c r="A2307" s="6" t="s">
        <v>4252</v>
      </c>
      <c r="B2307" s="28">
        <v>30913.02</v>
      </c>
      <c r="C2307" s="6" t="s">
        <v>2280</v>
      </c>
      <c r="D2307" t="str">
        <f t="shared" ref="D2307:D2370" si="108">_xlfn.CONCAT(LEFT(A2307,34),".00")</f>
        <v>35.001.04.122.0001.2.001.3.3.90.49.00</v>
      </c>
      <c r="E2307" t="str">
        <f>VLOOKUP(LEFT(A2307,2),ConsolidadoLoa27_ATIVIDADES!A:I,9,0)</f>
        <v>35 - CASA CIVIL</v>
      </c>
      <c r="F2307" t="str">
        <f t="shared" ref="F2307:F2370" si="109">MID(A2307,20,5)</f>
        <v>2.001</v>
      </c>
      <c r="G2307" t="str">
        <f t="shared" ref="G2307:G2370" si="110">RIGHT(A2307,11)</f>
        <v>01.110.0000</v>
      </c>
    </row>
    <row r="2308" spans="1:7" hidden="1" x14ac:dyDescent="0.25">
      <c r="A2308" s="6" t="s">
        <v>4253</v>
      </c>
      <c r="B2308" s="28">
        <v>1</v>
      </c>
      <c r="C2308" s="6" t="s">
        <v>421</v>
      </c>
      <c r="D2308" t="str">
        <f t="shared" si="108"/>
        <v>35.001.04.122.0001.2.006.3.3.90.33.00</v>
      </c>
      <c r="E2308" t="str">
        <f>VLOOKUP(LEFT(A2308,2),ConsolidadoLoa27_ATIVIDADES!A:I,9,0)</f>
        <v>35 - CASA CIVIL</v>
      </c>
      <c r="F2308" t="str">
        <f t="shared" si="109"/>
        <v>2.006</v>
      </c>
      <c r="G2308" t="str">
        <f t="shared" si="110"/>
        <v>01.110.0000</v>
      </c>
    </row>
    <row r="2309" spans="1:7" hidden="1" x14ac:dyDescent="0.25">
      <c r="A2309" s="6" t="s">
        <v>4254</v>
      </c>
      <c r="B2309" s="28">
        <v>1</v>
      </c>
      <c r="C2309" s="6" t="s">
        <v>4207</v>
      </c>
      <c r="D2309" t="str">
        <f t="shared" si="108"/>
        <v>35.001.04.122.0001.2.006.3.3.90.39.00</v>
      </c>
      <c r="E2309" t="str">
        <f>VLOOKUP(LEFT(A2309,2),ConsolidadoLoa27_ATIVIDADES!A:I,9,0)</f>
        <v>35 - CASA CIVIL</v>
      </c>
      <c r="F2309" t="str">
        <f t="shared" si="109"/>
        <v>2.006</v>
      </c>
      <c r="G2309" t="str">
        <f t="shared" si="110"/>
        <v>01.110.0000</v>
      </c>
    </row>
    <row r="2310" spans="1:7" hidden="1" x14ac:dyDescent="0.25">
      <c r="A2310" s="6" t="s">
        <v>4254</v>
      </c>
      <c r="B2310" s="28">
        <v>1</v>
      </c>
      <c r="C2310" s="6" t="s">
        <v>2282</v>
      </c>
      <c r="D2310" t="str">
        <f t="shared" si="108"/>
        <v>35.001.04.122.0001.2.006.3.3.90.39.00</v>
      </c>
      <c r="E2310" t="str">
        <f>VLOOKUP(LEFT(A2310,2),ConsolidadoLoa27_ATIVIDADES!A:I,9,0)</f>
        <v>35 - CASA CIVIL</v>
      </c>
      <c r="F2310" t="str">
        <f t="shared" si="109"/>
        <v>2.006</v>
      </c>
      <c r="G2310" t="str">
        <f t="shared" si="110"/>
        <v>01.110.0000</v>
      </c>
    </row>
    <row r="2311" spans="1:7" hidden="1" x14ac:dyDescent="0.25">
      <c r="A2311" s="6" t="s">
        <v>4255</v>
      </c>
      <c r="B2311" s="28">
        <v>12469.2</v>
      </c>
      <c r="C2311" s="6" t="s">
        <v>2288</v>
      </c>
      <c r="D2311" t="str">
        <f t="shared" si="108"/>
        <v>35.001.04.122.0001.2.011.3.3.90.30.00</v>
      </c>
      <c r="E2311" t="str">
        <f>VLOOKUP(LEFT(A2311,2),ConsolidadoLoa27_ATIVIDADES!A:I,9,0)</f>
        <v>35 - CASA CIVIL</v>
      </c>
      <c r="F2311" t="str">
        <f t="shared" si="109"/>
        <v>2.011</v>
      </c>
      <c r="G2311" t="str">
        <f t="shared" si="110"/>
        <v>01.110.0000</v>
      </c>
    </row>
    <row r="2312" spans="1:7" hidden="1" x14ac:dyDescent="0.25">
      <c r="A2312" s="6" t="s">
        <v>4255</v>
      </c>
      <c r="B2312" s="28">
        <v>3117.3</v>
      </c>
      <c r="C2312" s="6" t="s">
        <v>2295</v>
      </c>
      <c r="D2312" t="str">
        <f t="shared" si="108"/>
        <v>35.001.04.122.0001.2.011.3.3.90.30.00</v>
      </c>
      <c r="E2312" t="str">
        <f>VLOOKUP(LEFT(A2312,2),ConsolidadoLoa27_ATIVIDADES!A:I,9,0)</f>
        <v>35 - CASA CIVIL</v>
      </c>
      <c r="F2312" t="str">
        <f t="shared" si="109"/>
        <v>2.011</v>
      </c>
      <c r="G2312" t="str">
        <f t="shared" si="110"/>
        <v>01.110.0000</v>
      </c>
    </row>
    <row r="2313" spans="1:7" hidden="1" x14ac:dyDescent="0.25">
      <c r="A2313" s="6" t="s">
        <v>4255</v>
      </c>
      <c r="B2313" s="28">
        <v>3117.3</v>
      </c>
      <c r="C2313" s="6" t="s">
        <v>2289</v>
      </c>
      <c r="D2313" t="str">
        <f t="shared" si="108"/>
        <v>35.001.04.122.0001.2.011.3.3.90.30.00</v>
      </c>
      <c r="E2313" t="str">
        <f>VLOOKUP(LEFT(A2313,2),ConsolidadoLoa27_ATIVIDADES!A:I,9,0)</f>
        <v>35 - CASA CIVIL</v>
      </c>
      <c r="F2313" t="str">
        <f t="shared" si="109"/>
        <v>2.011</v>
      </c>
      <c r="G2313" t="str">
        <f t="shared" si="110"/>
        <v>01.110.0000</v>
      </c>
    </row>
    <row r="2314" spans="1:7" hidden="1" x14ac:dyDescent="0.25">
      <c r="A2314" s="6" t="s">
        <v>4255</v>
      </c>
      <c r="B2314" s="28">
        <v>2078.1999999999998</v>
      </c>
      <c r="C2314" s="6" t="s">
        <v>104</v>
      </c>
      <c r="D2314" t="str">
        <f t="shared" si="108"/>
        <v>35.001.04.122.0001.2.011.3.3.90.30.00</v>
      </c>
      <c r="E2314" t="str">
        <f>VLOOKUP(LEFT(A2314,2),ConsolidadoLoa27_ATIVIDADES!A:I,9,0)</f>
        <v>35 - CASA CIVIL</v>
      </c>
      <c r="F2314" t="str">
        <f t="shared" si="109"/>
        <v>2.011</v>
      </c>
      <c r="G2314" t="str">
        <f t="shared" si="110"/>
        <v>01.110.0000</v>
      </c>
    </row>
    <row r="2315" spans="1:7" hidden="1" x14ac:dyDescent="0.25">
      <c r="A2315" s="6" t="s">
        <v>4256</v>
      </c>
      <c r="B2315" s="28">
        <v>1</v>
      </c>
      <c r="C2315" s="14" t="s">
        <v>95</v>
      </c>
      <c r="D2315" t="str">
        <f t="shared" si="108"/>
        <v>35.001.04.122.0001.2.011.3.3.90.39.00</v>
      </c>
      <c r="E2315" t="str">
        <f>VLOOKUP(LEFT(A2315,2),ConsolidadoLoa27_ATIVIDADES!A:I,9,0)</f>
        <v>35 - CASA CIVIL</v>
      </c>
      <c r="F2315" t="str">
        <f t="shared" si="109"/>
        <v>2.011</v>
      </c>
      <c r="G2315" t="str">
        <f t="shared" si="110"/>
        <v>01.110.0000</v>
      </c>
    </row>
    <row r="2316" spans="1:7" hidden="1" x14ac:dyDescent="0.25">
      <c r="A2316" s="6" t="s">
        <v>4256</v>
      </c>
      <c r="B2316" s="28">
        <v>2078.1999999999998</v>
      </c>
      <c r="C2316" s="6" t="s">
        <v>106</v>
      </c>
      <c r="D2316" t="str">
        <f t="shared" si="108"/>
        <v>35.001.04.122.0001.2.011.3.3.90.39.00</v>
      </c>
      <c r="E2316" t="str">
        <f>VLOOKUP(LEFT(A2316,2),ConsolidadoLoa27_ATIVIDADES!A:I,9,0)</f>
        <v>35 - CASA CIVIL</v>
      </c>
      <c r="F2316" t="str">
        <f t="shared" si="109"/>
        <v>2.011</v>
      </c>
      <c r="G2316" t="str">
        <f t="shared" si="110"/>
        <v>01.110.0000</v>
      </c>
    </row>
    <row r="2317" spans="1:7" hidden="1" x14ac:dyDescent="0.25">
      <c r="A2317" s="6" t="s">
        <v>4257</v>
      </c>
      <c r="B2317" s="28">
        <v>1</v>
      </c>
      <c r="C2317" s="6" t="s">
        <v>2520</v>
      </c>
      <c r="D2317" t="str">
        <f t="shared" si="108"/>
        <v>35.001.04.122.0001.2.011.4.4.90.52.00</v>
      </c>
      <c r="E2317" t="str">
        <f>VLOOKUP(LEFT(A2317,2),ConsolidadoLoa27_ATIVIDADES!A:I,9,0)</f>
        <v>35 - CASA CIVIL</v>
      </c>
      <c r="F2317" t="str">
        <f t="shared" si="109"/>
        <v>2.011</v>
      </c>
      <c r="G2317" t="str">
        <f t="shared" si="110"/>
        <v>01.110.0000</v>
      </c>
    </row>
    <row r="2318" spans="1:7" hidden="1" x14ac:dyDescent="0.25">
      <c r="A2318" s="6" t="s">
        <v>4257</v>
      </c>
      <c r="B2318" s="28">
        <v>1</v>
      </c>
      <c r="C2318" s="6" t="s">
        <v>2498</v>
      </c>
      <c r="D2318" t="str">
        <f t="shared" si="108"/>
        <v>35.001.04.122.0001.2.011.4.4.90.52.00</v>
      </c>
      <c r="E2318" t="str">
        <f>VLOOKUP(LEFT(A2318,2),ConsolidadoLoa27_ATIVIDADES!A:I,9,0)</f>
        <v>35 - CASA CIVIL</v>
      </c>
      <c r="F2318" t="str">
        <f t="shared" si="109"/>
        <v>2.011</v>
      </c>
      <c r="G2318" t="str">
        <f t="shared" si="110"/>
        <v>01.110.0000</v>
      </c>
    </row>
    <row r="2319" spans="1:7" hidden="1" x14ac:dyDescent="0.25">
      <c r="A2319" s="6" t="s">
        <v>4257</v>
      </c>
      <c r="B2319" s="28">
        <v>1</v>
      </c>
      <c r="C2319" s="6" t="s">
        <v>3241</v>
      </c>
      <c r="D2319" t="str">
        <f t="shared" si="108"/>
        <v>35.001.04.122.0001.2.011.4.4.90.52.00</v>
      </c>
      <c r="E2319" t="str">
        <f>VLOOKUP(LEFT(A2319,2),ConsolidadoLoa27_ATIVIDADES!A:I,9,0)</f>
        <v>35 - CASA CIVIL</v>
      </c>
      <c r="F2319" t="str">
        <f t="shared" si="109"/>
        <v>2.011</v>
      </c>
      <c r="G2319" t="str">
        <f t="shared" si="110"/>
        <v>01.110.0000</v>
      </c>
    </row>
    <row r="2320" spans="1:7" hidden="1" x14ac:dyDescent="0.25">
      <c r="A2320" s="6" t="s">
        <v>4257</v>
      </c>
      <c r="B2320" s="28">
        <v>1</v>
      </c>
      <c r="C2320" s="6" t="s">
        <v>2500</v>
      </c>
      <c r="D2320" t="str">
        <f t="shared" si="108"/>
        <v>35.001.04.122.0001.2.011.4.4.90.52.00</v>
      </c>
      <c r="E2320" t="str">
        <f>VLOOKUP(LEFT(A2320,2),ConsolidadoLoa27_ATIVIDADES!A:I,9,0)</f>
        <v>35 - CASA CIVIL</v>
      </c>
      <c r="F2320" t="str">
        <f t="shared" si="109"/>
        <v>2.011</v>
      </c>
      <c r="G2320" t="str">
        <f t="shared" si="110"/>
        <v>01.110.0000</v>
      </c>
    </row>
    <row r="2321" spans="1:7" hidden="1" x14ac:dyDescent="0.25">
      <c r="A2321" s="6" t="s">
        <v>4257</v>
      </c>
      <c r="B2321" s="28">
        <v>1</v>
      </c>
      <c r="C2321" s="6" t="s">
        <v>2502</v>
      </c>
      <c r="D2321" t="str">
        <f t="shared" si="108"/>
        <v>35.001.04.122.0001.2.011.4.4.90.52.00</v>
      </c>
      <c r="E2321" t="str">
        <f>VLOOKUP(LEFT(A2321,2),ConsolidadoLoa27_ATIVIDADES!A:I,9,0)</f>
        <v>35 - CASA CIVIL</v>
      </c>
      <c r="F2321" t="str">
        <f t="shared" si="109"/>
        <v>2.011</v>
      </c>
      <c r="G2321" t="str">
        <f t="shared" si="110"/>
        <v>01.110.0000</v>
      </c>
    </row>
    <row r="2322" spans="1:7" hidden="1" x14ac:dyDescent="0.25">
      <c r="A2322" s="6" t="s">
        <v>4258</v>
      </c>
      <c r="B2322" s="28">
        <v>1</v>
      </c>
      <c r="C2322" s="6" t="s">
        <v>318</v>
      </c>
      <c r="D2322" t="str">
        <f t="shared" si="108"/>
        <v>35.001.04.128.0002.2.003.3.3.90.39.00</v>
      </c>
      <c r="E2322" t="str">
        <f>VLOOKUP(LEFT(A2322,2),ConsolidadoLoa27_ATIVIDADES!A:I,9,0)</f>
        <v>35 - CASA CIVIL</v>
      </c>
      <c r="F2322" t="str">
        <f t="shared" si="109"/>
        <v>2.003</v>
      </c>
      <c r="G2322" t="str">
        <f t="shared" si="110"/>
        <v>01.110.0000</v>
      </c>
    </row>
    <row r="2323" spans="1:7" hidden="1" x14ac:dyDescent="0.25">
      <c r="A2323" s="6" t="s">
        <v>4259</v>
      </c>
      <c r="B2323" s="28">
        <v>6234.6</v>
      </c>
      <c r="C2323" s="6" t="s">
        <v>198</v>
      </c>
      <c r="D2323" t="str">
        <f t="shared" si="108"/>
        <v>35.001.04.131.0002.2.005.3.3.90.39.00</v>
      </c>
      <c r="E2323" t="str">
        <f>VLOOKUP(LEFT(A2323,2),ConsolidadoLoa27_ATIVIDADES!A:I,9,0)</f>
        <v>35 - CASA CIVIL</v>
      </c>
      <c r="F2323" t="str">
        <f t="shared" si="109"/>
        <v>2.005</v>
      </c>
      <c r="G2323" t="str">
        <f t="shared" si="110"/>
        <v>01.110.0000</v>
      </c>
    </row>
    <row r="2324" spans="1:7" hidden="1" x14ac:dyDescent="0.25">
      <c r="A2324" s="6" t="s">
        <v>4259</v>
      </c>
      <c r="B2324" s="28">
        <v>1</v>
      </c>
      <c r="C2324" s="6" t="s">
        <v>196</v>
      </c>
      <c r="D2324" t="str">
        <f t="shared" si="108"/>
        <v>35.001.04.131.0002.2.005.3.3.90.39.00</v>
      </c>
      <c r="E2324" t="str">
        <f>VLOOKUP(LEFT(A2324,2),ConsolidadoLoa27_ATIVIDADES!A:I,9,0)</f>
        <v>35 - CASA CIVIL</v>
      </c>
      <c r="F2324" t="str">
        <f t="shared" si="109"/>
        <v>2.005</v>
      </c>
      <c r="G2324" t="str">
        <f t="shared" si="110"/>
        <v>01.110.0000</v>
      </c>
    </row>
    <row r="2325" spans="1:7" hidden="1" x14ac:dyDescent="0.25">
      <c r="A2325" s="6" t="s">
        <v>4260</v>
      </c>
      <c r="B2325" s="28">
        <v>832312.77</v>
      </c>
      <c r="C2325" s="6" t="s">
        <v>4261</v>
      </c>
      <c r="D2325" t="str">
        <f t="shared" si="108"/>
        <v>36.001.04.122.0001.1.002.3.3.90.39.00</v>
      </c>
      <c r="E2325" t="str">
        <f>VLOOKUP(LEFT(A2325,2),ConsolidadoLoa27_ATIVIDADES!A:I,9,0)</f>
        <v>36 - SECRETARIA DA FAMÍLIA, CIDADANIA E SEGURANÇA ALIMENTAR</v>
      </c>
      <c r="F2325" t="str">
        <f t="shared" si="109"/>
        <v>1.002</v>
      </c>
      <c r="G2325" t="str">
        <f t="shared" si="110"/>
        <v>01.110.0000</v>
      </c>
    </row>
    <row r="2326" spans="1:7" hidden="1" x14ac:dyDescent="0.25">
      <c r="A2326" s="6" t="s">
        <v>4262</v>
      </c>
      <c r="B2326" s="28">
        <v>0</v>
      </c>
      <c r="C2326" s="6" t="s">
        <v>4261</v>
      </c>
      <c r="D2326" t="str">
        <f t="shared" si="108"/>
        <v>36.001.04.122.0001.1.002.3.3.90.39.00</v>
      </c>
      <c r="E2326" t="str">
        <f>VLOOKUP(LEFT(A2326,2),ConsolidadoLoa27_ATIVIDADES!A:I,9,0)</f>
        <v>36 - SECRETARIA DA FAMÍLIA, CIDADANIA E SEGURANÇA ALIMENTAR</v>
      </c>
      <c r="F2326" t="str">
        <f t="shared" si="109"/>
        <v>1.002</v>
      </c>
      <c r="G2326" t="str">
        <f t="shared" si="110"/>
        <v>05.100.0000</v>
      </c>
    </row>
    <row r="2327" spans="1:7" hidden="1" x14ac:dyDescent="0.25">
      <c r="A2327" s="6" t="s">
        <v>4263</v>
      </c>
      <c r="B2327" s="28">
        <v>6606133.0899999999</v>
      </c>
      <c r="C2327" s="6" t="s">
        <v>847</v>
      </c>
      <c r="D2327" t="str">
        <f t="shared" si="108"/>
        <v>36.001.04.122.0001.2.001.3.1.90.11.00</v>
      </c>
      <c r="E2327" t="str">
        <f>VLOOKUP(LEFT(A2327,2),ConsolidadoLoa27_ATIVIDADES!A:I,9,0)</f>
        <v>36 - SECRETARIA DA FAMÍLIA, CIDADANIA E SEGURANÇA ALIMENTAR</v>
      </c>
      <c r="F2327" t="str">
        <f t="shared" si="109"/>
        <v>2.001</v>
      </c>
      <c r="G2327" t="str">
        <f t="shared" si="110"/>
        <v>01.110.0000</v>
      </c>
    </row>
    <row r="2328" spans="1:7" hidden="1" x14ac:dyDescent="0.25">
      <c r="A2328" s="6" t="s">
        <v>4264</v>
      </c>
      <c r="B2328" s="28">
        <v>1250700.78</v>
      </c>
      <c r="C2328" s="6" t="s">
        <v>847</v>
      </c>
      <c r="D2328" t="str">
        <f t="shared" si="108"/>
        <v>36.001.04.122.0001.2.001.3.1.90.13.00</v>
      </c>
      <c r="E2328" t="str">
        <f>VLOOKUP(LEFT(A2328,2),ConsolidadoLoa27_ATIVIDADES!A:I,9,0)</f>
        <v>36 - SECRETARIA DA FAMÍLIA, CIDADANIA E SEGURANÇA ALIMENTAR</v>
      </c>
      <c r="F2328" t="str">
        <f t="shared" si="109"/>
        <v>2.001</v>
      </c>
      <c r="G2328" t="str">
        <f t="shared" si="110"/>
        <v>01.110.0000</v>
      </c>
    </row>
    <row r="2329" spans="1:7" hidden="1" x14ac:dyDescent="0.25">
      <c r="A2329" s="6" t="s">
        <v>4265</v>
      </c>
      <c r="B2329" s="28">
        <v>406814.14</v>
      </c>
      <c r="C2329" s="12" t="s">
        <v>847</v>
      </c>
      <c r="D2329" t="str">
        <f t="shared" si="108"/>
        <v>36.001.04.122.0001.2.001.3.1.91.13.00</v>
      </c>
      <c r="E2329" t="str">
        <f>VLOOKUP(LEFT(A2329,2),ConsolidadoLoa27_ATIVIDADES!A:I,9,0)</f>
        <v>36 - SECRETARIA DA FAMÍLIA, CIDADANIA E SEGURANÇA ALIMENTAR</v>
      </c>
      <c r="F2329" t="str">
        <f t="shared" si="109"/>
        <v>2.001</v>
      </c>
      <c r="G2329" t="str">
        <f t="shared" si="110"/>
        <v>01.110.0000</v>
      </c>
    </row>
    <row r="2330" spans="1:7" hidden="1" x14ac:dyDescent="0.25">
      <c r="A2330" s="6" t="s">
        <v>4266</v>
      </c>
      <c r="B2330" s="28">
        <v>6.69</v>
      </c>
      <c r="C2330" s="6" t="s">
        <v>2278</v>
      </c>
      <c r="D2330" t="str">
        <f t="shared" si="108"/>
        <v>36.001.04.122.0001.2.001.3.3.90.46.00</v>
      </c>
      <c r="E2330" t="str">
        <f>VLOOKUP(LEFT(A2330,2),ConsolidadoLoa27_ATIVIDADES!A:I,9,0)</f>
        <v>36 - SECRETARIA DA FAMÍLIA, CIDADANIA E SEGURANÇA ALIMENTAR</v>
      </c>
      <c r="F2330" t="str">
        <f t="shared" si="109"/>
        <v>2.001</v>
      </c>
      <c r="G2330" t="str">
        <f t="shared" si="110"/>
        <v>01.110.0000</v>
      </c>
    </row>
    <row r="2331" spans="1:7" hidden="1" x14ac:dyDescent="0.25">
      <c r="A2331" s="6" t="s">
        <v>4267</v>
      </c>
      <c r="B2331" s="28">
        <v>45240.25</v>
      </c>
      <c r="C2331" s="6" t="s">
        <v>2280</v>
      </c>
      <c r="D2331" t="str">
        <f t="shared" si="108"/>
        <v>36.001.04.122.0001.2.001.3.3.90.49.00</v>
      </c>
      <c r="E2331" t="str">
        <f>VLOOKUP(LEFT(A2331,2),ConsolidadoLoa27_ATIVIDADES!A:I,9,0)</f>
        <v>36 - SECRETARIA DA FAMÍLIA, CIDADANIA E SEGURANÇA ALIMENTAR</v>
      </c>
      <c r="F2331" t="str">
        <f t="shared" si="109"/>
        <v>2.001</v>
      </c>
      <c r="G2331" t="str">
        <f t="shared" si="110"/>
        <v>01.110.0000</v>
      </c>
    </row>
    <row r="2332" spans="1:7" hidden="1" x14ac:dyDescent="0.25">
      <c r="A2332" s="6" t="s">
        <v>4268</v>
      </c>
      <c r="B2332" s="28">
        <v>1</v>
      </c>
      <c r="C2332" s="6" t="s">
        <v>2282</v>
      </c>
      <c r="D2332" t="str">
        <f t="shared" si="108"/>
        <v>36.001.04.122.0001.2.006.3.3.90.33.00</v>
      </c>
      <c r="E2332" t="str">
        <f>VLOOKUP(LEFT(A2332,2),ConsolidadoLoa27_ATIVIDADES!A:I,9,0)</f>
        <v>36 - SECRETARIA DA FAMÍLIA, CIDADANIA E SEGURANÇA ALIMENTAR</v>
      </c>
      <c r="F2332" t="str">
        <f t="shared" si="109"/>
        <v>2.006</v>
      </c>
      <c r="G2332" t="str">
        <f t="shared" si="110"/>
        <v>01.110.0000</v>
      </c>
    </row>
    <row r="2333" spans="1:7" hidden="1" x14ac:dyDescent="0.25">
      <c r="A2333" s="6" t="s">
        <v>4269</v>
      </c>
      <c r="B2333" s="28">
        <v>1</v>
      </c>
      <c r="C2333" s="6" t="s">
        <v>4207</v>
      </c>
      <c r="D2333" t="str">
        <f t="shared" si="108"/>
        <v>36.001.04.122.0001.2.006.3.3.90.39.00</v>
      </c>
      <c r="E2333" t="str">
        <f>VLOOKUP(LEFT(A2333,2),ConsolidadoLoa27_ATIVIDADES!A:I,9,0)</f>
        <v>36 - SECRETARIA DA FAMÍLIA, CIDADANIA E SEGURANÇA ALIMENTAR</v>
      </c>
      <c r="F2333" t="str">
        <f t="shared" si="109"/>
        <v>2.006</v>
      </c>
      <c r="G2333" t="str">
        <f t="shared" si="110"/>
        <v>01.110.0000</v>
      </c>
    </row>
    <row r="2334" spans="1:7" hidden="1" x14ac:dyDescent="0.25">
      <c r="A2334" s="6" t="s">
        <v>4269</v>
      </c>
      <c r="B2334" s="28">
        <v>1</v>
      </c>
      <c r="C2334" s="6" t="s">
        <v>421</v>
      </c>
      <c r="D2334" t="str">
        <f t="shared" si="108"/>
        <v>36.001.04.122.0001.2.006.3.3.90.39.00</v>
      </c>
      <c r="E2334" t="str">
        <f>VLOOKUP(LEFT(A2334,2),ConsolidadoLoa27_ATIVIDADES!A:I,9,0)</f>
        <v>36 - SECRETARIA DA FAMÍLIA, CIDADANIA E SEGURANÇA ALIMENTAR</v>
      </c>
      <c r="F2334" t="str">
        <f t="shared" si="109"/>
        <v>2.006</v>
      </c>
      <c r="G2334" t="str">
        <f t="shared" si="110"/>
        <v>01.110.0000</v>
      </c>
    </row>
    <row r="2335" spans="1:7" hidden="1" x14ac:dyDescent="0.25">
      <c r="A2335" s="6" t="s">
        <v>4270</v>
      </c>
      <c r="B2335" s="28">
        <v>1</v>
      </c>
      <c r="C2335" s="6" t="s">
        <v>318</v>
      </c>
      <c r="D2335" t="str">
        <f t="shared" si="108"/>
        <v>36.001.04.128.0002.2.003.3.3.90.39.00</v>
      </c>
      <c r="E2335" t="str">
        <f>VLOOKUP(LEFT(A2335,2),ConsolidadoLoa27_ATIVIDADES!A:I,9,0)</f>
        <v>36 - SECRETARIA DA FAMÍLIA, CIDADANIA E SEGURANÇA ALIMENTAR</v>
      </c>
      <c r="F2335" t="str">
        <f t="shared" si="109"/>
        <v>2.003</v>
      </c>
      <c r="G2335" t="str">
        <f t="shared" si="110"/>
        <v>01.110.0000</v>
      </c>
    </row>
    <row r="2336" spans="1:7" hidden="1" x14ac:dyDescent="0.25">
      <c r="A2336" s="6" t="s">
        <v>4271</v>
      </c>
      <c r="B2336" s="28">
        <v>67541.5</v>
      </c>
      <c r="C2336" s="6" t="s">
        <v>245</v>
      </c>
      <c r="D2336" t="str">
        <f t="shared" si="108"/>
        <v>36.001.04.131.0002.2.005.3.3.90.30.00</v>
      </c>
      <c r="E2336" t="str">
        <f>VLOOKUP(LEFT(A2336,2),ConsolidadoLoa27_ATIVIDADES!A:I,9,0)</f>
        <v>36 - SECRETARIA DA FAMÍLIA, CIDADANIA E SEGURANÇA ALIMENTAR</v>
      </c>
      <c r="F2336" t="str">
        <f t="shared" si="109"/>
        <v>2.005</v>
      </c>
      <c r="G2336" t="str">
        <f t="shared" si="110"/>
        <v>01.110.0000</v>
      </c>
    </row>
    <row r="2337" spans="1:7" hidden="1" x14ac:dyDescent="0.25">
      <c r="A2337" s="6" t="s">
        <v>4272</v>
      </c>
      <c r="B2337" s="28">
        <v>10391</v>
      </c>
      <c r="C2337" s="6" t="s">
        <v>4273</v>
      </c>
      <c r="D2337" t="str">
        <f t="shared" si="108"/>
        <v>36.001.04.131.0002.2.005.3.3.90.39.00</v>
      </c>
      <c r="E2337" t="str">
        <f>VLOOKUP(LEFT(A2337,2),ConsolidadoLoa27_ATIVIDADES!A:I,9,0)</f>
        <v>36 - SECRETARIA DA FAMÍLIA, CIDADANIA E SEGURANÇA ALIMENTAR</v>
      </c>
      <c r="F2337" t="str">
        <f t="shared" si="109"/>
        <v>2.005</v>
      </c>
      <c r="G2337" t="str">
        <f t="shared" si="110"/>
        <v>01.110.0000</v>
      </c>
    </row>
    <row r="2338" spans="1:7" hidden="1" x14ac:dyDescent="0.25">
      <c r="A2338" s="6" t="s">
        <v>4272</v>
      </c>
      <c r="B2338" s="28">
        <v>82504.539999999994</v>
      </c>
      <c r="C2338" s="6" t="s">
        <v>198</v>
      </c>
      <c r="D2338" t="str">
        <f t="shared" si="108"/>
        <v>36.001.04.131.0002.2.005.3.3.90.39.00</v>
      </c>
      <c r="E2338" t="str">
        <f>VLOOKUP(LEFT(A2338,2),ConsolidadoLoa27_ATIVIDADES!A:I,9,0)</f>
        <v>36 - SECRETARIA DA FAMÍLIA, CIDADANIA E SEGURANÇA ALIMENTAR</v>
      </c>
      <c r="F2338" t="str">
        <f t="shared" si="109"/>
        <v>2.005</v>
      </c>
      <c r="G2338" t="str">
        <f t="shared" si="110"/>
        <v>01.110.0000</v>
      </c>
    </row>
    <row r="2339" spans="1:7" hidden="1" x14ac:dyDescent="0.25">
      <c r="A2339" s="6" t="s">
        <v>4272</v>
      </c>
      <c r="B2339" s="28">
        <v>5195.5</v>
      </c>
      <c r="C2339" s="6" t="s">
        <v>2293</v>
      </c>
      <c r="D2339" t="str">
        <f t="shared" si="108"/>
        <v>36.001.04.131.0002.2.005.3.3.90.39.00</v>
      </c>
      <c r="E2339" t="str">
        <f>VLOOKUP(LEFT(A2339,2),ConsolidadoLoa27_ATIVIDADES!A:I,9,0)</f>
        <v>36 - SECRETARIA DA FAMÍLIA, CIDADANIA E SEGURANÇA ALIMENTAR</v>
      </c>
      <c r="F2339" t="str">
        <f t="shared" si="109"/>
        <v>2.005</v>
      </c>
      <c r="G2339" t="str">
        <f t="shared" si="110"/>
        <v>01.110.0000</v>
      </c>
    </row>
    <row r="2340" spans="1:7" hidden="1" x14ac:dyDescent="0.25">
      <c r="A2340" s="6" t="s">
        <v>4272</v>
      </c>
      <c r="B2340" s="28">
        <v>149600</v>
      </c>
      <c r="C2340" s="6" t="s">
        <v>3333</v>
      </c>
      <c r="D2340" t="str">
        <f t="shared" si="108"/>
        <v>36.001.04.131.0002.2.005.3.3.90.39.00</v>
      </c>
      <c r="E2340" t="str">
        <f>VLOOKUP(LEFT(A2340,2),ConsolidadoLoa27_ATIVIDADES!A:I,9,0)</f>
        <v>36 - SECRETARIA DA FAMÍLIA, CIDADANIA E SEGURANÇA ALIMENTAR</v>
      </c>
      <c r="F2340" t="str">
        <f t="shared" si="109"/>
        <v>2.005</v>
      </c>
      <c r="G2340" t="str">
        <f t="shared" si="110"/>
        <v>01.110.0000</v>
      </c>
    </row>
    <row r="2341" spans="1:7" hidden="1" x14ac:dyDescent="0.25">
      <c r="A2341" s="6" t="s">
        <v>4272</v>
      </c>
      <c r="B2341" s="28">
        <v>62346</v>
      </c>
      <c r="C2341" s="6" t="s">
        <v>3976</v>
      </c>
      <c r="D2341" t="str">
        <f t="shared" si="108"/>
        <v>36.001.04.131.0002.2.005.3.3.90.39.00</v>
      </c>
      <c r="E2341" t="str">
        <f>VLOOKUP(LEFT(A2341,2),ConsolidadoLoa27_ATIVIDADES!A:I,9,0)</f>
        <v>36 - SECRETARIA DA FAMÍLIA, CIDADANIA E SEGURANÇA ALIMENTAR</v>
      </c>
      <c r="F2341" t="str">
        <f t="shared" si="109"/>
        <v>2.005</v>
      </c>
      <c r="G2341" t="str">
        <f t="shared" si="110"/>
        <v>01.110.0000</v>
      </c>
    </row>
    <row r="2342" spans="1:7" hidden="1" x14ac:dyDescent="0.25">
      <c r="A2342" s="6" t="s">
        <v>4272</v>
      </c>
      <c r="B2342" s="28">
        <v>2079.2390999999998</v>
      </c>
      <c r="C2342" s="6" t="s">
        <v>196</v>
      </c>
      <c r="D2342" t="str">
        <f t="shared" si="108"/>
        <v>36.001.04.131.0002.2.005.3.3.90.39.00</v>
      </c>
      <c r="E2342" t="str">
        <f>VLOOKUP(LEFT(A2342,2),ConsolidadoLoa27_ATIVIDADES!A:I,9,0)</f>
        <v>36 - SECRETARIA DA FAMÍLIA, CIDADANIA E SEGURANÇA ALIMENTAR</v>
      </c>
      <c r="F2342" t="str">
        <f t="shared" si="109"/>
        <v>2.005</v>
      </c>
      <c r="G2342" t="str">
        <f t="shared" si="110"/>
        <v>01.110.0000</v>
      </c>
    </row>
    <row r="2343" spans="1:7" hidden="1" x14ac:dyDescent="0.25">
      <c r="A2343" s="6" t="s">
        <v>4274</v>
      </c>
      <c r="B2343" s="28">
        <v>10391</v>
      </c>
      <c r="C2343" s="6" t="s">
        <v>2318</v>
      </c>
      <c r="D2343" t="str">
        <f t="shared" si="108"/>
        <v>36.001.08.244.0019.2.011.3.3.90.30.00</v>
      </c>
      <c r="E2343" t="str">
        <f>VLOOKUP(LEFT(A2343,2),ConsolidadoLoa27_ATIVIDADES!A:I,9,0)</f>
        <v>36 - SECRETARIA DA FAMÍLIA, CIDADANIA E SEGURANÇA ALIMENTAR</v>
      </c>
      <c r="F2343" t="str">
        <f t="shared" si="109"/>
        <v>2.011</v>
      </c>
      <c r="G2343" t="str">
        <f t="shared" si="110"/>
        <v>01.110.0000</v>
      </c>
    </row>
    <row r="2344" spans="1:7" hidden="1" x14ac:dyDescent="0.25">
      <c r="A2344" s="6" t="s">
        <v>4274</v>
      </c>
      <c r="B2344" s="28">
        <v>19223.349999999999</v>
      </c>
      <c r="C2344" s="6" t="s">
        <v>2288</v>
      </c>
      <c r="D2344" t="str">
        <f t="shared" si="108"/>
        <v>36.001.08.244.0019.2.011.3.3.90.30.00</v>
      </c>
      <c r="E2344" t="str">
        <f>VLOOKUP(LEFT(A2344,2),ConsolidadoLoa27_ATIVIDADES!A:I,9,0)</f>
        <v>36 - SECRETARIA DA FAMÍLIA, CIDADANIA E SEGURANÇA ALIMENTAR</v>
      </c>
      <c r="F2344" t="str">
        <f t="shared" si="109"/>
        <v>2.011</v>
      </c>
      <c r="G2344" t="str">
        <f t="shared" si="110"/>
        <v>01.110.0000</v>
      </c>
    </row>
    <row r="2345" spans="1:7" hidden="1" x14ac:dyDescent="0.25">
      <c r="A2345" s="6" t="s">
        <v>4274</v>
      </c>
      <c r="B2345" s="28">
        <v>22842.5353</v>
      </c>
      <c r="C2345" s="6" t="s">
        <v>2323</v>
      </c>
      <c r="D2345" t="str">
        <f t="shared" si="108"/>
        <v>36.001.08.244.0019.2.011.3.3.90.30.00</v>
      </c>
      <c r="E2345" t="str">
        <f>VLOOKUP(LEFT(A2345,2),ConsolidadoLoa27_ATIVIDADES!A:I,9,0)</f>
        <v>36 - SECRETARIA DA FAMÍLIA, CIDADANIA E SEGURANÇA ALIMENTAR</v>
      </c>
      <c r="F2345" t="str">
        <f t="shared" si="109"/>
        <v>2.011</v>
      </c>
      <c r="G2345" t="str">
        <f t="shared" si="110"/>
        <v>01.110.0000</v>
      </c>
    </row>
    <row r="2346" spans="1:7" hidden="1" x14ac:dyDescent="0.25">
      <c r="A2346" s="6" t="s">
        <v>4274</v>
      </c>
      <c r="B2346" s="28">
        <v>86245.3</v>
      </c>
      <c r="C2346" s="6" t="s">
        <v>2295</v>
      </c>
      <c r="D2346" t="str">
        <f t="shared" si="108"/>
        <v>36.001.08.244.0019.2.011.3.3.90.30.00</v>
      </c>
      <c r="E2346" t="str">
        <f>VLOOKUP(LEFT(A2346,2),ConsolidadoLoa27_ATIVIDADES!A:I,9,0)</f>
        <v>36 - SECRETARIA DA FAMÍLIA, CIDADANIA E SEGURANÇA ALIMENTAR</v>
      </c>
      <c r="F2346" t="str">
        <f t="shared" si="109"/>
        <v>2.011</v>
      </c>
      <c r="G2346" t="str">
        <f t="shared" si="110"/>
        <v>01.110.0000</v>
      </c>
    </row>
    <row r="2347" spans="1:7" hidden="1" x14ac:dyDescent="0.25">
      <c r="A2347" s="6" t="s">
        <v>4274</v>
      </c>
      <c r="B2347" s="28">
        <v>5195.5</v>
      </c>
      <c r="C2347" s="14" t="s">
        <v>107</v>
      </c>
      <c r="D2347" t="str">
        <f t="shared" si="108"/>
        <v>36.001.08.244.0019.2.011.3.3.90.30.00</v>
      </c>
      <c r="E2347" t="str">
        <f>VLOOKUP(LEFT(A2347,2),ConsolidadoLoa27_ATIVIDADES!A:I,9,0)</f>
        <v>36 - SECRETARIA DA FAMÍLIA, CIDADANIA E SEGURANÇA ALIMENTAR</v>
      </c>
      <c r="F2347" t="str">
        <f t="shared" si="109"/>
        <v>2.011</v>
      </c>
      <c r="G2347" t="str">
        <f t="shared" si="110"/>
        <v>01.110.0000</v>
      </c>
    </row>
    <row r="2348" spans="1:7" hidden="1" x14ac:dyDescent="0.25">
      <c r="A2348" s="6" t="s">
        <v>4274</v>
      </c>
      <c r="B2348" s="28">
        <v>11430.1</v>
      </c>
      <c r="C2348" s="6" t="s">
        <v>2289</v>
      </c>
      <c r="D2348" t="str">
        <f t="shared" si="108"/>
        <v>36.001.08.244.0019.2.011.3.3.90.30.00</v>
      </c>
      <c r="E2348" t="str">
        <f>VLOOKUP(LEFT(A2348,2),ConsolidadoLoa27_ATIVIDADES!A:I,9,0)</f>
        <v>36 - SECRETARIA DA FAMÍLIA, CIDADANIA E SEGURANÇA ALIMENTAR</v>
      </c>
      <c r="F2348" t="str">
        <f t="shared" si="109"/>
        <v>2.011</v>
      </c>
      <c r="G2348" t="str">
        <f t="shared" si="110"/>
        <v>01.110.0000</v>
      </c>
    </row>
    <row r="2349" spans="1:7" hidden="1" x14ac:dyDescent="0.25">
      <c r="A2349" s="6" t="s">
        <v>4274</v>
      </c>
      <c r="B2349" s="28">
        <v>3818.6925000000001</v>
      </c>
      <c r="C2349" s="6" t="s">
        <v>411</v>
      </c>
      <c r="D2349" t="str">
        <f t="shared" si="108"/>
        <v>36.001.08.244.0019.2.011.3.3.90.30.00</v>
      </c>
      <c r="E2349" t="str">
        <f>VLOOKUP(LEFT(A2349,2),ConsolidadoLoa27_ATIVIDADES!A:I,9,0)</f>
        <v>36 - SECRETARIA DA FAMÍLIA, CIDADANIA E SEGURANÇA ALIMENTAR</v>
      </c>
      <c r="F2349" t="str">
        <f t="shared" si="109"/>
        <v>2.011</v>
      </c>
      <c r="G2349" t="str">
        <f t="shared" si="110"/>
        <v>01.110.0000</v>
      </c>
    </row>
    <row r="2350" spans="1:7" hidden="1" x14ac:dyDescent="0.25">
      <c r="A2350" s="6" t="s">
        <v>4275</v>
      </c>
      <c r="B2350" s="28">
        <v>1039.0999999999999</v>
      </c>
      <c r="C2350" s="6" t="s">
        <v>314</v>
      </c>
      <c r="D2350" t="str">
        <f t="shared" si="108"/>
        <v>36.001.08.244.0019.2.011.3.3.90.39.00</v>
      </c>
      <c r="E2350" t="str">
        <f>VLOOKUP(LEFT(A2350,2),ConsolidadoLoa27_ATIVIDADES!A:I,9,0)</f>
        <v>36 - SECRETARIA DA FAMÍLIA, CIDADANIA E SEGURANÇA ALIMENTAR</v>
      </c>
      <c r="F2350" t="str">
        <f t="shared" si="109"/>
        <v>2.011</v>
      </c>
      <c r="G2350" t="str">
        <f t="shared" si="110"/>
        <v>01.110.0000</v>
      </c>
    </row>
    <row r="2351" spans="1:7" hidden="1" x14ac:dyDescent="0.25">
      <c r="A2351" s="6" t="s">
        <v>4275</v>
      </c>
      <c r="B2351" s="28">
        <v>90500</v>
      </c>
      <c r="C2351" s="14" t="s">
        <v>95</v>
      </c>
      <c r="D2351" t="str">
        <f t="shared" si="108"/>
        <v>36.001.08.244.0019.2.011.3.3.90.39.00</v>
      </c>
      <c r="E2351" t="str">
        <f>VLOOKUP(LEFT(A2351,2),ConsolidadoLoa27_ATIVIDADES!A:I,9,0)</f>
        <v>36 - SECRETARIA DA FAMÍLIA, CIDADANIA E SEGURANÇA ALIMENTAR</v>
      </c>
      <c r="F2351" t="str">
        <f t="shared" si="109"/>
        <v>2.011</v>
      </c>
      <c r="G2351" t="str">
        <f t="shared" si="110"/>
        <v>01.110.0000</v>
      </c>
    </row>
    <row r="2352" spans="1:7" hidden="1" x14ac:dyDescent="0.25">
      <c r="A2352" s="6" t="s">
        <v>4275</v>
      </c>
      <c r="B2352" s="28">
        <v>2597.75</v>
      </c>
      <c r="C2352" s="14" t="s">
        <v>107</v>
      </c>
      <c r="D2352" t="str">
        <f t="shared" si="108"/>
        <v>36.001.08.244.0019.2.011.3.3.90.39.00</v>
      </c>
      <c r="E2352" t="str">
        <f>VLOOKUP(LEFT(A2352,2),ConsolidadoLoa27_ATIVIDADES!A:I,9,0)</f>
        <v>36 - SECRETARIA DA FAMÍLIA, CIDADANIA E SEGURANÇA ALIMENTAR</v>
      </c>
      <c r="F2352" t="str">
        <f t="shared" si="109"/>
        <v>2.011</v>
      </c>
      <c r="G2352" t="str">
        <f t="shared" si="110"/>
        <v>01.110.0000</v>
      </c>
    </row>
    <row r="2353" spans="1:7" hidden="1" x14ac:dyDescent="0.25">
      <c r="A2353" s="6" t="s">
        <v>4275</v>
      </c>
      <c r="B2353" s="28">
        <v>3117.3</v>
      </c>
      <c r="C2353" s="6" t="s">
        <v>106</v>
      </c>
      <c r="D2353" t="str">
        <f t="shared" si="108"/>
        <v>36.001.08.244.0019.2.011.3.3.90.39.00</v>
      </c>
      <c r="E2353" t="str">
        <f>VLOOKUP(LEFT(A2353,2),ConsolidadoLoa27_ATIVIDADES!A:I,9,0)</f>
        <v>36 - SECRETARIA DA FAMÍLIA, CIDADANIA E SEGURANÇA ALIMENTAR</v>
      </c>
      <c r="F2353" t="str">
        <f t="shared" si="109"/>
        <v>2.011</v>
      </c>
      <c r="G2353" t="str">
        <f t="shared" si="110"/>
        <v>01.110.0000</v>
      </c>
    </row>
    <row r="2354" spans="1:7" hidden="1" x14ac:dyDescent="0.25">
      <c r="A2354" s="6" t="s">
        <v>4275</v>
      </c>
      <c r="B2354" s="28">
        <v>24938.400000000001</v>
      </c>
      <c r="C2354" s="6" t="s">
        <v>100</v>
      </c>
      <c r="D2354" t="str">
        <f t="shared" si="108"/>
        <v>36.001.08.244.0019.2.011.3.3.90.39.00</v>
      </c>
      <c r="E2354" t="str">
        <f>VLOOKUP(LEFT(A2354,2),ConsolidadoLoa27_ATIVIDADES!A:I,9,0)</f>
        <v>36 - SECRETARIA DA FAMÍLIA, CIDADANIA E SEGURANÇA ALIMENTAR</v>
      </c>
      <c r="F2354" t="str">
        <f t="shared" si="109"/>
        <v>2.011</v>
      </c>
      <c r="G2354" t="str">
        <f t="shared" si="110"/>
        <v>01.110.0000</v>
      </c>
    </row>
    <row r="2355" spans="1:7" hidden="1" x14ac:dyDescent="0.25">
      <c r="A2355" s="6" t="s">
        <v>4276</v>
      </c>
      <c r="B2355" s="28">
        <v>10391</v>
      </c>
      <c r="C2355" s="6" t="s">
        <v>3408</v>
      </c>
      <c r="D2355" t="str">
        <f t="shared" si="108"/>
        <v>36.001.08.244.0019.2.011.3.3.90.93.00</v>
      </c>
      <c r="E2355" t="str">
        <f>VLOOKUP(LEFT(A2355,2),ConsolidadoLoa27_ATIVIDADES!A:I,9,0)</f>
        <v>36 - SECRETARIA DA FAMÍLIA, CIDADANIA E SEGURANÇA ALIMENTAR</v>
      </c>
      <c r="F2355" t="str">
        <f t="shared" si="109"/>
        <v>2.011</v>
      </c>
      <c r="G2355" t="str">
        <f t="shared" si="110"/>
        <v>01.110.0000</v>
      </c>
    </row>
    <row r="2356" spans="1:7" hidden="1" x14ac:dyDescent="0.25">
      <c r="A2356" s="6" t="s">
        <v>4277</v>
      </c>
      <c r="B2356" s="28">
        <v>1</v>
      </c>
      <c r="C2356" s="6" t="s">
        <v>2520</v>
      </c>
      <c r="D2356" t="str">
        <f t="shared" si="108"/>
        <v>36.001.08.244.0019.2.011.4.4.90.52.00</v>
      </c>
      <c r="E2356" t="str">
        <f>VLOOKUP(LEFT(A2356,2),ConsolidadoLoa27_ATIVIDADES!A:I,9,0)</f>
        <v>36 - SECRETARIA DA FAMÍLIA, CIDADANIA E SEGURANÇA ALIMENTAR</v>
      </c>
      <c r="F2356" t="str">
        <f t="shared" si="109"/>
        <v>2.011</v>
      </c>
      <c r="G2356" t="str">
        <f t="shared" si="110"/>
        <v>01.110.0000</v>
      </c>
    </row>
    <row r="2357" spans="1:7" hidden="1" x14ac:dyDescent="0.25">
      <c r="A2357" s="6" t="s">
        <v>4277</v>
      </c>
      <c r="B2357" s="28">
        <v>1</v>
      </c>
      <c r="C2357" s="6" t="s">
        <v>2498</v>
      </c>
      <c r="D2357" t="str">
        <f t="shared" si="108"/>
        <v>36.001.08.244.0019.2.011.4.4.90.52.00</v>
      </c>
      <c r="E2357" t="str">
        <f>VLOOKUP(LEFT(A2357,2),ConsolidadoLoa27_ATIVIDADES!A:I,9,0)</f>
        <v>36 - SECRETARIA DA FAMÍLIA, CIDADANIA E SEGURANÇA ALIMENTAR</v>
      </c>
      <c r="F2357" t="str">
        <f t="shared" si="109"/>
        <v>2.011</v>
      </c>
      <c r="G2357" t="str">
        <f t="shared" si="110"/>
        <v>01.110.0000</v>
      </c>
    </row>
    <row r="2358" spans="1:7" hidden="1" x14ac:dyDescent="0.25">
      <c r="A2358" s="6" t="s">
        <v>4277</v>
      </c>
      <c r="B2358" s="28">
        <v>1</v>
      </c>
      <c r="C2358" s="6" t="s">
        <v>419</v>
      </c>
      <c r="D2358" t="str">
        <f t="shared" si="108"/>
        <v>36.001.08.244.0019.2.011.4.4.90.52.00</v>
      </c>
      <c r="E2358" t="str">
        <f>VLOOKUP(LEFT(A2358,2),ConsolidadoLoa27_ATIVIDADES!A:I,9,0)</f>
        <v>36 - SECRETARIA DA FAMÍLIA, CIDADANIA E SEGURANÇA ALIMENTAR</v>
      </c>
      <c r="F2358" t="str">
        <f t="shared" si="109"/>
        <v>2.011</v>
      </c>
      <c r="G2358" t="str">
        <f t="shared" si="110"/>
        <v>01.110.0000</v>
      </c>
    </row>
    <row r="2359" spans="1:7" hidden="1" x14ac:dyDescent="0.25">
      <c r="A2359" s="6" t="s">
        <v>4277</v>
      </c>
      <c r="B2359" s="28">
        <v>1</v>
      </c>
      <c r="C2359" s="6" t="s">
        <v>3241</v>
      </c>
      <c r="D2359" t="str">
        <f t="shared" si="108"/>
        <v>36.001.08.244.0019.2.011.4.4.90.52.00</v>
      </c>
      <c r="E2359" t="str">
        <f>VLOOKUP(LEFT(A2359,2),ConsolidadoLoa27_ATIVIDADES!A:I,9,0)</f>
        <v>36 - SECRETARIA DA FAMÍLIA, CIDADANIA E SEGURANÇA ALIMENTAR</v>
      </c>
      <c r="F2359" t="str">
        <f t="shared" si="109"/>
        <v>2.011</v>
      </c>
      <c r="G2359" t="str">
        <f t="shared" si="110"/>
        <v>01.110.0000</v>
      </c>
    </row>
    <row r="2360" spans="1:7" hidden="1" x14ac:dyDescent="0.25">
      <c r="A2360" s="6" t="s">
        <v>4277</v>
      </c>
      <c r="B2360" s="28">
        <v>5191.3436000000002</v>
      </c>
      <c r="C2360" s="6" t="s">
        <v>2500</v>
      </c>
      <c r="D2360" t="str">
        <f t="shared" si="108"/>
        <v>36.001.08.244.0019.2.011.4.4.90.52.00</v>
      </c>
      <c r="E2360" t="str">
        <f>VLOOKUP(LEFT(A2360,2),ConsolidadoLoa27_ATIVIDADES!A:I,9,0)</f>
        <v>36 - SECRETARIA DA FAMÍLIA, CIDADANIA E SEGURANÇA ALIMENTAR</v>
      </c>
      <c r="F2360" t="str">
        <f t="shared" si="109"/>
        <v>2.011</v>
      </c>
      <c r="G2360" t="str">
        <f t="shared" si="110"/>
        <v>01.110.0000</v>
      </c>
    </row>
    <row r="2361" spans="1:7" hidden="1" x14ac:dyDescent="0.25">
      <c r="A2361" s="6" t="s">
        <v>4277</v>
      </c>
      <c r="B2361" s="28">
        <v>1</v>
      </c>
      <c r="C2361" s="6" t="s">
        <v>2502</v>
      </c>
      <c r="D2361" t="str">
        <f t="shared" si="108"/>
        <v>36.001.08.244.0019.2.011.4.4.90.52.00</v>
      </c>
      <c r="E2361" t="str">
        <f>VLOOKUP(LEFT(A2361,2),ConsolidadoLoa27_ATIVIDADES!A:I,9,0)</f>
        <v>36 - SECRETARIA DA FAMÍLIA, CIDADANIA E SEGURANÇA ALIMENTAR</v>
      </c>
      <c r="F2361" t="str">
        <f t="shared" si="109"/>
        <v>2.011</v>
      </c>
      <c r="G2361" t="str">
        <f t="shared" si="110"/>
        <v>01.110.0000</v>
      </c>
    </row>
    <row r="2362" spans="1:7" hidden="1" x14ac:dyDescent="0.25">
      <c r="A2362" s="6" t="s">
        <v>4278</v>
      </c>
      <c r="B2362" s="28">
        <v>120535.6</v>
      </c>
      <c r="C2362" s="6" t="s">
        <v>2318</v>
      </c>
      <c r="D2362" t="str">
        <f t="shared" si="108"/>
        <v>36.001.08.244.0019.2.024.3.3.90.30.00</v>
      </c>
      <c r="E2362" t="str">
        <f>VLOOKUP(LEFT(A2362,2),ConsolidadoLoa27_ATIVIDADES!A:I,9,0)</f>
        <v>36 - SECRETARIA DA FAMÍLIA, CIDADANIA E SEGURANÇA ALIMENTAR</v>
      </c>
      <c r="F2362" t="str">
        <f t="shared" si="109"/>
        <v>2.024</v>
      </c>
      <c r="G2362" t="str">
        <f t="shared" si="110"/>
        <v>01.110.0000</v>
      </c>
    </row>
    <row r="2363" spans="1:7" hidden="1" x14ac:dyDescent="0.25">
      <c r="A2363" s="6" t="s">
        <v>4279</v>
      </c>
      <c r="B2363" s="28">
        <v>20782</v>
      </c>
      <c r="C2363" s="6" t="s">
        <v>4280</v>
      </c>
      <c r="D2363" t="str">
        <f t="shared" si="108"/>
        <v>36.001.08.244.0019.2.024.3.3.90.32.00</v>
      </c>
      <c r="E2363" t="str">
        <f>VLOOKUP(LEFT(A2363,2),ConsolidadoLoa27_ATIVIDADES!A:I,9,0)</f>
        <v>36 - SECRETARIA DA FAMÍLIA, CIDADANIA E SEGURANÇA ALIMENTAR</v>
      </c>
      <c r="F2363" t="str">
        <f t="shared" si="109"/>
        <v>2.024</v>
      </c>
      <c r="G2363" t="str">
        <f t="shared" si="110"/>
        <v>01.110.0000</v>
      </c>
    </row>
    <row r="2364" spans="1:7" hidden="1" x14ac:dyDescent="0.25">
      <c r="A2364" s="6" t="s">
        <v>4279</v>
      </c>
      <c r="B2364" s="28">
        <v>51955</v>
      </c>
      <c r="C2364" s="6" t="s">
        <v>2311</v>
      </c>
      <c r="D2364" t="str">
        <f t="shared" si="108"/>
        <v>36.001.08.244.0019.2.024.3.3.90.32.00</v>
      </c>
      <c r="E2364" t="str">
        <f>VLOOKUP(LEFT(A2364,2),ConsolidadoLoa27_ATIVIDADES!A:I,9,0)</f>
        <v>36 - SECRETARIA DA FAMÍLIA, CIDADANIA E SEGURANÇA ALIMENTAR</v>
      </c>
      <c r="F2364" t="str">
        <f t="shared" si="109"/>
        <v>2.024</v>
      </c>
      <c r="G2364" t="str">
        <f t="shared" si="110"/>
        <v>01.110.0000</v>
      </c>
    </row>
    <row r="2365" spans="1:7" hidden="1" x14ac:dyDescent="0.25">
      <c r="A2365" s="6" t="s">
        <v>4281</v>
      </c>
      <c r="B2365" s="28">
        <v>222000</v>
      </c>
      <c r="C2365" s="6" t="s">
        <v>4282</v>
      </c>
      <c r="D2365" t="str">
        <f t="shared" si="108"/>
        <v>36.001.14.244.0018.2.041.3.3.50.39.00</v>
      </c>
      <c r="E2365" t="str">
        <f>VLOOKUP(LEFT(A2365,2),ConsolidadoLoa27_ATIVIDADES!A:I,9,0)</f>
        <v>36 - SECRETARIA DA FAMÍLIA, CIDADANIA E SEGURANÇA ALIMENTAR</v>
      </c>
      <c r="F2365" t="str">
        <f t="shared" si="109"/>
        <v>2.041</v>
      </c>
      <c r="G2365" t="str">
        <f t="shared" si="110"/>
        <v>01.110.0000</v>
      </c>
    </row>
    <row r="2366" spans="1:7" hidden="1" x14ac:dyDescent="0.25">
      <c r="A2366" s="6" t="s">
        <v>4283</v>
      </c>
      <c r="B2366" s="28">
        <v>0</v>
      </c>
      <c r="C2366" s="6" t="s">
        <v>4284</v>
      </c>
      <c r="D2366" t="str">
        <f t="shared" si="108"/>
        <v>36.001.14.244.0018.2.041.3.3.50.39.00</v>
      </c>
      <c r="E2366" t="str">
        <f>VLOOKUP(LEFT(A2366,2),ConsolidadoLoa27_ATIVIDADES!A:I,9,0)</f>
        <v>36 - SECRETARIA DA FAMÍLIA, CIDADANIA E SEGURANÇA ALIMENTAR</v>
      </c>
      <c r="F2366" t="str">
        <f t="shared" si="109"/>
        <v>2.041</v>
      </c>
      <c r="G2366" t="str">
        <f t="shared" si="110"/>
        <v>08.110.0000</v>
      </c>
    </row>
    <row r="2367" spans="1:7" hidden="1" x14ac:dyDescent="0.25">
      <c r="A2367" s="6" t="s">
        <v>4285</v>
      </c>
      <c r="B2367" s="28">
        <v>0</v>
      </c>
      <c r="C2367" s="6" t="s">
        <v>4286</v>
      </c>
      <c r="D2367" t="str">
        <f t="shared" si="108"/>
        <v>36.001.14.244.0018.2.041.3.3.90.30.00</v>
      </c>
      <c r="E2367" t="str">
        <f>VLOOKUP(LEFT(A2367,2),ConsolidadoLoa27_ATIVIDADES!A:I,9,0)</f>
        <v>36 - SECRETARIA DA FAMÍLIA, CIDADANIA E SEGURANÇA ALIMENTAR</v>
      </c>
      <c r="F2367" t="str">
        <f t="shared" si="109"/>
        <v>2.041</v>
      </c>
      <c r="G2367" t="str">
        <f t="shared" si="110"/>
        <v>08.110.0000</v>
      </c>
    </row>
    <row r="2368" spans="1:7" hidden="1" x14ac:dyDescent="0.25">
      <c r="A2368" s="6" t="s">
        <v>4287</v>
      </c>
      <c r="B2368" s="28">
        <v>0</v>
      </c>
      <c r="C2368" s="6" t="s">
        <v>4286</v>
      </c>
      <c r="D2368" t="str">
        <f t="shared" si="108"/>
        <v>36.001.14.244.0018.2.041.3.3.90.39.00</v>
      </c>
      <c r="E2368" t="str">
        <f>VLOOKUP(LEFT(A2368,2),ConsolidadoLoa27_ATIVIDADES!A:I,9,0)</f>
        <v>36 - SECRETARIA DA FAMÍLIA, CIDADANIA E SEGURANÇA ALIMENTAR</v>
      </c>
      <c r="F2368" t="str">
        <f t="shared" si="109"/>
        <v>2.041</v>
      </c>
      <c r="G2368" t="str">
        <f t="shared" si="110"/>
        <v>08.110.0000</v>
      </c>
    </row>
    <row r="2369" spans="1:7" hidden="1" x14ac:dyDescent="0.25">
      <c r="A2369" s="6" t="s">
        <v>4288</v>
      </c>
      <c r="B2369" s="28">
        <v>68000</v>
      </c>
      <c r="C2369" s="6" t="s">
        <v>4282</v>
      </c>
      <c r="D2369" t="str">
        <f t="shared" si="108"/>
        <v>36.001.14.244.0018.2.041.4.4.50.39.00</v>
      </c>
      <c r="E2369" t="str">
        <f>VLOOKUP(LEFT(A2369,2),ConsolidadoLoa27_ATIVIDADES!A:I,9,0)</f>
        <v>36 - SECRETARIA DA FAMÍLIA, CIDADANIA E SEGURANÇA ALIMENTAR</v>
      </c>
      <c r="F2369" t="str">
        <f t="shared" si="109"/>
        <v>2.041</v>
      </c>
      <c r="G2369" t="str">
        <f t="shared" si="110"/>
        <v>01.110.0000</v>
      </c>
    </row>
    <row r="2370" spans="1:7" hidden="1" x14ac:dyDescent="0.25">
      <c r="A2370" s="6" t="s">
        <v>4289</v>
      </c>
      <c r="B2370" s="28">
        <v>0</v>
      </c>
      <c r="C2370" s="6" t="s">
        <v>4286</v>
      </c>
      <c r="D2370" t="str">
        <f t="shared" si="108"/>
        <v>36.001.14.244.0018.2.041.4.4.90.52.00</v>
      </c>
      <c r="E2370" t="str">
        <f>VLOOKUP(LEFT(A2370,2),ConsolidadoLoa27_ATIVIDADES!A:I,9,0)</f>
        <v>36 - SECRETARIA DA FAMÍLIA, CIDADANIA E SEGURANÇA ALIMENTAR</v>
      </c>
      <c r="F2370" t="str">
        <f t="shared" si="109"/>
        <v>2.041</v>
      </c>
      <c r="G2370" t="str">
        <f t="shared" si="110"/>
        <v>08.110.0000</v>
      </c>
    </row>
    <row r="2371" spans="1:7" hidden="1" x14ac:dyDescent="0.25">
      <c r="A2371" s="6" t="s">
        <v>4290</v>
      </c>
      <c r="B2371" s="28">
        <v>60640307</v>
      </c>
      <c r="C2371" s="13" t="s">
        <v>4291</v>
      </c>
      <c r="D2371" t="str">
        <f t="shared" ref="D2371:D2374" si="111">_xlfn.CONCAT(LEFT(A2371,34),".00")</f>
        <v>77.777.99.999.9999.9.999.9.9.99.99.00</v>
      </c>
      <c r="E2371" t="str">
        <f>VLOOKUP(LEFT(A2371,2),ConsolidadoLoa27_ATIVIDADES!A:I,9,0)</f>
        <v>IPMO - RC</v>
      </c>
      <c r="F2371" t="str">
        <f t="shared" ref="F2371:F2374" si="112">MID(A2371,20,5)</f>
        <v>9.999</v>
      </c>
      <c r="G2371" t="str">
        <f t="shared" ref="G2371:G2434" si="113">RIGHT(A2371,11)</f>
        <v>04.600.0000</v>
      </c>
    </row>
    <row r="2372" spans="1:7" hidden="1" x14ac:dyDescent="0.25">
      <c r="A2372" s="6" t="s">
        <v>4292</v>
      </c>
      <c r="B2372" s="28">
        <v>3000000</v>
      </c>
      <c r="C2372" s="12" t="s">
        <v>4291</v>
      </c>
      <c r="D2372" t="str">
        <f t="shared" si="111"/>
        <v>99.999.99.999.9999.9.999.9.9.99.99.00</v>
      </c>
      <c r="E2372" t="str">
        <f>VLOOKUP(LEFT(A2372,2),ConsolidadoLoa27_ATIVIDADES!A:I,9,0)</f>
        <v>PMO - RC</v>
      </c>
      <c r="F2372" t="str">
        <f t="shared" si="112"/>
        <v>9.999</v>
      </c>
      <c r="G2372" t="str">
        <f t="shared" si="113"/>
        <v>01.110.0000</v>
      </c>
    </row>
    <row r="2373" spans="1:7" hidden="1" x14ac:dyDescent="0.25">
      <c r="A2373" s="6" t="s">
        <v>4293</v>
      </c>
      <c r="B2373" s="28">
        <v>24000000</v>
      </c>
      <c r="C2373" s="12" t="s">
        <v>4294</v>
      </c>
      <c r="D2373" t="str">
        <f t="shared" si="111"/>
        <v>99.999.99.999.9999.9.999.9.9.99.99.00</v>
      </c>
      <c r="E2373" t="str">
        <f>VLOOKUP(LEFT(A2373,2),ConsolidadoLoa27_ATIVIDADES!A:I,9,0)</f>
        <v>PMO - RC</v>
      </c>
      <c r="F2373" t="str">
        <f t="shared" si="112"/>
        <v>9.999</v>
      </c>
      <c r="G2373" t="str">
        <f t="shared" si="113"/>
        <v>08.804.0000</v>
      </c>
    </row>
    <row r="2374" spans="1:7" hidden="1" x14ac:dyDescent="0.25">
      <c r="A2374" s="6" t="s">
        <v>4293</v>
      </c>
      <c r="B2374" s="29">
        <v>24000000.009999998</v>
      </c>
      <c r="C2374" s="12" t="s">
        <v>4295</v>
      </c>
      <c r="D2374" t="str">
        <f t="shared" si="111"/>
        <v>99.999.99.999.9999.9.999.9.9.99.99.00</v>
      </c>
      <c r="E2374" t="str">
        <f>VLOOKUP(LEFT(A2374,2),ConsolidadoLoa27_ATIVIDADES!A:I,9,0)</f>
        <v>PMO - RC</v>
      </c>
      <c r="F2374" t="str">
        <f t="shared" si="112"/>
        <v>9.999</v>
      </c>
      <c r="G2374" t="str">
        <f t="shared" si="113"/>
        <v>08.804.0000</v>
      </c>
    </row>
    <row r="2375" spans="1:7" hidden="1" x14ac:dyDescent="0.25">
      <c r="A2375" s="3" t="str">
        <f>D2375</f>
        <v>02.001.04.122.0001.2.011.4.4.50.52.00</v>
      </c>
      <c r="B2375" s="28">
        <v>0</v>
      </c>
      <c r="C2375" s="7" t="s">
        <v>4296</v>
      </c>
      <c r="D2375" t="s">
        <v>1631</v>
      </c>
      <c r="E2375" t="str">
        <f>VLOOKUP(LEFT(A2375,2),ConsolidadoLoa27_ATIVIDADES!A:I,9,0)</f>
        <v>02 - GABINETE DO PREFEITO</v>
      </c>
      <c r="F2375" t="str">
        <f t="shared" ref="F2375:F2438" si="114">MID(A2375,20,5)</f>
        <v>2.011</v>
      </c>
      <c r="G2375" t="str">
        <f t="shared" si="113"/>
        <v>.4.50.52.00</v>
      </c>
    </row>
    <row r="2376" spans="1:7" hidden="1" x14ac:dyDescent="0.25">
      <c r="A2376" s="3" t="str">
        <f t="shared" ref="A2376:A2439" si="115">D2376</f>
        <v>02.012.04.122.0001.2.011.3.3.90.39.00</v>
      </c>
      <c r="B2376" s="28">
        <v>0</v>
      </c>
      <c r="C2376" s="7" t="s">
        <v>4296</v>
      </c>
      <c r="D2376" t="s">
        <v>1632</v>
      </c>
      <c r="E2376" t="str">
        <f>VLOOKUP(LEFT(A2376,2),ConsolidadoLoa27_ATIVIDADES!A:I,9,0)</f>
        <v>02 - GABINETE DO PREFEITO</v>
      </c>
      <c r="F2376" t="str">
        <f t="shared" si="114"/>
        <v>2.011</v>
      </c>
      <c r="G2376" t="str">
        <f t="shared" si="113"/>
        <v>.3.90.39.00</v>
      </c>
    </row>
    <row r="2377" spans="1:7" hidden="1" x14ac:dyDescent="0.25">
      <c r="A2377" s="3" t="str">
        <f t="shared" si="115"/>
        <v>02.012.04.122.0001.2.011.4.4.50.52.00</v>
      </c>
      <c r="B2377" s="28">
        <v>0</v>
      </c>
      <c r="C2377" s="7" t="s">
        <v>4296</v>
      </c>
      <c r="D2377" t="s">
        <v>1633</v>
      </c>
      <c r="E2377" t="str">
        <f>VLOOKUP(LEFT(A2377,2),ConsolidadoLoa27_ATIVIDADES!A:I,9,0)</f>
        <v>02 - GABINETE DO PREFEITO</v>
      </c>
      <c r="F2377" t="str">
        <f t="shared" si="114"/>
        <v>2.011</v>
      </c>
      <c r="G2377" t="str">
        <f t="shared" si="113"/>
        <v>.4.50.52.00</v>
      </c>
    </row>
    <row r="2378" spans="1:7" hidden="1" x14ac:dyDescent="0.25">
      <c r="A2378" s="3" t="str">
        <f t="shared" si="115"/>
        <v>04.001.04.122.0001.2.011.3.3.90.93.00</v>
      </c>
      <c r="B2378" s="28">
        <v>0</v>
      </c>
      <c r="C2378" s="7" t="s">
        <v>4296</v>
      </c>
      <c r="D2378" t="s">
        <v>1634</v>
      </c>
      <c r="E2378" t="str">
        <f>VLOOKUP(LEFT(A2378,2),ConsolidadoLoa27_ATIVIDADES!A:I,9,0)</f>
        <v>04 - SECRETARIA DE FINANÇAS</v>
      </c>
      <c r="F2378" t="str">
        <f t="shared" si="114"/>
        <v>2.011</v>
      </c>
      <c r="G2378" t="str">
        <f t="shared" si="113"/>
        <v>.3.90.93.00</v>
      </c>
    </row>
    <row r="2379" spans="1:7" hidden="1" x14ac:dyDescent="0.25">
      <c r="A2379" s="3" t="str">
        <f t="shared" si="115"/>
        <v>04.001.04.122.0002.2.011.3.3.90.33.00</v>
      </c>
      <c r="B2379" s="28">
        <v>0</v>
      </c>
      <c r="C2379" s="7" t="s">
        <v>4296</v>
      </c>
      <c r="D2379" t="s">
        <v>1635</v>
      </c>
      <c r="E2379" t="str">
        <f>VLOOKUP(LEFT(A2379,2),ConsolidadoLoa27_ATIVIDADES!A:I,9,0)</f>
        <v>04 - SECRETARIA DE FINANÇAS</v>
      </c>
      <c r="F2379" t="str">
        <f t="shared" si="114"/>
        <v>2.011</v>
      </c>
      <c r="G2379" t="str">
        <f t="shared" si="113"/>
        <v>.3.90.33.00</v>
      </c>
    </row>
    <row r="2380" spans="1:7" hidden="1" x14ac:dyDescent="0.25">
      <c r="A2380" s="3" t="str">
        <f t="shared" si="115"/>
        <v>04.001.04.122.0001.2.011.4.4.90.52.00</v>
      </c>
      <c r="B2380" s="28">
        <v>0</v>
      </c>
      <c r="C2380" s="7" t="s">
        <v>4296</v>
      </c>
      <c r="D2380" t="s">
        <v>1636</v>
      </c>
      <c r="E2380" t="str">
        <f>VLOOKUP(LEFT(A2380,2),ConsolidadoLoa27_ATIVIDADES!A:I,9,0)</f>
        <v>04 - SECRETARIA DE FINANÇAS</v>
      </c>
      <c r="F2380" t="str">
        <f t="shared" si="114"/>
        <v>2.011</v>
      </c>
      <c r="G2380" t="str">
        <f t="shared" si="113"/>
        <v>.4.90.52.00</v>
      </c>
    </row>
    <row r="2381" spans="1:7" hidden="1" x14ac:dyDescent="0.25">
      <c r="A2381" s="3" t="str">
        <f t="shared" si="115"/>
        <v>05.001.04.122.0001.2.011.4.4.90.52.00</v>
      </c>
      <c r="B2381" s="28">
        <v>0</v>
      </c>
      <c r="C2381" s="7" t="s">
        <v>4296</v>
      </c>
      <c r="D2381" t="s">
        <v>1637</v>
      </c>
      <c r="E2381" t="str">
        <f>VLOOKUP(LEFT(A2381,2),ConsolidadoLoa27_ATIVIDADES!A:I,9,0)</f>
        <v>05 - PROCURADORIA GERAL DO MUNICÍPIO</v>
      </c>
      <c r="F2381" t="str">
        <f t="shared" si="114"/>
        <v>2.011</v>
      </c>
      <c r="G2381" t="str">
        <f t="shared" si="113"/>
        <v>.4.90.52.00</v>
      </c>
    </row>
    <row r="2382" spans="1:7" hidden="1" x14ac:dyDescent="0.25">
      <c r="A2382" s="3" t="str">
        <f t="shared" si="115"/>
        <v>06.001.04.122.0001.2.011.4.4.90.52.00</v>
      </c>
      <c r="B2382" s="28">
        <v>0</v>
      </c>
      <c r="C2382" s="7" t="s">
        <v>4296</v>
      </c>
      <c r="D2382" t="s">
        <v>1638</v>
      </c>
      <c r="E2382" t="str">
        <f>VLOOKUP(LEFT(A2382,2),ConsolidadoLoa27_ATIVIDADES!A:I,9,0)</f>
        <v>06 - SECRETARIA DE ADMINISTRAÇÃO</v>
      </c>
      <c r="F2382" t="str">
        <f t="shared" si="114"/>
        <v>2.011</v>
      </c>
      <c r="G2382" t="str">
        <f t="shared" si="113"/>
        <v>.4.90.52.00</v>
      </c>
    </row>
    <row r="2383" spans="1:7" hidden="1" x14ac:dyDescent="0.25">
      <c r="A2383" s="3" t="str">
        <f t="shared" si="115"/>
        <v>06.001.04.122.0001.2.011.3.3.90.92.00</v>
      </c>
      <c r="B2383" s="28">
        <v>0</v>
      </c>
      <c r="C2383" s="7" t="s">
        <v>4296</v>
      </c>
      <c r="D2383" t="s">
        <v>1639</v>
      </c>
      <c r="E2383" t="str">
        <f>VLOOKUP(LEFT(A2383,2),ConsolidadoLoa27_ATIVIDADES!A:I,9,0)</f>
        <v>06 - SECRETARIA DE ADMINISTRAÇÃO</v>
      </c>
      <c r="F2383" t="str">
        <f t="shared" si="114"/>
        <v>2.011</v>
      </c>
      <c r="G2383" t="str">
        <f t="shared" si="113"/>
        <v>.3.90.92.00</v>
      </c>
    </row>
    <row r="2384" spans="1:7" hidden="1" x14ac:dyDescent="0.25">
      <c r="A2384" s="3" t="str">
        <f t="shared" si="115"/>
        <v>06.001.04.122.0001.2.011.3.3.90.93.00</v>
      </c>
      <c r="B2384" s="28">
        <v>0</v>
      </c>
      <c r="C2384" s="7" t="s">
        <v>4296</v>
      </c>
      <c r="D2384" t="s">
        <v>1640</v>
      </c>
      <c r="E2384" t="str">
        <f>VLOOKUP(LEFT(A2384,2),ConsolidadoLoa27_ATIVIDADES!A:I,9,0)</f>
        <v>06 - SECRETARIA DE ADMINISTRAÇÃO</v>
      </c>
      <c r="F2384" t="str">
        <f t="shared" si="114"/>
        <v>2.011</v>
      </c>
      <c r="G2384" t="str">
        <f t="shared" si="113"/>
        <v>.3.90.93.00</v>
      </c>
    </row>
    <row r="2385" spans="1:7" hidden="1" x14ac:dyDescent="0.25">
      <c r="A2385" s="3" t="str">
        <f t="shared" si="115"/>
        <v>06.011.04.128.0002.2.003.3.3.90.30.00</v>
      </c>
      <c r="B2385" s="28">
        <v>0</v>
      </c>
      <c r="C2385" s="7" t="s">
        <v>4296</v>
      </c>
      <c r="D2385" t="s">
        <v>1641</v>
      </c>
      <c r="E2385" t="str">
        <f>VLOOKUP(LEFT(A2385,2),ConsolidadoLoa27_ATIVIDADES!A:I,9,0)</f>
        <v>06 - SECRETARIA DE ADMINISTRAÇÃO</v>
      </c>
      <c r="F2385" t="str">
        <f t="shared" si="114"/>
        <v>2.003</v>
      </c>
      <c r="G2385" t="str">
        <f t="shared" si="113"/>
        <v>.3.90.30.00</v>
      </c>
    </row>
    <row r="2386" spans="1:7" hidden="1" x14ac:dyDescent="0.25">
      <c r="A2386" s="3" t="str">
        <f t="shared" si="115"/>
        <v>06.011.04.128.0002.2.003.3.3.90.40.00</v>
      </c>
      <c r="B2386" s="28">
        <v>0</v>
      </c>
      <c r="C2386" s="7" t="s">
        <v>4296</v>
      </c>
      <c r="D2386" t="s">
        <v>1642</v>
      </c>
      <c r="E2386" t="str">
        <f>VLOOKUP(LEFT(A2386,2),ConsolidadoLoa27_ATIVIDADES!A:I,9,0)</f>
        <v>06 - SECRETARIA DE ADMINISTRAÇÃO</v>
      </c>
      <c r="F2386" t="str">
        <f t="shared" si="114"/>
        <v>2.003</v>
      </c>
      <c r="G2386" t="str">
        <f t="shared" si="113"/>
        <v>.3.90.40.00</v>
      </c>
    </row>
    <row r="2387" spans="1:7" hidden="1" x14ac:dyDescent="0.25">
      <c r="A2387" s="3" t="str">
        <f t="shared" si="115"/>
        <v>06.011.04.128.0002.2.003.4.4.90.52.00</v>
      </c>
      <c r="B2387" s="28">
        <v>0</v>
      </c>
      <c r="C2387" s="7" t="s">
        <v>4296</v>
      </c>
      <c r="D2387" t="s">
        <v>1643</v>
      </c>
      <c r="E2387" t="str">
        <f>VLOOKUP(LEFT(A2387,2),ConsolidadoLoa27_ATIVIDADES!A:I,9,0)</f>
        <v>06 - SECRETARIA DE ADMINISTRAÇÃO</v>
      </c>
      <c r="F2387" t="str">
        <f t="shared" si="114"/>
        <v>2.003</v>
      </c>
      <c r="G2387" t="str">
        <f t="shared" si="113"/>
        <v>.4.90.52.00</v>
      </c>
    </row>
    <row r="2388" spans="1:7" hidden="1" x14ac:dyDescent="0.25">
      <c r="A2388" s="3" t="str">
        <f t="shared" si="115"/>
        <v>07.001.04.122.0002.2.003.3.3.90.36.00</v>
      </c>
      <c r="B2388" s="28">
        <v>0</v>
      </c>
      <c r="C2388" s="7" t="s">
        <v>4296</v>
      </c>
      <c r="D2388" t="s">
        <v>1644</v>
      </c>
      <c r="E2388" t="str">
        <f>VLOOKUP(LEFT(A2388,2),ConsolidadoLoa27_ATIVIDADES!A:I,9,0)</f>
        <v>07 - SECRETARIA DE EMPREGO, TRABALHO E RENDA</v>
      </c>
      <c r="F2388" t="str">
        <f t="shared" si="114"/>
        <v>2.003</v>
      </c>
      <c r="G2388" t="str">
        <f t="shared" si="113"/>
        <v>.3.90.36.00</v>
      </c>
    </row>
    <row r="2389" spans="1:7" hidden="1" x14ac:dyDescent="0.25">
      <c r="A2389" s="3" t="str">
        <f t="shared" si="115"/>
        <v>07.001.04.122.0002.2.003.3.3.90.39.00</v>
      </c>
      <c r="B2389" s="28">
        <v>0</v>
      </c>
      <c r="C2389" s="7" t="s">
        <v>4296</v>
      </c>
      <c r="D2389" t="s">
        <v>1645</v>
      </c>
      <c r="E2389" t="str">
        <f>VLOOKUP(LEFT(A2389,2),ConsolidadoLoa27_ATIVIDADES!A:I,9,0)</f>
        <v>07 - SECRETARIA DE EMPREGO, TRABALHO E RENDA</v>
      </c>
      <c r="F2389" t="str">
        <f t="shared" si="114"/>
        <v>2.003</v>
      </c>
      <c r="G2389" t="str">
        <f t="shared" si="113"/>
        <v>.3.90.39.00</v>
      </c>
    </row>
    <row r="2390" spans="1:7" hidden="1" x14ac:dyDescent="0.25">
      <c r="A2390" s="3" t="str">
        <f t="shared" si="115"/>
        <v>07.001.04.122.0002.2.005.3.3.90.30.00</v>
      </c>
      <c r="B2390" s="28">
        <v>0</v>
      </c>
      <c r="C2390" s="7" t="s">
        <v>4296</v>
      </c>
      <c r="D2390" t="s">
        <v>1646</v>
      </c>
      <c r="E2390" t="str">
        <f>VLOOKUP(LEFT(A2390,2),ConsolidadoLoa27_ATIVIDADES!A:I,9,0)</f>
        <v>07 - SECRETARIA DE EMPREGO, TRABALHO E RENDA</v>
      </c>
      <c r="F2390" t="str">
        <f t="shared" si="114"/>
        <v>2.005</v>
      </c>
      <c r="G2390" t="str">
        <f t="shared" si="113"/>
        <v>.3.90.30.00</v>
      </c>
    </row>
    <row r="2391" spans="1:7" hidden="1" x14ac:dyDescent="0.25">
      <c r="A2391" s="3" t="str">
        <f t="shared" si="115"/>
        <v>07.001.04.122.0002.2.005.3.3.90.39.00</v>
      </c>
      <c r="B2391" s="28">
        <v>0</v>
      </c>
      <c r="C2391" s="7" t="s">
        <v>4296</v>
      </c>
      <c r="D2391" t="s">
        <v>1647</v>
      </c>
      <c r="E2391" t="str">
        <f>VLOOKUP(LEFT(A2391,2),ConsolidadoLoa27_ATIVIDADES!A:I,9,0)</f>
        <v>07 - SECRETARIA DE EMPREGO, TRABALHO E RENDA</v>
      </c>
      <c r="F2391" t="str">
        <f t="shared" si="114"/>
        <v>2.005</v>
      </c>
      <c r="G2391" t="str">
        <f t="shared" si="113"/>
        <v>.3.90.39.00</v>
      </c>
    </row>
    <row r="2392" spans="1:7" hidden="1" x14ac:dyDescent="0.25">
      <c r="A2392" s="3" t="str">
        <f t="shared" si="115"/>
        <v>07.001.11.334.0017.1.002.3.3.90.39.00</v>
      </c>
      <c r="B2392" s="28">
        <v>0</v>
      </c>
      <c r="C2392" s="7" t="s">
        <v>4296</v>
      </c>
      <c r="D2392" t="s">
        <v>2154</v>
      </c>
      <c r="E2392" t="str">
        <f>VLOOKUP(LEFT(A2392,2),ConsolidadoLoa27_ATIVIDADES!A:I,9,0)</f>
        <v>07 - SECRETARIA DE EMPREGO, TRABALHO E RENDA</v>
      </c>
      <c r="F2392" t="str">
        <f t="shared" si="114"/>
        <v>1.002</v>
      </c>
      <c r="G2392" t="str">
        <f t="shared" si="113"/>
        <v>.3.90.39.00</v>
      </c>
    </row>
    <row r="2393" spans="1:7" hidden="1" x14ac:dyDescent="0.25">
      <c r="A2393" s="3" t="str">
        <f t="shared" si="115"/>
        <v>07.001.11.334.0017.2.011.3.3.90.30.00</v>
      </c>
      <c r="B2393" s="28">
        <v>0</v>
      </c>
      <c r="C2393" s="7" t="s">
        <v>4296</v>
      </c>
      <c r="D2393" t="s">
        <v>1648</v>
      </c>
      <c r="E2393" t="str">
        <f>VLOOKUP(LEFT(A2393,2),ConsolidadoLoa27_ATIVIDADES!A:I,9,0)</f>
        <v>07 - SECRETARIA DE EMPREGO, TRABALHO E RENDA</v>
      </c>
      <c r="F2393" t="str">
        <f t="shared" si="114"/>
        <v>2.011</v>
      </c>
      <c r="G2393" t="str">
        <f t="shared" si="113"/>
        <v>.3.90.30.00</v>
      </c>
    </row>
    <row r="2394" spans="1:7" hidden="1" x14ac:dyDescent="0.25">
      <c r="A2394" s="3" t="str">
        <f t="shared" si="115"/>
        <v>07.001.11.334.0017.2.011.3.3.90.39.00</v>
      </c>
      <c r="B2394" s="28">
        <v>0</v>
      </c>
      <c r="C2394" s="7" t="s">
        <v>4296</v>
      </c>
      <c r="D2394" t="s">
        <v>1649</v>
      </c>
      <c r="E2394" t="str">
        <f>VLOOKUP(LEFT(A2394,2),ConsolidadoLoa27_ATIVIDADES!A:I,9,0)</f>
        <v>07 - SECRETARIA DE EMPREGO, TRABALHO E RENDA</v>
      </c>
      <c r="F2394" t="str">
        <f t="shared" si="114"/>
        <v>2.011</v>
      </c>
      <c r="G2394" t="str">
        <f t="shared" si="113"/>
        <v>.3.90.39.00</v>
      </c>
    </row>
    <row r="2395" spans="1:7" hidden="1" x14ac:dyDescent="0.25">
      <c r="A2395" s="3" t="str">
        <f t="shared" si="115"/>
        <v>07.001.11.334.0017.2.011.4.4.90.52.00</v>
      </c>
      <c r="B2395" s="28">
        <v>0</v>
      </c>
      <c r="C2395" s="7" t="s">
        <v>4296</v>
      </c>
      <c r="D2395" t="s">
        <v>1650</v>
      </c>
      <c r="E2395" t="str">
        <f>VLOOKUP(LEFT(A2395,2),ConsolidadoLoa27_ATIVIDADES!A:I,9,0)</f>
        <v>07 - SECRETARIA DE EMPREGO, TRABALHO E RENDA</v>
      </c>
      <c r="F2395" t="str">
        <f t="shared" si="114"/>
        <v>2.011</v>
      </c>
      <c r="G2395" t="str">
        <f t="shared" si="113"/>
        <v>.4.90.52.00</v>
      </c>
    </row>
    <row r="2396" spans="1:7" hidden="1" x14ac:dyDescent="0.25">
      <c r="A2396" s="3" t="str">
        <f t="shared" si="115"/>
        <v>07.001.11.333.0017.2.027.3.3.90.30.00</v>
      </c>
      <c r="B2396" s="28">
        <v>0</v>
      </c>
      <c r="C2396" s="7" t="s">
        <v>4296</v>
      </c>
      <c r="D2396" t="s">
        <v>1651</v>
      </c>
      <c r="E2396" t="str">
        <f>VLOOKUP(LEFT(A2396,2),ConsolidadoLoa27_ATIVIDADES!A:I,9,0)</f>
        <v>07 - SECRETARIA DE EMPREGO, TRABALHO E RENDA</v>
      </c>
      <c r="F2396" t="str">
        <f t="shared" si="114"/>
        <v>2.027</v>
      </c>
      <c r="G2396" t="str">
        <f t="shared" si="113"/>
        <v>.3.90.30.00</v>
      </c>
    </row>
    <row r="2397" spans="1:7" hidden="1" x14ac:dyDescent="0.25">
      <c r="A2397" s="3" t="str">
        <f t="shared" si="115"/>
        <v>07.001.11.333.0017.2.027.4.4.90.52.00</v>
      </c>
      <c r="B2397" s="28">
        <v>0</v>
      </c>
      <c r="C2397" s="7" t="s">
        <v>4296</v>
      </c>
      <c r="D2397" t="s">
        <v>1652</v>
      </c>
      <c r="E2397" t="str">
        <f>VLOOKUP(LEFT(A2397,2),ConsolidadoLoa27_ATIVIDADES!A:I,9,0)</f>
        <v>07 - SECRETARIA DE EMPREGO, TRABALHO E RENDA</v>
      </c>
      <c r="F2397" t="str">
        <f t="shared" si="114"/>
        <v>2.027</v>
      </c>
      <c r="G2397" t="str">
        <f t="shared" si="113"/>
        <v>.4.90.52.00</v>
      </c>
    </row>
    <row r="2398" spans="1:7" hidden="1" x14ac:dyDescent="0.25">
      <c r="A2398" s="3" t="str">
        <f t="shared" si="115"/>
        <v>07.001.11.333.0017.2.004.3.3.50.39.00</v>
      </c>
      <c r="B2398" s="28">
        <v>0</v>
      </c>
      <c r="C2398" s="7" t="s">
        <v>4296</v>
      </c>
      <c r="D2398" t="s">
        <v>1653</v>
      </c>
      <c r="E2398" t="str">
        <f>VLOOKUP(LEFT(A2398,2),ConsolidadoLoa27_ATIVIDADES!A:I,9,0)</f>
        <v>07 - SECRETARIA DE EMPREGO, TRABALHO E RENDA</v>
      </c>
      <c r="F2398" t="str">
        <f t="shared" si="114"/>
        <v>2.004</v>
      </c>
      <c r="G2398" t="str">
        <f t="shared" si="113"/>
        <v>.3.50.39.00</v>
      </c>
    </row>
    <row r="2399" spans="1:7" hidden="1" x14ac:dyDescent="0.25">
      <c r="A2399" s="3" t="str">
        <f t="shared" si="115"/>
        <v>07.001.11.333.0017.2.004.3.3.90.30.00</v>
      </c>
      <c r="B2399" s="28">
        <v>0</v>
      </c>
      <c r="C2399" s="7" t="s">
        <v>4296</v>
      </c>
      <c r="D2399" t="s">
        <v>1654</v>
      </c>
      <c r="E2399" t="str">
        <f>VLOOKUP(LEFT(A2399,2),ConsolidadoLoa27_ATIVIDADES!A:I,9,0)</f>
        <v>07 - SECRETARIA DE EMPREGO, TRABALHO E RENDA</v>
      </c>
      <c r="F2399" t="str">
        <f t="shared" si="114"/>
        <v>2.004</v>
      </c>
      <c r="G2399" t="str">
        <f t="shared" si="113"/>
        <v>.3.90.30.00</v>
      </c>
    </row>
    <row r="2400" spans="1:7" hidden="1" x14ac:dyDescent="0.25">
      <c r="A2400" s="3" t="str">
        <f t="shared" si="115"/>
        <v>07.001.11.333.0017.2.004.3.3.90.39.00</v>
      </c>
      <c r="B2400" s="28">
        <v>0</v>
      </c>
      <c r="C2400" s="7" t="s">
        <v>4296</v>
      </c>
      <c r="D2400" t="s">
        <v>1655</v>
      </c>
      <c r="E2400" t="str">
        <f>VLOOKUP(LEFT(A2400,2),ConsolidadoLoa27_ATIVIDADES!A:I,9,0)</f>
        <v>07 - SECRETARIA DE EMPREGO, TRABALHO E RENDA</v>
      </c>
      <c r="F2400" t="str">
        <f t="shared" si="114"/>
        <v>2.004</v>
      </c>
      <c r="G2400" t="str">
        <f t="shared" si="113"/>
        <v>.3.90.39.00</v>
      </c>
    </row>
    <row r="2401" spans="1:7" hidden="1" x14ac:dyDescent="0.25">
      <c r="A2401" s="3" t="str">
        <f t="shared" si="115"/>
        <v>07.001.11.334.0017.2.027.3.3.90.30.00</v>
      </c>
      <c r="B2401" s="28">
        <v>0</v>
      </c>
      <c r="C2401" s="7" t="s">
        <v>4296</v>
      </c>
      <c r="D2401" t="s">
        <v>1656</v>
      </c>
      <c r="E2401" t="str">
        <f>VLOOKUP(LEFT(A2401,2),ConsolidadoLoa27_ATIVIDADES!A:I,9,0)</f>
        <v>07 - SECRETARIA DE EMPREGO, TRABALHO E RENDA</v>
      </c>
      <c r="F2401" t="str">
        <f t="shared" si="114"/>
        <v>2.027</v>
      </c>
      <c r="G2401" t="str">
        <f t="shared" si="113"/>
        <v>.3.90.30.00</v>
      </c>
    </row>
    <row r="2402" spans="1:7" hidden="1" x14ac:dyDescent="0.25">
      <c r="A2402" s="3" t="str">
        <f t="shared" si="115"/>
        <v>07.001.11.334.0017.2.027.3.3.90.39.00</v>
      </c>
      <c r="B2402" s="28">
        <v>0</v>
      </c>
      <c r="C2402" s="7" t="s">
        <v>4296</v>
      </c>
      <c r="D2402" t="s">
        <v>1657</v>
      </c>
      <c r="E2402" t="str">
        <f>VLOOKUP(LEFT(A2402,2),ConsolidadoLoa27_ATIVIDADES!A:I,9,0)</f>
        <v>07 - SECRETARIA DE EMPREGO, TRABALHO E RENDA</v>
      </c>
      <c r="F2402" t="str">
        <f t="shared" si="114"/>
        <v>2.027</v>
      </c>
      <c r="G2402" t="str">
        <f t="shared" si="113"/>
        <v>.3.90.39.00</v>
      </c>
    </row>
    <row r="2403" spans="1:7" hidden="1" x14ac:dyDescent="0.25">
      <c r="A2403" s="3" t="str">
        <f t="shared" si="115"/>
        <v>07.001.11.334.0017.2.027.4.4.90.52.00</v>
      </c>
      <c r="B2403" s="28">
        <v>0</v>
      </c>
      <c r="C2403" s="7" t="s">
        <v>4296</v>
      </c>
      <c r="D2403" t="s">
        <v>1658</v>
      </c>
      <c r="E2403" t="str">
        <f>VLOOKUP(LEFT(A2403,2),ConsolidadoLoa27_ATIVIDADES!A:I,9,0)</f>
        <v>07 - SECRETARIA DE EMPREGO, TRABALHO E RENDA</v>
      </c>
      <c r="F2403" t="str">
        <f t="shared" si="114"/>
        <v>2.027</v>
      </c>
      <c r="G2403" t="str">
        <f t="shared" si="113"/>
        <v>.4.90.52.00</v>
      </c>
    </row>
    <row r="2404" spans="1:7" hidden="1" x14ac:dyDescent="0.25">
      <c r="A2404" s="3" t="str">
        <f t="shared" si="115"/>
        <v>07.001.11.334.0017.2.025.3.3.90.30.00</v>
      </c>
      <c r="B2404" s="28">
        <v>0</v>
      </c>
      <c r="C2404" s="7" t="s">
        <v>4296</v>
      </c>
      <c r="D2404" t="s">
        <v>1659</v>
      </c>
      <c r="E2404" t="str">
        <f>VLOOKUP(LEFT(A2404,2),ConsolidadoLoa27_ATIVIDADES!A:I,9,0)</f>
        <v>07 - SECRETARIA DE EMPREGO, TRABALHO E RENDA</v>
      </c>
      <c r="F2404" t="str">
        <f t="shared" si="114"/>
        <v>2.025</v>
      </c>
      <c r="G2404" t="str">
        <f t="shared" si="113"/>
        <v>.3.90.30.00</v>
      </c>
    </row>
    <row r="2405" spans="1:7" hidden="1" x14ac:dyDescent="0.25">
      <c r="A2405" s="3" t="str">
        <f t="shared" si="115"/>
        <v>07.001.11.334.0017.2.025.3.3.90.39.00</v>
      </c>
      <c r="B2405" s="28">
        <v>0</v>
      </c>
      <c r="C2405" s="7" t="s">
        <v>4296</v>
      </c>
      <c r="D2405" t="s">
        <v>1660</v>
      </c>
      <c r="E2405" t="str">
        <f>VLOOKUP(LEFT(A2405,2),ConsolidadoLoa27_ATIVIDADES!A:I,9,0)</f>
        <v>07 - SECRETARIA DE EMPREGO, TRABALHO E RENDA</v>
      </c>
      <c r="F2405" t="str">
        <f t="shared" si="114"/>
        <v>2.025</v>
      </c>
      <c r="G2405" t="str">
        <f t="shared" si="113"/>
        <v>.3.90.39.00</v>
      </c>
    </row>
    <row r="2406" spans="1:7" hidden="1" x14ac:dyDescent="0.25">
      <c r="A2406" s="3" t="str">
        <f t="shared" si="115"/>
        <v>08.001.12.122.0001.2.001.3.3.90.92.00</v>
      </c>
      <c r="B2406" s="28">
        <v>0</v>
      </c>
      <c r="C2406" s="7" t="s">
        <v>4296</v>
      </c>
      <c r="D2406" t="s">
        <v>2155</v>
      </c>
      <c r="E2406" t="str">
        <f>VLOOKUP(LEFT(A2406,2),ConsolidadoLoa27_ATIVIDADES!A:I,9,0)</f>
        <v>08 - SECRETARIA DE EDUCAÇÃO</v>
      </c>
      <c r="F2406" t="str">
        <f t="shared" si="114"/>
        <v>2.001</v>
      </c>
      <c r="G2406" t="str">
        <f t="shared" si="113"/>
        <v>.3.90.92.00</v>
      </c>
    </row>
    <row r="2407" spans="1:7" hidden="1" x14ac:dyDescent="0.25">
      <c r="A2407" s="3" t="str">
        <f t="shared" si="115"/>
        <v>08.001.12.122.0001.2.001.3.3.90.96.00</v>
      </c>
      <c r="B2407" s="28">
        <v>0</v>
      </c>
      <c r="C2407" s="7" t="s">
        <v>4296</v>
      </c>
      <c r="D2407" t="s">
        <v>2156</v>
      </c>
      <c r="E2407" t="str">
        <f>VLOOKUP(LEFT(A2407,2),ConsolidadoLoa27_ATIVIDADES!A:I,9,0)</f>
        <v>08 - SECRETARIA DE EDUCAÇÃO</v>
      </c>
      <c r="F2407" t="str">
        <f t="shared" si="114"/>
        <v>2.001</v>
      </c>
      <c r="G2407" t="str">
        <f t="shared" si="113"/>
        <v>.3.90.96.00</v>
      </c>
    </row>
    <row r="2408" spans="1:7" hidden="1" x14ac:dyDescent="0.25">
      <c r="A2408" s="3" t="str">
        <f t="shared" si="115"/>
        <v>08.001.12.122.0002.2.005.3.3.90.30.00</v>
      </c>
      <c r="B2408" s="28">
        <v>0</v>
      </c>
      <c r="C2408" s="7" t="s">
        <v>4296</v>
      </c>
      <c r="D2408" t="s">
        <v>1661</v>
      </c>
      <c r="E2408" t="str">
        <f>VLOOKUP(LEFT(A2408,2),ConsolidadoLoa27_ATIVIDADES!A:I,9,0)</f>
        <v>08 - SECRETARIA DE EDUCAÇÃO</v>
      </c>
      <c r="F2408" t="str">
        <f t="shared" si="114"/>
        <v>2.005</v>
      </c>
      <c r="G2408" t="str">
        <f t="shared" si="113"/>
        <v>.3.90.30.00</v>
      </c>
    </row>
    <row r="2409" spans="1:7" hidden="1" x14ac:dyDescent="0.25">
      <c r="A2409" s="3" t="str">
        <f t="shared" si="115"/>
        <v>08.001.12.122.0002.2.005.3.3.90.39.00</v>
      </c>
      <c r="B2409" s="28">
        <v>0</v>
      </c>
      <c r="C2409" s="7" t="s">
        <v>4296</v>
      </c>
      <c r="D2409" t="s">
        <v>1662</v>
      </c>
      <c r="E2409" t="str">
        <f>VLOOKUP(LEFT(A2409,2),ConsolidadoLoa27_ATIVIDADES!A:I,9,0)</f>
        <v>08 - SECRETARIA DE EDUCAÇÃO</v>
      </c>
      <c r="F2409" t="str">
        <f t="shared" si="114"/>
        <v>2.005</v>
      </c>
      <c r="G2409" t="str">
        <f t="shared" si="113"/>
        <v>.3.90.39.00</v>
      </c>
    </row>
    <row r="2410" spans="1:7" hidden="1" x14ac:dyDescent="0.25">
      <c r="A2410" s="3" t="str">
        <f t="shared" si="115"/>
        <v>08.001.12.122.0001.2.011.3.3.90.93.00</v>
      </c>
      <c r="B2410" s="28">
        <v>0</v>
      </c>
      <c r="C2410" s="7" t="s">
        <v>4296</v>
      </c>
      <c r="D2410" t="s">
        <v>1663</v>
      </c>
      <c r="E2410" t="str">
        <f>VLOOKUP(LEFT(A2410,2),ConsolidadoLoa27_ATIVIDADES!A:I,9,0)</f>
        <v>08 - SECRETARIA DE EDUCAÇÃO</v>
      </c>
      <c r="F2410" t="str">
        <f t="shared" si="114"/>
        <v>2.011</v>
      </c>
      <c r="G2410" t="str">
        <f t="shared" si="113"/>
        <v>.3.90.93.00</v>
      </c>
    </row>
    <row r="2411" spans="1:7" hidden="1" x14ac:dyDescent="0.25">
      <c r="A2411" s="3" t="str">
        <f t="shared" si="115"/>
        <v>08.001.12.361.0016.2.018.3.3.90.30.00</v>
      </c>
      <c r="B2411" s="28">
        <v>0</v>
      </c>
      <c r="C2411" s="7" t="s">
        <v>4296</v>
      </c>
      <c r="D2411" t="s">
        <v>1664</v>
      </c>
      <c r="E2411" t="str">
        <f>VLOOKUP(LEFT(A2411,2),ConsolidadoLoa27_ATIVIDADES!A:I,9,0)</f>
        <v>08 - SECRETARIA DE EDUCAÇÃO</v>
      </c>
      <c r="F2411" t="str">
        <f t="shared" si="114"/>
        <v>2.018</v>
      </c>
      <c r="G2411" t="str">
        <f t="shared" si="113"/>
        <v>.3.90.30.00</v>
      </c>
    </row>
    <row r="2412" spans="1:7" hidden="1" x14ac:dyDescent="0.25">
      <c r="A2412" s="3" t="str">
        <f t="shared" si="115"/>
        <v>08.001.12.366.0016.2.019.3.3.90.39.00</v>
      </c>
      <c r="B2412" s="28">
        <v>0</v>
      </c>
      <c r="C2412" s="7" t="s">
        <v>4296</v>
      </c>
      <c r="D2412" t="s">
        <v>1665</v>
      </c>
      <c r="E2412" t="str">
        <f>VLOOKUP(LEFT(A2412,2),ConsolidadoLoa27_ATIVIDADES!A:I,9,0)</f>
        <v>08 - SECRETARIA DE EDUCAÇÃO</v>
      </c>
      <c r="F2412" t="str">
        <f t="shared" si="114"/>
        <v>2.019</v>
      </c>
      <c r="G2412" t="str">
        <f t="shared" si="113"/>
        <v>.3.90.39.00</v>
      </c>
    </row>
    <row r="2413" spans="1:7" hidden="1" x14ac:dyDescent="0.25">
      <c r="A2413" s="3" t="str">
        <f t="shared" si="115"/>
        <v>09.001.04.128.0002.2.003.3.3.90.36.00</v>
      </c>
      <c r="B2413" s="28">
        <v>0</v>
      </c>
      <c r="C2413" s="7" t="s">
        <v>4296</v>
      </c>
      <c r="D2413" t="s">
        <v>1666</v>
      </c>
      <c r="E2413" t="str">
        <f>VLOOKUP(LEFT(A2413,2),ConsolidadoLoa27_ATIVIDADES!A:I,9,0)</f>
        <v>09 - SECRETARIA DA SAÚDE</v>
      </c>
      <c r="F2413" t="str">
        <f t="shared" si="114"/>
        <v>2.003</v>
      </c>
      <c r="G2413" t="str">
        <f t="shared" si="113"/>
        <v>.3.90.36.00</v>
      </c>
    </row>
    <row r="2414" spans="1:7" hidden="1" x14ac:dyDescent="0.25">
      <c r="A2414" s="3" t="str">
        <f t="shared" si="115"/>
        <v>09.010.10.302.0002.2.014.3.3.90.30.00</v>
      </c>
      <c r="B2414" s="28">
        <v>0</v>
      </c>
      <c r="C2414" s="7" t="s">
        <v>4296</v>
      </c>
      <c r="D2414" t="s">
        <v>1667</v>
      </c>
      <c r="E2414" t="str">
        <f>VLOOKUP(LEFT(A2414,2),ConsolidadoLoa27_ATIVIDADES!A:I,9,0)</f>
        <v>09 - SECRETARIA DA SAÚDE</v>
      </c>
      <c r="F2414" t="str">
        <f t="shared" si="114"/>
        <v>2.014</v>
      </c>
      <c r="G2414" t="str">
        <f t="shared" si="113"/>
        <v>.3.90.30.00</v>
      </c>
    </row>
    <row r="2415" spans="1:7" hidden="1" x14ac:dyDescent="0.25">
      <c r="A2415" s="3" t="str">
        <f t="shared" si="115"/>
        <v>09.008.10.301.0015.2.012.</v>
      </c>
      <c r="B2415" s="28">
        <v>0</v>
      </c>
      <c r="C2415" s="7" t="s">
        <v>4296</v>
      </c>
      <c r="D2415" t="s">
        <v>1668</v>
      </c>
      <c r="E2415" t="str">
        <f>VLOOKUP(LEFT(A2415,2),ConsolidadoLoa27_ATIVIDADES!A:I,9,0)</f>
        <v>09 - SECRETARIA DA SAÚDE</v>
      </c>
      <c r="F2415" t="str">
        <f t="shared" si="114"/>
        <v>2.012</v>
      </c>
      <c r="G2415" t="str">
        <f t="shared" si="113"/>
        <v>0015.2.012.</v>
      </c>
    </row>
    <row r="2416" spans="1:7" hidden="1" x14ac:dyDescent="0.25">
      <c r="A2416" s="3" t="str">
        <f t="shared" si="115"/>
        <v>09.008.10.301.0014.2.012.3.3.90.39.00</v>
      </c>
      <c r="B2416" s="28">
        <v>0</v>
      </c>
      <c r="C2416" s="7" t="s">
        <v>4296</v>
      </c>
      <c r="D2416" t="s">
        <v>1669</v>
      </c>
      <c r="E2416" t="str">
        <f>VLOOKUP(LEFT(A2416,2),ConsolidadoLoa27_ATIVIDADES!A:I,9,0)</f>
        <v>09 - SECRETARIA DA SAÚDE</v>
      </c>
      <c r="F2416" t="str">
        <f t="shared" si="114"/>
        <v>2.012</v>
      </c>
      <c r="G2416" t="str">
        <f t="shared" si="113"/>
        <v>.3.90.39.00</v>
      </c>
    </row>
    <row r="2417" spans="1:7" hidden="1" x14ac:dyDescent="0.25">
      <c r="A2417" s="3" t="str">
        <f t="shared" si="115"/>
        <v>09.012.10.303.0015.2.011.3.3.90.32.00</v>
      </c>
      <c r="B2417" s="28">
        <v>0</v>
      </c>
      <c r="C2417" s="7" t="s">
        <v>4296</v>
      </c>
      <c r="D2417" t="s">
        <v>1670</v>
      </c>
      <c r="E2417" t="str">
        <f>VLOOKUP(LEFT(A2417,2),ConsolidadoLoa27_ATIVIDADES!A:I,9,0)</f>
        <v>09 - SECRETARIA DA SAÚDE</v>
      </c>
      <c r="F2417" t="str">
        <f t="shared" si="114"/>
        <v>2.011</v>
      </c>
      <c r="G2417" t="str">
        <f t="shared" si="113"/>
        <v>.3.90.32.00</v>
      </c>
    </row>
    <row r="2418" spans="1:7" hidden="1" x14ac:dyDescent="0.25">
      <c r="A2418" s="3" t="str">
        <f t="shared" si="115"/>
        <v>09.006.10.302.0015.1.002.</v>
      </c>
      <c r="B2418" s="28">
        <v>0</v>
      </c>
      <c r="C2418" s="7" t="s">
        <v>4296</v>
      </c>
      <c r="D2418" t="s">
        <v>2157</v>
      </c>
      <c r="E2418" t="str">
        <f>VLOOKUP(LEFT(A2418,2),ConsolidadoLoa27_ATIVIDADES!A:I,9,0)</f>
        <v>09 - SECRETARIA DA SAÚDE</v>
      </c>
      <c r="F2418" t="str">
        <f t="shared" si="114"/>
        <v>1.002</v>
      </c>
      <c r="G2418" t="str">
        <f t="shared" si="113"/>
        <v>0015.1.002.</v>
      </c>
    </row>
    <row r="2419" spans="1:7" hidden="1" x14ac:dyDescent="0.25">
      <c r="A2419" s="3" t="str">
        <f t="shared" si="115"/>
        <v>09.015.10.302.0015.2.014.3.3.90.30.00</v>
      </c>
      <c r="B2419" s="28">
        <v>0</v>
      </c>
      <c r="C2419" s="7" t="s">
        <v>4296</v>
      </c>
      <c r="D2419" t="s">
        <v>1671</v>
      </c>
      <c r="E2419" t="str">
        <f>VLOOKUP(LEFT(A2419,2),ConsolidadoLoa27_ATIVIDADES!A:I,9,0)</f>
        <v>09 - SECRETARIA DA SAÚDE</v>
      </c>
      <c r="F2419" t="str">
        <f t="shared" si="114"/>
        <v>2.014</v>
      </c>
      <c r="G2419" t="str">
        <f t="shared" si="113"/>
        <v>.3.90.30.00</v>
      </c>
    </row>
    <row r="2420" spans="1:7" hidden="1" x14ac:dyDescent="0.25">
      <c r="A2420" s="3" t="str">
        <f t="shared" si="115"/>
        <v>09.008.10.301.0015.1.002.</v>
      </c>
      <c r="B2420" s="28">
        <v>0</v>
      </c>
      <c r="C2420" s="7" t="s">
        <v>4296</v>
      </c>
      <c r="D2420" t="s">
        <v>2158</v>
      </c>
      <c r="E2420" t="str">
        <f>VLOOKUP(LEFT(A2420,2),ConsolidadoLoa27_ATIVIDADES!A:I,9,0)</f>
        <v>09 - SECRETARIA DA SAÚDE</v>
      </c>
      <c r="F2420" t="str">
        <f t="shared" si="114"/>
        <v>1.002</v>
      </c>
      <c r="G2420" t="str">
        <f t="shared" si="113"/>
        <v>0015.1.002.</v>
      </c>
    </row>
    <row r="2421" spans="1:7" hidden="1" x14ac:dyDescent="0.25">
      <c r="A2421" s="3" t="str">
        <f t="shared" si="115"/>
        <v>09.009.10.302.0015.1.002.</v>
      </c>
      <c r="B2421" s="28">
        <v>0</v>
      </c>
      <c r="C2421" s="7" t="s">
        <v>4296</v>
      </c>
      <c r="D2421" t="s">
        <v>2159</v>
      </c>
      <c r="E2421" t="str">
        <f>VLOOKUP(LEFT(A2421,2),ConsolidadoLoa27_ATIVIDADES!A:I,9,0)</f>
        <v>09 - SECRETARIA DA SAÚDE</v>
      </c>
      <c r="F2421" t="str">
        <f t="shared" si="114"/>
        <v>1.002</v>
      </c>
      <c r="G2421" t="str">
        <f t="shared" si="113"/>
        <v>0015.1.002.</v>
      </c>
    </row>
    <row r="2422" spans="1:7" hidden="1" x14ac:dyDescent="0.25">
      <c r="A2422" s="3" t="str">
        <f t="shared" si="115"/>
        <v>09.010.10.302.0015.1.002.</v>
      </c>
      <c r="B2422" s="28">
        <v>0</v>
      </c>
      <c r="C2422" s="7" t="s">
        <v>4296</v>
      </c>
      <c r="D2422" t="s">
        <v>2160</v>
      </c>
      <c r="E2422" t="str">
        <f>VLOOKUP(LEFT(A2422,2),ConsolidadoLoa27_ATIVIDADES!A:I,9,0)</f>
        <v>09 - SECRETARIA DA SAÚDE</v>
      </c>
      <c r="F2422" t="str">
        <f t="shared" si="114"/>
        <v>1.002</v>
      </c>
      <c r="G2422" t="str">
        <f t="shared" si="113"/>
        <v>0015.1.002.</v>
      </c>
    </row>
    <row r="2423" spans="1:7" hidden="1" x14ac:dyDescent="0.25">
      <c r="A2423" s="3" t="str">
        <f t="shared" si="115"/>
        <v>09.015.10.122.0014.1.002.</v>
      </c>
      <c r="B2423" s="28">
        <v>0</v>
      </c>
      <c r="C2423" s="7" t="s">
        <v>4296</v>
      </c>
      <c r="D2423" t="s">
        <v>2161</v>
      </c>
      <c r="E2423" t="str">
        <f>VLOOKUP(LEFT(A2423,2),ConsolidadoLoa27_ATIVIDADES!A:I,9,0)</f>
        <v>09 - SECRETARIA DA SAÚDE</v>
      </c>
      <c r="F2423" t="str">
        <f t="shared" si="114"/>
        <v>1.002</v>
      </c>
      <c r="G2423" t="str">
        <f t="shared" si="113"/>
        <v>0014.1.002.</v>
      </c>
    </row>
    <row r="2424" spans="1:7" hidden="1" x14ac:dyDescent="0.25">
      <c r="A2424" s="3" t="str">
        <f t="shared" si="115"/>
        <v>09.015.10.122.0014.2.011.3.3.90.92.00</v>
      </c>
      <c r="B2424" s="28">
        <v>0</v>
      </c>
      <c r="C2424" s="7" t="s">
        <v>4296</v>
      </c>
      <c r="D2424" t="s">
        <v>1672</v>
      </c>
      <c r="E2424" t="str">
        <f>VLOOKUP(LEFT(A2424,2),ConsolidadoLoa27_ATIVIDADES!A:I,9,0)</f>
        <v>09 - SECRETARIA DA SAÚDE</v>
      </c>
      <c r="F2424" t="str">
        <f t="shared" si="114"/>
        <v>2.011</v>
      </c>
      <c r="G2424" t="str">
        <f t="shared" si="113"/>
        <v>.3.90.92.00</v>
      </c>
    </row>
    <row r="2425" spans="1:7" hidden="1" x14ac:dyDescent="0.25">
      <c r="A2425" s="3" t="str">
        <f t="shared" si="115"/>
        <v>11.001.04.122.0001.1.001.3.3.90.30.00</v>
      </c>
      <c r="B2425" s="28">
        <v>0</v>
      </c>
      <c r="C2425" s="7" t="s">
        <v>4296</v>
      </c>
      <c r="D2425" t="s">
        <v>2162</v>
      </c>
      <c r="E2425" t="str">
        <f>VLOOKUP(LEFT(A2425,2),ConsolidadoLoa27_ATIVIDADES!A:I,9,0)</f>
        <v>11 - SECRETARIA DE SERVIÇOS E OBRAS</v>
      </c>
      <c r="F2425" t="str">
        <f t="shared" si="114"/>
        <v>1.001</v>
      </c>
      <c r="G2425" t="str">
        <f t="shared" si="113"/>
        <v>.3.90.30.00</v>
      </c>
    </row>
    <row r="2426" spans="1:7" hidden="1" x14ac:dyDescent="0.25">
      <c r="A2426" s="3" t="str">
        <f t="shared" si="115"/>
        <v>11.001.04.122.0001.1.002.3.3.90.30.00</v>
      </c>
      <c r="B2426" s="28">
        <v>0</v>
      </c>
      <c r="C2426" s="7" t="s">
        <v>4296</v>
      </c>
      <c r="D2426" t="s">
        <v>2163</v>
      </c>
      <c r="E2426" t="str">
        <f>VLOOKUP(LEFT(A2426,2),ConsolidadoLoa27_ATIVIDADES!A:I,9,0)</f>
        <v>11 - SECRETARIA DE SERVIÇOS E OBRAS</v>
      </c>
      <c r="F2426" t="str">
        <f t="shared" si="114"/>
        <v>1.002</v>
      </c>
      <c r="G2426" t="str">
        <f t="shared" si="113"/>
        <v>.3.90.30.00</v>
      </c>
    </row>
    <row r="2427" spans="1:7" hidden="1" x14ac:dyDescent="0.25">
      <c r="A2427" s="3" t="str">
        <f t="shared" si="115"/>
        <v>11.001.04.121.0011.2.011.4.4.90.52.00</v>
      </c>
      <c r="B2427" s="28">
        <v>0</v>
      </c>
      <c r="C2427" s="7" t="s">
        <v>4296</v>
      </c>
      <c r="D2427" t="s">
        <v>1673</v>
      </c>
      <c r="E2427" t="str">
        <f>VLOOKUP(LEFT(A2427,2),ConsolidadoLoa27_ATIVIDADES!A:I,9,0)</f>
        <v>11 - SECRETARIA DE SERVIÇOS E OBRAS</v>
      </c>
      <c r="F2427" t="str">
        <f t="shared" si="114"/>
        <v>2.011</v>
      </c>
      <c r="G2427" t="str">
        <f t="shared" si="113"/>
        <v>.4.90.52.00</v>
      </c>
    </row>
    <row r="2428" spans="1:7" hidden="1" x14ac:dyDescent="0.25">
      <c r="A2428" s="3" t="str">
        <f t="shared" si="115"/>
        <v>11.001.04.122.0011.1.003.3.3.90.39.00</v>
      </c>
      <c r="B2428" s="28">
        <v>0</v>
      </c>
      <c r="C2428" s="7" t="s">
        <v>4296</v>
      </c>
      <c r="D2428" t="s">
        <v>2164</v>
      </c>
      <c r="E2428" t="str">
        <f>VLOOKUP(LEFT(A2428,2),ConsolidadoLoa27_ATIVIDADES!A:I,9,0)</f>
        <v>11 - SECRETARIA DE SERVIÇOS E OBRAS</v>
      </c>
      <c r="F2428" t="str">
        <f t="shared" si="114"/>
        <v>1.003</v>
      </c>
      <c r="G2428" t="str">
        <f t="shared" si="113"/>
        <v>.3.90.39.00</v>
      </c>
    </row>
    <row r="2429" spans="1:7" hidden="1" x14ac:dyDescent="0.25">
      <c r="A2429" s="3" t="str">
        <f t="shared" si="115"/>
        <v>11.001.04.452.0011.2.034.3.3.90.39.00</v>
      </c>
      <c r="B2429" s="28">
        <v>0</v>
      </c>
      <c r="C2429" s="7" t="s">
        <v>4296</v>
      </c>
      <c r="D2429" t="s">
        <v>1674</v>
      </c>
      <c r="E2429" t="str">
        <f>VLOOKUP(LEFT(A2429,2),ConsolidadoLoa27_ATIVIDADES!A:I,9,0)</f>
        <v>11 - SECRETARIA DE SERVIÇOS E OBRAS</v>
      </c>
      <c r="F2429" t="str">
        <f t="shared" si="114"/>
        <v>2.034</v>
      </c>
      <c r="G2429" t="str">
        <f t="shared" si="113"/>
        <v>.3.90.39.00</v>
      </c>
    </row>
    <row r="2430" spans="1:7" hidden="1" x14ac:dyDescent="0.25">
      <c r="A2430" s="3" t="str">
        <f t="shared" si="115"/>
        <v>11.001.04.121.0011.2.011.3.3.90.93.00</v>
      </c>
      <c r="B2430" s="28">
        <v>0</v>
      </c>
      <c r="C2430" s="7" t="s">
        <v>4296</v>
      </c>
      <c r="D2430" t="s">
        <v>1675</v>
      </c>
      <c r="E2430" t="str">
        <f>VLOOKUP(LEFT(A2430,2),ConsolidadoLoa27_ATIVIDADES!A:I,9,0)</f>
        <v>11 - SECRETARIA DE SERVIÇOS E OBRAS</v>
      </c>
      <c r="F2430" t="str">
        <f t="shared" si="114"/>
        <v>2.011</v>
      </c>
      <c r="G2430" t="str">
        <f t="shared" si="113"/>
        <v>.3.90.93.00</v>
      </c>
    </row>
    <row r="2431" spans="1:7" hidden="1" x14ac:dyDescent="0.25">
      <c r="A2431" s="3" t="str">
        <f t="shared" si="115"/>
        <v>11.001.15.451.0011.2.011.4.4.90.51.00</v>
      </c>
      <c r="B2431" s="28">
        <v>0</v>
      </c>
      <c r="C2431" s="7" t="s">
        <v>4296</v>
      </c>
      <c r="D2431" t="s">
        <v>1676</v>
      </c>
      <c r="E2431" t="str">
        <f>VLOOKUP(LEFT(A2431,2),ConsolidadoLoa27_ATIVIDADES!A:I,9,0)</f>
        <v>11 - SECRETARIA DE SERVIÇOS E OBRAS</v>
      </c>
      <c r="F2431" t="str">
        <f t="shared" si="114"/>
        <v>2.011</v>
      </c>
      <c r="G2431" t="str">
        <f t="shared" si="113"/>
        <v>.4.90.51.00</v>
      </c>
    </row>
    <row r="2432" spans="1:7" hidden="1" x14ac:dyDescent="0.25">
      <c r="A2432" s="3" t="str">
        <f t="shared" si="115"/>
        <v>12.001.04.122.0002.2.032.3.3.50.39.00</v>
      </c>
      <c r="B2432" s="28">
        <v>0</v>
      </c>
      <c r="C2432" s="7" t="s">
        <v>4296</v>
      </c>
      <c r="D2432" t="s">
        <v>1677</v>
      </c>
      <c r="E2432" t="str">
        <f>VLOOKUP(LEFT(A2432,2),ConsolidadoLoa27_ATIVIDADES!A:I,9,0)</f>
        <v>12 - SECRETARIA DE ESPORTE, RECREAÇÃO E LAZER</v>
      </c>
      <c r="F2432" t="str">
        <f t="shared" si="114"/>
        <v>2.032</v>
      </c>
      <c r="G2432" t="str">
        <f t="shared" si="113"/>
        <v>.3.50.39.00</v>
      </c>
    </row>
    <row r="2433" spans="1:7" hidden="1" x14ac:dyDescent="0.25">
      <c r="A2433" s="3" t="str">
        <f t="shared" si="115"/>
        <v>12.001.04.122.0001.2.011.3.3.90.30.00</v>
      </c>
      <c r="B2433" s="28">
        <v>0</v>
      </c>
      <c r="C2433" s="7" t="s">
        <v>4296</v>
      </c>
      <c r="D2433" t="s">
        <v>1678</v>
      </c>
      <c r="E2433" t="str">
        <f>VLOOKUP(LEFT(A2433,2),ConsolidadoLoa27_ATIVIDADES!A:I,9,0)</f>
        <v>12 - SECRETARIA DE ESPORTE, RECREAÇÃO E LAZER</v>
      </c>
      <c r="F2433" t="str">
        <f t="shared" si="114"/>
        <v>2.011</v>
      </c>
      <c r="G2433" t="str">
        <f t="shared" si="113"/>
        <v>.3.90.30.00</v>
      </c>
    </row>
    <row r="2434" spans="1:7" hidden="1" x14ac:dyDescent="0.25">
      <c r="A2434" s="3" t="str">
        <f t="shared" si="115"/>
        <v>12.001.04.811.0010.2.030.3.3.90.33.00</v>
      </c>
      <c r="B2434" s="28">
        <v>0</v>
      </c>
      <c r="C2434" s="7" t="s">
        <v>4296</v>
      </c>
      <c r="D2434" t="s">
        <v>1679</v>
      </c>
      <c r="E2434" t="str">
        <f>VLOOKUP(LEFT(A2434,2),ConsolidadoLoa27_ATIVIDADES!A:I,9,0)</f>
        <v>12 - SECRETARIA DE ESPORTE, RECREAÇÃO E LAZER</v>
      </c>
      <c r="F2434" t="str">
        <f t="shared" si="114"/>
        <v>2.030</v>
      </c>
      <c r="G2434" t="str">
        <f t="shared" si="113"/>
        <v>.3.90.33.00</v>
      </c>
    </row>
    <row r="2435" spans="1:7" hidden="1" x14ac:dyDescent="0.25">
      <c r="A2435" s="3" t="str">
        <f t="shared" si="115"/>
        <v>12.001.04.131.0010.2.005.3.3.90.39.00</v>
      </c>
      <c r="B2435" s="28">
        <v>0</v>
      </c>
      <c r="C2435" s="7" t="s">
        <v>4296</v>
      </c>
      <c r="D2435" t="s">
        <v>1680</v>
      </c>
      <c r="E2435" t="str">
        <f>VLOOKUP(LEFT(A2435,2),ConsolidadoLoa27_ATIVIDADES!A:I,9,0)</f>
        <v>12 - SECRETARIA DE ESPORTE, RECREAÇÃO E LAZER</v>
      </c>
      <c r="F2435" t="str">
        <f t="shared" si="114"/>
        <v>2.005</v>
      </c>
      <c r="G2435" t="str">
        <f t="shared" ref="G2435:G2498" si="116">RIGHT(A2435,11)</f>
        <v>.3.90.39.00</v>
      </c>
    </row>
    <row r="2436" spans="1:7" hidden="1" x14ac:dyDescent="0.25">
      <c r="A2436" s="3" t="str">
        <f t="shared" si="115"/>
        <v>12.001.04.122.0004.2.011.3.3.90.39.00</v>
      </c>
      <c r="B2436" s="28">
        <v>0</v>
      </c>
      <c r="C2436" s="7" t="s">
        <v>4296</v>
      </c>
      <c r="D2436" t="s">
        <v>1681</v>
      </c>
      <c r="E2436" t="str">
        <f>VLOOKUP(LEFT(A2436,2),ConsolidadoLoa27_ATIVIDADES!A:I,9,0)</f>
        <v>12 - SECRETARIA DE ESPORTE, RECREAÇÃO E LAZER</v>
      </c>
      <c r="F2436" t="str">
        <f t="shared" si="114"/>
        <v>2.011</v>
      </c>
      <c r="G2436" t="str">
        <f t="shared" si="116"/>
        <v>.3.90.39.00</v>
      </c>
    </row>
    <row r="2437" spans="1:7" hidden="1" x14ac:dyDescent="0.25">
      <c r="A2437" s="3" t="str">
        <f t="shared" si="115"/>
        <v>12.001.04.121.0001.1.003.3.3.90.39.00</v>
      </c>
      <c r="B2437" s="28">
        <v>0</v>
      </c>
      <c r="C2437" s="7" t="s">
        <v>4296</v>
      </c>
      <c r="D2437" t="s">
        <v>2165</v>
      </c>
      <c r="E2437" t="str">
        <f>VLOOKUP(LEFT(A2437,2),ConsolidadoLoa27_ATIVIDADES!A:I,9,0)</f>
        <v>12 - SECRETARIA DE ESPORTE, RECREAÇÃO E LAZER</v>
      </c>
      <c r="F2437" t="str">
        <f t="shared" si="114"/>
        <v>1.003</v>
      </c>
      <c r="G2437" t="str">
        <f t="shared" si="116"/>
        <v>.3.90.39.00</v>
      </c>
    </row>
    <row r="2438" spans="1:7" hidden="1" x14ac:dyDescent="0.25">
      <c r="A2438" s="3" t="str">
        <f t="shared" si="115"/>
        <v>12.001.04.121.0001.2.011.3.3.90.39.00</v>
      </c>
      <c r="B2438" s="28">
        <v>0</v>
      </c>
      <c r="C2438" s="7" t="s">
        <v>4296</v>
      </c>
      <c r="D2438" t="s">
        <v>1682</v>
      </c>
      <c r="E2438" t="str">
        <f>VLOOKUP(LEFT(A2438,2),ConsolidadoLoa27_ATIVIDADES!A:I,9,0)</f>
        <v>12 - SECRETARIA DE ESPORTE, RECREAÇÃO E LAZER</v>
      </c>
      <c r="F2438" t="str">
        <f t="shared" si="114"/>
        <v>2.011</v>
      </c>
      <c r="G2438" t="str">
        <f t="shared" si="116"/>
        <v>.3.90.39.00</v>
      </c>
    </row>
    <row r="2439" spans="1:7" hidden="1" x14ac:dyDescent="0.25">
      <c r="A2439" s="3" t="str">
        <f t="shared" si="115"/>
        <v>12.001.04.122.0001.2.011.3.3.90.39.00</v>
      </c>
      <c r="B2439" s="28">
        <v>0</v>
      </c>
      <c r="C2439" s="7" t="s">
        <v>4296</v>
      </c>
      <c r="D2439" t="s">
        <v>1683</v>
      </c>
      <c r="E2439" t="str">
        <f>VLOOKUP(LEFT(A2439,2),ConsolidadoLoa27_ATIVIDADES!A:I,9,0)</f>
        <v>12 - SECRETARIA DE ESPORTE, RECREAÇÃO E LAZER</v>
      </c>
      <c r="F2439" t="str">
        <f t="shared" ref="F2439:F2502" si="117">MID(A2439,20,5)</f>
        <v>2.011</v>
      </c>
      <c r="G2439" t="str">
        <f t="shared" si="116"/>
        <v>.3.90.39.00</v>
      </c>
    </row>
    <row r="2440" spans="1:7" hidden="1" x14ac:dyDescent="0.25">
      <c r="A2440" s="3" t="str">
        <f t="shared" ref="A2440:A2503" si="118">D2440</f>
        <v>12.001.04.131.0001.2.006.3.3.90.39.00</v>
      </c>
      <c r="B2440" s="28">
        <v>0</v>
      </c>
      <c r="C2440" s="7" t="s">
        <v>4296</v>
      </c>
      <c r="D2440" t="s">
        <v>1684</v>
      </c>
      <c r="E2440" t="str">
        <f>VLOOKUP(LEFT(A2440,2),ConsolidadoLoa27_ATIVIDADES!A:I,9,0)</f>
        <v>12 - SECRETARIA DE ESPORTE, RECREAÇÃO E LAZER</v>
      </c>
      <c r="F2440" t="str">
        <f t="shared" si="117"/>
        <v>2.006</v>
      </c>
      <c r="G2440" t="str">
        <f t="shared" si="116"/>
        <v>.3.90.39.00</v>
      </c>
    </row>
    <row r="2441" spans="1:7" hidden="1" x14ac:dyDescent="0.25">
      <c r="A2441" s="3" t="str">
        <f t="shared" si="118"/>
        <v>12.001.04.121.0001.2.032.3.3.90.92.00</v>
      </c>
      <c r="B2441" s="28">
        <v>0</v>
      </c>
      <c r="C2441" s="7" t="s">
        <v>4296</v>
      </c>
      <c r="D2441" t="s">
        <v>1685</v>
      </c>
      <c r="E2441" t="str">
        <f>VLOOKUP(LEFT(A2441,2),ConsolidadoLoa27_ATIVIDADES!A:I,9,0)</f>
        <v>12 - SECRETARIA DE ESPORTE, RECREAÇÃO E LAZER</v>
      </c>
      <c r="F2441" t="str">
        <f t="shared" si="117"/>
        <v>2.032</v>
      </c>
      <c r="G2441" t="str">
        <f t="shared" si="116"/>
        <v>.3.90.92.00</v>
      </c>
    </row>
    <row r="2442" spans="1:7" hidden="1" x14ac:dyDescent="0.25">
      <c r="A2442" s="3" t="str">
        <f t="shared" si="118"/>
        <v>12.001.04.122.0001.2.001.3.3.90.93.00</v>
      </c>
      <c r="B2442" s="28">
        <v>0</v>
      </c>
      <c r="C2442" s="7" t="s">
        <v>4296</v>
      </c>
      <c r="D2442" t="s">
        <v>2166</v>
      </c>
      <c r="E2442" t="str">
        <f>VLOOKUP(LEFT(A2442,2),ConsolidadoLoa27_ATIVIDADES!A:I,9,0)</f>
        <v>12 - SECRETARIA DE ESPORTE, RECREAÇÃO E LAZER</v>
      </c>
      <c r="F2442" t="str">
        <f t="shared" si="117"/>
        <v>2.001</v>
      </c>
      <c r="G2442" t="str">
        <f t="shared" si="116"/>
        <v>.3.90.93.00</v>
      </c>
    </row>
    <row r="2443" spans="1:7" hidden="1" x14ac:dyDescent="0.25">
      <c r="A2443" s="3" t="str">
        <f t="shared" si="118"/>
        <v>12.001.04.122.0001.2.006.3.3.90.93.00</v>
      </c>
      <c r="B2443" s="28">
        <v>0</v>
      </c>
      <c r="C2443" s="7" t="s">
        <v>4296</v>
      </c>
      <c r="D2443" t="s">
        <v>1686</v>
      </c>
      <c r="E2443" t="str">
        <f>VLOOKUP(LEFT(A2443,2),ConsolidadoLoa27_ATIVIDADES!A:I,9,0)</f>
        <v>12 - SECRETARIA DE ESPORTE, RECREAÇÃO E LAZER</v>
      </c>
      <c r="F2443" t="str">
        <f t="shared" si="117"/>
        <v>2.006</v>
      </c>
      <c r="G2443" t="str">
        <f t="shared" si="116"/>
        <v>.3.90.93.00</v>
      </c>
    </row>
    <row r="2444" spans="1:7" hidden="1" x14ac:dyDescent="0.25">
      <c r="A2444" s="3" t="str">
        <f t="shared" si="118"/>
        <v>12.001.04.122.0002.1.002.4.4.90.51.00</v>
      </c>
      <c r="B2444" s="28">
        <v>0</v>
      </c>
      <c r="C2444" s="7" t="s">
        <v>4296</v>
      </c>
      <c r="D2444" t="s">
        <v>2167</v>
      </c>
      <c r="E2444" t="str">
        <f>VLOOKUP(LEFT(A2444,2),ConsolidadoLoa27_ATIVIDADES!A:I,9,0)</f>
        <v>12 - SECRETARIA DE ESPORTE, RECREAÇÃO E LAZER</v>
      </c>
      <c r="F2444" t="str">
        <f t="shared" si="117"/>
        <v>1.002</v>
      </c>
      <c r="G2444" t="str">
        <f t="shared" si="116"/>
        <v>.4.90.51.00</v>
      </c>
    </row>
    <row r="2445" spans="1:7" hidden="1" x14ac:dyDescent="0.25">
      <c r="A2445" s="3" t="str">
        <f t="shared" si="118"/>
        <v>12.001.04.121.0010.2.030.4.4.90.52.00</v>
      </c>
      <c r="B2445" s="28">
        <v>0</v>
      </c>
      <c r="C2445" s="7" t="s">
        <v>4296</v>
      </c>
      <c r="D2445" t="s">
        <v>1687</v>
      </c>
      <c r="E2445" t="str">
        <f>VLOOKUP(LEFT(A2445,2),ConsolidadoLoa27_ATIVIDADES!A:I,9,0)</f>
        <v>12 - SECRETARIA DE ESPORTE, RECREAÇÃO E LAZER</v>
      </c>
      <c r="F2445" t="str">
        <f t="shared" si="117"/>
        <v>2.030</v>
      </c>
      <c r="G2445" t="str">
        <f t="shared" si="116"/>
        <v>.4.90.52.00</v>
      </c>
    </row>
    <row r="2446" spans="1:7" hidden="1" x14ac:dyDescent="0.25">
      <c r="A2446" s="3" t="str">
        <f t="shared" si="118"/>
        <v>12.001.04.122.0002.2.028.3.3.90.39.00</v>
      </c>
      <c r="B2446" s="28">
        <v>0</v>
      </c>
      <c r="C2446" s="7" t="s">
        <v>4296</v>
      </c>
      <c r="D2446" t="s">
        <v>1688</v>
      </c>
      <c r="E2446" t="str">
        <f>VLOOKUP(LEFT(A2446,2),ConsolidadoLoa27_ATIVIDADES!A:I,9,0)</f>
        <v>12 - SECRETARIA DE ESPORTE, RECREAÇÃO E LAZER</v>
      </c>
      <c r="F2446" t="str">
        <f t="shared" si="117"/>
        <v>2.028</v>
      </c>
      <c r="G2446" t="str">
        <f t="shared" si="116"/>
        <v>.3.90.39.00</v>
      </c>
    </row>
    <row r="2447" spans="1:7" hidden="1" x14ac:dyDescent="0.25">
      <c r="A2447" s="3" t="str">
        <f t="shared" si="118"/>
        <v>12.001.27.811.0010.2.031.3.3.90.31.00</v>
      </c>
      <c r="B2447" s="28">
        <v>0</v>
      </c>
      <c r="C2447" s="7" t="s">
        <v>4296</v>
      </c>
      <c r="D2447" t="s">
        <v>1689</v>
      </c>
      <c r="E2447" t="str">
        <f>VLOOKUP(LEFT(A2447,2),ConsolidadoLoa27_ATIVIDADES!A:I,9,0)</f>
        <v>12 - SECRETARIA DE ESPORTE, RECREAÇÃO E LAZER</v>
      </c>
      <c r="F2447" t="str">
        <f t="shared" si="117"/>
        <v>2.031</v>
      </c>
      <c r="G2447" t="str">
        <f t="shared" si="116"/>
        <v>.3.90.31.00</v>
      </c>
    </row>
    <row r="2448" spans="1:7" hidden="1" x14ac:dyDescent="0.25">
      <c r="A2448" s="3" t="str">
        <f t="shared" si="118"/>
        <v>12.001.27.812.0010.2.032.3.3.90.36.00</v>
      </c>
      <c r="B2448" s="28">
        <v>0</v>
      </c>
      <c r="C2448" s="7" t="s">
        <v>4296</v>
      </c>
      <c r="D2448" t="s">
        <v>1690</v>
      </c>
      <c r="E2448" t="str">
        <f>VLOOKUP(LEFT(A2448,2),ConsolidadoLoa27_ATIVIDADES!A:I,9,0)</f>
        <v>12 - SECRETARIA DE ESPORTE, RECREAÇÃO E LAZER</v>
      </c>
      <c r="F2448" t="str">
        <f t="shared" si="117"/>
        <v>2.032</v>
      </c>
      <c r="G2448" t="str">
        <f t="shared" si="116"/>
        <v>.3.90.36.00</v>
      </c>
    </row>
    <row r="2449" spans="1:7" hidden="1" x14ac:dyDescent="0.25">
      <c r="A2449" s="3" t="str">
        <f t="shared" si="118"/>
        <v>12.001.27.812.0010.2.030.3.3.90.39.00</v>
      </c>
      <c r="B2449" s="28">
        <v>0</v>
      </c>
      <c r="C2449" s="7" t="s">
        <v>4296</v>
      </c>
      <c r="D2449" t="s">
        <v>1691</v>
      </c>
      <c r="E2449" t="str">
        <f>VLOOKUP(LEFT(A2449,2),ConsolidadoLoa27_ATIVIDADES!A:I,9,0)</f>
        <v>12 - SECRETARIA DE ESPORTE, RECREAÇÃO E LAZER</v>
      </c>
      <c r="F2449" t="str">
        <f t="shared" si="117"/>
        <v>2.030</v>
      </c>
      <c r="G2449" t="str">
        <f t="shared" si="116"/>
        <v>.3.90.39.00</v>
      </c>
    </row>
    <row r="2450" spans="1:7" hidden="1" x14ac:dyDescent="0.25">
      <c r="A2450" s="3" t="str">
        <f t="shared" si="118"/>
        <v>12.001.27.812.0010.2.006.3.3.90.39.00</v>
      </c>
      <c r="B2450" s="28">
        <v>0</v>
      </c>
      <c r="C2450" s="7" t="s">
        <v>4296</v>
      </c>
      <c r="D2450" t="s">
        <v>1692</v>
      </c>
      <c r="E2450" t="str">
        <f>VLOOKUP(LEFT(A2450,2),ConsolidadoLoa27_ATIVIDADES!A:I,9,0)</f>
        <v>12 - SECRETARIA DE ESPORTE, RECREAÇÃO E LAZER</v>
      </c>
      <c r="F2450" t="str">
        <f t="shared" si="117"/>
        <v>2.006</v>
      </c>
      <c r="G2450" t="str">
        <f t="shared" si="116"/>
        <v>.3.90.39.00</v>
      </c>
    </row>
    <row r="2451" spans="1:7" hidden="1" x14ac:dyDescent="0.25">
      <c r="A2451" s="3" t="str">
        <f t="shared" si="118"/>
        <v>12.001.27.812.0001.2.032.3.3.90.39.00</v>
      </c>
      <c r="B2451" s="28">
        <v>0</v>
      </c>
      <c r="C2451" s="7" t="s">
        <v>4296</v>
      </c>
      <c r="D2451" t="s">
        <v>1693</v>
      </c>
      <c r="E2451" t="str">
        <f>VLOOKUP(LEFT(A2451,2),ConsolidadoLoa27_ATIVIDADES!A:I,9,0)</f>
        <v>12 - SECRETARIA DE ESPORTE, RECREAÇÃO E LAZER</v>
      </c>
      <c r="F2451" t="str">
        <f t="shared" si="117"/>
        <v>2.032</v>
      </c>
      <c r="G2451" t="str">
        <f t="shared" si="116"/>
        <v>.3.90.39.00</v>
      </c>
    </row>
    <row r="2452" spans="1:7" hidden="1" x14ac:dyDescent="0.25">
      <c r="A2452" s="3" t="str">
        <f t="shared" si="118"/>
        <v>13.001.04.122.0001.2.003.3.3.90.36.00</v>
      </c>
      <c r="B2452" s="28">
        <v>0</v>
      </c>
      <c r="C2452" s="7" t="s">
        <v>4296</v>
      </c>
      <c r="D2452" t="s">
        <v>1694</v>
      </c>
      <c r="E2452" t="str">
        <f>VLOOKUP(LEFT(A2452,2),ConsolidadoLoa27_ATIVIDADES!A:I,9,0)</f>
        <v>13 - SECRETARIA DE HABITAÇÃO</v>
      </c>
      <c r="F2452" t="str">
        <f t="shared" si="117"/>
        <v>2.003</v>
      </c>
      <c r="G2452" t="str">
        <f t="shared" si="116"/>
        <v>.3.90.36.00</v>
      </c>
    </row>
    <row r="2453" spans="1:7" hidden="1" x14ac:dyDescent="0.25">
      <c r="A2453" s="3" t="str">
        <f t="shared" si="118"/>
        <v>13.001.04.122.0001.2.003.3.3.90.39.00</v>
      </c>
      <c r="B2453" s="28">
        <v>0</v>
      </c>
      <c r="C2453" s="7" t="s">
        <v>4296</v>
      </c>
      <c r="D2453" t="s">
        <v>1695</v>
      </c>
      <c r="E2453" t="str">
        <f>VLOOKUP(LEFT(A2453,2),ConsolidadoLoa27_ATIVIDADES!A:I,9,0)</f>
        <v>13 - SECRETARIA DE HABITAÇÃO</v>
      </c>
      <c r="F2453" t="str">
        <f t="shared" si="117"/>
        <v>2.003</v>
      </c>
      <c r="G2453" t="str">
        <f t="shared" si="116"/>
        <v>.3.90.39.00</v>
      </c>
    </row>
    <row r="2454" spans="1:7" hidden="1" x14ac:dyDescent="0.25">
      <c r="A2454" s="3" t="str">
        <f t="shared" si="118"/>
        <v>13.001.04.122.0001.2.005.3.3.90.93.00</v>
      </c>
      <c r="B2454" s="28">
        <v>0</v>
      </c>
      <c r="C2454" s="7" t="s">
        <v>4296</v>
      </c>
      <c r="D2454" t="s">
        <v>1696</v>
      </c>
      <c r="E2454" t="str">
        <f>VLOOKUP(LEFT(A2454,2),ConsolidadoLoa27_ATIVIDADES!A:I,9,0)</f>
        <v>13 - SECRETARIA DE HABITAÇÃO</v>
      </c>
      <c r="F2454" t="str">
        <f t="shared" si="117"/>
        <v>2.005</v>
      </c>
      <c r="G2454" t="str">
        <f t="shared" si="116"/>
        <v>.3.90.93.00</v>
      </c>
    </row>
    <row r="2455" spans="1:7" hidden="1" x14ac:dyDescent="0.25">
      <c r="A2455" s="3" t="str">
        <f t="shared" si="118"/>
        <v>13.008.04.122.0001.2.005.3.3.90.93.00</v>
      </c>
      <c r="B2455" s="28">
        <v>0</v>
      </c>
      <c r="C2455" s="7" t="s">
        <v>4296</v>
      </c>
      <c r="D2455" t="s">
        <v>1697</v>
      </c>
      <c r="E2455" t="str">
        <f>VLOOKUP(LEFT(A2455,2),ConsolidadoLoa27_ATIVIDADES!A:I,9,0)</f>
        <v>13 - SECRETARIA DE HABITAÇÃO</v>
      </c>
      <c r="F2455" t="str">
        <f t="shared" si="117"/>
        <v>2.005</v>
      </c>
      <c r="G2455" t="str">
        <f t="shared" si="116"/>
        <v>.3.90.93.00</v>
      </c>
    </row>
    <row r="2456" spans="1:7" hidden="1" x14ac:dyDescent="0.25">
      <c r="A2456" s="3" t="str">
        <f t="shared" si="118"/>
        <v>13.001.04.122.0001.2.005.3.3.90.39.00</v>
      </c>
      <c r="B2456" s="28">
        <v>0</v>
      </c>
      <c r="C2456" s="7" t="s">
        <v>4296</v>
      </c>
      <c r="D2456" t="s">
        <v>1698</v>
      </c>
      <c r="E2456" t="str">
        <f>VLOOKUP(LEFT(A2456,2),ConsolidadoLoa27_ATIVIDADES!A:I,9,0)</f>
        <v>13 - SECRETARIA DE HABITAÇÃO</v>
      </c>
      <c r="F2456" t="str">
        <f t="shared" si="117"/>
        <v>2.005</v>
      </c>
      <c r="G2456" t="str">
        <f t="shared" si="116"/>
        <v>.3.90.39.00</v>
      </c>
    </row>
    <row r="2457" spans="1:7" hidden="1" x14ac:dyDescent="0.25">
      <c r="A2457" s="3" t="str">
        <f t="shared" si="118"/>
        <v>13.001.16.482.0012.1.010.3.3.90.39.00</v>
      </c>
      <c r="B2457" s="28">
        <v>0</v>
      </c>
      <c r="C2457" s="7" t="s">
        <v>4296</v>
      </c>
      <c r="D2457" t="s">
        <v>2168</v>
      </c>
      <c r="E2457" t="str">
        <f>VLOOKUP(LEFT(A2457,2),ConsolidadoLoa27_ATIVIDADES!A:I,9,0)</f>
        <v>13 - SECRETARIA DE HABITAÇÃO</v>
      </c>
      <c r="F2457" t="str">
        <f t="shared" si="117"/>
        <v>1.010</v>
      </c>
      <c r="G2457" t="str">
        <f t="shared" si="116"/>
        <v>.3.90.39.00</v>
      </c>
    </row>
    <row r="2458" spans="1:7" hidden="1" x14ac:dyDescent="0.25">
      <c r="A2458" s="3" t="str">
        <f t="shared" si="118"/>
        <v>14.001.04.245.0001.1.001.3.3.90.39.00</v>
      </c>
      <c r="B2458" s="28">
        <v>0</v>
      </c>
      <c r="C2458" s="7" t="s">
        <v>4296</v>
      </c>
      <c r="D2458" t="s">
        <v>2169</v>
      </c>
      <c r="E2458" t="str">
        <f>VLOOKUP(LEFT(A2458,2),ConsolidadoLoa27_ATIVIDADES!A:I,9,0)</f>
        <v>14 - SECRETARIA DE ASSISTÊNCIA SOCIAL</v>
      </c>
      <c r="F2458" t="str">
        <f t="shared" si="117"/>
        <v>1.001</v>
      </c>
      <c r="G2458" t="str">
        <f t="shared" si="116"/>
        <v>.3.90.39.00</v>
      </c>
    </row>
    <row r="2459" spans="1:7" hidden="1" x14ac:dyDescent="0.25">
      <c r="A2459" s="3" t="str">
        <f t="shared" si="118"/>
        <v>14.001.04.121.0004.1.001.3.3.90.40.00</v>
      </c>
      <c r="B2459" s="28">
        <v>0</v>
      </c>
      <c r="C2459" s="7" t="s">
        <v>4296</v>
      </c>
      <c r="D2459" t="s">
        <v>2170</v>
      </c>
      <c r="E2459" t="str">
        <f>VLOOKUP(LEFT(A2459,2),ConsolidadoLoa27_ATIVIDADES!A:I,9,0)</f>
        <v>14 - SECRETARIA DE ASSISTÊNCIA SOCIAL</v>
      </c>
      <c r="F2459" t="str">
        <f t="shared" si="117"/>
        <v>1.001</v>
      </c>
      <c r="G2459" t="str">
        <f t="shared" si="116"/>
        <v>.3.90.40.00</v>
      </c>
    </row>
    <row r="2460" spans="1:7" hidden="1" x14ac:dyDescent="0.25">
      <c r="A2460" s="3" t="str">
        <f t="shared" si="118"/>
        <v>14.001.08.246.0019.2.024.3.3.90.39.00</v>
      </c>
      <c r="B2460" s="28">
        <v>0</v>
      </c>
      <c r="C2460" s="7" t="s">
        <v>4296</v>
      </c>
      <c r="D2460" t="s">
        <v>1699</v>
      </c>
      <c r="E2460" t="str">
        <f>VLOOKUP(LEFT(A2460,2),ConsolidadoLoa27_ATIVIDADES!A:I,9,0)</f>
        <v>14 - SECRETARIA DE ASSISTÊNCIA SOCIAL</v>
      </c>
      <c r="F2460" t="str">
        <f t="shared" si="117"/>
        <v>2.024</v>
      </c>
      <c r="G2460" t="str">
        <f t="shared" si="116"/>
        <v>.3.90.39.00</v>
      </c>
    </row>
    <row r="2461" spans="1:7" hidden="1" x14ac:dyDescent="0.25">
      <c r="A2461" s="3" t="str">
        <f t="shared" si="118"/>
        <v>14.005.08.245.0018.2.011.3.3.90.39.00</v>
      </c>
      <c r="B2461" s="28">
        <v>0</v>
      </c>
      <c r="C2461" s="7" t="s">
        <v>4296</v>
      </c>
      <c r="D2461" t="s">
        <v>1700</v>
      </c>
      <c r="E2461" t="str">
        <f>VLOOKUP(LEFT(A2461,2),ConsolidadoLoa27_ATIVIDADES!A:I,9,0)</f>
        <v>14 - SECRETARIA DE ASSISTÊNCIA SOCIAL</v>
      </c>
      <c r="F2461" t="str">
        <f t="shared" si="117"/>
        <v>2.011</v>
      </c>
      <c r="G2461" t="str">
        <f t="shared" si="116"/>
        <v>.3.90.39.00</v>
      </c>
    </row>
    <row r="2462" spans="1:7" hidden="1" x14ac:dyDescent="0.25">
      <c r="A2462" s="3" t="str">
        <f t="shared" si="118"/>
        <v>14.005.08.245.0018.2.016.3.3.90.36.00</v>
      </c>
      <c r="B2462" s="28">
        <v>0</v>
      </c>
      <c r="C2462" s="7" t="s">
        <v>4296</v>
      </c>
      <c r="D2462" t="s">
        <v>1701</v>
      </c>
      <c r="E2462" t="str">
        <f>VLOOKUP(LEFT(A2462,2),ConsolidadoLoa27_ATIVIDADES!A:I,9,0)</f>
        <v>14 - SECRETARIA DE ASSISTÊNCIA SOCIAL</v>
      </c>
      <c r="F2462" t="str">
        <f t="shared" si="117"/>
        <v>2.016</v>
      </c>
      <c r="G2462" t="str">
        <f t="shared" si="116"/>
        <v>.3.90.36.00</v>
      </c>
    </row>
    <row r="2463" spans="1:7" hidden="1" x14ac:dyDescent="0.25">
      <c r="A2463" s="3" t="str">
        <f t="shared" si="118"/>
        <v>14.008.08.245.0018.1.002.3.3.90.39.00</v>
      </c>
      <c r="B2463" s="28">
        <v>0</v>
      </c>
      <c r="C2463" s="7" t="s">
        <v>4296</v>
      </c>
      <c r="D2463" t="s">
        <v>2171</v>
      </c>
      <c r="E2463" t="str">
        <f>VLOOKUP(LEFT(A2463,2),ConsolidadoLoa27_ATIVIDADES!A:I,9,0)</f>
        <v>14 - SECRETARIA DE ASSISTÊNCIA SOCIAL</v>
      </c>
      <c r="F2463" t="str">
        <f t="shared" si="117"/>
        <v>1.002</v>
      </c>
      <c r="G2463" t="str">
        <f t="shared" si="116"/>
        <v>.3.90.39.00</v>
      </c>
    </row>
    <row r="2464" spans="1:7" hidden="1" x14ac:dyDescent="0.25">
      <c r="A2464" s="3" t="str">
        <f t="shared" si="118"/>
        <v>14.008.08.245.0018.2.016.3.3.90.39.00</v>
      </c>
      <c r="B2464" s="28">
        <v>0</v>
      </c>
      <c r="C2464" s="7" t="s">
        <v>4296</v>
      </c>
      <c r="D2464" t="s">
        <v>1702</v>
      </c>
      <c r="E2464" t="str">
        <f>VLOOKUP(LEFT(A2464,2),ConsolidadoLoa27_ATIVIDADES!A:I,9,0)</f>
        <v>14 - SECRETARIA DE ASSISTÊNCIA SOCIAL</v>
      </c>
      <c r="F2464" t="str">
        <f t="shared" si="117"/>
        <v>2.016</v>
      </c>
      <c r="G2464" t="str">
        <f t="shared" si="116"/>
        <v>.3.90.39.00</v>
      </c>
    </row>
    <row r="2465" spans="1:7" hidden="1" x14ac:dyDescent="0.25">
      <c r="A2465" s="3" t="str">
        <f t="shared" si="118"/>
        <v>15.001.13.131.0009.2.005.3.3.90.39.00</v>
      </c>
      <c r="B2465" s="28">
        <v>0</v>
      </c>
      <c r="C2465" s="7" t="s">
        <v>4296</v>
      </c>
      <c r="D2465" t="s">
        <v>1703</v>
      </c>
      <c r="E2465" t="str">
        <f>VLOOKUP(LEFT(A2465,2),ConsolidadoLoa27_ATIVIDADES!A:I,9,0)</f>
        <v>15 - SECRETARIA DA CULTURA</v>
      </c>
      <c r="F2465" t="str">
        <f t="shared" si="117"/>
        <v>2.005</v>
      </c>
      <c r="G2465" t="str">
        <f t="shared" si="116"/>
        <v>.3.90.39.00</v>
      </c>
    </row>
    <row r="2466" spans="1:7" hidden="1" x14ac:dyDescent="0.25">
      <c r="A2466" s="3" t="str">
        <f t="shared" si="118"/>
        <v>15.001.13.392.0001.2.011.3.3.90.30.00</v>
      </c>
      <c r="B2466" s="28">
        <v>0</v>
      </c>
      <c r="C2466" s="7" t="s">
        <v>4296</v>
      </c>
      <c r="D2466" t="s">
        <v>1704</v>
      </c>
      <c r="E2466" t="str">
        <f>VLOOKUP(LEFT(A2466,2),ConsolidadoLoa27_ATIVIDADES!A:I,9,0)</f>
        <v>15 - SECRETARIA DA CULTURA</v>
      </c>
      <c r="F2466" t="str">
        <f t="shared" si="117"/>
        <v>2.011</v>
      </c>
      <c r="G2466" t="str">
        <f t="shared" si="116"/>
        <v>.3.90.30.00</v>
      </c>
    </row>
    <row r="2467" spans="1:7" hidden="1" x14ac:dyDescent="0.25">
      <c r="A2467" s="3" t="str">
        <f t="shared" si="118"/>
        <v>16.001.23.131.0002.2.005.3.3.90.39.00</v>
      </c>
      <c r="B2467" s="28">
        <v>0</v>
      </c>
      <c r="C2467" s="7" t="s">
        <v>4296</v>
      </c>
      <c r="D2467" t="s">
        <v>1705</v>
      </c>
      <c r="E2467" t="str">
        <f>VLOOKUP(LEFT(A2467,2),ConsolidadoLoa27_ATIVIDADES!A:I,9,0)</f>
        <v>16 - SECRETARIA DE TECNOLOGIA, INOVAÇÃO E DESENVOLVIMENTO ECONÔMICO</v>
      </c>
      <c r="F2467" t="str">
        <f t="shared" si="117"/>
        <v>2.005</v>
      </c>
      <c r="G2467" t="str">
        <f t="shared" si="116"/>
        <v>.3.90.39.00</v>
      </c>
    </row>
    <row r="2468" spans="1:7" hidden="1" x14ac:dyDescent="0.25">
      <c r="A2468" s="3" t="str">
        <f t="shared" si="118"/>
        <v>17.001.04.122.0007.2.011.3.3.90.30.00</v>
      </c>
      <c r="B2468" s="28">
        <v>0</v>
      </c>
      <c r="C2468" s="7" t="s">
        <v>4296</v>
      </c>
      <c r="D2468" t="s">
        <v>1706</v>
      </c>
      <c r="E2468" t="str">
        <f>VLOOKUP(LEFT(A2468,2),ConsolidadoLoa27_ATIVIDADES!A:I,9,0)</f>
        <v>17 - SECRETARIA DE MEIO AMBIENTE E RECURSOS HÍDRICOS</v>
      </c>
      <c r="F2468" t="str">
        <f t="shared" si="117"/>
        <v>2.011</v>
      </c>
      <c r="G2468" t="str">
        <f t="shared" si="116"/>
        <v>.3.90.30.00</v>
      </c>
    </row>
    <row r="2469" spans="1:7" hidden="1" x14ac:dyDescent="0.25">
      <c r="A2469" s="3" t="str">
        <f t="shared" si="118"/>
        <v>17.001.04.541.0007.2.011.3.3.50.85.00</v>
      </c>
      <c r="B2469" s="28">
        <v>0</v>
      </c>
      <c r="C2469" s="7" t="s">
        <v>4296</v>
      </c>
      <c r="D2469" t="s">
        <v>1707</v>
      </c>
      <c r="E2469" t="str">
        <f>VLOOKUP(LEFT(A2469,2),ConsolidadoLoa27_ATIVIDADES!A:I,9,0)</f>
        <v>17 - SECRETARIA DE MEIO AMBIENTE E RECURSOS HÍDRICOS</v>
      </c>
      <c r="F2469" t="str">
        <f t="shared" si="117"/>
        <v>2.011</v>
      </c>
      <c r="G2469" t="str">
        <f t="shared" si="116"/>
        <v>.3.50.85.00</v>
      </c>
    </row>
    <row r="2470" spans="1:7" hidden="1" x14ac:dyDescent="0.25">
      <c r="A2470" s="3" t="str">
        <f t="shared" si="118"/>
        <v>17.001.04.541.0007.2.011.3.3.90.39.00</v>
      </c>
      <c r="B2470" s="28">
        <v>0</v>
      </c>
      <c r="C2470" s="7" t="s">
        <v>4296</v>
      </c>
      <c r="D2470" t="s">
        <v>1708</v>
      </c>
      <c r="E2470" t="str">
        <f>VLOOKUP(LEFT(A2470,2),ConsolidadoLoa27_ATIVIDADES!A:I,9,0)</f>
        <v>17 - SECRETARIA DE MEIO AMBIENTE E RECURSOS HÍDRICOS</v>
      </c>
      <c r="F2470" t="str">
        <f t="shared" si="117"/>
        <v>2.011</v>
      </c>
      <c r="G2470" t="str">
        <f t="shared" si="116"/>
        <v>.3.90.39.00</v>
      </c>
    </row>
    <row r="2471" spans="1:7" hidden="1" x14ac:dyDescent="0.25">
      <c r="A2471" s="3" t="str">
        <f t="shared" si="118"/>
        <v>17.001.04.122.0007.2.001.3.3.90.30.00</v>
      </c>
      <c r="B2471" s="28">
        <v>0</v>
      </c>
      <c r="C2471" s="7" t="s">
        <v>4296</v>
      </c>
      <c r="D2471" t="s">
        <v>2172</v>
      </c>
      <c r="E2471" t="str">
        <f>VLOOKUP(LEFT(A2471,2),ConsolidadoLoa27_ATIVIDADES!A:I,9,0)</f>
        <v>17 - SECRETARIA DE MEIO AMBIENTE E RECURSOS HÍDRICOS</v>
      </c>
      <c r="F2471" t="str">
        <f t="shared" si="117"/>
        <v>2.001</v>
      </c>
      <c r="G2471" t="str">
        <f t="shared" si="116"/>
        <v>.3.90.30.00</v>
      </c>
    </row>
    <row r="2472" spans="1:7" hidden="1" x14ac:dyDescent="0.25">
      <c r="A2472" s="3" t="str">
        <f t="shared" si="118"/>
        <v>17.001.04.122.0007.2.011.3.3.90.39.00</v>
      </c>
      <c r="B2472" s="28">
        <v>0</v>
      </c>
      <c r="C2472" s="7" t="s">
        <v>4296</v>
      </c>
      <c r="D2472" t="s">
        <v>1709</v>
      </c>
      <c r="E2472" t="str">
        <f>VLOOKUP(LEFT(A2472,2),ConsolidadoLoa27_ATIVIDADES!A:I,9,0)</f>
        <v>17 - SECRETARIA DE MEIO AMBIENTE E RECURSOS HÍDRICOS</v>
      </c>
      <c r="F2472" t="str">
        <f t="shared" si="117"/>
        <v>2.011</v>
      </c>
      <c r="G2472" t="str">
        <f t="shared" si="116"/>
        <v>.3.90.39.00</v>
      </c>
    </row>
    <row r="2473" spans="1:7" hidden="1" x14ac:dyDescent="0.25">
      <c r="A2473" s="3" t="str">
        <f t="shared" si="118"/>
        <v>17.003.04.541.0007.1.001.3.3.90.39.00</v>
      </c>
      <c r="B2473" s="28">
        <v>0</v>
      </c>
      <c r="C2473" s="7" t="s">
        <v>4296</v>
      </c>
      <c r="D2473" t="s">
        <v>2173</v>
      </c>
      <c r="E2473" t="str">
        <f>VLOOKUP(LEFT(A2473,2),ConsolidadoLoa27_ATIVIDADES!A:I,9,0)</f>
        <v>17 - SECRETARIA DE MEIO AMBIENTE E RECURSOS HÍDRICOS</v>
      </c>
      <c r="F2473" t="str">
        <f t="shared" si="117"/>
        <v>1.001</v>
      </c>
      <c r="G2473" t="str">
        <f t="shared" si="116"/>
        <v>.3.90.39.00</v>
      </c>
    </row>
    <row r="2474" spans="1:7" hidden="1" x14ac:dyDescent="0.25">
      <c r="A2474" s="3" t="str">
        <f t="shared" si="118"/>
        <v>17.001..131.0002.2.005.3.3.90.39.00</v>
      </c>
      <c r="B2474" s="28">
        <v>0</v>
      </c>
      <c r="C2474" s="7" t="s">
        <v>4296</v>
      </c>
      <c r="D2474" t="s">
        <v>1710</v>
      </c>
      <c r="E2474" t="str">
        <f>VLOOKUP(LEFT(A2474,2),ConsolidadoLoa27_ATIVIDADES!A:I,9,0)</f>
        <v>17 - SECRETARIA DE MEIO AMBIENTE E RECURSOS HÍDRICOS</v>
      </c>
      <c r="F2474" t="str">
        <f t="shared" si="117"/>
        <v>005.3</v>
      </c>
      <c r="G2474" t="str">
        <f t="shared" si="116"/>
        <v>.3.90.39.00</v>
      </c>
    </row>
    <row r="2475" spans="1:7" hidden="1" x14ac:dyDescent="0.25">
      <c r="A2475" s="3" t="str">
        <f t="shared" si="118"/>
        <v>17.001.18.122.0001.2.011.3.3.90.93.00</v>
      </c>
      <c r="B2475" s="28">
        <v>0</v>
      </c>
      <c r="C2475" s="7" t="s">
        <v>4296</v>
      </c>
      <c r="D2475" t="s">
        <v>1711</v>
      </c>
      <c r="E2475" t="str">
        <f>VLOOKUP(LEFT(A2475,2),ConsolidadoLoa27_ATIVIDADES!A:I,9,0)</f>
        <v>17 - SECRETARIA DE MEIO AMBIENTE E RECURSOS HÍDRICOS</v>
      </c>
      <c r="F2475" t="str">
        <f t="shared" si="117"/>
        <v>2.011</v>
      </c>
      <c r="G2475" t="str">
        <f t="shared" si="116"/>
        <v>.3.90.93.00</v>
      </c>
    </row>
    <row r="2476" spans="1:7" hidden="1" x14ac:dyDescent="0.25">
      <c r="A2476" s="3" t="str">
        <f t="shared" si="118"/>
        <v>18.002.04.122.0001.2.011.3.3.90.92.00</v>
      </c>
      <c r="B2476" s="28">
        <v>0</v>
      </c>
      <c r="C2476" s="7" t="s">
        <v>4296</v>
      </c>
      <c r="D2476" t="s">
        <v>1712</v>
      </c>
      <c r="E2476" t="str">
        <f>VLOOKUP(LEFT(A2476,2),ConsolidadoLoa27_ATIVIDADES!A:I,9,0)</f>
        <v>18 - ENCARGOS/ADMINISTRAÇÃO</v>
      </c>
      <c r="F2476" t="str">
        <f t="shared" si="117"/>
        <v>2.011</v>
      </c>
      <c r="G2476" t="str">
        <f t="shared" si="116"/>
        <v>.3.90.92.00</v>
      </c>
    </row>
    <row r="2477" spans="1:7" hidden="1" x14ac:dyDescent="0.25">
      <c r="A2477" s="3" t="str">
        <f t="shared" si="118"/>
        <v>18.002.04.122.0001.2.011.3.3.90.93.00</v>
      </c>
      <c r="B2477" s="28">
        <v>0</v>
      </c>
      <c r="C2477" s="7" t="s">
        <v>4296</v>
      </c>
      <c r="D2477" t="s">
        <v>1713</v>
      </c>
      <c r="E2477" t="str">
        <f>VLOOKUP(LEFT(A2477,2),ConsolidadoLoa27_ATIVIDADES!A:I,9,0)</f>
        <v>18 - ENCARGOS/ADMINISTRAÇÃO</v>
      </c>
      <c r="F2477" t="str">
        <f t="shared" si="117"/>
        <v>2.011</v>
      </c>
      <c r="G2477" t="str">
        <f t="shared" si="116"/>
        <v>.3.90.93.00</v>
      </c>
    </row>
    <row r="2478" spans="1:7" hidden="1" x14ac:dyDescent="0.25">
      <c r="A2478" s="3" t="str">
        <f t="shared" si="118"/>
        <v>18.002.04.122.0001.2.009.3.3.90.92.00</v>
      </c>
      <c r="B2478" s="28">
        <v>0</v>
      </c>
      <c r="C2478" s="7" t="s">
        <v>4296</v>
      </c>
      <c r="D2478" t="s">
        <v>1714</v>
      </c>
      <c r="E2478" t="str">
        <f>VLOOKUP(LEFT(A2478,2),ConsolidadoLoa27_ATIVIDADES!A:I,9,0)</f>
        <v>18 - ENCARGOS/ADMINISTRAÇÃO</v>
      </c>
      <c r="F2478" t="str">
        <f t="shared" si="117"/>
        <v>2.009</v>
      </c>
      <c r="G2478" t="str">
        <f t="shared" si="116"/>
        <v>.3.90.92.00</v>
      </c>
    </row>
    <row r="2479" spans="1:7" hidden="1" x14ac:dyDescent="0.25">
      <c r="A2479" s="3" t="str">
        <f t="shared" si="118"/>
        <v>18.001.04.122.0001.0.003.3.3.90.39.00</v>
      </c>
      <c r="B2479" s="28">
        <v>0</v>
      </c>
      <c r="C2479" s="7" t="s">
        <v>4296</v>
      </c>
      <c r="D2479" t="s">
        <v>2174</v>
      </c>
      <c r="E2479" t="str">
        <f>VLOOKUP(LEFT(A2479,2),ConsolidadoLoa27_ATIVIDADES!A:I,9,0)</f>
        <v>18 - ENCARGOS/ADMINISTRAÇÃO</v>
      </c>
      <c r="F2479" t="str">
        <f t="shared" si="117"/>
        <v>0.003</v>
      </c>
      <c r="G2479" t="str">
        <f t="shared" si="116"/>
        <v>.3.90.39.00</v>
      </c>
    </row>
    <row r="2480" spans="1:7" hidden="1" x14ac:dyDescent="0.25">
      <c r="A2480" s="3" t="str">
        <f t="shared" si="118"/>
        <v>18.001.04.122.0001.2.011.3.3.90.91.00</v>
      </c>
      <c r="B2480" s="28">
        <v>0</v>
      </c>
      <c r="C2480" s="7" t="s">
        <v>4296</v>
      </c>
      <c r="D2480" t="s">
        <v>1715</v>
      </c>
      <c r="E2480" t="str">
        <f>VLOOKUP(LEFT(A2480,2),ConsolidadoLoa27_ATIVIDADES!A:I,9,0)</f>
        <v>18 - ENCARGOS/ADMINISTRAÇÃO</v>
      </c>
      <c r="F2480" t="str">
        <f t="shared" si="117"/>
        <v>2.011</v>
      </c>
      <c r="G2480" t="str">
        <f t="shared" si="116"/>
        <v>.3.90.91.00</v>
      </c>
    </row>
    <row r="2481" spans="1:7" hidden="1" x14ac:dyDescent="0.25">
      <c r="A2481" s="3" t="str">
        <f t="shared" si="118"/>
        <v>19.001.04.122.0001.2.001.</v>
      </c>
      <c r="B2481" s="28">
        <v>0</v>
      </c>
      <c r="C2481" s="7" t="s">
        <v>4296</v>
      </c>
      <c r="D2481" t="s">
        <v>2175</v>
      </c>
      <c r="E2481" t="str">
        <f>VLOOKUP(LEFT(A2481,2),ConsolidadoLoa27_ATIVIDADES!A:I,9,0)</f>
        <v>19 - SECRETARIA DE TRANSPORTE E DA MOBILIDADE URBANA</v>
      </c>
      <c r="F2481" t="str">
        <f t="shared" si="117"/>
        <v>2.001</v>
      </c>
      <c r="G2481" t="str">
        <f t="shared" si="116"/>
        <v>0001.2.001.</v>
      </c>
    </row>
    <row r="2482" spans="1:7" hidden="1" x14ac:dyDescent="0.25">
      <c r="A2482" s="3" t="str">
        <f t="shared" si="118"/>
        <v>19.001.04.121.0004.1.001.3.3.90.39.00</v>
      </c>
      <c r="B2482" s="28">
        <v>0</v>
      </c>
      <c r="C2482" s="7" t="s">
        <v>4296</v>
      </c>
      <c r="D2482" t="s">
        <v>2176</v>
      </c>
      <c r="E2482" t="str">
        <f>VLOOKUP(LEFT(A2482,2),ConsolidadoLoa27_ATIVIDADES!A:I,9,0)</f>
        <v>19 - SECRETARIA DE TRANSPORTE E DA MOBILIDADE URBANA</v>
      </c>
      <c r="F2482" t="str">
        <f t="shared" si="117"/>
        <v>1.001</v>
      </c>
      <c r="G2482" t="str">
        <f t="shared" si="116"/>
        <v>.3.90.39.00</v>
      </c>
    </row>
    <row r="2483" spans="1:7" x14ac:dyDescent="0.25">
      <c r="A2483" s="3" t="str">
        <f t="shared" si="118"/>
        <v>19.001.04.451.0013..3.3.90.39.00</v>
      </c>
      <c r="B2483" s="28">
        <v>0</v>
      </c>
      <c r="C2483" s="7" t="s">
        <v>4296</v>
      </c>
      <c r="D2483" t="s">
        <v>1716</v>
      </c>
      <c r="E2483" t="str">
        <f>VLOOKUP(LEFT(A2483,2),ConsolidadoLoa27_ATIVIDADES!A:I,9,0)</f>
        <v>19 - SECRETARIA DE TRANSPORTE E DA MOBILIDADE URBANA</v>
      </c>
      <c r="F2483" t="str">
        <f t="shared" si="117"/>
        <v>.3.3.</v>
      </c>
      <c r="G2483" t="str">
        <f t="shared" si="116"/>
        <v>.3.90.39.00</v>
      </c>
    </row>
    <row r="2484" spans="1:7" x14ac:dyDescent="0.25">
      <c r="A2484" s="3" t="str">
        <f t="shared" si="118"/>
        <v>19.005.04.451.0013..3.3.90.39.00</v>
      </c>
      <c r="B2484" s="28">
        <v>0</v>
      </c>
      <c r="C2484" s="7" t="s">
        <v>4296</v>
      </c>
      <c r="D2484" t="s">
        <v>1717</v>
      </c>
      <c r="E2484" t="str">
        <f>VLOOKUP(LEFT(A2484,2),ConsolidadoLoa27_ATIVIDADES!A:I,9,0)</f>
        <v>19 - SECRETARIA DE TRANSPORTE E DA MOBILIDADE URBANA</v>
      </c>
      <c r="F2484" t="str">
        <f t="shared" si="117"/>
        <v>.3.3.</v>
      </c>
      <c r="G2484" t="str">
        <f t="shared" si="116"/>
        <v>.3.90.39.00</v>
      </c>
    </row>
    <row r="2485" spans="1:7" x14ac:dyDescent="0.25">
      <c r="A2485" s="3" t="str">
        <f t="shared" si="118"/>
        <v>19.001.04.122.0013..3.3.90.93.00</v>
      </c>
      <c r="B2485" s="28">
        <v>0</v>
      </c>
      <c r="C2485" s="7" t="s">
        <v>4296</v>
      </c>
      <c r="D2485" t="s">
        <v>1718</v>
      </c>
      <c r="E2485" t="str">
        <f>VLOOKUP(LEFT(A2485,2),ConsolidadoLoa27_ATIVIDADES!A:I,9,0)</f>
        <v>19 - SECRETARIA DE TRANSPORTE E DA MOBILIDADE URBANA</v>
      </c>
      <c r="F2485" t="str">
        <f t="shared" si="117"/>
        <v>.3.3.</v>
      </c>
      <c r="G2485" t="str">
        <f t="shared" si="116"/>
        <v>.3.90.93.00</v>
      </c>
    </row>
    <row r="2486" spans="1:7" x14ac:dyDescent="0.25">
      <c r="A2486" s="3" t="str">
        <f t="shared" si="118"/>
        <v>19.001.15.121.0013.1.002.3.3.90.39.00</v>
      </c>
      <c r="B2486" s="28">
        <v>0</v>
      </c>
      <c r="C2486" s="7" t="s">
        <v>4296</v>
      </c>
      <c r="D2486" t="s">
        <v>2177</v>
      </c>
      <c r="E2486" t="str">
        <f>VLOOKUP(LEFT(A2486,2),ConsolidadoLoa27_ATIVIDADES!A:I,9,0)</f>
        <v>19 - SECRETARIA DE TRANSPORTE E DA MOBILIDADE URBANA</v>
      </c>
      <c r="F2486" t="str">
        <f t="shared" si="117"/>
        <v>1.002</v>
      </c>
      <c r="G2486" t="str">
        <f t="shared" si="116"/>
        <v>.3.90.39.00</v>
      </c>
    </row>
    <row r="2487" spans="1:7" x14ac:dyDescent="0.25">
      <c r="A2487" s="3" t="str">
        <f t="shared" si="118"/>
        <v>19.001.15.451.0013.1.006.</v>
      </c>
      <c r="B2487" s="28">
        <v>0</v>
      </c>
      <c r="C2487" s="7" t="s">
        <v>4296</v>
      </c>
      <c r="D2487" t="s">
        <v>2178</v>
      </c>
      <c r="E2487" t="str">
        <f>VLOOKUP(LEFT(A2487,2),ConsolidadoLoa27_ATIVIDADES!A:I,9,0)</f>
        <v>19 - SECRETARIA DE TRANSPORTE E DA MOBILIDADE URBANA</v>
      </c>
      <c r="F2487" t="str">
        <f t="shared" si="117"/>
        <v>1.006</v>
      </c>
      <c r="G2487" t="str">
        <f t="shared" si="116"/>
        <v>0013.1.006.</v>
      </c>
    </row>
    <row r="2488" spans="1:7" x14ac:dyDescent="0.25">
      <c r="A2488" s="3" t="str">
        <f t="shared" si="118"/>
        <v>19.001.15.451.0013..3.3.90.39.00</v>
      </c>
      <c r="B2488" s="28">
        <v>0</v>
      </c>
      <c r="C2488" s="7" t="s">
        <v>4296</v>
      </c>
      <c r="D2488" t="s">
        <v>1719</v>
      </c>
      <c r="E2488" t="str">
        <f>VLOOKUP(LEFT(A2488,2),ConsolidadoLoa27_ATIVIDADES!A:I,9,0)</f>
        <v>19 - SECRETARIA DE TRANSPORTE E DA MOBILIDADE URBANA</v>
      </c>
      <c r="F2488" t="str">
        <f t="shared" si="117"/>
        <v>.3.3.</v>
      </c>
      <c r="G2488" t="str">
        <f t="shared" si="116"/>
        <v>.3.90.39.00</v>
      </c>
    </row>
    <row r="2489" spans="1:7" hidden="1" x14ac:dyDescent="0.25">
      <c r="A2489" s="3" t="str">
        <f t="shared" si="118"/>
        <v>23.001.04.122.0001.2.001.</v>
      </c>
      <c r="B2489" s="28">
        <v>0</v>
      </c>
      <c r="C2489" s="7" t="s">
        <v>4296</v>
      </c>
      <c r="D2489" t="s">
        <v>2179</v>
      </c>
      <c r="E2489" t="str">
        <f>VLOOKUP(LEFT(A2489,2),ConsolidadoLoa27_ATIVIDADES!A:I,9,0)</f>
        <v>23 - SECRETARIA DE COMUNICAÇÃO</v>
      </c>
      <c r="F2489" t="str">
        <f t="shared" si="117"/>
        <v>2.001</v>
      </c>
      <c r="G2489" t="str">
        <f t="shared" si="116"/>
        <v>0001.2.001.</v>
      </c>
    </row>
    <row r="2490" spans="1:7" hidden="1" x14ac:dyDescent="0.25">
      <c r="A2490" s="3" t="str">
        <f t="shared" si="118"/>
        <v>23.001.04.122.0001.2.005.4.4.90.52.00</v>
      </c>
      <c r="B2490" s="28">
        <v>0</v>
      </c>
      <c r="C2490" s="7" t="s">
        <v>4296</v>
      </c>
      <c r="D2490" t="s">
        <v>1720</v>
      </c>
      <c r="E2490" t="str">
        <f>VLOOKUP(LEFT(A2490,2),ConsolidadoLoa27_ATIVIDADES!A:I,9,0)</f>
        <v>23 - SECRETARIA DE COMUNICAÇÃO</v>
      </c>
      <c r="F2490" t="str">
        <f t="shared" si="117"/>
        <v>2.005</v>
      </c>
      <c r="G2490" t="str">
        <f t="shared" si="116"/>
        <v>.4.90.52.00</v>
      </c>
    </row>
    <row r="2491" spans="1:7" hidden="1" x14ac:dyDescent="0.25">
      <c r="A2491" s="3" t="str">
        <f t="shared" si="118"/>
        <v>23.001.04.128.0002.2.003.4.4.90.52.00</v>
      </c>
      <c r="B2491" s="28">
        <v>0</v>
      </c>
      <c r="C2491" s="7" t="s">
        <v>4296</v>
      </c>
      <c r="D2491" t="s">
        <v>1721</v>
      </c>
      <c r="E2491" t="str">
        <f>VLOOKUP(LEFT(A2491,2),ConsolidadoLoa27_ATIVIDADES!A:I,9,0)</f>
        <v>23 - SECRETARIA DE COMUNICAÇÃO</v>
      </c>
      <c r="F2491" t="str">
        <f t="shared" si="117"/>
        <v>2.003</v>
      </c>
      <c r="G2491" t="str">
        <f t="shared" si="116"/>
        <v>.4.90.52.00</v>
      </c>
    </row>
    <row r="2492" spans="1:7" hidden="1" x14ac:dyDescent="0.25">
      <c r="A2492" s="3" t="str">
        <f t="shared" si="118"/>
        <v>23.001.04.131.0002.2.005.4.4.90.52.00</v>
      </c>
      <c r="B2492" s="28">
        <v>0</v>
      </c>
      <c r="C2492" s="7" t="s">
        <v>4296</v>
      </c>
      <c r="D2492" t="s">
        <v>1722</v>
      </c>
      <c r="E2492" t="str">
        <f>VLOOKUP(LEFT(A2492,2),ConsolidadoLoa27_ATIVIDADES!A:I,9,0)</f>
        <v>23 - SECRETARIA DE COMUNICAÇÃO</v>
      </c>
      <c r="F2492" t="str">
        <f t="shared" si="117"/>
        <v>2.005</v>
      </c>
      <c r="G2492" t="str">
        <f t="shared" si="116"/>
        <v>.4.90.52.00</v>
      </c>
    </row>
    <row r="2493" spans="1:7" hidden="1" x14ac:dyDescent="0.25">
      <c r="A2493" s="3" t="str">
        <f t="shared" si="118"/>
        <v>24.001.04.122.0001.1.001.3.3.90.39.00</v>
      </c>
      <c r="B2493" s="28">
        <v>0</v>
      </c>
      <c r="C2493" s="7" t="s">
        <v>4296</v>
      </c>
      <c r="D2493" t="s">
        <v>2180</v>
      </c>
      <c r="E2493" t="str">
        <f>VLOOKUP(LEFT(A2493,2),ConsolidadoLoa27_ATIVIDADES!A:I,9,0)</f>
        <v>24 - SECRETARIA DE PLANEJAMENTO E GESTÃO</v>
      </c>
      <c r="F2493" t="str">
        <f t="shared" si="117"/>
        <v>1.001</v>
      </c>
      <c r="G2493" t="str">
        <f t="shared" si="116"/>
        <v>.3.90.39.00</v>
      </c>
    </row>
    <row r="2494" spans="1:7" hidden="1" x14ac:dyDescent="0.25">
      <c r="A2494" s="3" t="str">
        <f t="shared" si="118"/>
        <v>24.001.04.121.0001.2.011.3.3.90.39.00</v>
      </c>
      <c r="B2494" s="28">
        <v>0</v>
      </c>
      <c r="C2494" s="7" t="s">
        <v>4296</v>
      </c>
      <c r="D2494" t="s">
        <v>1723</v>
      </c>
      <c r="E2494" t="str">
        <f>VLOOKUP(LEFT(A2494,2),ConsolidadoLoa27_ATIVIDADES!A:I,9,0)</f>
        <v>24 - SECRETARIA DE PLANEJAMENTO E GESTÃO</v>
      </c>
      <c r="F2494" t="str">
        <f t="shared" si="117"/>
        <v>2.011</v>
      </c>
      <c r="G2494" t="str">
        <f t="shared" si="116"/>
        <v>.3.90.39.00</v>
      </c>
    </row>
    <row r="2495" spans="1:7" hidden="1" x14ac:dyDescent="0.25">
      <c r="A2495" s="3" t="str">
        <f t="shared" si="118"/>
        <v>24.001.04.121.0001.2.011.3.3.90.30.00</v>
      </c>
      <c r="B2495" s="28">
        <v>0</v>
      </c>
      <c r="C2495" s="7" t="s">
        <v>4296</v>
      </c>
      <c r="D2495" t="s">
        <v>1724</v>
      </c>
      <c r="E2495" t="str">
        <f>VLOOKUP(LEFT(A2495,2),ConsolidadoLoa27_ATIVIDADES!A:I,9,0)</f>
        <v>24 - SECRETARIA DE PLANEJAMENTO E GESTÃO</v>
      </c>
      <c r="F2495" t="str">
        <f t="shared" si="117"/>
        <v>2.011</v>
      </c>
      <c r="G2495" t="str">
        <f t="shared" si="116"/>
        <v>.3.90.30.00</v>
      </c>
    </row>
    <row r="2496" spans="1:7" hidden="1" x14ac:dyDescent="0.25">
      <c r="A2496" s="3" t="str">
        <f t="shared" si="118"/>
        <v>24.001.04.121.0001.2.011.4.4.90.52.00</v>
      </c>
      <c r="B2496" s="28">
        <v>0</v>
      </c>
      <c r="C2496" s="7" t="s">
        <v>4296</v>
      </c>
      <c r="D2496" t="s">
        <v>1725</v>
      </c>
      <c r="E2496" t="str">
        <f>VLOOKUP(LEFT(A2496,2),ConsolidadoLoa27_ATIVIDADES!A:I,9,0)</f>
        <v>24 - SECRETARIA DE PLANEJAMENTO E GESTÃO</v>
      </c>
      <c r="F2496" t="str">
        <f t="shared" si="117"/>
        <v>2.011</v>
      </c>
      <c r="G2496" t="str">
        <f t="shared" si="116"/>
        <v>.4.90.52.00</v>
      </c>
    </row>
    <row r="2497" spans="1:7" hidden="1" x14ac:dyDescent="0.25">
      <c r="A2497" s="3" t="str">
        <f t="shared" si="118"/>
        <v>24.001.04.121.0001.2.007.3.3.90.40.00</v>
      </c>
      <c r="B2497" s="28">
        <v>0</v>
      </c>
      <c r="C2497" s="7" t="s">
        <v>4296</v>
      </c>
      <c r="D2497" t="s">
        <v>1726</v>
      </c>
      <c r="E2497" t="str">
        <f>VLOOKUP(LEFT(A2497,2),ConsolidadoLoa27_ATIVIDADES!A:I,9,0)</f>
        <v>24 - SECRETARIA DE PLANEJAMENTO E GESTÃO</v>
      </c>
      <c r="F2497" t="str">
        <f t="shared" si="117"/>
        <v>2.007</v>
      </c>
      <c r="G2497" t="str">
        <f t="shared" si="116"/>
        <v>.3.90.40.00</v>
      </c>
    </row>
    <row r="2498" spans="1:7" hidden="1" x14ac:dyDescent="0.25">
      <c r="A2498" s="3" t="str">
        <f t="shared" si="118"/>
        <v>24.001.04.121.0001.2.005.3.3.90.31.00</v>
      </c>
      <c r="B2498" s="28">
        <v>0</v>
      </c>
      <c r="C2498" s="7" t="s">
        <v>4296</v>
      </c>
      <c r="D2498" t="s">
        <v>1727</v>
      </c>
      <c r="E2498" t="str">
        <f>VLOOKUP(LEFT(A2498,2),ConsolidadoLoa27_ATIVIDADES!A:I,9,0)</f>
        <v>24 - SECRETARIA DE PLANEJAMENTO E GESTÃO</v>
      </c>
      <c r="F2498" t="str">
        <f t="shared" si="117"/>
        <v>2.005</v>
      </c>
      <c r="G2498" t="str">
        <f t="shared" si="116"/>
        <v>.3.90.31.00</v>
      </c>
    </row>
    <row r="2499" spans="1:7" hidden="1" x14ac:dyDescent="0.25">
      <c r="A2499" s="3" t="str">
        <f t="shared" si="118"/>
        <v>24.001.04.121.0001.2.005.3.3.90.30.00</v>
      </c>
      <c r="B2499" s="28">
        <v>0</v>
      </c>
      <c r="C2499" s="7" t="s">
        <v>4296</v>
      </c>
      <c r="D2499" t="s">
        <v>1728</v>
      </c>
      <c r="E2499" t="str">
        <f>VLOOKUP(LEFT(A2499,2),ConsolidadoLoa27_ATIVIDADES!A:I,9,0)</f>
        <v>24 - SECRETARIA DE PLANEJAMENTO E GESTÃO</v>
      </c>
      <c r="F2499" t="str">
        <f t="shared" si="117"/>
        <v>2.005</v>
      </c>
      <c r="G2499" t="str">
        <f t="shared" ref="G2499:G2532" si="119">RIGHT(A2499,11)</f>
        <v>.3.90.30.00</v>
      </c>
    </row>
    <row r="2500" spans="1:7" hidden="1" x14ac:dyDescent="0.25">
      <c r="A2500" s="3" t="str">
        <f t="shared" si="118"/>
        <v>24.001.04.121.0001.2.005.3.3.90.39.00</v>
      </c>
      <c r="B2500" s="28">
        <v>0</v>
      </c>
      <c r="C2500" s="7" t="s">
        <v>4296</v>
      </c>
      <c r="D2500" t="s">
        <v>1729</v>
      </c>
      <c r="E2500" t="str">
        <f>VLOOKUP(LEFT(A2500,2),ConsolidadoLoa27_ATIVIDADES!A:I,9,0)</f>
        <v>24 - SECRETARIA DE PLANEJAMENTO E GESTÃO</v>
      </c>
      <c r="F2500" t="str">
        <f t="shared" si="117"/>
        <v>2.005</v>
      </c>
      <c r="G2500" t="str">
        <f t="shared" si="119"/>
        <v>.3.90.39.00</v>
      </c>
    </row>
    <row r="2501" spans="1:7" hidden="1" x14ac:dyDescent="0.25">
      <c r="A2501" s="3" t="str">
        <f t="shared" si="118"/>
        <v>24.001.04.121.0001.2.011.4.4.90.51.00</v>
      </c>
      <c r="B2501" s="28">
        <v>0</v>
      </c>
      <c r="C2501" s="7" t="s">
        <v>4296</v>
      </c>
      <c r="D2501" t="s">
        <v>1730</v>
      </c>
      <c r="E2501" t="str">
        <f>VLOOKUP(LEFT(A2501,2),ConsolidadoLoa27_ATIVIDADES!A:I,9,0)</f>
        <v>24 - SECRETARIA DE PLANEJAMENTO E GESTÃO</v>
      </c>
      <c r="F2501" t="str">
        <f t="shared" si="117"/>
        <v>2.011</v>
      </c>
      <c r="G2501" t="str">
        <f t="shared" si="119"/>
        <v>.4.90.51.00</v>
      </c>
    </row>
    <row r="2502" spans="1:7" hidden="1" x14ac:dyDescent="0.25">
      <c r="A2502" s="3" t="str">
        <f t="shared" si="118"/>
        <v>24.001.04.121.0001.1.002.4.4.90.52.00</v>
      </c>
      <c r="B2502" s="28">
        <v>0</v>
      </c>
      <c r="C2502" s="7" t="s">
        <v>4296</v>
      </c>
      <c r="D2502" t="s">
        <v>2181</v>
      </c>
      <c r="E2502" t="str">
        <f>VLOOKUP(LEFT(A2502,2),ConsolidadoLoa27_ATIVIDADES!A:I,9,0)</f>
        <v>24 - SECRETARIA DE PLANEJAMENTO E GESTÃO</v>
      </c>
      <c r="F2502" t="str">
        <f t="shared" si="117"/>
        <v>1.002</v>
      </c>
      <c r="G2502" t="str">
        <f t="shared" si="119"/>
        <v>.4.90.52.00</v>
      </c>
    </row>
    <row r="2503" spans="1:7" hidden="1" x14ac:dyDescent="0.25">
      <c r="A2503" s="3" t="str">
        <f t="shared" si="118"/>
        <v>27.001.04.126.0001.2.007.3.3.90.39.00</v>
      </c>
      <c r="B2503" s="28">
        <v>0</v>
      </c>
      <c r="C2503" s="7" t="s">
        <v>4296</v>
      </c>
      <c r="D2503" t="s">
        <v>1731</v>
      </c>
      <c r="E2503" t="str">
        <f>VLOOKUP(LEFT(A2503,2),ConsolidadoLoa27_ATIVIDADES!A:I,9,0)</f>
        <v>27 - CONTROLADORIA GERAL DO MUNICÍPIO</v>
      </c>
      <c r="F2503" t="str">
        <f t="shared" ref="F2503:F2532" si="120">MID(A2503,20,5)</f>
        <v>2.007</v>
      </c>
      <c r="G2503" t="str">
        <f t="shared" si="119"/>
        <v>.3.90.39.00</v>
      </c>
    </row>
    <row r="2504" spans="1:7" hidden="1" x14ac:dyDescent="0.25">
      <c r="A2504" s="3" t="str">
        <f t="shared" ref="A2504:A2532" si="121">D2504</f>
        <v>27.001.04.126.0001.2.007.3.3.90.40.00</v>
      </c>
      <c r="B2504" s="28">
        <v>0</v>
      </c>
      <c r="C2504" s="7" t="s">
        <v>4296</v>
      </c>
      <c r="D2504" t="s">
        <v>1732</v>
      </c>
      <c r="E2504" t="str">
        <f>VLOOKUP(LEFT(A2504,2),ConsolidadoLoa27_ATIVIDADES!A:I,9,0)</f>
        <v>27 - CONTROLADORIA GERAL DO MUNICÍPIO</v>
      </c>
      <c r="F2504" t="str">
        <f t="shared" si="120"/>
        <v>2.007</v>
      </c>
      <c r="G2504" t="str">
        <f t="shared" si="119"/>
        <v>.3.90.40.00</v>
      </c>
    </row>
    <row r="2505" spans="1:7" hidden="1" x14ac:dyDescent="0.25">
      <c r="A2505" s="3" t="str">
        <f t="shared" si="121"/>
        <v>27.001.04.131.0002.2.005.3.3.90.30.00</v>
      </c>
      <c r="B2505" s="28">
        <v>0</v>
      </c>
      <c r="C2505" s="7" t="s">
        <v>4296</v>
      </c>
      <c r="D2505" t="s">
        <v>1733</v>
      </c>
      <c r="E2505" t="str">
        <f>VLOOKUP(LEFT(A2505,2),ConsolidadoLoa27_ATIVIDADES!A:I,9,0)</f>
        <v>27 - CONTROLADORIA GERAL DO MUNICÍPIO</v>
      </c>
      <c r="F2505" t="str">
        <f t="shared" si="120"/>
        <v>2.005</v>
      </c>
      <c r="G2505" t="str">
        <f t="shared" si="119"/>
        <v>.3.90.30.00</v>
      </c>
    </row>
    <row r="2506" spans="1:7" hidden="1" x14ac:dyDescent="0.25">
      <c r="A2506" s="3" t="str">
        <f t="shared" si="121"/>
        <v>27.001.04.131.0002.2.005.4.4.90.52.00</v>
      </c>
      <c r="B2506" s="28">
        <v>0</v>
      </c>
      <c r="C2506" s="7" t="s">
        <v>4296</v>
      </c>
      <c r="D2506" t="s">
        <v>1734</v>
      </c>
      <c r="E2506" t="str">
        <f>VLOOKUP(LEFT(A2506,2),ConsolidadoLoa27_ATIVIDADES!A:I,9,0)</f>
        <v>27 - CONTROLADORIA GERAL DO MUNICÍPIO</v>
      </c>
      <c r="F2506" t="str">
        <f t="shared" si="120"/>
        <v>2.005</v>
      </c>
      <c r="G2506" t="str">
        <f t="shared" si="119"/>
        <v>.4.90.52.00</v>
      </c>
    </row>
    <row r="2507" spans="1:7" hidden="1" x14ac:dyDescent="0.25">
      <c r="A2507" s="3" t="str">
        <f t="shared" si="121"/>
        <v>28.001.04.122.0004.1.001.3.3.90.39.00</v>
      </c>
      <c r="B2507" s="28">
        <v>0</v>
      </c>
      <c r="C2507" s="7" t="s">
        <v>4296</v>
      </c>
      <c r="D2507" t="s">
        <v>2182</v>
      </c>
      <c r="E2507" t="str">
        <f>VLOOKUP(LEFT(A2507,2),ConsolidadoLoa27_ATIVIDADES!A:I,9,0)</f>
        <v>28 - SECRETARIA DE GOVERNO</v>
      </c>
      <c r="F2507" t="str">
        <f t="shared" si="120"/>
        <v>1.001</v>
      </c>
      <c r="G2507" t="str">
        <f t="shared" si="119"/>
        <v>.3.90.39.00</v>
      </c>
    </row>
    <row r="2508" spans="1:7" hidden="1" x14ac:dyDescent="0.25">
      <c r="A2508" s="3" t="str">
        <f t="shared" si="121"/>
        <v>28.001.04.122.0001.1.002.3.3.90.30.00</v>
      </c>
      <c r="B2508" s="28">
        <v>0</v>
      </c>
      <c r="C2508" s="7" t="s">
        <v>4296</v>
      </c>
      <c r="D2508" t="s">
        <v>2183</v>
      </c>
      <c r="E2508" t="str">
        <f>VLOOKUP(LEFT(A2508,2),ConsolidadoLoa27_ATIVIDADES!A:I,9,0)</f>
        <v>28 - SECRETARIA DE GOVERNO</v>
      </c>
      <c r="F2508" t="str">
        <f t="shared" si="120"/>
        <v>1.002</v>
      </c>
      <c r="G2508" t="str">
        <f t="shared" si="119"/>
        <v>.3.90.30.00</v>
      </c>
    </row>
    <row r="2509" spans="1:7" hidden="1" x14ac:dyDescent="0.25">
      <c r="A2509" s="3" t="str">
        <f t="shared" si="121"/>
        <v>28.001.04.122.0001.2.011.4.4.90.52.00</v>
      </c>
      <c r="B2509" s="28">
        <v>0</v>
      </c>
      <c r="C2509" s="7" t="s">
        <v>4296</v>
      </c>
      <c r="D2509" t="s">
        <v>1735</v>
      </c>
      <c r="E2509" t="str">
        <f>VLOOKUP(LEFT(A2509,2),ConsolidadoLoa27_ATIVIDADES!A:I,9,0)</f>
        <v>28 - SECRETARIA DE GOVERNO</v>
      </c>
      <c r="F2509" t="str">
        <f t="shared" si="120"/>
        <v>2.011</v>
      </c>
      <c r="G2509" t="str">
        <f t="shared" si="119"/>
        <v>.4.90.52.00</v>
      </c>
    </row>
    <row r="2510" spans="1:7" hidden="1" x14ac:dyDescent="0.25">
      <c r="A2510" s="3" t="str">
        <f t="shared" si="121"/>
        <v>28.007.04.131.0001.2.005.3.3.90.39.00</v>
      </c>
      <c r="B2510" s="28">
        <v>0</v>
      </c>
      <c r="C2510" s="7" t="s">
        <v>4296</v>
      </c>
      <c r="D2510" t="s">
        <v>1736</v>
      </c>
      <c r="E2510" t="str">
        <f>VLOOKUP(LEFT(A2510,2),ConsolidadoLoa27_ATIVIDADES!A:I,9,0)</f>
        <v>28 - SECRETARIA DE GOVERNO</v>
      </c>
      <c r="F2510" t="str">
        <f t="shared" si="120"/>
        <v>2.005</v>
      </c>
      <c r="G2510" t="str">
        <f t="shared" si="119"/>
        <v>.3.90.39.00</v>
      </c>
    </row>
    <row r="2511" spans="1:7" hidden="1" x14ac:dyDescent="0.25">
      <c r="A2511" s="3" t="str">
        <f t="shared" si="121"/>
        <v>28.007.04.122.0001.2.005.3.3.90.30.00</v>
      </c>
      <c r="B2511" s="28">
        <v>0</v>
      </c>
      <c r="C2511" s="7" t="s">
        <v>4296</v>
      </c>
      <c r="D2511" t="s">
        <v>1737</v>
      </c>
      <c r="E2511" t="str">
        <f>VLOOKUP(LEFT(A2511,2),ConsolidadoLoa27_ATIVIDADES!A:I,9,0)</f>
        <v>28 - SECRETARIA DE GOVERNO</v>
      </c>
      <c r="F2511" t="str">
        <f t="shared" si="120"/>
        <v>2.005</v>
      </c>
      <c r="G2511" t="str">
        <f t="shared" si="119"/>
        <v>.3.90.30.00</v>
      </c>
    </row>
    <row r="2512" spans="1:7" hidden="1" x14ac:dyDescent="0.25">
      <c r="A2512" s="3" t="str">
        <f t="shared" si="121"/>
        <v>30.001.14.242..2.041.3.3.50.39.00</v>
      </c>
      <c r="B2512" s="28">
        <v>0</v>
      </c>
      <c r="C2512" s="7" t="s">
        <v>4296</v>
      </c>
      <c r="D2512" t="s">
        <v>1738</v>
      </c>
      <c r="E2512" t="str">
        <f>VLOOKUP(LEFT(A2512,2),ConsolidadoLoa27_ATIVIDADES!A:I,9,0)</f>
        <v>30 - SECRETARIA EXECUTIVA DA PESSOA COM DEFICIÊNCIA</v>
      </c>
      <c r="F2512" t="str">
        <f t="shared" si="120"/>
        <v>1.3.3</v>
      </c>
      <c r="G2512" t="str">
        <f t="shared" si="119"/>
        <v>.3.50.39.00</v>
      </c>
    </row>
    <row r="2513" spans="1:7" hidden="1" x14ac:dyDescent="0.25">
      <c r="A2513" s="3" t="str">
        <f t="shared" si="121"/>
        <v>30.001.14.242..2.041.4.4.50.52.00</v>
      </c>
      <c r="B2513" s="28">
        <v>0</v>
      </c>
      <c r="C2513" s="7" t="s">
        <v>4296</v>
      </c>
      <c r="D2513" t="s">
        <v>1739</v>
      </c>
      <c r="E2513" t="str">
        <f>VLOOKUP(LEFT(A2513,2),ConsolidadoLoa27_ATIVIDADES!A:I,9,0)</f>
        <v>30 - SECRETARIA EXECUTIVA DA PESSOA COM DEFICIÊNCIA</v>
      </c>
      <c r="F2513" t="str">
        <f t="shared" si="120"/>
        <v>1.4.4</v>
      </c>
      <c r="G2513" t="str">
        <f t="shared" si="119"/>
        <v>.4.50.52.00</v>
      </c>
    </row>
    <row r="2514" spans="1:7" hidden="1" x14ac:dyDescent="0.25">
      <c r="A2514" s="3" t="str">
        <f t="shared" si="121"/>
        <v>31.001.04.122.0001.2.011.3.3.90.30.00</v>
      </c>
      <c r="B2514" s="28">
        <v>0</v>
      </c>
      <c r="C2514" s="7" t="s">
        <v>4296</v>
      </c>
      <c r="D2514" t="s">
        <v>1740</v>
      </c>
      <c r="E2514" t="str">
        <f>VLOOKUP(LEFT(A2514,2),ConsolidadoLoa27_ATIVIDADES!A:I,9,0)</f>
        <v>31 - SECRETARIA EXECUTIVA DE POLITICAS DE PROMOÇÃO DA IGUALDADE RACIAL</v>
      </c>
      <c r="F2514" t="str">
        <f t="shared" si="120"/>
        <v>2.011</v>
      </c>
      <c r="G2514" t="str">
        <f t="shared" si="119"/>
        <v>.3.90.30.00</v>
      </c>
    </row>
    <row r="2515" spans="1:7" hidden="1" x14ac:dyDescent="0.25">
      <c r="A2515" s="3" t="str">
        <f t="shared" si="121"/>
        <v>31.001.04.422.0018.2.005.3.3.90.39.00</v>
      </c>
      <c r="B2515" s="28">
        <v>0</v>
      </c>
      <c r="C2515" s="7" t="s">
        <v>4296</v>
      </c>
      <c r="D2515" t="s">
        <v>1741</v>
      </c>
      <c r="E2515" t="str">
        <f>VLOOKUP(LEFT(A2515,2),ConsolidadoLoa27_ATIVIDADES!A:I,9,0)</f>
        <v>31 - SECRETARIA EXECUTIVA DE POLITICAS DE PROMOÇÃO DA IGUALDADE RACIAL</v>
      </c>
      <c r="F2515" t="str">
        <f t="shared" si="120"/>
        <v>2.005</v>
      </c>
      <c r="G2515" t="str">
        <f t="shared" si="119"/>
        <v>.3.90.39.00</v>
      </c>
    </row>
    <row r="2516" spans="1:7" hidden="1" x14ac:dyDescent="0.25">
      <c r="A2516" s="3" t="str">
        <f t="shared" si="121"/>
        <v>31.001.04.122.0001.2.011.4.4.90.52.00</v>
      </c>
      <c r="B2516" s="28">
        <v>0</v>
      </c>
      <c r="C2516" s="7" t="s">
        <v>4296</v>
      </c>
      <c r="D2516" t="s">
        <v>1742</v>
      </c>
      <c r="E2516" t="str">
        <f>VLOOKUP(LEFT(A2516,2),ConsolidadoLoa27_ATIVIDADES!A:I,9,0)</f>
        <v>31 - SECRETARIA EXECUTIVA DE POLITICAS DE PROMOÇÃO DA IGUALDADE RACIAL</v>
      </c>
      <c r="F2516" t="str">
        <f t="shared" si="120"/>
        <v>2.011</v>
      </c>
      <c r="G2516" t="str">
        <f t="shared" si="119"/>
        <v>.4.90.52.00</v>
      </c>
    </row>
    <row r="2517" spans="1:7" hidden="1" x14ac:dyDescent="0.25">
      <c r="A2517" s="3" t="str">
        <f t="shared" si="121"/>
        <v>31.001.04.122.0001.2.011.3.3.90.39.00</v>
      </c>
      <c r="B2517" s="28">
        <v>0</v>
      </c>
      <c r="C2517" s="7" t="s">
        <v>4296</v>
      </c>
      <c r="D2517" t="s">
        <v>1743</v>
      </c>
      <c r="E2517" t="str">
        <f>VLOOKUP(LEFT(A2517,2),ConsolidadoLoa27_ATIVIDADES!A:I,9,0)</f>
        <v>31 - SECRETARIA EXECUTIVA DE POLITICAS DE PROMOÇÃO DA IGUALDADE RACIAL</v>
      </c>
      <c r="F2517" t="str">
        <f t="shared" si="120"/>
        <v>2.011</v>
      </c>
      <c r="G2517" t="str">
        <f t="shared" si="119"/>
        <v>.3.90.39.00</v>
      </c>
    </row>
    <row r="2518" spans="1:7" hidden="1" x14ac:dyDescent="0.25">
      <c r="A2518" s="3" t="str">
        <f t="shared" si="121"/>
        <v>31.001.04.128.0001.2.003.3.3.90.39.00</v>
      </c>
      <c r="B2518" s="28">
        <v>0</v>
      </c>
      <c r="C2518" s="7" t="s">
        <v>4296</v>
      </c>
      <c r="D2518" t="s">
        <v>1744</v>
      </c>
      <c r="E2518" t="str">
        <f>VLOOKUP(LEFT(A2518,2),ConsolidadoLoa27_ATIVIDADES!A:I,9,0)</f>
        <v>31 - SECRETARIA EXECUTIVA DE POLITICAS DE PROMOÇÃO DA IGUALDADE RACIAL</v>
      </c>
      <c r="F2518" t="str">
        <f t="shared" si="120"/>
        <v>2.003</v>
      </c>
      <c r="G2518" t="str">
        <f t="shared" si="119"/>
        <v>.3.90.39.00</v>
      </c>
    </row>
    <row r="2519" spans="1:7" hidden="1" x14ac:dyDescent="0.25">
      <c r="A2519" s="3" t="str">
        <f t="shared" si="121"/>
        <v>31.001.04.422.0002.2.003.3.3.90.35.00</v>
      </c>
      <c r="B2519" s="28">
        <v>0</v>
      </c>
      <c r="C2519" s="7" t="s">
        <v>4296</v>
      </c>
      <c r="D2519" t="s">
        <v>1745</v>
      </c>
      <c r="E2519" t="str">
        <f>VLOOKUP(LEFT(A2519,2),ConsolidadoLoa27_ATIVIDADES!A:I,9,0)</f>
        <v>31 - SECRETARIA EXECUTIVA DE POLITICAS DE PROMOÇÃO DA IGUALDADE RACIAL</v>
      </c>
      <c r="F2519" t="str">
        <f t="shared" si="120"/>
        <v>2.003</v>
      </c>
      <c r="G2519" t="str">
        <f t="shared" si="119"/>
        <v>.3.90.35.00</v>
      </c>
    </row>
    <row r="2520" spans="1:7" hidden="1" x14ac:dyDescent="0.25">
      <c r="A2520" s="3" t="str">
        <f t="shared" si="121"/>
        <v>31.001.14.391.0009.2.029.4.4.90.52.00</v>
      </c>
      <c r="B2520" s="28">
        <v>0</v>
      </c>
      <c r="C2520" s="7" t="s">
        <v>4296</v>
      </c>
      <c r="D2520" t="s">
        <v>1746</v>
      </c>
      <c r="E2520" t="str">
        <f>VLOOKUP(LEFT(A2520,2),ConsolidadoLoa27_ATIVIDADES!A:I,9,0)</f>
        <v>31 - SECRETARIA EXECUTIVA DE POLITICAS DE PROMOÇÃO DA IGUALDADE RACIAL</v>
      </c>
      <c r="F2520" t="str">
        <f t="shared" si="120"/>
        <v>2.029</v>
      </c>
      <c r="G2520" t="str">
        <f t="shared" si="119"/>
        <v>.4.90.52.00</v>
      </c>
    </row>
    <row r="2521" spans="1:7" hidden="1" x14ac:dyDescent="0.25">
      <c r="A2521" s="3" t="str">
        <f t="shared" si="121"/>
        <v>31.001.14.391.0009.1.002.3.3.90.39.00</v>
      </c>
      <c r="B2521" s="28">
        <v>0</v>
      </c>
      <c r="C2521" s="7" t="s">
        <v>4296</v>
      </c>
      <c r="D2521" t="s">
        <v>2184</v>
      </c>
      <c r="E2521" t="str">
        <f>VLOOKUP(LEFT(A2521,2),ConsolidadoLoa27_ATIVIDADES!A:I,9,0)</f>
        <v>31 - SECRETARIA EXECUTIVA DE POLITICAS DE PROMOÇÃO DA IGUALDADE RACIAL</v>
      </c>
      <c r="F2521" t="str">
        <f t="shared" si="120"/>
        <v>1.002</v>
      </c>
      <c r="G2521" t="str">
        <f t="shared" si="119"/>
        <v>.3.90.39.00</v>
      </c>
    </row>
    <row r="2522" spans="1:7" hidden="1" x14ac:dyDescent="0.25">
      <c r="A2522" s="3" t="str">
        <f t="shared" si="121"/>
        <v>31.001.14.131.0002.2.005.3.3.90.39.00</v>
      </c>
      <c r="B2522" s="28">
        <v>0</v>
      </c>
      <c r="C2522" s="7" t="s">
        <v>4296</v>
      </c>
      <c r="D2522" t="s">
        <v>1747</v>
      </c>
      <c r="E2522" t="str">
        <f>VLOOKUP(LEFT(A2522,2),ConsolidadoLoa27_ATIVIDADES!A:I,9,0)</f>
        <v>31 - SECRETARIA EXECUTIVA DE POLITICAS DE PROMOÇÃO DA IGUALDADE RACIAL</v>
      </c>
      <c r="F2522" t="str">
        <f t="shared" si="120"/>
        <v>2.005</v>
      </c>
      <c r="G2522" t="str">
        <f t="shared" si="119"/>
        <v>.3.90.39.00</v>
      </c>
    </row>
    <row r="2523" spans="1:7" hidden="1" x14ac:dyDescent="0.25">
      <c r="A2523" s="3" t="str">
        <f t="shared" si="121"/>
        <v>31.001.14.422.0009.2.029.3.3.90.31.00</v>
      </c>
      <c r="B2523" s="28">
        <v>0</v>
      </c>
      <c r="C2523" s="7" t="s">
        <v>4296</v>
      </c>
      <c r="D2523" t="s">
        <v>1748</v>
      </c>
      <c r="E2523" t="str">
        <f>VLOOKUP(LEFT(A2523,2),ConsolidadoLoa27_ATIVIDADES!A:I,9,0)</f>
        <v>31 - SECRETARIA EXECUTIVA DE POLITICAS DE PROMOÇÃO DA IGUALDADE RACIAL</v>
      </c>
      <c r="F2523" t="str">
        <f t="shared" si="120"/>
        <v>2.029</v>
      </c>
      <c r="G2523" t="str">
        <f t="shared" si="119"/>
        <v>.3.90.31.00</v>
      </c>
    </row>
    <row r="2524" spans="1:7" hidden="1" x14ac:dyDescent="0.25">
      <c r="A2524" s="3" t="str">
        <f t="shared" si="121"/>
        <v>31.001.14.422.0018.2.005.3.3.90.36.00</v>
      </c>
      <c r="B2524" s="28">
        <v>0</v>
      </c>
      <c r="C2524" s="7" t="s">
        <v>4296</v>
      </c>
      <c r="D2524" t="s">
        <v>1749</v>
      </c>
      <c r="E2524" t="str">
        <f>VLOOKUP(LEFT(A2524,2),ConsolidadoLoa27_ATIVIDADES!A:I,9,0)</f>
        <v>31 - SECRETARIA EXECUTIVA DE POLITICAS DE PROMOÇÃO DA IGUALDADE RACIAL</v>
      </c>
      <c r="F2524" t="str">
        <f t="shared" si="120"/>
        <v>2.005</v>
      </c>
      <c r="G2524" t="str">
        <f t="shared" si="119"/>
        <v>.3.90.36.00</v>
      </c>
    </row>
    <row r="2525" spans="1:7" hidden="1" x14ac:dyDescent="0.25">
      <c r="A2525" s="3" t="str">
        <f t="shared" si="121"/>
        <v>31.001.14.422.0018.2.005.3.3.90.39.00</v>
      </c>
      <c r="B2525" s="28">
        <v>0</v>
      </c>
      <c r="C2525" s="7" t="s">
        <v>4296</v>
      </c>
      <c r="D2525" t="s">
        <v>1750</v>
      </c>
      <c r="E2525" t="str">
        <f>VLOOKUP(LEFT(A2525,2),ConsolidadoLoa27_ATIVIDADES!A:I,9,0)</f>
        <v>31 - SECRETARIA EXECUTIVA DE POLITICAS DE PROMOÇÃO DA IGUALDADE RACIAL</v>
      </c>
      <c r="F2525" t="str">
        <f t="shared" si="120"/>
        <v>2.005</v>
      </c>
      <c r="G2525" t="str">
        <f t="shared" si="119"/>
        <v>.3.90.39.00</v>
      </c>
    </row>
    <row r="2526" spans="1:7" hidden="1" x14ac:dyDescent="0.25">
      <c r="A2526" s="3" t="str">
        <f t="shared" si="121"/>
        <v>31.001.14.422.0018.2.005.3.3.90.30.00</v>
      </c>
      <c r="B2526" s="28">
        <v>0</v>
      </c>
      <c r="C2526" s="7" t="s">
        <v>4296</v>
      </c>
      <c r="D2526" t="s">
        <v>1751</v>
      </c>
      <c r="E2526" t="str">
        <f>VLOOKUP(LEFT(A2526,2),ConsolidadoLoa27_ATIVIDADES!A:I,9,0)</f>
        <v>31 - SECRETARIA EXECUTIVA DE POLITICAS DE PROMOÇÃO DA IGUALDADE RACIAL</v>
      </c>
      <c r="F2526" t="str">
        <f t="shared" si="120"/>
        <v>2.005</v>
      </c>
      <c r="G2526" t="str">
        <f t="shared" si="119"/>
        <v>.3.90.30.00</v>
      </c>
    </row>
    <row r="2527" spans="1:7" hidden="1" x14ac:dyDescent="0.25">
      <c r="A2527" s="3" t="str">
        <f t="shared" si="121"/>
        <v>31.001.14.422.0002.2.011.3.3.90.33.00</v>
      </c>
      <c r="B2527" s="28">
        <v>0</v>
      </c>
      <c r="C2527" s="7" t="s">
        <v>4296</v>
      </c>
      <c r="D2527" t="s">
        <v>1752</v>
      </c>
      <c r="E2527" t="str">
        <f>VLOOKUP(LEFT(A2527,2),ConsolidadoLoa27_ATIVIDADES!A:I,9,0)</f>
        <v>31 - SECRETARIA EXECUTIVA DE POLITICAS DE PROMOÇÃO DA IGUALDADE RACIAL</v>
      </c>
      <c r="F2527" t="str">
        <f t="shared" si="120"/>
        <v>2.011</v>
      </c>
      <c r="G2527" t="str">
        <f t="shared" si="119"/>
        <v>.3.90.33.00</v>
      </c>
    </row>
    <row r="2528" spans="1:7" hidden="1" x14ac:dyDescent="0.25">
      <c r="A2528" s="3" t="str">
        <f t="shared" si="121"/>
        <v>31.001.14.422.0002.2.011.3.3.90.39.00</v>
      </c>
      <c r="B2528" s="28">
        <v>0</v>
      </c>
      <c r="C2528" s="7" t="s">
        <v>4296</v>
      </c>
      <c r="D2528" t="s">
        <v>1753</v>
      </c>
      <c r="E2528" t="str">
        <f>VLOOKUP(LEFT(A2528,2),ConsolidadoLoa27_ATIVIDADES!A:I,9,0)</f>
        <v>31 - SECRETARIA EXECUTIVA DE POLITICAS DE PROMOÇÃO DA IGUALDADE RACIAL</v>
      </c>
      <c r="F2528" t="str">
        <f t="shared" si="120"/>
        <v>2.011</v>
      </c>
      <c r="G2528" t="str">
        <f t="shared" si="119"/>
        <v>.3.90.39.00</v>
      </c>
    </row>
    <row r="2529" spans="1:7" hidden="1" x14ac:dyDescent="0.25">
      <c r="A2529" s="3" t="str">
        <f t="shared" si="121"/>
        <v>32.001.04.131.0001.2.005.3.3.90.39.00</v>
      </c>
      <c r="B2529" s="28">
        <v>0</v>
      </c>
      <c r="C2529" s="7" t="s">
        <v>4296</v>
      </c>
      <c r="D2529" t="s">
        <v>1754</v>
      </c>
      <c r="E2529" t="str">
        <f>VLOOKUP(LEFT(A2529,2),ConsolidadoLoa27_ATIVIDADES!A:I,9,0)</f>
        <v>32 - SECRETARIA EXECUTIVA DE POLÍTICAS PARA MULHERES E DIVERSIDADE</v>
      </c>
      <c r="F2529" t="str">
        <f t="shared" si="120"/>
        <v>2.005</v>
      </c>
      <c r="G2529" t="str">
        <f t="shared" si="119"/>
        <v>.3.90.39.00</v>
      </c>
    </row>
    <row r="2530" spans="1:7" hidden="1" x14ac:dyDescent="0.25">
      <c r="A2530" s="3" t="str">
        <f t="shared" si="121"/>
        <v>33.001.04.122.0001.2.006.3.3.90.93.00</v>
      </c>
      <c r="B2530" s="28">
        <v>0</v>
      </c>
      <c r="C2530" s="7" t="s">
        <v>4296</v>
      </c>
      <c r="D2530" t="s">
        <v>1755</v>
      </c>
      <c r="E2530" t="str">
        <f>VLOOKUP(LEFT(A2530,2),ConsolidadoLoa27_ATIVIDADES!A:I,9,0)</f>
        <v>33 - SECRETARIA EXECUTIVA DE COMPRAS E LICITAÇÕES</v>
      </c>
      <c r="F2530" t="str">
        <f t="shared" si="120"/>
        <v>2.006</v>
      </c>
      <c r="G2530" t="str">
        <f t="shared" si="119"/>
        <v>.3.90.93.00</v>
      </c>
    </row>
    <row r="2531" spans="1:7" hidden="1" x14ac:dyDescent="0.25">
      <c r="A2531" s="3" t="str">
        <f t="shared" si="121"/>
        <v>36.001.04.128.0019.2.001.3.3.90.39.00</v>
      </c>
      <c r="B2531" s="28">
        <v>0</v>
      </c>
      <c r="C2531" s="7" t="s">
        <v>4296</v>
      </c>
      <c r="D2531" t="s">
        <v>2185</v>
      </c>
      <c r="E2531" t="str">
        <f>VLOOKUP(LEFT(A2531,2),ConsolidadoLoa27_ATIVIDADES!A:I,9,0)</f>
        <v>36 - SECRETARIA DA FAMÍLIA, CIDADANIA E SEGURANÇA ALIMENTAR</v>
      </c>
      <c r="F2531" t="str">
        <f t="shared" si="120"/>
        <v>2.001</v>
      </c>
      <c r="G2531" t="str">
        <f t="shared" si="119"/>
        <v>.3.90.39.00</v>
      </c>
    </row>
    <row r="2532" spans="1:7" hidden="1" x14ac:dyDescent="0.25">
      <c r="A2532" s="3" t="str">
        <f t="shared" si="121"/>
        <v>36.001.08.244.0019.1.002.3.3.90.39.00</v>
      </c>
      <c r="B2532" s="28">
        <v>0</v>
      </c>
      <c r="C2532" s="7" t="s">
        <v>4296</v>
      </c>
      <c r="D2532" t="s">
        <v>2186</v>
      </c>
      <c r="E2532" t="str">
        <f>VLOOKUP(LEFT(A2532,2),ConsolidadoLoa27_ATIVIDADES!A:I,9,0)</f>
        <v>36 - SECRETARIA DA FAMÍLIA, CIDADANIA E SEGURANÇA ALIMENTAR</v>
      </c>
      <c r="F2532" t="str">
        <f t="shared" si="120"/>
        <v>1.002</v>
      </c>
      <c r="G2532" t="str">
        <f t="shared" si="119"/>
        <v>.3.90.39.00</v>
      </c>
    </row>
  </sheetData>
  <protectedRanges>
    <protectedRange sqref="A2:A2374" name="Intervalo1"/>
    <protectedRange sqref="C679:C2374 C2:C677" name="Intervalo1_1"/>
    <protectedRange sqref="C678" name="Intervalo1_14"/>
  </protectedRanges>
  <autoFilter ref="A1:G2532" xr:uid="{7922EFBC-F754-4526-9DE7-6C4608CD51C4}">
    <filterColumn colId="3">
      <filters>
        <filter val="19.001.04.122.0013..3.3.90.93.00"/>
        <filter val="19.001.04.451.0013..3.3.90.39.00"/>
        <filter val="19.001.15.121.0013.1.002.3.3.90.39.00"/>
        <filter val="19.001.15.126.0013.2.007.3.3.90.39.00"/>
        <filter val="19.001.15.422.0013.2.021.3.3.90.30.00"/>
        <filter val="19.001.15.422.0013.2.021.3.3.90.39.00"/>
        <filter val="19.001.15.451.0013..3.3.90.39.00"/>
        <filter val="19.001.15.451.0013.1.002.3.3.90.39.00"/>
        <filter val="19.001.15.451.0013.1.006."/>
        <filter val="19.001.15.451.0013.1.006.4.4.90.52.00"/>
        <filter val="19.001.15.451.0013.2.011.3.3.90.30.00"/>
        <filter val="19.001.15.451.0013.2.011.3.3.90.36.00"/>
        <filter val="19.001.15.451.0013.2.011.3.3.90.39.00"/>
        <filter val="19.001.15.451.0013.2.011.4.4.90.52.00"/>
        <filter val="19.001.15.451.0013.2.034.3.3.90.39.00"/>
        <filter val="19.001.15.451.0013.2.036.3.3.90.39.00"/>
        <filter val="19.001.15.453.0013.2.010.3.3.90.39.00"/>
        <filter val="19.005.04.451.0013..3.3.90.39.00"/>
        <filter val="19.005.15.126.0013.2.007.3.3.90.39.00"/>
        <filter val="19.005.15.451.0013.2.011.3.3.90.39.00"/>
        <filter val="19.005.15.451.0013.2.034.3.3.90.39.00"/>
      </filters>
    </filterColumn>
    <filterColumn colId="4">
      <filters>
        <filter val="19 - SECRETARIA DE TRANSPORTE E DA MOBILIDADE URBANA"/>
      </filters>
    </filterColumn>
  </autoFilter>
  <conditionalFormatting sqref="C115:C120 C122:C123 C139:C145 C149 C152 C154:C159 C163">
    <cfRule type="expression" dxfId="42" priority="42">
      <formula>ROW()=CELL("lin")</formula>
    </cfRule>
  </conditionalFormatting>
  <conditionalFormatting sqref="C125:C135 C137 C161 C419:C420 C496 C801:C806 C1373">
    <cfRule type="expression" dxfId="41" priority="43">
      <formula>ROW()=CELL("lin")</formula>
    </cfRule>
  </conditionalFormatting>
  <conditionalFormatting sqref="C191">
    <cfRule type="expression" dxfId="40" priority="9">
      <formula>ROW()=CELL("lin")</formula>
    </cfRule>
  </conditionalFormatting>
  <conditionalFormatting sqref="C207:C210 C214:C230">
    <cfRule type="expression" dxfId="39" priority="41">
      <formula>ROW()=CELL("lin")</formula>
    </cfRule>
  </conditionalFormatting>
  <conditionalFormatting sqref="C212">
    <cfRule type="expression" dxfId="38" priority="4">
      <formula>ROW()=CELL("lin")</formula>
    </cfRule>
  </conditionalFormatting>
  <conditionalFormatting sqref="C258">
    <cfRule type="expression" dxfId="37" priority="5">
      <formula>ROW()=CELL("lin")</formula>
    </cfRule>
  </conditionalFormatting>
  <conditionalFormatting sqref="C361">
    <cfRule type="expression" dxfId="36" priority="34">
      <formula>ROW()=CELL("lin")</formula>
    </cfRule>
  </conditionalFormatting>
  <conditionalFormatting sqref="C458">
    <cfRule type="expression" dxfId="35" priority="33">
      <formula>ROW()=CELL("lin")</formula>
    </cfRule>
  </conditionalFormatting>
  <conditionalFormatting sqref="C468:C469">
    <cfRule type="expression" dxfId="34" priority="36">
      <formula>ROW()=CELL("lin")</formula>
    </cfRule>
  </conditionalFormatting>
  <conditionalFormatting sqref="C481:C482">
    <cfRule type="expression" dxfId="33" priority="32">
      <formula>ROW()=CELL("lin")</formula>
    </cfRule>
  </conditionalFormatting>
  <conditionalFormatting sqref="C507">
    <cfRule type="expression" dxfId="32" priority="6">
      <formula>ROW()=CELL("lin")</formula>
    </cfRule>
  </conditionalFormatting>
  <conditionalFormatting sqref="C524:C526">
    <cfRule type="expression" dxfId="31" priority="31">
      <formula>ROW()=CELL("lin")</formula>
    </cfRule>
  </conditionalFormatting>
  <conditionalFormatting sqref="C536:C539">
    <cfRule type="expression" dxfId="30" priority="30">
      <formula>ROW()=CELL("lin")</formula>
    </cfRule>
  </conditionalFormatting>
  <conditionalFormatting sqref="C616">
    <cfRule type="expression" dxfId="29" priority="29">
      <formula>ROW()=CELL("lin")</formula>
    </cfRule>
  </conditionalFormatting>
  <conditionalFormatting sqref="C632:C633">
    <cfRule type="expression" dxfId="28" priority="28">
      <formula>ROW()=CELL("lin")</formula>
    </cfRule>
  </conditionalFormatting>
  <conditionalFormatting sqref="C647">
    <cfRule type="expression" dxfId="27" priority="27">
      <formula>ROW()=CELL("lin")</formula>
    </cfRule>
  </conditionalFormatting>
  <conditionalFormatting sqref="C659">
    <cfRule type="expression" dxfId="26" priority="26">
      <formula>ROW()=CELL("lin")</formula>
    </cfRule>
  </conditionalFormatting>
  <conditionalFormatting sqref="C669:C670">
    <cfRule type="expression" dxfId="25" priority="25">
      <formula>ROW()=CELL("lin")</formula>
    </cfRule>
  </conditionalFormatting>
  <conditionalFormatting sqref="C678">
    <cfRule type="expression" dxfId="24" priority="2">
      <formula>$AX678="CRÉDITO ESPECIAL"</formula>
    </cfRule>
    <cfRule type="expression" dxfId="23" priority="3">
      <formula>"AZ:AZ=""CRÉDITO ESPECIAL"""</formula>
    </cfRule>
  </conditionalFormatting>
  <conditionalFormatting sqref="C761">
    <cfRule type="expression" dxfId="22" priority="24">
      <formula>ROW()=CELL("lin")</formula>
    </cfRule>
  </conditionalFormatting>
  <conditionalFormatting sqref="C808">
    <cfRule type="expression" dxfId="21" priority="23">
      <formula>ROW()=CELL("lin")</formula>
    </cfRule>
  </conditionalFormatting>
  <conditionalFormatting sqref="C833">
    <cfRule type="expression" dxfId="20" priority="22">
      <formula>ROW()=CELL("lin")</formula>
    </cfRule>
  </conditionalFormatting>
  <conditionalFormatting sqref="C849">
    <cfRule type="expression" dxfId="19" priority="21">
      <formula>ROW()=CELL("lin")</formula>
    </cfRule>
  </conditionalFormatting>
  <conditionalFormatting sqref="C1038:C1039">
    <cfRule type="expression" dxfId="18" priority="20">
      <formula>ROW()=CELL("lin")</formula>
    </cfRule>
  </conditionalFormatting>
  <conditionalFormatting sqref="C1044">
    <cfRule type="expression" dxfId="17" priority="1">
      <formula>ROW()=CELL("lin")</formula>
    </cfRule>
  </conditionalFormatting>
  <conditionalFormatting sqref="C1118">
    <cfRule type="expression" dxfId="16" priority="19">
      <formula>ROW()=CELL("lin")</formula>
    </cfRule>
  </conditionalFormatting>
  <conditionalFormatting sqref="C1141:C1145">
    <cfRule type="expression" dxfId="15" priority="35">
      <formula>ROW()=CELL("lin")</formula>
    </cfRule>
  </conditionalFormatting>
  <conditionalFormatting sqref="C1186:C1188">
    <cfRule type="expression" dxfId="14" priority="18">
      <formula>ROW()=CELL("lin")</formula>
    </cfRule>
  </conditionalFormatting>
  <conditionalFormatting sqref="C1228">
    <cfRule type="expression" dxfId="13" priority="17">
      <formula>ROW()=CELL("lin")</formula>
    </cfRule>
  </conditionalFormatting>
  <conditionalFormatting sqref="C1230:C1232">
    <cfRule type="expression" dxfId="12" priority="16">
      <formula>ROW()=CELL("lin")</formula>
    </cfRule>
  </conditionalFormatting>
  <conditionalFormatting sqref="C1285">
    <cfRule type="expression" dxfId="11" priority="15">
      <formula>ROW()=CELL("lin")</formula>
    </cfRule>
  </conditionalFormatting>
  <conditionalFormatting sqref="C1362">
    <cfRule type="expression" dxfId="10" priority="14">
      <formula>ROW()=CELL("lin")</formula>
    </cfRule>
  </conditionalFormatting>
  <conditionalFormatting sqref="C1367:C1369">
    <cfRule type="expression" dxfId="9" priority="13">
      <formula>ROW()=CELL("lin")</formula>
    </cfRule>
  </conditionalFormatting>
  <conditionalFormatting sqref="C1385">
    <cfRule type="expression" dxfId="8" priority="12">
      <formula>ROW()=CELL("lin")</formula>
    </cfRule>
  </conditionalFormatting>
  <conditionalFormatting sqref="C1395">
    <cfRule type="expression" dxfId="7" priority="11">
      <formula>ROW()=CELL("lin")</formula>
    </cfRule>
  </conditionalFormatting>
  <conditionalFormatting sqref="C1414">
    <cfRule type="expression" dxfId="6" priority="10">
      <formula>ROW()=CELL("lin")</formula>
    </cfRule>
  </conditionalFormatting>
  <conditionalFormatting sqref="C2005">
    <cfRule type="expression" dxfId="5" priority="40">
      <formula>ROW()=CELL("lin")</formula>
    </cfRule>
  </conditionalFormatting>
  <conditionalFormatting sqref="C2013">
    <cfRule type="expression" dxfId="4" priority="39">
      <formula>ROW()=CELL("lin")</formula>
    </cfRule>
  </conditionalFormatting>
  <conditionalFormatting sqref="C2055">
    <cfRule type="expression" dxfId="3" priority="38">
      <formula>ROW()=CELL("lin")</formula>
    </cfRule>
  </conditionalFormatting>
  <conditionalFormatting sqref="C2061:C2062">
    <cfRule type="expression" dxfId="2" priority="7">
      <formula>ROW()=CELL("lin")</formula>
    </cfRule>
  </conditionalFormatting>
  <conditionalFormatting sqref="C2078">
    <cfRule type="expression" dxfId="1" priority="37">
      <formula>ROW()=CELL("lin")</formula>
    </cfRule>
  </conditionalFormatting>
  <conditionalFormatting sqref="C2238">
    <cfRule type="expression" dxfId="0" priority="8">
      <formula>ROW()=CELL("lin")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C7A3-9172-4E6F-8E56-8DA44F7D6264}">
  <dimension ref="A3:F43"/>
  <sheetViews>
    <sheetView topLeftCell="A14" workbookViewId="0">
      <selection activeCell="C47" sqref="C47"/>
    </sheetView>
  </sheetViews>
  <sheetFormatPr defaultRowHeight="15" x14ac:dyDescent="0.25"/>
  <cols>
    <col min="1" max="1" width="38.5703125" bestFit="1" customWidth="1"/>
    <col min="2" max="2" width="32.42578125" bestFit="1" customWidth="1"/>
    <col min="3" max="3" width="11" bestFit="1" customWidth="1"/>
    <col min="4" max="4" width="20.42578125" bestFit="1" customWidth="1"/>
    <col min="5" max="5" width="15.42578125" bestFit="1" customWidth="1"/>
    <col min="6" max="6" width="17.85546875" style="9" customWidth="1"/>
    <col min="7" max="9" width="11.85546875" customWidth="1"/>
  </cols>
  <sheetData>
    <row r="3" spans="1:6" x14ac:dyDescent="0.25">
      <c r="A3" s="24" t="s">
        <v>8</v>
      </c>
      <c r="B3" t="s">
        <v>4298</v>
      </c>
    </row>
    <row r="4" spans="1:6" x14ac:dyDescent="0.25">
      <c r="A4" s="24" t="s">
        <v>9</v>
      </c>
      <c r="B4" t="s">
        <v>4298</v>
      </c>
    </row>
    <row r="5" spans="1:6" x14ac:dyDescent="0.25">
      <c r="A5" s="24" t="s">
        <v>5</v>
      </c>
      <c r="B5" t="s">
        <v>4315</v>
      </c>
    </row>
    <row r="7" spans="1:6" x14ac:dyDescent="0.25">
      <c r="A7" s="24" t="s">
        <v>4299</v>
      </c>
      <c r="D7" s="24" t="s">
        <v>11</v>
      </c>
    </row>
    <row r="8" spans="1:6" x14ac:dyDescent="0.25">
      <c r="A8" s="24" t="s">
        <v>4297</v>
      </c>
      <c r="B8" s="24" t="s">
        <v>7</v>
      </c>
      <c r="C8" s="24" t="s">
        <v>6</v>
      </c>
      <c r="D8" t="s">
        <v>1035</v>
      </c>
      <c r="E8" t="s">
        <v>27</v>
      </c>
      <c r="F8" s="9" t="s">
        <v>4302</v>
      </c>
    </row>
    <row r="9" spans="1:6" x14ac:dyDescent="0.25">
      <c r="A9" t="s">
        <v>1034</v>
      </c>
      <c r="D9" s="25">
        <v>148065765</v>
      </c>
      <c r="E9" s="25">
        <v>148065765</v>
      </c>
      <c r="F9" s="9">
        <f t="shared" ref="F9:F42" si="0">D9-E9</f>
        <v>0</v>
      </c>
    </row>
    <row r="10" spans="1:6" x14ac:dyDescent="0.25">
      <c r="A10" t="s">
        <v>19</v>
      </c>
      <c r="D10" s="25">
        <v>18874618.790596001</v>
      </c>
      <c r="E10" s="25">
        <v>11899869.02</v>
      </c>
      <c r="F10" s="9">
        <f t="shared" si="0"/>
        <v>6974749.7705960013</v>
      </c>
    </row>
    <row r="11" spans="1:6" x14ac:dyDescent="0.25">
      <c r="A11" t="s">
        <v>55</v>
      </c>
      <c r="D11" s="25">
        <v>62642563.059999995</v>
      </c>
      <c r="E11" s="25">
        <v>75652773.540000007</v>
      </c>
      <c r="F11" s="9">
        <f t="shared" si="0"/>
        <v>-13010210.480000012</v>
      </c>
    </row>
    <row r="12" spans="1:6" x14ac:dyDescent="0.25">
      <c r="A12" t="s">
        <v>91</v>
      </c>
      <c r="D12" s="25">
        <v>33757519.046370007</v>
      </c>
      <c r="E12" s="25">
        <v>35154693.920000002</v>
      </c>
      <c r="F12" s="9">
        <f t="shared" si="0"/>
        <v>-1397174.8736299947</v>
      </c>
    </row>
    <row r="13" spans="1:6" x14ac:dyDescent="0.25">
      <c r="A13" t="s">
        <v>109</v>
      </c>
      <c r="D13" s="25">
        <v>37676638.210899994</v>
      </c>
      <c r="E13" s="25">
        <v>37231191.560000002</v>
      </c>
      <c r="F13" s="9">
        <f t="shared" si="0"/>
        <v>445446.65089999139</v>
      </c>
    </row>
    <row r="14" spans="1:6" x14ac:dyDescent="0.25">
      <c r="A14" t="s">
        <v>128</v>
      </c>
      <c r="D14" s="25">
        <v>57883744.77040001</v>
      </c>
      <c r="E14" s="25">
        <v>26648767.059999995</v>
      </c>
      <c r="F14" s="9">
        <f t="shared" si="0"/>
        <v>31234977.710400015</v>
      </c>
    </row>
    <row r="15" spans="1:6" x14ac:dyDescent="0.25">
      <c r="A15" t="s">
        <v>167</v>
      </c>
      <c r="D15" s="25">
        <v>1841956455.5008073</v>
      </c>
      <c r="E15" s="25">
        <v>1964785327.3800001</v>
      </c>
      <c r="F15" s="9">
        <f t="shared" si="0"/>
        <v>-122828871.87919283</v>
      </c>
    </row>
    <row r="16" spans="1:6" x14ac:dyDescent="0.25">
      <c r="A16" t="s">
        <v>309</v>
      </c>
      <c r="D16" s="25">
        <v>1188252747.1801734</v>
      </c>
      <c r="E16" s="25">
        <v>1394163932.3</v>
      </c>
      <c r="F16" s="9">
        <f t="shared" si="0"/>
        <v>-205911185.11982656</v>
      </c>
    </row>
    <row r="17" spans="1:6" x14ac:dyDescent="0.25">
      <c r="A17" t="s">
        <v>439</v>
      </c>
      <c r="D17" s="25">
        <v>438662678.03611702</v>
      </c>
      <c r="E17" s="25">
        <v>512219201.66999996</v>
      </c>
      <c r="F17" s="9">
        <f t="shared" si="0"/>
        <v>-73556523.63388294</v>
      </c>
    </row>
    <row r="18" spans="1:6" x14ac:dyDescent="0.25">
      <c r="A18" t="s">
        <v>533</v>
      </c>
      <c r="D18" s="25">
        <v>30836077.022799999</v>
      </c>
      <c r="E18" s="25">
        <v>23349506.530000001</v>
      </c>
      <c r="F18" s="9">
        <f t="shared" si="0"/>
        <v>7486570.4927999973</v>
      </c>
    </row>
    <row r="19" spans="1:6" x14ac:dyDescent="0.25">
      <c r="A19" t="s">
        <v>560</v>
      </c>
      <c r="D19" s="25">
        <v>57373716.272100002</v>
      </c>
      <c r="E19" s="25">
        <v>102870720.33</v>
      </c>
      <c r="F19" s="9">
        <f t="shared" si="0"/>
        <v>-45497004.057899997</v>
      </c>
    </row>
    <row r="20" spans="1:6" x14ac:dyDescent="0.25">
      <c r="A20" t="s">
        <v>612</v>
      </c>
      <c r="D20" s="25">
        <v>153343092.0253</v>
      </c>
      <c r="E20" s="25">
        <v>105351091.42999999</v>
      </c>
      <c r="F20" s="9">
        <f t="shared" si="0"/>
        <v>47992000.595300004</v>
      </c>
    </row>
    <row r="21" spans="1:6" x14ac:dyDescent="0.25">
      <c r="A21" t="s">
        <v>696</v>
      </c>
      <c r="D21" s="25">
        <v>23307959.339000005</v>
      </c>
      <c r="E21" s="25">
        <v>26360155.219999999</v>
      </c>
      <c r="F21" s="9">
        <f t="shared" si="0"/>
        <v>-3052195.8809999935</v>
      </c>
    </row>
    <row r="22" spans="1:6" x14ac:dyDescent="0.25">
      <c r="A22" t="s">
        <v>712</v>
      </c>
      <c r="D22" s="25">
        <v>23660450.118900001</v>
      </c>
      <c r="E22" s="25">
        <v>21816671.969999999</v>
      </c>
      <c r="F22" s="9">
        <f t="shared" si="0"/>
        <v>1843778.1489000022</v>
      </c>
    </row>
    <row r="23" spans="1:6" x14ac:dyDescent="0.25">
      <c r="A23" t="s">
        <v>737</v>
      </c>
      <c r="D23" s="25">
        <v>25281006.461799998</v>
      </c>
      <c r="E23" s="25">
        <v>27380420.269999996</v>
      </c>
      <c r="F23" s="9">
        <f t="shared" si="0"/>
        <v>-2099413.808199998</v>
      </c>
    </row>
    <row r="24" spans="1:6" x14ac:dyDescent="0.25">
      <c r="A24" t="s">
        <v>774</v>
      </c>
      <c r="D24" s="25">
        <v>109277916.86560699</v>
      </c>
      <c r="E24" s="25">
        <v>87708375</v>
      </c>
      <c r="F24" s="9">
        <f t="shared" si="0"/>
        <v>21569541.865606993</v>
      </c>
    </row>
    <row r="25" spans="1:6" x14ac:dyDescent="0.25">
      <c r="A25" t="s">
        <v>789</v>
      </c>
      <c r="D25" s="25">
        <v>431867818.57151598</v>
      </c>
      <c r="E25" s="25">
        <v>390996349.73000002</v>
      </c>
      <c r="F25" s="9">
        <f t="shared" si="0"/>
        <v>40871468.841515958</v>
      </c>
    </row>
    <row r="26" spans="1:6" x14ac:dyDescent="0.25">
      <c r="A26" t="s">
        <v>815</v>
      </c>
      <c r="D26" s="25">
        <v>99723409.513400003</v>
      </c>
      <c r="E26" s="25">
        <v>119593322.99000001</v>
      </c>
      <c r="F26" s="9">
        <f t="shared" si="0"/>
        <v>-19869913.476600006</v>
      </c>
    </row>
    <row r="27" spans="1:6" x14ac:dyDescent="0.25">
      <c r="A27" t="s">
        <v>844</v>
      </c>
      <c r="D27" s="25">
        <v>91706341.907999992</v>
      </c>
      <c r="E27" s="25">
        <v>138110842.51000002</v>
      </c>
      <c r="F27" s="9">
        <f t="shared" si="0"/>
        <v>-46404500.602000028</v>
      </c>
    </row>
    <row r="28" spans="1:6" x14ac:dyDescent="0.25">
      <c r="A28" t="s">
        <v>864</v>
      </c>
      <c r="D28" s="25">
        <v>101216567.46439999</v>
      </c>
      <c r="E28" s="25">
        <v>166533168.52999997</v>
      </c>
      <c r="F28" s="9">
        <f t="shared" si="0"/>
        <v>-65316601.065599978</v>
      </c>
    </row>
    <row r="29" spans="1:6" x14ac:dyDescent="0.25">
      <c r="A29" t="s">
        <v>1454</v>
      </c>
      <c r="D29" s="25">
        <v>23896825.550000012</v>
      </c>
      <c r="E29" s="25">
        <v>23896825.550000012</v>
      </c>
      <c r="F29" s="9">
        <f t="shared" si="0"/>
        <v>0</v>
      </c>
    </row>
    <row r="30" spans="1:6" x14ac:dyDescent="0.25">
      <c r="A30" t="s">
        <v>874</v>
      </c>
      <c r="D30" s="25">
        <v>42892669.991799995</v>
      </c>
      <c r="E30" s="25">
        <v>64430745.560000002</v>
      </c>
      <c r="F30" s="9">
        <f t="shared" si="0"/>
        <v>-21538075.568200007</v>
      </c>
    </row>
    <row r="31" spans="1:6" x14ac:dyDescent="0.25">
      <c r="A31" t="s">
        <v>879</v>
      </c>
      <c r="D31" s="25">
        <v>17517309.8204</v>
      </c>
      <c r="E31" s="25">
        <v>28887997.440000001</v>
      </c>
      <c r="F31" s="9">
        <f t="shared" si="0"/>
        <v>-11370687.619600002</v>
      </c>
    </row>
    <row r="32" spans="1:6" x14ac:dyDescent="0.25">
      <c r="A32" t="s">
        <v>898</v>
      </c>
      <c r="D32" s="25">
        <v>9882530.7995000016</v>
      </c>
      <c r="E32" s="25">
        <v>9179189.3700000029</v>
      </c>
      <c r="F32" s="9">
        <f t="shared" si="0"/>
        <v>703341.42949999869</v>
      </c>
    </row>
    <row r="33" spans="1:6" x14ac:dyDescent="0.25">
      <c r="A33" t="s">
        <v>907</v>
      </c>
      <c r="D33" s="25">
        <v>25505296.739999998</v>
      </c>
      <c r="E33" s="25">
        <v>24289429.800000001</v>
      </c>
      <c r="F33" s="9">
        <f t="shared" si="0"/>
        <v>1215866.9399999976</v>
      </c>
    </row>
    <row r="34" spans="1:6" x14ac:dyDescent="0.25">
      <c r="A34" t="s">
        <v>1528</v>
      </c>
      <c r="D34" s="25">
        <v>20921404.872200001</v>
      </c>
      <c r="E34" s="25">
        <v>28588395.312200002</v>
      </c>
      <c r="F34" s="9">
        <f t="shared" si="0"/>
        <v>-7666990.4400000013</v>
      </c>
    </row>
    <row r="35" spans="1:6" x14ac:dyDescent="0.25">
      <c r="A35" t="s">
        <v>911</v>
      </c>
      <c r="D35" s="25">
        <v>6992941.3099999996</v>
      </c>
      <c r="E35" s="25">
        <v>8383824.5499999998</v>
      </c>
      <c r="F35" s="9">
        <f t="shared" si="0"/>
        <v>-1390883.2400000002</v>
      </c>
    </row>
    <row r="36" spans="1:6" x14ac:dyDescent="0.25">
      <c r="A36" t="s">
        <v>920</v>
      </c>
      <c r="D36" s="25">
        <v>4181207.4827999999</v>
      </c>
      <c r="E36" s="25">
        <v>4706190.6400000006</v>
      </c>
      <c r="F36" s="9">
        <f t="shared" si="0"/>
        <v>-524983.15720000071</v>
      </c>
    </row>
    <row r="37" spans="1:6" x14ac:dyDescent="0.25">
      <c r="A37" t="s">
        <v>949</v>
      </c>
      <c r="D37" s="25">
        <v>6570617.0855999999</v>
      </c>
      <c r="E37" s="25">
        <v>6089033.3300000001</v>
      </c>
      <c r="F37" s="9">
        <f t="shared" si="0"/>
        <v>481583.7555999998</v>
      </c>
    </row>
    <row r="38" spans="1:6" x14ac:dyDescent="0.25">
      <c r="A38" t="s">
        <v>958</v>
      </c>
      <c r="D38" s="25">
        <v>10989635.809999999</v>
      </c>
      <c r="E38" s="25">
        <v>9896433.3500000015</v>
      </c>
      <c r="F38" s="9">
        <f t="shared" si="0"/>
        <v>1093202.4599999972</v>
      </c>
    </row>
    <row r="39" spans="1:6" x14ac:dyDescent="0.25">
      <c r="A39" t="s">
        <v>977</v>
      </c>
      <c r="D39" s="25">
        <v>7380412.7799999993</v>
      </c>
      <c r="E39" s="25">
        <v>7725148.5099999988</v>
      </c>
      <c r="F39" s="9">
        <f t="shared" si="0"/>
        <v>-344735.72999999952</v>
      </c>
    </row>
    <row r="40" spans="1:6" x14ac:dyDescent="0.25">
      <c r="A40" t="s">
        <v>1003</v>
      </c>
      <c r="D40" s="25">
        <v>10301068.4705</v>
      </c>
      <c r="E40" s="25">
        <v>7540607.7646000003</v>
      </c>
      <c r="F40" s="9">
        <f t="shared" si="0"/>
        <v>2760460.7058999995</v>
      </c>
    </row>
    <row r="41" spans="1:6" x14ac:dyDescent="0.25">
      <c r="A41" t="s">
        <v>1432</v>
      </c>
      <c r="D41" s="25">
        <v>590133000</v>
      </c>
      <c r="E41" s="25">
        <v>590133000</v>
      </c>
      <c r="F41" s="9">
        <f t="shared" si="0"/>
        <v>0</v>
      </c>
    </row>
    <row r="42" spans="1:6" x14ac:dyDescent="0.25">
      <c r="A42" t="s">
        <v>4307</v>
      </c>
      <c r="D42" s="25">
        <v>4699297.03</v>
      </c>
      <c r="E42" s="25">
        <v>3543536.9899999998</v>
      </c>
      <c r="F42" s="9">
        <f t="shared" si="0"/>
        <v>1155760.0400000005</v>
      </c>
    </row>
    <row r="43" spans="1:6" x14ac:dyDescent="0.25">
      <c r="A43" t="s">
        <v>4300</v>
      </c>
      <c r="D43" s="25">
        <v>5757231302.9009876</v>
      </c>
      <c r="E43" s="25">
        <v>6233182504.1268024</v>
      </c>
      <c r="F43" s="9">
        <f>D43-E43</f>
        <v>-475951201.22581482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0CEE-D90E-4A9F-8E34-F280025C88FD}">
  <dimension ref="A1:K294"/>
  <sheetViews>
    <sheetView topLeftCell="A43" zoomScale="115" zoomScaleNormal="115" workbookViewId="0">
      <selection activeCell="C3" sqref="C3"/>
    </sheetView>
  </sheetViews>
  <sheetFormatPr defaultRowHeight="15" x14ac:dyDescent="0.25"/>
  <cols>
    <col min="1" max="1" width="101.42578125" bestFit="1" customWidth="1"/>
    <col min="5" max="5" width="81.28515625" bestFit="1" customWidth="1"/>
    <col min="7" max="7" width="50.140625" customWidth="1"/>
    <col min="9" max="9" width="27" customWidth="1"/>
  </cols>
  <sheetData>
    <row r="1" spans="1:11" x14ac:dyDescent="0.25">
      <c r="A1" t="s">
        <v>1</v>
      </c>
      <c r="C1" t="s">
        <v>2</v>
      </c>
      <c r="E1" t="s">
        <v>3</v>
      </c>
      <c r="G1" t="s">
        <v>4</v>
      </c>
      <c r="I1" t="s">
        <v>5</v>
      </c>
      <c r="K1" t="s">
        <v>6</v>
      </c>
    </row>
    <row r="2" spans="1:11" x14ac:dyDescent="0.25">
      <c r="A2" t="s">
        <v>20</v>
      </c>
      <c r="C2" t="s">
        <v>21</v>
      </c>
      <c r="E2" t="s">
        <v>22</v>
      </c>
      <c r="G2" t="s">
        <v>23</v>
      </c>
      <c r="I2" t="s">
        <v>24</v>
      </c>
      <c r="K2" t="s">
        <v>25</v>
      </c>
    </row>
    <row r="3" spans="1:11" x14ac:dyDescent="0.25">
      <c r="A3" t="s">
        <v>48</v>
      </c>
      <c r="C3" t="s">
        <v>140</v>
      </c>
      <c r="E3" t="s">
        <v>57</v>
      </c>
      <c r="G3" t="s">
        <v>58</v>
      </c>
      <c r="I3" t="s">
        <v>59</v>
      </c>
      <c r="K3" t="s">
        <v>32</v>
      </c>
    </row>
    <row r="4" spans="1:11" x14ac:dyDescent="0.25">
      <c r="A4" t="s">
        <v>56</v>
      </c>
      <c r="C4" t="s">
        <v>169</v>
      </c>
      <c r="E4" t="s">
        <v>124</v>
      </c>
      <c r="G4" t="s">
        <v>142</v>
      </c>
      <c r="I4" t="s">
        <v>125</v>
      </c>
      <c r="K4" t="s">
        <v>35</v>
      </c>
    </row>
    <row r="5" spans="1:11" x14ac:dyDescent="0.25">
      <c r="A5" t="s">
        <v>92</v>
      </c>
      <c r="C5" t="s">
        <v>325</v>
      </c>
      <c r="E5" t="s">
        <v>141</v>
      </c>
      <c r="G5" t="s">
        <v>174</v>
      </c>
      <c r="I5" t="s">
        <v>130</v>
      </c>
      <c r="K5" t="s">
        <v>38</v>
      </c>
    </row>
    <row r="6" spans="1:11" x14ac:dyDescent="0.25">
      <c r="A6" t="s">
        <v>110</v>
      </c>
      <c r="C6" t="s">
        <v>490</v>
      </c>
      <c r="E6" t="s">
        <v>147</v>
      </c>
      <c r="G6" t="s">
        <v>327</v>
      </c>
      <c r="I6" t="s">
        <v>134</v>
      </c>
      <c r="K6" t="s">
        <v>41</v>
      </c>
    </row>
    <row r="7" spans="1:11" x14ac:dyDescent="0.25">
      <c r="A7" t="s">
        <v>123</v>
      </c>
      <c r="C7" t="s">
        <v>511</v>
      </c>
      <c r="E7" t="s">
        <v>173</v>
      </c>
      <c r="G7" t="s">
        <v>362</v>
      </c>
      <c r="I7" t="s">
        <v>143</v>
      </c>
      <c r="K7" t="s">
        <v>60</v>
      </c>
    </row>
    <row r="8" spans="1:11" x14ac:dyDescent="0.25">
      <c r="A8" t="s">
        <v>129</v>
      </c>
      <c r="C8" t="s">
        <v>519</v>
      </c>
      <c r="E8" t="s">
        <v>176</v>
      </c>
      <c r="G8" t="s">
        <v>442</v>
      </c>
      <c r="I8" t="s">
        <v>148</v>
      </c>
      <c r="K8" t="s">
        <v>70</v>
      </c>
    </row>
    <row r="9" spans="1:11" x14ac:dyDescent="0.25">
      <c r="A9" t="s">
        <v>161</v>
      </c>
      <c r="C9" t="s">
        <v>553</v>
      </c>
      <c r="E9" t="s">
        <v>208</v>
      </c>
      <c r="G9" t="s">
        <v>452</v>
      </c>
      <c r="I9" t="s">
        <v>153</v>
      </c>
      <c r="K9" t="s">
        <v>74</v>
      </c>
    </row>
    <row r="10" spans="1:11" x14ac:dyDescent="0.25">
      <c r="A10" t="s">
        <v>168</v>
      </c>
      <c r="C10" t="s">
        <v>597</v>
      </c>
      <c r="E10" t="s">
        <v>244</v>
      </c>
      <c r="G10" t="s">
        <v>492</v>
      </c>
      <c r="I10" t="s">
        <v>158</v>
      </c>
      <c r="K10" t="s">
        <v>81</v>
      </c>
    </row>
    <row r="11" spans="1:11" x14ac:dyDescent="0.25">
      <c r="A11" t="s">
        <v>310</v>
      </c>
      <c r="C11" t="s">
        <v>638</v>
      </c>
      <c r="E11" t="s">
        <v>282</v>
      </c>
      <c r="G11" t="s">
        <v>512</v>
      </c>
      <c r="I11" t="s">
        <v>163</v>
      </c>
      <c r="K11" t="s">
        <v>119</v>
      </c>
    </row>
    <row r="12" spans="1:11" x14ac:dyDescent="0.25">
      <c r="A12" t="s">
        <v>324</v>
      </c>
      <c r="C12" t="s">
        <v>698</v>
      </c>
      <c r="E12" t="s">
        <v>288</v>
      </c>
      <c r="G12" t="s">
        <v>521</v>
      </c>
      <c r="I12" t="s">
        <v>179</v>
      </c>
      <c r="K12" t="s">
        <v>132</v>
      </c>
    </row>
    <row r="13" spans="1:11" x14ac:dyDescent="0.25">
      <c r="A13" t="s">
        <v>336</v>
      </c>
      <c r="C13" t="s">
        <v>714</v>
      </c>
      <c r="E13" t="s">
        <v>313</v>
      </c>
      <c r="G13" t="s">
        <v>543</v>
      </c>
      <c r="I13" t="s">
        <v>183</v>
      </c>
      <c r="K13" t="s">
        <v>154</v>
      </c>
    </row>
    <row r="14" spans="1:11" x14ac:dyDescent="0.25">
      <c r="A14" t="s">
        <v>348</v>
      </c>
      <c r="C14" t="s">
        <v>866</v>
      </c>
      <c r="E14" t="s">
        <v>326</v>
      </c>
      <c r="G14" t="s">
        <v>599</v>
      </c>
      <c r="I14" t="s">
        <v>202</v>
      </c>
      <c r="K14" t="s">
        <v>180</v>
      </c>
    </row>
    <row r="15" spans="1:11" x14ac:dyDescent="0.25">
      <c r="A15" t="s">
        <v>355</v>
      </c>
      <c r="C15" t="s">
        <v>914</v>
      </c>
      <c r="E15" t="s">
        <v>356</v>
      </c>
      <c r="G15" t="s">
        <v>640</v>
      </c>
      <c r="I15" t="s">
        <v>249</v>
      </c>
      <c r="K15" t="s">
        <v>187</v>
      </c>
    </row>
    <row r="16" spans="1:11" x14ac:dyDescent="0.25">
      <c r="A16" t="s">
        <v>361</v>
      </c>
      <c r="C16" t="e">
        <f>VLOOKUP(#REF!,$E$1:$T$994,9,0)</f>
        <v>#REF!</v>
      </c>
      <c r="E16" t="s">
        <v>372</v>
      </c>
      <c r="G16" t="s">
        <v>645</v>
      </c>
      <c r="I16" t="s">
        <v>271</v>
      </c>
      <c r="K16" t="s">
        <v>193</v>
      </c>
    </row>
    <row r="17" spans="1:11" x14ac:dyDescent="0.25">
      <c r="A17" t="s">
        <v>371</v>
      </c>
      <c r="E17" t="s">
        <v>441</v>
      </c>
      <c r="G17" t="s">
        <v>699</v>
      </c>
      <c r="I17" t="s">
        <v>283</v>
      </c>
      <c r="K17" t="s">
        <v>205</v>
      </c>
    </row>
    <row r="18" spans="1:11" x14ac:dyDescent="0.25">
      <c r="A18" t="s">
        <v>440</v>
      </c>
      <c r="E18" t="s">
        <v>469</v>
      </c>
      <c r="G18" t="s">
        <v>715</v>
      </c>
      <c r="I18" t="s">
        <v>296</v>
      </c>
      <c r="K18" t="s">
        <v>264</v>
      </c>
    </row>
    <row r="19" spans="1:11" x14ac:dyDescent="0.25">
      <c r="A19" t="s">
        <v>474</v>
      </c>
      <c r="E19" t="s">
        <v>491</v>
      </c>
      <c r="G19" t="s">
        <v>867</v>
      </c>
      <c r="I19" t="s">
        <v>301</v>
      </c>
      <c r="K19" t="s">
        <v>304</v>
      </c>
    </row>
    <row r="20" spans="1:11" x14ac:dyDescent="0.25">
      <c r="A20" t="s">
        <v>534</v>
      </c>
      <c r="E20" t="s">
        <v>496</v>
      </c>
      <c r="G20" t="e">
        <f>#REF!</f>
        <v>#REF!</v>
      </c>
      <c r="I20" t="s">
        <v>306</v>
      </c>
      <c r="K20" t="s">
        <v>328</v>
      </c>
    </row>
    <row r="21" spans="1:11" x14ac:dyDescent="0.25">
      <c r="A21" t="s">
        <v>561</v>
      </c>
      <c r="E21" t="s">
        <v>520</v>
      </c>
      <c r="I21" t="s">
        <v>339</v>
      </c>
    </row>
    <row r="22" spans="1:11" x14ac:dyDescent="0.25">
      <c r="A22" t="s">
        <v>585</v>
      </c>
      <c r="E22" t="s">
        <v>526</v>
      </c>
      <c r="I22" t="s">
        <v>349</v>
      </c>
      <c r="K22" t="s">
        <v>482</v>
      </c>
    </row>
    <row r="23" spans="1:11" x14ac:dyDescent="0.25">
      <c r="A23" t="s">
        <v>613</v>
      </c>
      <c r="E23" t="s">
        <v>542</v>
      </c>
      <c r="I23" t="s">
        <v>357</v>
      </c>
      <c r="K23" t="s">
        <v>654</v>
      </c>
    </row>
    <row r="24" spans="1:11" x14ac:dyDescent="0.25">
      <c r="A24" t="s">
        <v>619</v>
      </c>
      <c r="E24" t="s">
        <v>556</v>
      </c>
      <c r="I24" t="s">
        <v>396</v>
      </c>
      <c r="K24" t="s">
        <v>708</v>
      </c>
    </row>
    <row r="25" spans="1:11" x14ac:dyDescent="0.25">
      <c r="A25" t="s">
        <v>660</v>
      </c>
      <c r="E25" t="s">
        <v>598</v>
      </c>
      <c r="I25" t="s">
        <v>443</v>
      </c>
      <c r="K25" t="s">
        <v>783</v>
      </c>
    </row>
    <row r="26" spans="1:11" x14ac:dyDescent="0.25">
      <c r="A26" t="s">
        <v>683</v>
      </c>
      <c r="E26" t="s">
        <v>614</v>
      </c>
      <c r="I26" t="s">
        <v>470</v>
      </c>
      <c r="K26" t="s">
        <v>807</v>
      </c>
    </row>
    <row r="27" spans="1:11" x14ac:dyDescent="0.25">
      <c r="A27" t="s">
        <v>697</v>
      </c>
      <c r="E27" t="s">
        <v>639</v>
      </c>
      <c r="I27" t="s">
        <v>493</v>
      </c>
      <c r="K27" t="s">
        <v>931</v>
      </c>
    </row>
    <row r="28" spans="1:11" x14ac:dyDescent="0.25">
      <c r="A28" t="s">
        <v>713</v>
      </c>
      <c r="E28" t="s">
        <v>687</v>
      </c>
      <c r="I28" t="s">
        <v>497</v>
      </c>
      <c r="K28" t="e">
        <f>VLOOKUP(#REF!,$L$1:$T$994,9,0)</f>
        <v>#REF!</v>
      </c>
    </row>
    <row r="29" spans="1:11" x14ac:dyDescent="0.25">
      <c r="A29" t="s">
        <v>738</v>
      </c>
      <c r="E29" t="s">
        <v>701</v>
      </c>
      <c r="I29" t="s">
        <v>513</v>
      </c>
    </row>
    <row r="30" spans="1:11" x14ac:dyDescent="0.25">
      <c r="A30" t="s">
        <v>768</v>
      </c>
      <c r="E30" t="s">
        <v>741</v>
      </c>
      <c r="I30" t="s">
        <v>522</v>
      </c>
    </row>
    <row r="31" spans="1:11" x14ac:dyDescent="0.25">
      <c r="A31" t="s">
        <v>775</v>
      </c>
      <c r="E31" t="s">
        <v>771</v>
      </c>
      <c r="I31" t="s">
        <v>527</v>
      </c>
    </row>
    <row r="32" spans="1:11" x14ac:dyDescent="0.25">
      <c r="A32" t="s">
        <v>790</v>
      </c>
      <c r="E32" t="s">
        <v>812</v>
      </c>
      <c r="I32" t="s">
        <v>535</v>
      </c>
    </row>
    <row r="33" spans="1:9" x14ac:dyDescent="0.25">
      <c r="A33" t="s">
        <v>816</v>
      </c>
      <c r="E33" t="s">
        <v>870</v>
      </c>
      <c r="I33" t="s">
        <v>544</v>
      </c>
    </row>
    <row r="34" spans="1:9" x14ac:dyDescent="0.25">
      <c r="A34" t="s">
        <v>845</v>
      </c>
      <c r="E34" t="s">
        <v>915</v>
      </c>
      <c r="I34" t="s">
        <v>550</v>
      </c>
    </row>
    <row r="35" spans="1:9" x14ac:dyDescent="0.25">
      <c r="A35" t="s">
        <v>850</v>
      </c>
      <c r="E35" t="s">
        <v>936</v>
      </c>
      <c r="I35" t="s">
        <v>554</v>
      </c>
    </row>
    <row r="36" spans="1:9" x14ac:dyDescent="0.25">
      <c r="A36" t="s">
        <v>865</v>
      </c>
      <c r="E36" t="s">
        <v>983</v>
      </c>
      <c r="I36" t="s">
        <v>588</v>
      </c>
    </row>
    <row r="37" spans="1:9" x14ac:dyDescent="0.25">
      <c r="A37" t="s">
        <v>875</v>
      </c>
      <c r="E37" t="s">
        <v>1013</v>
      </c>
      <c r="I37" t="s">
        <v>600</v>
      </c>
    </row>
    <row r="38" spans="1:9" x14ac:dyDescent="0.25">
      <c r="A38" t="s">
        <v>880</v>
      </c>
      <c r="E38" t="e">
        <f>VLOOKUP(#REF!,$G$1:$T$994,9,0)</f>
        <v>#REF!</v>
      </c>
      <c r="I38" t="s">
        <v>603</v>
      </c>
    </row>
    <row r="39" spans="1:9" x14ac:dyDescent="0.25">
      <c r="A39" t="s">
        <v>899</v>
      </c>
      <c r="I39" t="s">
        <v>607</v>
      </c>
    </row>
    <row r="40" spans="1:9" x14ac:dyDescent="0.25">
      <c r="A40" t="s">
        <v>908</v>
      </c>
      <c r="I40" t="s">
        <v>641</v>
      </c>
    </row>
    <row r="41" spans="1:9" x14ac:dyDescent="0.25">
      <c r="A41" t="s">
        <v>909</v>
      </c>
      <c r="I41" t="s">
        <v>646</v>
      </c>
    </row>
    <row r="42" spans="1:9" x14ac:dyDescent="0.25">
      <c r="A42" t="s">
        <v>912</v>
      </c>
      <c r="I42" t="s">
        <v>649</v>
      </c>
    </row>
    <row r="43" spans="1:9" x14ac:dyDescent="0.25">
      <c r="A43" t="s">
        <v>921</v>
      </c>
      <c r="I43" t="s">
        <v>688</v>
      </c>
    </row>
    <row r="44" spans="1:9" x14ac:dyDescent="0.25">
      <c r="A44" t="s">
        <v>950</v>
      </c>
      <c r="I44" t="s">
        <v>772</v>
      </c>
    </row>
    <row r="45" spans="1:9" x14ac:dyDescent="0.25">
      <c r="A45" t="s">
        <v>959</v>
      </c>
      <c r="I45" t="s">
        <v>786</v>
      </c>
    </row>
    <row r="46" spans="1:9" x14ac:dyDescent="0.25">
      <c r="A46" t="s">
        <v>978</v>
      </c>
      <c r="I46" t="s">
        <v>804</v>
      </c>
    </row>
    <row r="47" spans="1:9" x14ac:dyDescent="0.25">
      <c r="A47" t="s">
        <v>1004</v>
      </c>
      <c r="I47" t="s">
        <v>813</v>
      </c>
    </row>
    <row r="48" spans="1:9" x14ac:dyDescent="0.25">
      <c r="A48" t="s">
        <v>4313</v>
      </c>
      <c r="I48" t="s">
        <v>849</v>
      </c>
    </row>
    <row r="49" spans="1:9" x14ac:dyDescent="0.25">
      <c r="A49" t="s">
        <v>4314</v>
      </c>
      <c r="I49" t="e">
        <f>#REF!</f>
        <v>#REF!</v>
      </c>
    </row>
    <row r="50" spans="1:9" x14ac:dyDescent="0.25">
      <c r="I50" t="s">
        <v>854</v>
      </c>
    </row>
    <row r="51" spans="1:9" x14ac:dyDescent="0.25">
      <c r="I51" t="s">
        <v>937</v>
      </c>
    </row>
    <row r="294" spans="4:4" x14ac:dyDescent="0.25">
      <c r="D294" s="3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7767-2953-4070-B0D3-8C01B4DDB762}">
  <dimension ref="A1:S247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8</v>
      </c>
      <c r="Q1" t="s">
        <v>9</v>
      </c>
      <c r="R1" t="s">
        <v>10</v>
      </c>
    </row>
    <row r="2" spans="1:19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40</v>
      </c>
      <c r="H2" t="s">
        <v>1631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41</v>
      </c>
      <c r="P2" t="s">
        <v>42</v>
      </c>
      <c r="R2">
        <v>22500</v>
      </c>
      <c r="S2" t="s">
        <v>4301</v>
      </c>
    </row>
    <row r="3" spans="1:19" x14ac:dyDescent="0.25">
      <c r="A3" t="s">
        <v>12</v>
      </c>
      <c r="B3" t="s">
        <v>47</v>
      </c>
      <c r="C3" t="s">
        <v>14</v>
      </c>
      <c r="D3" t="s">
        <v>15</v>
      </c>
      <c r="E3" t="s">
        <v>16</v>
      </c>
      <c r="F3" t="s">
        <v>17</v>
      </c>
      <c r="G3" t="s">
        <v>31</v>
      </c>
      <c r="H3" t="s">
        <v>1632</v>
      </c>
      <c r="I3" t="s">
        <v>19</v>
      </c>
      <c r="J3" t="s">
        <v>48</v>
      </c>
      <c r="K3" t="s">
        <v>21</v>
      </c>
      <c r="L3" t="s">
        <v>22</v>
      </c>
      <c r="M3" t="s">
        <v>23</v>
      </c>
      <c r="N3" t="s">
        <v>24</v>
      </c>
      <c r="O3" t="s">
        <v>32</v>
      </c>
      <c r="P3" t="s">
        <v>44</v>
      </c>
      <c r="R3">
        <v>20000</v>
      </c>
      <c r="S3" t="s">
        <v>4301</v>
      </c>
    </row>
    <row r="4" spans="1:19" x14ac:dyDescent="0.25">
      <c r="A4" t="s">
        <v>12</v>
      </c>
      <c r="B4" t="s">
        <v>47</v>
      </c>
      <c r="C4" t="s">
        <v>14</v>
      </c>
      <c r="D4" t="s">
        <v>15</v>
      </c>
      <c r="E4" t="s">
        <v>16</v>
      </c>
      <c r="F4" t="s">
        <v>17</v>
      </c>
      <c r="G4" t="s">
        <v>40</v>
      </c>
      <c r="H4" t="s">
        <v>1633</v>
      </c>
      <c r="I4" t="s">
        <v>19</v>
      </c>
      <c r="J4" t="s">
        <v>48</v>
      </c>
      <c r="K4" t="s">
        <v>21</v>
      </c>
      <c r="L4" t="s">
        <v>22</v>
      </c>
      <c r="M4" t="s">
        <v>23</v>
      </c>
      <c r="N4" t="s">
        <v>24</v>
      </c>
      <c r="O4" t="s">
        <v>41</v>
      </c>
      <c r="P4" t="s">
        <v>42</v>
      </c>
      <c r="R4">
        <v>3000</v>
      </c>
      <c r="S4" t="s">
        <v>4301</v>
      </c>
    </row>
    <row r="5" spans="1:19" x14ac:dyDescent="0.25">
      <c r="A5" t="s">
        <v>14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69</v>
      </c>
      <c r="H5" t="s">
        <v>1634</v>
      </c>
      <c r="I5" t="s">
        <v>55</v>
      </c>
      <c r="J5" t="s">
        <v>56</v>
      </c>
      <c r="K5" t="s">
        <v>21</v>
      </c>
      <c r="L5" t="s">
        <v>22</v>
      </c>
      <c r="M5" t="s">
        <v>23</v>
      </c>
      <c r="N5" t="s">
        <v>24</v>
      </c>
      <c r="O5" t="s">
        <v>70</v>
      </c>
      <c r="P5" t="s">
        <v>71</v>
      </c>
      <c r="Q5" t="s">
        <v>72</v>
      </c>
      <c r="R5">
        <v>10000</v>
      </c>
      <c r="S5" t="s">
        <v>4301</v>
      </c>
    </row>
    <row r="6" spans="1:19" x14ac:dyDescent="0.25">
      <c r="A6" t="s">
        <v>14</v>
      </c>
      <c r="B6" t="s">
        <v>13</v>
      </c>
      <c r="C6" t="s">
        <v>14</v>
      </c>
      <c r="D6" t="s">
        <v>15</v>
      </c>
      <c r="E6" t="s">
        <v>52</v>
      </c>
      <c r="F6" t="s">
        <v>17</v>
      </c>
      <c r="G6" t="s">
        <v>73</v>
      </c>
      <c r="H6" t="s">
        <v>1635</v>
      </c>
      <c r="I6" t="s">
        <v>55</v>
      </c>
      <c r="J6" t="s">
        <v>56</v>
      </c>
      <c r="K6" t="s">
        <v>21</v>
      </c>
      <c r="L6" t="s">
        <v>22</v>
      </c>
      <c r="M6" t="s">
        <v>58</v>
      </c>
      <c r="N6" t="s">
        <v>24</v>
      </c>
      <c r="O6" t="s">
        <v>74</v>
      </c>
      <c r="Q6" t="s">
        <v>75</v>
      </c>
      <c r="R6">
        <v>40000</v>
      </c>
      <c r="S6" t="s">
        <v>4301</v>
      </c>
    </row>
    <row r="7" spans="1:19" x14ac:dyDescent="0.25">
      <c r="A7" t="s">
        <v>14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80</v>
      </c>
      <c r="H7" t="s">
        <v>1636</v>
      </c>
      <c r="I7" t="s">
        <v>55</v>
      </c>
      <c r="J7" t="s">
        <v>56</v>
      </c>
      <c r="K7" t="s">
        <v>21</v>
      </c>
      <c r="L7" t="s">
        <v>22</v>
      </c>
      <c r="M7" t="s">
        <v>23</v>
      </c>
      <c r="N7" t="s">
        <v>24</v>
      </c>
      <c r="O7" t="s">
        <v>81</v>
      </c>
      <c r="P7" t="s">
        <v>82</v>
      </c>
      <c r="Q7" t="s">
        <v>76</v>
      </c>
      <c r="R7">
        <v>40000</v>
      </c>
      <c r="S7" t="s">
        <v>4301</v>
      </c>
    </row>
    <row r="8" spans="1:19" x14ac:dyDescent="0.25">
      <c r="A8" t="s">
        <v>90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80</v>
      </c>
      <c r="H8" t="s">
        <v>1637</v>
      </c>
      <c r="I8" t="s">
        <v>91</v>
      </c>
      <c r="J8" t="s">
        <v>92</v>
      </c>
      <c r="K8" t="s">
        <v>21</v>
      </c>
      <c r="L8" t="s">
        <v>22</v>
      </c>
      <c r="M8" t="s">
        <v>23</v>
      </c>
      <c r="N8" t="s">
        <v>24</v>
      </c>
      <c r="O8" t="s">
        <v>81</v>
      </c>
      <c r="P8" t="s">
        <v>82</v>
      </c>
      <c r="Q8" t="s">
        <v>104</v>
      </c>
      <c r="R8">
        <v>10000</v>
      </c>
      <c r="S8" t="s">
        <v>4301</v>
      </c>
    </row>
    <row r="9" spans="1:19" x14ac:dyDescent="0.25">
      <c r="A9" t="s">
        <v>108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80</v>
      </c>
      <c r="H9" t="s">
        <v>1638</v>
      </c>
      <c r="I9" t="s">
        <v>109</v>
      </c>
      <c r="J9" t="s">
        <v>110</v>
      </c>
      <c r="K9" t="s">
        <v>21</v>
      </c>
      <c r="L9" t="s">
        <v>22</v>
      </c>
      <c r="M9" t="s">
        <v>23</v>
      </c>
      <c r="N9" t="s">
        <v>24</v>
      </c>
      <c r="O9" t="s">
        <v>81</v>
      </c>
      <c r="P9" t="s">
        <v>112</v>
      </c>
      <c r="R9">
        <v>100000</v>
      </c>
      <c r="S9" t="s">
        <v>4301</v>
      </c>
    </row>
    <row r="10" spans="1:19" x14ac:dyDescent="0.25">
      <c r="A10" t="s">
        <v>108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118</v>
      </c>
      <c r="H10" t="s">
        <v>1639</v>
      </c>
      <c r="I10" t="s">
        <v>109</v>
      </c>
      <c r="J10" t="s">
        <v>110</v>
      </c>
      <c r="K10" t="s">
        <v>21</v>
      </c>
      <c r="L10" t="s">
        <v>22</v>
      </c>
      <c r="M10" t="s">
        <v>23</v>
      </c>
      <c r="N10" t="s">
        <v>24</v>
      </c>
      <c r="O10" t="s">
        <v>119</v>
      </c>
      <c r="P10" t="s">
        <v>93</v>
      </c>
      <c r="R10">
        <v>1</v>
      </c>
      <c r="S10" t="s">
        <v>4301</v>
      </c>
    </row>
    <row r="11" spans="1:19" x14ac:dyDescent="0.25">
      <c r="A11" t="s">
        <v>108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69</v>
      </c>
      <c r="H11" t="s">
        <v>1640</v>
      </c>
      <c r="I11" t="s">
        <v>109</v>
      </c>
      <c r="J11" t="s">
        <v>110</v>
      </c>
      <c r="K11" t="s">
        <v>21</v>
      </c>
      <c r="L11" t="s">
        <v>22</v>
      </c>
      <c r="M11" t="s">
        <v>23</v>
      </c>
      <c r="N11" t="s">
        <v>24</v>
      </c>
      <c r="O11" t="s">
        <v>70</v>
      </c>
      <c r="R11">
        <v>1</v>
      </c>
      <c r="S11" t="s">
        <v>4301</v>
      </c>
    </row>
    <row r="12" spans="1:19" x14ac:dyDescent="0.25">
      <c r="A12" t="s">
        <v>108</v>
      </c>
      <c r="B12" t="s">
        <v>120</v>
      </c>
      <c r="C12" t="s">
        <v>14</v>
      </c>
      <c r="D12" t="s">
        <v>121</v>
      </c>
      <c r="E12" t="s">
        <v>52</v>
      </c>
      <c r="F12" t="s">
        <v>122</v>
      </c>
      <c r="G12" t="s">
        <v>18</v>
      </c>
      <c r="H12" t="s">
        <v>1641</v>
      </c>
      <c r="I12" t="s">
        <v>109</v>
      </c>
      <c r="J12" t="s">
        <v>123</v>
      </c>
      <c r="K12" t="s">
        <v>21</v>
      </c>
      <c r="L12" t="s">
        <v>124</v>
      </c>
      <c r="M12" t="s">
        <v>58</v>
      </c>
      <c r="N12" t="s">
        <v>125</v>
      </c>
      <c r="O12" t="s">
        <v>25</v>
      </c>
      <c r="P12" t="s">
        <v>30</v>
      </c>
      <c r="R12">
        <v>100000</v>
      </c>
      <c r="S12" t="s">
        <v>4301</v>
      </c>
    </row>
    <row r="13" spans="1:19" x14ac:dyDescent="0.25">
      <c r="A13" t="s">
        <v>108</v>
      </c>
      <c r="B13" t="s">
        <v>120</v>
      </c>
      <c r="C13" t="s">
        <v>14</v>
      </c>
      <c r="D13" t="s">
        <v>121</v>
      </c>
      <c r="E13" t="s">
        <v>52</v>
      </c>
      <c r="F13" t="s">
        <v>122</v>
      </c>
      <c r="G13" t="s">
        <v>54</v>
      </c>
      <c r="H13" t="s">
        <v>1642</v>
      </c>
      <c r="I13" t="s">
        <v>109</v>
      </c>
      <c r="J13" t="s">
        <v>123</v>
      </c>
      <c r="K13" t="s">
        <v>21</v>
      </c>
      <c r="L13" t="s">
        <v>124</v>
      </c>
      <c r="M13" t="s">
        <v>58</v>
      </c>
      <c r="N13" t="s">
        <v>125</v>
      </c>
      <c r="O13" t="s">
        <v>60</v>
      </c>
      <c r="P13" t="s">
        <v>61</v>
      </c>
      <c r="R13">
        <v>100000</v>
      </c>
      <c r="S13" t="s">
        <v>4301</v>
      </c>
    </row>
    <row r="14" spans="1:19" x14ac:dyDescent="0.25">
      <c r="A14" t="s">
        <v>108</v>
      </c>
      <c r="B14" t="s">
        <v>120</v>
      </c>
      <c r="C14" t="s">
        <v>14</v>
      </c>
      <c r="D14" t="s">
        <v>121</v>
      </c>
      <c r="E14" t="s">
        <v>52</v>
      </c>
      <c r="F14" t="s">
        <v>122</v>
      </c>
      <c r="G14" t="s">
        <v>80</v>
      </c>
      <c r="H14" t="s">
        <v>1643</v>
      </c>
      <c r="I14" t="s">
        <v>109</v>
      </c>
      <c r="J14" t="s">
        <v>123</v>
      </c>
      <c r="K14" t="s">
        <v>21</v>
      </c>
      <c r="L14" t="s">
        <v>124</v>
      </c>
      <c r="M14" t="s">
        <v>58</v>
      </c>
      <c r="N14" t="s">
        <v>125</v>
      </c>
      <c r="O14" t="s">
        <v>81</v>
      </c>
      <c r="P14" t="s">
        <v>82</v>
      </c>
      <c r="R14">
        <v>100000</v>
      </c>
      <c r="S14" t="s">
        <v>4301</v>
      </c>
    </row>
    <row r="15" spans="1:19" x14ac:dyDescent="0.25">
      <c r="A15" t="s">
        <v>126</v>
      </c>
      <c r="B15" t="s">
        <v>13</v>
      </c>
      <c r="C15" t="s">
        <v>14</v>
      </c>
      <c r="D15" t="s">
        <v>15</v>
      </c>
      <c r="E15" t="s">
        <v>52</v>
      </c>
      <c r="F15" t="s">
        <v>122</v>
      </c>
      <c r="G15" t="s">
        <v>131</v>
      </c>
      <c r="H15" t="s">
        <v>1644</v>
      </c>
      <c r="I15" t="s">
        <v>128</v>
      </c>
      <c r="J15" t="s">
        <v>129</v>
      </c>
      <c r="K15" t="s">
        <v>21</v>
      </c>
      <c r="L15" t="s">
        <v>22</v>
      </c>
      <c r="M15" t="s">
        <v>58</v>
      </c>
      <c r="N15" t="s">
        <v>125</v>
      </c>
      <c r="O15" t="s">
        <v>132</v>
      </c>
      <c r="Q15">
        <v>90</v>
      </c>
      <c r="R15">
        <v>1</v>
      </c>
      <c r="S15" t="s">
        <v>4301</v>
      </c>
    </row>
    <row r="16" spans="1:19" x14ac:dyDescent="0.25">
      <c r="A16" t="s">
        <v>126</v>
      </c>
      <c r="B16" t="s">
        <v>13</v>
      </c>
      <c r="C16" t="s">
        <v>14</v>
      </c>
      <c r="D16" t="s">
        <v>15</v>
      </c>
      <c r="E16" t="s">
        <v>52</v>
      </c>
      <c r="F16" t="s">
        <v>122</v>
      </c>
      <c r="G16" t="s">
        <v>31</v>
      </c>
      <c r="H16" t="s">
        <v>1645</v>
      </c>
      <c r="I16" t="s">
        <v>128</v>
      </c>
      <c r="J16" t="s">
        <v>129</v>
      </c>
      <c r="K16" t="s">
        <v>21</v>
      </c>
      <c r="L16" t="s">
        <v>22</v>
      </c>
      <c r="M16" t="s">
        <v>58</v>
      </c>
      <c r="N16" t="s">
        <v>125</v>
      </c>
      <c r="O16" t="s">
        <v>32</v>
      </c>
      <c r="P16" t="s">
        <v>65</v>
      </c>
      <c r="Q16">
        <v>91</v>
      </c>
      <c r="R16">
        <v>1</v>
      </c>
      <c r="S16" t="s">
        <v>4301</v>
      </c>
    </row>
    <row r="17" spans="1:19" x14ac:dyDescent="0.25">
      <c r="A17" t="s">
        <v>126</v>
      </c>
      <c r="B17" t="s">
        <v>13</v>
      </c>
      <c r="C17" t="s">
        <v>14</v>
      </c>
      <c r="D17" t="s">
        <v>15</v>
      </c>
      <c r="E17" t="s">
        <v>52</v>
      </c>
      <c r="F17" t="s">
        <v>133</v>
      </c>
      <c r="G17" t="s">
        <v>18</v>
      </c>
      <c r="H17" t="s">
        <v>1646</v>
      </c>
      <c r="I17" t="s">
        <v>128</v>
      </c>
      <c r="J17" t="s">
        <v>129</v>
      </c>
      <c r="K17" t="s">
        <v>21</v>
      </c>
      <c r="L17" t="s">
        <v>22</v>
      </c>
      <c r="M17" t="s">
        <v>58</v>
      </c>
      <c r="N17" t="s">
        <v>134</v>
      </c>
      <c r="O17" t="s">
        <v>25</v>
      </c>
      <c r="P17" t="s">
        <v>49</v>
      </c>
      <c r="Q17">
        <v>92</v>
      </c>
      <c r="S17" t="s">
        <v>4301</v>
      </c>
    </row>
    <row r="18" spans="1:19" x14ac:dyDescent="0.25">
      <c r="A18" t="s">
        <v>126</v>
      </c>
      <c r="B18" t="s">
        <v>13</v>
      </c>
      <c r="C18" t="s">
        <v>14</v>
      </c>
      <c r="D18" t="s">
        <v>15</v>
      </c>
      <c r="E18" t="s">
        <v>52</v>
      </c>
      <c r="F18" t="s">
        <v>133</v>
      </c>
      <c r="G18" t="s">
        <v>31</v>
      </c>
      <c r="H18" t="s">
        <v>1647</v>
      </c>
      <c r="I18" t="s">
        <v>128</v>
      </c>
      <c r="J18" t="s">
        <v>129</v>
      </c>
      <c r="K18" t="s">
        <v>21</v>
      </c>
      <c r="L18" t="s">
        <v>22</v>
      </c>
      <c r="M18" t="s">
        <v>58</v>
      </c>
      <c r="N18" t="s">
        <v>134</v>
      </c>
      <c r="O18" t="s">
        <v>32</v>
      </c>
      <c r="P18" t="s">
        <v>135</v>
      </c>
      <c r="Q18">
        <v>93</v>
      </c>
      <c r="S18" t="s">
        <v>4301</v>
      </c>
    </row>
    <row r="19" spans="1:19" x14ac:dyDescent="0.25">
      <c r="A19" t="s">
        <v>126</v>
      </c>
      <c r="B19" t="s">
        <v>13</v>
      </c>
      <c r="C19" t="s">
        <v>136</v>
      </c>
      <c r="D19" t="s">
        <v>137</v>
      </c>
      <c r="E19" t="s">
        <v>138</v>
      </c>
      <c r="F19" t="s">
        <v>139</v>
      </c>
      <c r="G19" t="s">
        <v>31</v>
      </c>
      <c r="H19" t="s">
        <v>2154</v>
      </c>
      <c r="I19" t="s">
        <v>128</v>
      </c>
      <c r="J19" t="s">
        <v>129</v>
      </c>
      <c r="K19" t="s">
        <v>140</v>
      </c>
      <c r="L19" t="s">
        <v>141</v>
      </c>
      <c r="M19" t="s">
        <v>142</v>
      </c>
      <c r="N19" t="s">
        <v>143</v>
      </c>
      <c r="O19" t="s">
        <v>32</v>
      </c>
      <c r="P19" t="s">
        <v>65</v>
      </c>
      <c r="Q19">
        <v>94</v>
      </c>
      <c r="S19" t="s">
        <v>4301</v>
      </c>
    </row>
    <row r="20" spans="1:19" x14ac:dyDescent="0.25">
      <c r="A20" t="s">
        <v>126</v>
      </c>
      <c r="B20" t="s">
        <v>13</v>
      </c>
      <c r="C20" t="s">
        <v>136</v>
      </c>
      <c r="D20" t="s">
        <v>137</v>
      </c>
      <c r="E20" t="s">
        <v>138</v>
      </c>
      <c r="F20" t="s">
        <v>17</v>
      </c>
      <c r="G20" t="s">
        <v>18</v>
      </c>
      <c r="H20" t="s">
        <v>1648</v>
      </c>
      <c r="I20" t="s">
        <v>128</v>
      </c>
      <c r="J20" t="s">
        <v>129</v>
      </c>
      <c r="K20" t="s">
        <v>140</v>
      </c>
      <c r="L20" t="s">
        <v>141</v>
      </c>
      <c r="M20" t="s">
        <v>142</v>
      </c>
      <c r="N20" t="s">
        <v>24</v>
      </c>
      <c r="O20" t="s">
        <v>25</v>
      </c>
      <c r="P20" t="s">
        <v>49</v>
      </c>
      <c r="Q20">
        <v>95</v>
      </c>
      <c r="R20">
        <v>15000</v>
      </c>
      <c r="S20" t="s">
        <v>4301</v>
      </c>
    </row>
    <row r="21" spans="1:19" x14ac:dyDescent="0.25">
      <c r="A21" t="s">
        <v>126</v>
      </c>
      <c r="B21" t="s">
        <v>13</v>
      </c>
      <c r="C21" t="s">
        <v>136</v>
      </c>
      <c r="D21" t="s">
        <v>137</v>
      </c>
      <c r="E21" t="s">
        <v>138</v>
      </c>
      <c r="F21" t="s">
        <v>17</v>
      </c>
      <c r="G21" t="s">
        <v>18</v>
      </c>
      <c r="H21" t="s">
        <v>1648</v>
      </c>
      <c r="I21" t="s">
        <v>128</v>
      </c>
      <c r="J21" t="s">
        <v>129</v>
      </c>
      <c r="K21" t="s">
        <v>140</v>
      </c>
      <c r="L21" t="s">
        <v>141</v>
      </c>
      <c r="M21" t="s">
        <v>142</v>
      </c>
      <c r="N21" t="s">
        <v>24</v>
      </c>
      <c r="O21" t="s">
        <v>25</v>
      </c>
      <c r="P21" t="s">
        <v>29</v>
      </c>
      <c r="Q21">
        <v>95</v>
      </c>
      <c r="R21">
        <v>60000</v>
      </c>
      <c r="S21" t="s">
        <v>4301</v>
      </c>
    </row>
    <row r="22" spans="1:19" x14ac:dyDescent="0.25">
      <c r="A22" t="s">
        <v>126</v>
      </c>
      <c r="B22" t="s">
        <v>13</v>
      </c>
      <c r="C22" t="s">
        <v>136</v>
      </c>
      <c r="D22" t="s">
        <v>137</v>
      </c>
      <c r="E22" t="s">
        <v>138</v>
      </c>
      <c r="F22" t="s">
        <v>17</v>
      </c>
      <c r="G22" t="s">
        <v>18</v>
      </c>
      <c r="H22" t="s">
        <v>1648</v>
      </c>
      <c r="I22" t="s">
        <v>128</v>
      </c>
      <c r="J22" t="s">
        <v>129</v>
      </c>
      <c r="K22" t="s">
        <v>140</v>
      </c>
      <c r="L22" t="s">
        <v>141</v>
      </c>
      <c r="M22" t="s">
        <v>142</v>
      </c>
      <c r="N22" t="s">
        <v>24</v>
      </c>
      <c r="O22" t="s">
        <v>25</v>
      </c>
      <c r="P22" t="s">
        <v>30</v>
      </c>
      <c r="Q22">
        <v>95</v>
      </c>
      <c r="R22">
        <v>50000</v>
      </c>
      <c r="S22" t="s">
        <v>4301</v>
      </c>
    </row>
    <row r="23" spans="1:19" x14ac:dyDescent="0.25">
      <c r="A23" t="s">
        <v>126</v>
      </c>
      <c r="B23" t="s">
        <v>13</v>
      </c>
      <c r="C23" t="s">
        <v>136</v>
      </c>
      <c r="D23" t="s">
        <v>137</v>
      </c>
      <c r="E23" t="s">
        <v>138</v>
      </c>
      <c r="F23" t="s">
        <v>17</v>
      </c>
      <c r="G23" t="s">
        <v>18</v>
      </c>
      <c r="H23" t="s">
        <v>1648</v>
      </c>
      <c r="I23" t="s">
        <v>128</v>
      </c>
      <c r="J23" t="s">
        <v>129</v>
      </c>
      <c r="K23" t="s">
        <v>140</v>
      </c>
      <c r="L23" t="s">
        <v>141</v>
      </c>
      <c r="M23" t="s">
        <v>142</v>
      </c>
      <c r="N23" t="s">
        <v>24</v>
      </c>
      <c r="O23" t="s">
        <v>25</v>
      </c>
      <c r="P23" t="s">
        <v>28</v>
      </c>
      <c r="Q23">
        <v>95</v>
      </c>
      <c r="R23">
        <v>40000</v>
      </c>
      <c r="S23" t="s">
        <v>4301</v>
      </c>
    </row>
    <row r="24" spans="1:19" x14ac:dyDescent="0.25">
      <c r="A24" t="s">
        <v>126</v>
      </c>
      <c r="B24" t="s">
        <v>13</v>
      </c>
      <c r="C24" t="s">
        <v>136</v>
      </c>
      <c r="D24" t="s">
        <v>137</v>
      </c>
      <c r="E24" t="s">
        <v>138</v>
      </c>
      <c r="F24" t="s">
        <v>17</v>
      </c>
      <c r="G24" t="s">
        <v>18</v>
      </c>
      <c r="H24" t="s">
        <v>1648</v>
      </c>
      <c r="I24" t="s">
        <v>128</v>
      </c>
      <c r="J24" t="s">
        <v>129</v>
      </c>
      <c r="K24" t="s">
        <v>140</v>
      </c>
      <c r="L24" t="s">
        <v>141</v>
      </c>
      <c r="M24" t="s">
        <v>142</v>
      </c>
      <c r="N24" t="s">
        <v>24</v>
      </c>
      <c r="O24" t="s">
        <v>25</v>
      </c>
      <c r="P24" t="s">
        <v>87</v>
      </c>
      <c r="Q24">
        <v>95</v>
      </c>
      <c r="R24">
        <v>15000</v>
      </c>
      <c r="S24" t="s">
        <v>4301</v>
      </c>
    </row>
    <row r="25" spans="1:19" x14ac:dyDescent="0.25">
      <c r="A25" t="s">
        <v>126</v>
      </c>
      <c r="B25" t="s">
        <v>13</v>
      </c>
      <c r="C25" t="s">
        <v>136</v>
      </c>
      <c r="D25" t="s">
        <v>137</v>
      </c>
      <c r="E25" t="s">
        <v>138</v>
      </c>
      <c r="F25" t="s">
        <v>17</v>
      </c>
      <c r="G25" t="s">
        <v>31</v>
      </c>
      <c r="H25" t="s">
        <v>1649</v>
      </c>
      <c r="I25" t="s">
        <v>128</v>
      </c>
      <c r="J25" t="s">
        <v>129</v>
      </c>
      <c r="K25" t="s">
        <v>140</v>
      </c>
      <c r="L25" t="s">
        <v>141</v>
      </c>
      <c r="M25" t="s">
        <v>142</v>
      </c>
      <c r="N25" t="s">
        <v>24</v>
      </c>
      <c r="O25" t="s">
        <v>32</v>
      </c>
      <c r="P25" t="s">
        <v>135</v>
      </c>
      <c r="Q25">
        <v>0</v>
      </c>
      <c r="R25">
        <v>80000</v>
      </c>
      <c r="S25" t="s">
        <v>4301</v>
      </c>
    </row>
    <row r="26" spans="1:19" x14ac:dyDescent="0.25">
      <c r="A26" t="s">
        <v>126</v>
      </c>
      <c r="B26" t="s">
        <v>13</v>
      </c>
      <c r="C26" t="s">
        <v>136</v>
      </c>
      <c r="D26" t="s">
        <v>137</v>
      </c>
      <c r="E26" t="s">
        <v>138</v>
      </c>
      <c r="F26" t="s">
        <v>17</v>
      </c>
      <c r="G26" t="s">
        <v>31</v>
      </c>
      <c r="H26" t="s">
        <v>1649</v>
      </c>
      <c r="I26" t="s">
        <v>128</v>
      </c>
      <c r="J26" t="s">
        <v>129</v>
      </c>
      <c r="K26" t="s">
        <v>140</v>
      </c>
      <c r="L26" t="s">
        <v>141</v>
      </c>
      <c r="M26" t="s">
        <v>142</v>
      </c>
      <c r="N26" t="s">
        <v>24</v>
      </c>
      <c r="O26" t="s">
        <v>32</v>
      </c>
      <c r="P26" t="s">
        <v>65</v>
      </c>
      <c r="Q26">
        <v>0</v>
      </c>
      <c r="R26">
        <v>120000</v>
      </c>
      <c r="S26" t="s">
        <v>4301</v>
      </c>
    </row>
    <row r="27" spans="1:19" x14ac:dyDescent="0.25">
      <c r="A27" t="s">
        <v>126</v>
      </c>
      <c r="B27" t="s">
        <v>13</v>
      </c>
      <c r="C27" t="s">
        <v>136</v>
      </c>
      <c r="D27" t="s">
        <v>137</v>
      </c>
      <c r="E27" t="s">
        <v>138</v>
      </c>
      <c r="F27" t="s">
        <v>17</v>
      </c>
      <c r="G27" t="s">
        <v>80</v>
      </c>
      <c r="H27" t="s">
        <v>1650</v>
      </c>
      <c r="I27" t="s">
        <v>128</v>
      </c>
      <c r="J27" t="s">
        <v>129</v>
      </c>
      <c r="K27" t="s">
        <v>140</v>
      </c>
      <c r="L27" t="s">
        <v>141</v>
      </c>
      <c r="M27" t="s">
        <v>142</v>
      </c>
      <c r="N27" t="s">
        <v>24</v>
      </c>
      <c r="O27" t="s">
        <v>81</v>
      </c>
      <c r="P27" t="s">
        <v>42</v>
      </c>
      <c r="Q27">
        <v>0</v>
      </c>
      <c r="R27">
        <v>35000</v>
      </c>
      <c r="S27" t="s">
        <v>4301</v>
      </c>
    </row>
    <row r="28" spans="1:19" x14ac:dyDescent="0.25">
      <c r="A28" t="s">
        <v>126</v>
      </c>
      <c r="B28" t="s">
        <v>13</v>
      </c>
      <c r="C28" t="s">
        <v>136</v>
      </c>
      <c r="D28" t="s">
        <v>137</v>
      </c>
      <c r="E28" t="s">
        <v>138</v>
      </c>
      <c r="F28" t="s">
        <v>17</v>
      </c>
      <c r="G28" t="s">
        <v>80</v>
      </c>
      <c r="H28" t="s">
        <v>1650</v>
      </c>
      <c r="I28" t="s">
        <v>128</v>
      </c>
      <c r="J28" t="s">
        <v>129</v>
      </c>
      <c r="K28" t="s">
        <v>140</v>
      </c>
      <c r="L28" t="s">
        <v>141</v>
      </c>
      <c r="M28" t="s">
        <v>142</v>
      </c>
      <c r="N28" t="s">
        <v>24</v>
      </c>
      <c r="O28" t="s">
        <v>81</v>
      </c>
      <c r="P28" t="s">
        <v>144</v>
      </c>
      <c r="Q28">
        <v>0</v>
      </c>
      <c r="R28">
        <v>150000</v>
      </c>
      <c r="S28" t="s">
        <v>4301</v>
      </c>
    </row>
    <row r="29" spans="1:19" x14ac:dyDescent="0.25">
      <c r="A29" t="s">
        <v>126</v>
      </c>
      <c r="B29" t="s">
        <v>13</v>
      </c>
      <c r="C29" t="s">
        <v>136</v>
      </c>
      <c r="D29" t="s">
        <v>145</v>
      </c>
      <c r="E29" t="s">
        <v>138</v>
      </c>
      <c r="F29" t="s">
        <v>146</v>
      </c>
      <c r="G29" t="s">
        <v>18</v>
      </c>
      <c r="H29" t="s">
        <v>1651</v>
      </c>
      <c r="I29" t="s">
        <v>128</v>
      </c>
      <c r="J29" t="s">
        <v>129</v>
      </c>
      <c r="K29" t="s">
        <v>140</v>
      </c>
      <c r="L29" t="s">
        <v>147</v>
      </c>
      <c r="M29" t="s">
        <v>142</v>
      </c>
      <c r="N29" t="s">
        <v>148</v>
      </c>
      <c r="O29" t="s">
        <v>25</v>
      </c>
      <c r="P29" t="s">
        <v>49</v>
      </c>
      <c r="Q29">
        <v>0</v>
      </c>
      <c r="R29">
        <v>10000</v>
      </c>
      <c r="S29" t="s">
        <v>4301</v>
      </c>
    </row>
    <row r="30" spans="1:19" x14ac:dyDescent="0.25">
      <c r="A30" t="s">
        <v>126</v>
      </c>
      <c r="B30" t="s">
        <v>13</v>
      </c>
      <c r="C30" t="s">
        <v>136</v>
      </c>
      <c r="D30" t="s">
        <v>145</v>
      </c>
      <c r="E30" t="s">
        <v>138</v>
      </c>
      <c r="F30" t="s">
        <v>146</v>
      </c>
      <c r="G30" t="s">
        <v>80</v>
      </c>
      <c r="H30" t="s">
        <v>1652</v>
      </c>
      <c r="I30" t="s">
        <v>128</v>
      </c>
      <c r="J30" t="s">
        <v>129</v>
      </c>
      <c r="K30" t="s">
        <v>140</v>
      </c>
      <c r="L30" t="s">
        <v>147</v>
      </c>
      <c r="M30" t="s">
        <v>142</v>
      </c>
      <c r="N30" t="s">
        <v>148</v>
      </c>
      <c r="O30" t="s">
        <v>81</v>
      </c>
      <c r="P30" t="s">
        <v>144</v>
      </c>
      <c r="Q30">
        <v>0</v>
      </c>
      <c r="R30">
        <v>150000</v>
      </c>
      <c r="S30" t="s">
        <v>4301</v>
      </c>
    </row>
    <row r="31" spans="1:19" x14ac:dyDescent="0.25">
      <c r="A31" t="s">
        <v>126</v>
      </c>
      <c r="B31" t="s">
        <v>13</v>
      </c>
      <c r="C31" t="s">
        <v>136</v>
      </c>
      <c r="D31" t="s">
        <v>145</v>
      </c>
      <c r="E31" t="s">
        <v>138</v>
      </c>
      <c r="F31" t="s">
        <v>151</v>
      </c>
      <c r="G31" t="s">
        <v>152</v>
      </c>
      <c r="H31" t="s">
        <v>1653</v>
      </c>
      <c r="I31" t="s">
        <v>128</v>
      </c>
      <c r="J31" t="s">
        <v>129</v>
      </c>
      <c r="K31" t="s">
        <v>140</v>
      </c>
      <c r="L31" t="s">
        <v>147</v>
      </c>
      <c r="M31" t="s">
        <v>142</v>
      </c>
      <c r="N31" t="s">
        <v>153</v>
      </c>
      <c r="O31" t="s">
        <v>154</v>
      </c>
      <c r="P31" t="s">
        <v>155</v>
      </c>
      <c r="Q31" t="s">
        <v>156</v>
      </c>
      <c r="R31">
        <v>2834440</v>
      </c>
      <c r="S31" t="s">
        <v>4301</v>
      </c>
    </row>
    <row r="32" spans="1:19" x14ac:dyDescent="0.25">
      <c r="A32" t="s">
        <v>126</v>
      </c>
      <c r="B32" t="s">
        <v>13</v>
      </c>
      <c r="C32" t="s">
        <v>136</v>
      </c>
      <c r="D32" t="s">
        <v>145</v>
      </c>
      <c r="E32" t="s">
        <v>138</v>
      </c>
      <c r="F32" t="s">
        <v>151</v>
      </c>
      <c r="G32" t="s">
        <v>18</v>
      </c>
      <c r="H32" t="s">
        <v>1654</v>
      </c>
      <c r="I32" t="s">
        <v>128</v>
      </c>
      <c r="J32" t="s">
        <v>129</v>
      </c>
      <c r="K32" t="s">
        <v>140</v>
      </c>
      <c r="L32" t="s">
        <v>147</v>
      </c>
      <c r="M32" t="s">
        <v>142</v>
      </c>
      <c r="N32" t="s">
        <v>153</v>
      </c>
      <c r="O32" t="s">
        <v>25</v>
      </c>
      <c r="P32" t="s">
        <v>30</v>
      </c>
      <c r="Q32">
        <v>0</v>
      </c>
      <c r="R32">
        <v>45000</v>
      </c>
      <c r="S32" t="s">
        <v>4301</v>
      </c>
    </row>
    <row r="33" spans="1:19" x14ac:dyDescent="0.25">
      <c r="A33" t="s">
        <v>126</v>
      </c>
      <c r="B33" t="s">
        <v>13</v>
      </c>
      <c r="C33" t="s">
        <v>136</v>
      </c>
      <c r="D33" t="s">
        <v>145</v>
      </c>
      <c r="E33" t="s">
        <v>138</v>
      </c>
      <c r="F33" t="s">
        <v>151</v>
      </c>
      <c r="G33" t="s">
        <v>31</v>
      </c>
      <c r="H33" t="s">
        <v>1655</v>
      </c>
      <c r="I33" t="s">
        <v>128</v>
      </c>
      <c r="J33" t="s">
        <v>129</v>
      </c>
      <c r="K33" t="s">
        <v>140</v>
      </c>
      <c r="L33" t="s">
        <v>147</v>
      </c>
      <c r="M33" t="s">
        <v>142</v>
      </c>
      <c r="N33" t="s">
        <v>153</v>
      </c>
      <c r="O33" t="s">
        <v>32</v>
      </c>
      <c r="P33" t="s">
        <v>135</v>
      </c>
      <c r="Q33">
        <v>0</v>
      </c>
      <c r="R33">
        <v>30000</v>
      </c>
      <c r="S33" t="s">
        <v>4301</v>
      </c>
    </row>
    <row r="34" spans="1:19" x14ac:dyDescent="0.25">
      <c r="A34" t="s">
        <v>126</v>
      </c>
      <c r="B34" t="s">
        <v>13</v>
      </c>
      <c r="C34" t="s">
        <v>136</v>
      </c>
      <c r="D34" t="s">
        <v>145</v>
      </c>
      <c r="E34" t="s">
        <v>138</v>
      </c>
      <c r="F34" t="s">
        <v>151</v>
      </c>
      <c r="G34" t="s">
        <v>31</v>
      </c>
      <c r="H34" t="s">
        <v>1655</v>
      </c>
      <c r="I34" t="s">
        <v>128</v>
      </c>
      <c r="J34" t="s">
        <v>129</v>
      </c>
      <c r="K34" t="s">
        <v>140</v>
      </c>
      <c r="L34" t="s">
        <v>147</v>
      </c>
      <c r="M34" t="s">
        <v>142</v>
      </c>
      <c r="N34" t="s">
        <v>153</v>
      </c>
      <c r="O34" t="s">
        <v>32</v>
      </c>
      <c r="P34" t="s">
        <v>50</v>
      </c>
      <c r="Q34">
        <v>0</v>
      </c>
      <c r="R34">
        <v>30000</v>
      </c>
      <c r="S34" t="s">
        <v>4301</v>
      </c>
    </row>
    <row r="35" spans="1:19" x14ac:dyDescent="0.25">
      <c r="A35" t="s">
        <v>126</v>
      </c>
      <c r="B35" t="s">
        <v>13</v>
      </c>
      <c r="C35" t="s">
        <v>136</v>
      </c>
      <c r="D35" t="s">
        <v>145</v>
      </c>
      <c r="E35" t="s">
        <v>138</v>
      </c>
      <c r="F35" t="s">
        <v>151</v>
      </c>
      <c r="G35" t="s">
        <v>31</v>
      </c>
      <c r="H35" t="s">
        <v>1655</v>
      </c>
      <c r="I35" t="s">
        <v>128</v>
      </c>
      <c r="J35" t="s">
        <v>129</v>
      </c>
      <c r="K35" t="s">
        <v>140</v>
      </c>
      <c r="L35" t="s">
        <v>147</v>
      </c>
      <c r="M35" t="s">
        <v>142</v>
      </c>
      <c r="N35" t="s">
        <v>153</v>
      </c>
      <c r="O35" t="s">
        <v>32</v>
      </c>
      <c r="P35" t="s">
        <v>65</v>
      </c>
      <c r="Q35">
        <v>0</v>
      </c>
      <c r="R35">
        <v>30000</v>
      </c>
      <c r="S35" t="s">
        <v>4301</v>
      </c>
    </row>
    <row r="36" spans="1:19" x14ac:dyDescent="0.25">
      <c r="A36" t="s">
        <v>126</v>
      </c>
      <c r="B36" t="s">
        <v>13</v>
      </c>
      <c r="C36" t="s">
        <v>136</v>
      </c>
      <c r="D36" t="s">
        <v>137</v>
      </c>
      <c r="E36" t="s">
        <v>138</v>
      </c>
      <c r="F36" t="s">
        <v>146</v>
      </c>
      <c r="G36" t="s">
        <v>18</v>
      </c>
      <c r="H36" t="s">
        <v>1656</v>
      </c>
      <c r="I36" t="s">
        <v>128</v>
      </c>
      <c r="J36" t="s">
        <v>161</v>
      </c>
      <c r="K36" t="s">
        <v>140</v>
      </c>
      <c r="L36" t="s">
        <v>141</v>
      </c>
      <c r="M36" t="s">
        <v>142</v>
      </c>
      <c r="N36" t="s">
        <v>148</v>
      </c>
      <c r="O36" t="s">
        <v>25</v>
      </c>
      <c r="P36" t="s">
        <v>39</v>
      </c>
      <c r="Q36">
        <v>0</v>
      </c>
      <c r="R36">
        <v>1</v>
      </c>
      <c r="S36" t="s">
        <v>4301</v>
      </c>
    </row>
    <row r="37" spans="1:19" x14ac:dyDescent="0.25">
      <c r="A37" t="s">
        <v>126</v>
      </c>
      <c r="B37" t="s">
        <v>13</v>
      </c>
      <c r="C37" t="s">
        <v>136</v>
      </c>
      <c r="D37" t="s">
        <v>137</v>
      </c>
      <c r="E37" t="s">
        <v>138</v>
      </c>
      <c r="F37" t="s">
        <v>146</v>
      </c>
      <c r="G37" t="s">
        <v>31</v>
      </c>
      <c r="H37" t="s">
        <v>1657</v>
      </c>
      <c r="I37" t="s">
        <v>128</v>
      </c>
      <c r="J37" t="s">
        <v>161</v>
      </c>
      <c r="K37" t="s">
        <v>140</v>
      </c>
      <c r="L37" t="s">
        <v>141</v>
      </c>
      <c r="M37" t="s">
        <v>142</v>
      </c>
      <c r="N37" t="s">
        <v>148</v>
      </c>
      <c r="O37" t="s">
        <v>32</v>
      </c>
      <c r="P37" t="s">
        <v>65</v>
      </c>
      <c r="Q37">
        <v>106</v>
      </c>
      <c r="R37">
        <v>1</v>
      </c>
      <c r="S37" t="s">
        <v>4301</v>
      </c>
    </row>
    <row r="38" spans="1:19" x14ac:dyDescent="0.25">
      <c r="A38" t="s">
        <v>126</v>
      </c>
      <c r="B38" t="s">
        <v>13</v>
      </c>
      <c r="C38" t="s">
        <v>136</v>
      </c>
      <c r="D38" t="s">
        <v>137</v>
      </c>
      <c r="E38" t="s">
        <v>138</v>
      </c>
      <c r="F38" t="s">
        <v>146</v>
      </c>
      <c r="G38" t="s">
        <v>80</v>
      </c>
      <c r="H38" t="s">
        <v>1658</v>
      </c>
      <c r="I38" t="s">
        <v>128</v>
      </c>
      <c r="J38" t="s">
        <v>161</v>
      </c>
      <c r="K38" t="s">
        <v>140</v>
      </c>
      <c r="L38" t="s">
        <v>141</v>
      </c>
      <c r="M38" t="s">
        <v>142</v>
      </c>
      <c r="N38" t="s">
        <v>148</v>
      </c>
      <c r="O38" t="s">
        <v>81</v>
      </c>
      <c r="P38" t="s">
        <v>144</v>
      </c>
      <c r="Q38">
        <v>0</v>
      </c>
      <c r="R38">
        <v>1</v>
      </c>
      <c r="S38" t="s">
        <v>4301</v>
      </c>
    </row>
    <row r="39" spans="1:19" x14ac:dyDescent="0.25">
      <c r="A39" t="s">
        <v>126</v>
      </c>
      <c r="B39" t="s">
        <v>13</v>
      </c>
      <c r="C39" t="s">
        <v>136</v>
      </c>
      <c r="D39" t="s">
        <v>137</v>
      </c>
      <c r="E39" t="s">
        <v>138</v>
      </c>
      <c r="F39" t="s">
        <v>162</v>
      </c>
      <c r="G39" t="s">
        <v>18</v>
      </c>
      <c r="H39" t="s">
        <v>1659</v>
      </c>
      <c r="I39" t="s">
        <v>128</v>
      </c>
      <c r="J39" t="s">
        <v>129</v>
      </c>
      <c r="K39" t="s">
        <v>140</v>
      </c>
      <c r="L39" t="s">
        <v>141</v>
      </c>
      <c r="M39" t="s">
        <v>142</v>
      </c>
      <c r="N39" t="s">
        <v>163</v>
      </c>
      <c r="O39" t="s">
        <v>25</v>
      </c>
      <c r="P39" t="s">
        <v>30</v>
      </c>
      <c r="Q39">
        <v>0</v>
      </c>
      <c r="R39">
        <v>40000</v>
      </c>
      <c r="S39" t="s">
        <v>4301</v>
      </c>
    </row>
    <row r="40" spans="1:19" x14ac:dyDescent="0.25">
      <c r="A40" t="s">
        <v>126</v>
      </c>
      <c r="B40" t="s">
        <v>13</v>
      </c>
      <c r="C40" t="s">
        <v>136</v>
      </c>
      <c r="D40" t="s">
        <v>137</v>
      </c>
      <c r="E40" t="s">
        <v>138</v>
      </c>
      <c r="F40" t="s">
        <v>162</v>
      </c>
      <c r="G40" t="s">
        <v>18</v>
      </c>
      <c r="H40" t="s">
        <v>1659</v>
      </c>
      <c r="I40" t="s">
        <v>128</v>
      </c>
      <c r="J40" t="s">
        <v>129</v>
      </c>
      <c r="K40" t="s">
        <v>140</v>
      </c>
      <c r="L40" t="s">
        <v>141</v>
      </c>
      <c r="M40" t="s">
        <v>142</v>
      </c>
      <c r="N40" t="s">
        <v>163</v>
      </c>
      <c r="O40" t="s">
        <v>25</v>
      </c>
      <c r="P40" t="s">
        <v>164</v>
      </c>
      <c r="Q40">
        <v>0</v>
      </c>
      <c r="R40">
        <v>50000</v>
      </c>
      <c r="S40" t="s">
        <v>4301</v>
      </c>
    </row>
    <row r="41" spans="1:19" x14ac:dyDescent="0.25">
      <c r="A41" t="s">
        <v>126</v>
      </c>
      <c r="B41" t="s">
        <v>13</v>
      </c>
      <c r="C41" t="s">
        <v>136</v>
      </c>
      <c r="D41" t="s">
        <v>137</v>
      </c>
      <c r="E41" t="s">
        <v>138</v>
      </c>
      <c r="F41" t="s">
        <v>162</v>
      </c>
      <c r="G41" t="s">
        <v>31</v>
      </c>
      <c r="H41" t="s">
        <v>1660</v>
      </c>
      <c r="I41" t="s">
        <v>128</v>
      </c>
      <c r="J41" t="s">
        <v>129</v>
      </c>
      <c r="K41" t="s">
        <v>140</v>
      </c>
      <c r="L41" t="s">
        <v>141</v>
      </c>
      <c r="M41" t="s">
        <v>142</v>
      </c>
      <c r="N41" t="s">
        <v>163</v>
      </c>
      <c r="O41" t="s">
        <v>32</v>
      </c>
      <c r="P41" t="s">
        <v>135</v>
      </c>
      <c r="Q41">
        <v>0</v>
      </c>
      <c r="R41">
        <v>150000</v>
      </c>
      <c r="S41" t="s">
        <v>4301</v>
      </c>
    </row>
    <row r="42" spans="1:19" x14ac:dyDescent="0.25">
      <c r="A42" t="s">
        <v>165</v>
      </c>
      <c r="B42" t="s">
        <v>13</v>
      </c>
      <c r="C42" t="s">
        <v>166</v>
      </c>
      <c r="D42" t="s">
        <v>15</v>
      </c>
      <c r="E42" t="s">
        <v>16</v>
      </c>
      <c r="F42" t="s">
        <v>182</v>
      </c>
      <c r="G42" t="s">
        <v>118</v>
      </c>
      <c r="H42" t="s">
        <v>2155</v>
      </c>
      <c r="I42" t="s">
        <v>167</v>
      </c>
      <c r="J42" t="s">
        <v>168</v>
      </c>
      <c r="K42" t="s">
        <v>169</v>
      </c>
      <c r="L42" t="s">
        <v>22</v>
      </c>
      <c r="M42" t="s">
        <v>23</v>
      </c>
      <c r="N42" t="s">
        <v>183</v>
      </c>
      <c r="O42" t="s">
        <v>119</v>
      </c>
      <c r="P42" t="s">
        <v>184</v>
      </c>
      <c r="Q42" t="s">
        <v>185</v>
      </c>
      <c r="R42">
        <v>84000</v>
      </c>
      <c r="S42" t="s">
        <v>4301</v>
      </c>
    </row>
    <row r="43" spans="1:19" x14ac:dyDescent="0.25">
      <c r="A43" t="s">
        <v>165</v>
      </c>
      <c r="B43" t="s">
        <v>13</v>
      </c>
      <c r="C43" t="s">
        <v>166</v>
      </c>
      <c r="D43" t="s">
        <v>15</v>
      </c>
      <c r="E43" t="s">
        <v>16</v>
      </c>
      <c r="F43" t="s">
        <v>182</v>
      </c>
      <c r="G43" t="s">
        <v>186</v>
      </c>
      <c r="H43" t="s">
        <v>2156</v>
      </c>
      <c r="I43" t="s">
        <v>167</v>
      </c>
      <c r="J43" t="s">
        <v>168</v>
      </c>
      <c r="K43" t="s">
        <v>169</v>
      </c>
      <c r="L43" t="s">
        <v>22</v>
      </c>
      <c r="M43" t="s">
        <v>23</v>
      </c>
      <c r="N43" t="s">
        <v>183</v>
      </c>
      <c r="O43" t="s">
        <v>187</v>
      </c>
      <c r="P43" t="s">
        <v>184</v>
      </c>
      <c r="Q43" t="s">
        <v>185</v>
      </c>
      <c r="R43">
        <v>320000</v>
      </c>
      <c r="S43" t="s">
        <v>4301</v>
      </c>
    </row>
    <row r="44" spans="1:19" x14ac:dyDescent="0.25">
      <c r="A44" t="s">
        <v>165</v>
      </c>
      <c r="B44" t="s">
        <v>13</v>
      </c>
      <c r="C44" t="s">
        <v>166</v>
      </c>
      <c r="D44" t="s">
        <v>15</v>
      </c>
      <c r="E44" t="s">
        <v>52</v>
      </c>
      <c r="F44" t="s">
        <v>133</v>
      </c>
      <c r="G44" t="s">
        <v>18</v>
      </c>
      <c r="H44" t="s">
        <v>1661</v>
      </c>
      <c r="I44" t="s">
        <v>167</v>
      </c>
      <c r="J44" t="s">
        <v>168</v>
      </c>
      <c r="K44" t="s">
        <v>169</v>
      </c>
      <c r="L44" t="s">
        <v>22</v>
      </c>
      <c r="M44" t="s">
        <v>58</v>
      </c>
      <c r="N44" t="s">
        <v>134</v>
      </c>
      <c r="O44" t="s">
        <v>25</v>
      </c>
      <c r="P44" t="s">
        <v>30</v>
      </c>
      <c r="Q44" t="s">
        <v>189</v>
      </c>
      <c r="R44">
        <v>420000</v>
      </c>
      <c r="S44" t="s">
        <v>4301</v>
      </c>
    </row>
    <row r="45" spans="1:19" x14ac:dyDescent="0.25">
      <c r="A45" t="s">
        <v>165</v>
      </c>
      <c r="B45" t="s">
        <v>13</v>
      </c>
      <c r="C45" t="s">
        <v>166</v>
      </c>
      <c r="D45" t="s">
        <v>15</v>
      </c>
      <c r="E45" t="s">
        <v>52</v>
      </c>
      <c r="F45" t="s">
        <v>133</v>
      </c>
      <c r="G45" t="s">
        <v>18</v>
      </c>
      <c r="H45" t="s">
        <v>1661</v>
      </c>
      <c r="I45" t="s">
        <v>167</v>
      </c>
      <c r="J45" t="s">
        <v>168</v>
      </c>
      <c r="K45" t="s">
        <v>169</v>
      </c>
      <c r="L45" t="s">
        <v>22</v>
      </c>
      <c r="M45" t="s">
        <v>58</v>
      </c>
      <c r="N45" t="s">
        <v>134</v>
      </c>
      <c r="O45" t="s">
        <v>25</v>
      </c>
      <c r="P45" t="s">
        <v>49</v>
      </c>
      <c r="Q45" t="s">
        <v>190</v>
      </c>
      <c r="R45">
        <v>1000000</v>
      </c>
      <c r="S45" t="s">
        <v>4301</v>
      </c>
    </row>
    <row r="46" spans="1:19" x14ac:dyDescent="0.25">
      <c r="A46" t="s">
        <v>165</v>
      </c>
      <c r="B46" t="s">
        <v>13</v>
      </c>
      <c r="C46" t="s">
        <v>166</v>
      </c>
      <c r="D46" t="s">
        <v>15</v>
      </c>
      <c r="E46" t="s">
        <v>52</v>
      </c>
      <c r="F46" t="s">
        <v>133</v>
      </c>
      <c r="G46" t="s">
        <v>31</v>
      </c>
      <c r="H46" t="s">
        <v>1662</v>
      </c>
      <c r="I46" t="s">
        <v>167</v>
      </c>
      <c r="J46" t="s">
        <v>168</v>
      </c>
      <c r="K46" t="s">
        <v>169</v>
      </c>
      <c r="L46" t="s">
        <v>22</v>
      </c>
      <c r="M46" t="s">
        <v>58</v>
      </c>
      <c r="N46" t="s">
        <v>134</v>
      </c>
      <c r="O46" t="s">
        <v>32</v>
      </c>
      <c r="P46" t="s">
        <v>160</v>
      </c>
      <c r="Q46" t="s">
        <v>191</v>
      </c>
      <c r="R46">
        <v>1655000</v>
      </c>
      <c r="S46" t="s">
        <v>4301</v>
      </c>
    </row>
    <row r="47" spans="1:19" x14ac:dyDescent="0.25">
      <c r="A47" t="s">
        <v>165</v>
      </c>
      <c r="B47" t="s">
        <v>13</v>
      </c>
      <c r="C47" t="s">
        <v>166</v>
      </c>
      <c r="D47" t="s">
        <v>15</v>
      </c>
      <c r="E47" t="s">
        <v>16</v>
      </c>
      <c r="F47" t="s">
        <v>17</v>
      </c>
      <c r="G47" t="s">
        <v>69</v>
      </c>
      <c r="H47" t="s">
        <v>1663</v>
      </c>
      <c r="I47" t="s">
        <v>167</v>
      </c>
      <c r="J47" t="s">
        <v>168</v>
      </c>
      <c r="K47" t="s">
        <v>169</v>
      </c>
      <c r="L47" t="s">
        <v>22</v>
      </c>
      <c r="M47" t="s">
        <v>23</v>
      </c>
      <c r="N47" t="s">
        <v>24</v>
      </c>
      <c r="O47" t="s">
        <v>70</v>
      </c>
      <c r="P47" t="s">
        <v>222</v>
      </c>
      <c r="Q47" t="s">
        <v>223</v>
      </c>
      <c r="R47">
        <v>5000</v>
      </c>
      <c r="S47" t="s">
        <v>4301</v>
      </c>
    </row>
    <row r="48" spans="1:19" x14ac:dyDescent="0.25">
      <c r="A48" t="s">
        <v>165</v>
      </c>
      <c r="B48" t="s">
        <v>13</v>
      </c>
      <c r="C48" t="s">
        <v>166</v>
      </c>
      <c r="D48" t="s">
        <v>171</v>
      </c>
      <c r="E48" t="s">
        <v>172</v>
      </c>
      <c r="F48" t="s">
        <v>270</v>
      </c>
      <c r="G48" t="s">
        <v>18</v>
      </c>
      <c r="H48" t="s">
        <v>1664</v>
      </c>
      <c r="I48" t="s">
        <v>167</v>
      </c>
      <c r="J48" t="s">
        <v>168</v>
      </c>
      <c r="K48" t="s">
        <v>169</v>
      </c>
      <c r="L48" t="s">
        <v>173</v>
      </c>
      <c r="M48" t="s">
        <v>174</v>
      </c>
      <c r="N48" t="s">
        <v>271</v>
      </c>
      <c r="O48" t="s">
        <v>25</v>
      </c>
      <c r="P48" t="s">
        <v>46</v>
      </c>
      <c r="Q48" t="s">
        <v>277</v>
      </c>
      <c r="R48">
        <v>1</v>
      </c>
      <c r="S48" t="s">
        <v>4301</v>
      </c>
    </row>
    <row r="49" spans="1:19" x14ac:dyDescent="0.25">
      <c r="A49" t="s">
        <v>165</v>
      </c>
      <c r="B49" t="s">
        <v>13</v>
      </c>
      <c r="C49" t="s">
        <v>166</v>
      </c>
      <c r="D49" t="s">
        <v>280</v>
      </c>
      <c r="E49" t="s">
        <v>172</v>
      </c>
      <c r="F49" t="s">
        <v>281</v>
      </c>
      <c r="G49" t="s">
        <v>31</v>
      </c>
      <c r="H49" t="s">
        <v>1665</v>
      </c>
      <c r="I49" t="s">
        <v>167</v>
      </c>
      <c r="J49" t="s">
        <v>168</v>
      </c>
      <c r="K49" t="s">
        <v>169</v>
      </c>
      <c r="L49" t="s">
        <v>282</v>
      </c>
      <c r="M49" t="s">
        <v>174</v>
      </c>
      <c r="N49" t="s">
        <v>283</v>
      </c>
      <c r="O49" t="s">
        <v>32</v>
      </c>
      <c r="P49" t="s">
        <v>93</v>
      </c>
      <c r="Q49" t="s">
        <v>293</v>
      </c>
      <c r="R49">
        <v>79200</v>
      </c>
      <c r="S49" t="s">
        <v>4301</v>
      </c>
    </row>
    <row r="50" spans="1:19" x14ac:dyDescent="0.25">
      <c r="A50" t="s">
        <v>308</v>
      </c>
      <c r="B50" t="s">
        <v>13</v>
      </c>
      <c r="C50" t="s">
        <v>14</v>
      </c>
      <c r="D50" t="s">
        <v>121</v>
      </c>
      <c r="E50" t="s">
        <v>52</v>
      </c>
      <c r="F50" t="s">
        <v>122</v>
      </c>
      <c r="G50" t="s">
        <v>131</v>
      </c>
      <c r="H50" t="s">
        <v>1666</v>
      </c>
      <c r="I50" t="s">
        <v>309</v>
      </c>
      <c r="J50" t="s">
        <v>310</v>
      </c>
      <c r="K50" t="s">
        <v>21</v>
      </c>
      <c r="L50" t="s">
        <v>124</v>
      </c>
      <c r="M50" t="s">
        <v>58</v>
      </c>
      <c r="N50" t="s">
        <v>125</v>
      </c>
      <c r="O50" t="s">
        <v>132</v>
      </c>
      <c r="Q50" t="s">
        <v>318</v>
      </c>
      <c r="R50">
        <v>1</v>
      </c>
      <c r="S50" t="s">
        <v>4301</v>
      </c>
    </row>
    <row r="51" spans="1:19" x14ac:dyDescent="0.25">
      <c r="A51" t="s">
        <v>308</v>
      </c>
      <c r="B51" t="s">
        <v>319</v>
      </c>
      <c r="C51" t="s">
        <v>320</v>
      </c>
      <c r="D51" t="s">
        <v>321</v>
      </c>
      <c r="E51" t="s">
        <v>52</v>
      </c>
      <c r="F51" t="s">
        <v>347</v>
      </c>
      <c r="G51" t="s">
        <v>18</v>
      </c>
      <c r="H51" t="s">
        <v>1667</v>
      </c>
      <c r="I51" t="s">
        <v>309</v>
      </c>
      <c r="J51" t="s">
        <v>324</v>
      </c>
      <c r="K51" t="s">
        <v>325</v>
      </c>
      <c r="L51" t="s">
        <v>326</v>
      </c>
      <c r="M51" t="s">
        <v>58</v>
      </c>
      <c r="N51" t="s">
        <v>349</v>
      </c>
      <c r="O51" t="s">
        <v>25</v>
      </c>
      <c r="P51" t="s">
        <v>49</v>
      </c>
      <c r="Q51" t="s">
        <v>390</v>
      </c>
      <c r="R51">
        <v>274000</v>
      </c>
      <c r="S51" t="s">
        <v>4301</v>
      </c>
    </row>
    <row r="52" spans="1:19" x14ac:dyDescent="0.25">
      <c r="A52" t="s">
        <v>308</v>
      </c>
      <c r="B52" t="s">
        <v>352</v>
      </c>
      <c r="C52" t="s">
        <v>320</v>
      </c>
      <c r="D52" t="s">
        <v>353</v>
      </c>
      <c r="E52" t="s">
        <v>322</v>
      </c>
      <c r="F52" t="s">
        <v>354</v>
      </c>
      <c r="G52" t="s">
        <v>391</v>
      </c>
      <c r="H52" t="s">
        <v>1668</v>
      </c>
      <c r="I52" t="s">
        <v>309</v>
      </c>
      <c r="J52" t="s">
        <v>355</v>
      </c>
      <c r="K52" t="s">
        <v>325</v>
      </c>
      <c r="L52" t="s">
        <v>356</v>
      </c>
      <c r="M52" t="s">
        <v>327</v>
      </c>
      <c r="N52" t="s">
        <v>357</v>
      </c>
      <c r="Q52" t="s">
        <v>392</v>
      </c>
      <c r="R52">
        <v>3037000</v>
      </c>
      <c r="S52" t="s">
        <v>4301</v>
      </c>
    </row>
    <row r="53" spans="1:19" x14ac:dyDescent="0.25">
      <c r="A53" t="s">
        <v>308</v>
      </c>
      <c r="B53" t="s">
        <v>352</v>
      </c>
      <c r="C53" t="s">
        <v>320</v>
      </c>
      <c r="D53" t="s">
        <v>353</v>
      </c>
      <c r="E53" t="s">
        <v>360</v>
      </c>
      <c r="F53" t="s">
        <v>354</v>
      </c>
      <c r="G53" t="s">
        <v>31</v>
      </c>
      <c r="H53" t="s">
        <v>1669</v>
      </c>
      <c r="I53" t="s">
        <v>309</v>
      </c>
      <c r="J53" t="s">
        <v>355</v>
      </c>
      <c r="K53" t="s">
        <v>325</v>
      </c>
      <c r="L53" t="s">
        <v>356</v>
      </c>
      <c r="M53" t="s">
        <v>362</v>
      </c>
      <c r="N53" t="s">
        <v>357</v>
      </c>
      <c r="O53" t="s">
        <v>32</v>
      </c>
      <c r="P53" t="s">
        <v>93</v>
      </c>
      <c r="Q53" t="s">
        <v>409</v>
      </c>
      <c r="R53">
        <v>960000</v>
      </c>
      <c r="S53" t="s">
        <v>4301</v>
      </c>
    </row>
    <row r="54" spans="1:19" x14ac:dyDescent="0.25">
      <c r="A54" t="s">
        <v>308</v>
      </c>
      <c r="B54" t="s">
        <v>47</v>
      </c>
      <c r="C54" t="s">
        <v>320</v>
      </c>
      <c r="D54" t="s">
        <v>370</v>
      </c>
      <c r="E54" t="s">
        <v>322</v>
      </c>
      <c r="F54" t="s">
        <v>17</v>
      </c>
      <c r="G54" t="s">
        <v>263</v>
      </c>
      <c r="H54" t="s">
        <v>1670</v>
      </c>
      <c r="I54" t="s">
        <v>309</v>
      </c>
      <c r="J54" t="s">
        <v>371</v>
      </c>
      <c r="K54" t="s">
        <v>325</v>
      </c>
      <c r="L54" t="s">
        <v>372</v>
      </c>
      <c r="M54" t="s">
        <v>327</v>
      </c>
      <c r="N54" t="s">
        <v>24</v>
      </c>
      <c r="O54" t="s">
        <v>264</v>
      </c>
      <c r="P54" t="s">
        <v>413</v>
      </c>
      <c r="Q54" t="s">
        <v>414</v>
      </c>
      <c r="R54">
        <v>50000</v>
      </c>
      <c r="S54" t="s">
        <v>4301</v>
      </c>
    </row>
    <row r="55" spans="1:19" x14ac:dyDescent="0.25">
      <c r="A55" t="s">
        <v>308</v>
      </c>
      <c r="B55" t="s">
        <v>346</v>
      </c>
      <c r="C55" t="s">
        <v>320</v>
      </c>
      <c r="D55" t="s">
        <v>321</v>
      </c>
      <c r="E55" t="s">
        <v>322</v>
      </c>
      <c r="F55" t="s">
        <v>139</v>
      </c>
      <c r="G55" t="s">
        <v>391</v>
      </c>
      <c r="H55" t="s">
        <v>2157</v>
      </c>
      <c r="I55" t="s">
        <v>309</v>
      </c>
      <c r="J55" t="s">
        <v>348</v>
      </c>
      <c r="K55" t="s">
        <v>325</v>
      </c>
      <c r="L55" t="s">
        <v>326</v>
      </c>
      <c r="M55" t="s">
        <v>327</v>
      </c>
      <c r="N55" t="s">
        <v>143</v>
      </c>
      <c r="Q55" t="s">
        <v>420</v>
      </c>
      <c r="R55">
        <v>1</v>
      </c>
      <c r="S55" t="s">
        <v>4301</v>
      </c>
    </row>
    <row r="56" spans="1:19" x14ac:dyDescent="0.25">
      <c r="A56" t="s">
        <v>308</v>
      </c>
      <c r="B56" t="s">
        <v>359</v>
      </c>
      <c r="C56" t="s">
        <v>320</v>
      </c>
      <c r="D56" t="s">
        <v>321</v>
      </c>
      <c r="E56" t="s">
        <v>322</v>
      </c>
      <c r="F56" t="s">
        <v>347</v>
      </c>
      <c r="G56" t="s">
        <v>18</v>
      </c>
      <c r="H56" t="s">
        <v>1671</v>
      </c>
      <c r="I56" t="s">
        <v>309</v>
      </c>
      <c r="J56" t="s">
        <v>361</v>
      </c>
      <c r="K56" t="s">
        <v>325</v>
      </c>
      <c r="L56" t="s">
        <v>326</v>
      </c>
      <c r="M56" t="s">
        <v>327</v>
      </c>
      <c r="N56" t="s">
        <v>349</v>
      </c>
      <c r="O56" t="s">
        <v>25</v>
      </c>
      <c r="P56" t="s">
        <v>46</v>
      </c>
      <c r="Q56" t="s">
        <v>427</v>
      </c>
      <c r="R56">
        <v>300000</v>
      </c>
      <c r="S56" t="s">
        <v>4301</v>
      </c>
    </row>
    <row r="57" spans="1:19" x14ac:dyDescent="0.25">
      <c r="A57" t="s">
        <v>308</v>
      </c>
      <c r="B57" t="s">
        <v>352</v>
      </c>
      <c r="C57" t="s">
        <v>320</v>
      </c>
      <c r="D57" t="s">
        <v>353</v>
      </c>
      <c r="E57" t="s">
        <v>322</v>
      </c>
      <c r="F57" t="s">
        <v>139</v>
      </c>
      <c r="G57" t="s">
        <v>391</v>
      </c>
      <c r="H57" t="s">
        <v>2158</v>
      </c>
      <c r="I57" t="s">
        <v>309</v>
      </c>
      <c r="J57" t="s">
        <v>355</v>
      </c>
      <c r="K57" t="s">
        <v>325</v>
      </c>
      <c r="L57" t="s">
        <v>356</v>
      </c>
      <c r="M57" t="s">
        <v>327</v>
      </c>
      <c r="N57" t="s">
        <v>143</v>
      </c>
      <c r="Q57" t="s">
        <v>420</v>
      </c>
      <c r="R57">
        <v>1</v>
      </c>
      <c r="S57" t="s">
        <v>4301</v>
      </c>
    </row>
    <row r="58" spans="1:19" x14ac:dyDescent="0.25">
      <c r="A58" t="s">
        <v>308</v>
      </c>
      <c r="B58" t="s">
        <v>335</v>
      </c>
      <c r="C58" t="s">
        <v>320</v>
      </c>
      <c r="D58" t="s">
        <v>321</v>
      </c>
      <c r="E58" t="s">
        <v>322</v>
      </c>
      <c r="F58" t="s">
        <v>139</v>
      </c>
      <c r="G58" t="s">
        <v>391</v>
      </c>
      <c r="H58" t="s">
        <v>2159</v>
      </c>
      <c r="I58" t="s">
        <v>309</v>
      </c>
      <c r="J58" t="s">
        <v>336</v>
      </c>
      <c r="K58" t="s">
        <v>325</v>
      </c>
      <c r="L58" t="s">
        <v>326</v>
      </c>
      <c r="M58" t="s">
        <v>327</v>
      </c>
      <c r="N58" t="s">
        <v>143</v>
      </c>
      <c r="Q58" t="s">
        <v>420</v>
      </c>
      <c r="R58">
        <v>1</v>
      </c>
      <c r="S58" t="s">
        <v>4301</v>
      </c>
    </row>
    <row r="59" spans="1:19" x14ac:dyDescent="0.25">
      <c r="A59" t="s">
        <v>308</v>
      </c>
      <c r="B59" t="s">
        <v>319</v>
      </c>
      <c r="C59" t="s">
        <v>320</v>
      </c>
      <c r="D59" t="s">
        <v>321</v>
      </c>
      <c r="E59" t="s">
        <v>322</v>
      </c>
      <c r="F59" t="s">
        <v>139</v>
      </c>
      <c r="G59" t="s">
        <v>391</v>
      </c>
      <c r="H59" t="s">
        <v>2160</v>
      </c>
      <c r="I59" t="s">
        <v>309</v>
      </c>
      <c r="J59" t="s">
        <v>324</v>
      </c>
      <c r="K59" t="s">
        <v>325</v>
      </c>
      <c r="L59" t="s">
        <v>326</v>
      </c>
      <c r="M59" t="s">
        <v>327</v>
      </c>
      <c r="N59" t="s">
        <v>143</v>
      </c>
      <c r="Q59" t="s">
        <v>420</v>
      </c>
      <c r="R59">
        <v>1</v>
      </c>
      <c r="S59" t="s">
        <v>4301</v>
      </c>
    </row>
    <row r="60" spans="1:19" x14ac:dyDescent="0.25">
      <c r="A60" t="s">
        <v>308</v>
      </c>
      <c r="B60" t="s">
        <v>359</v>
      </c>
      <c r="C60" t="s">
        <v>320</v>
      </c>
      <c r="D60" t="s">
        <v>15</v>
      </c>
      <c r="E60" t="s">
        <v>360</v>
      </c>
      <c r="F60" t="s">
        <v>139</v>
      </c>
      <c r="G60" t="s">
        <v>391</v>
      </c>
      <c r="H60" t="s">
        <v>2161</v>
      </c>
      <c r="I60" t="s">
        <v>309</v>
      </c>
      <c r="J60" t="s">
        <v>361</v>
      </c>
      <c r="K60" t="s">
        <v>325</v>
      </c>
      <c r="L60" t="s">
        <v>22</v>
      </c>
      <c r="M60" t="s">
        <v>362</v>
      </c>
      <c r="N60" t="s">
        <v>143</v>
      </c>
      <c r="Q60" t="s">
        <v>420</v>
      </c>
      <c r="R60">
        <v>1</v>
      </c>
      <c r="S60" t="s">
        <v>4301</v>
      </c>
    </row>
    <row r="61" spans="1:19" x14ac:dyDescent="0.25">
      <c r="A61" t="s">
        <v>308</v>
      </c>
      <c r="B61" t="s">
        <v>359</v>
      </c>
      <c r="C61" t="s">
        <v>320</v>
      </c>
      <c r="D61" t="s">
        <v>15</v>
      </c>
      <c r="E61" t="s">
        <v>360</v>
      </c>
      <c r="F61" t="s">
        <v>17</v>
      </c>
      <c r="G61" t="s">
        <v>118</v>
      </c>
      <c r="H61" t="s">
        <v>1672</v>
      </c>
      <c r="I61" t="s">
        <v>309</v>
      </c>
      <c r="J61" t="s">
        <v>361</v>
      </c>
      <c r="K61" t="s">
        <v>325</v>
      </c>
      <c r="L61" t="s">
        <v>22</v>
      </c>
      <c r="M61" t="s">
        <v>362</v>
      </c>
      <c r="N61" t="s">
        <v>24</v>
      </c>
      <c r="O61" t="s">
        <v>119</v>
      </c>
      <c r="P61" t="s">
        <v>435</v>
      </c>
      <c r="R61">
        <v>1</v>
      </c>
      <c r="S61" t="s">
        <v>4301</v>
      </c>
    </row>
    <row r="62" spans="1:19" x14ac:dyDescent="0.25">
      <c r="A62" t="s">
        <v>136</v>
      </c>
      <c r="B62" t="s">
        <v>13</v>
      </c>
      <c r="C62" t="s">
        <v>14</v>
      </c>
      <c r="D62" t="s">
        <v>15</v>
      </c>
      <c r="E62" t="s">
        <v>16</v>
      </c>
      <c r="F62" t="s">
        <v>438</v>
      </c>
      <c r="G62" t="s">
        <v>18</v>
      </c>
      <c r="H62" t="s">
        <v>2162</v>
      </c>
      <c r="I62" t="s">
        <v>439</v>
      </c>
      <c r="J62" t="s">
        <v>440</v>
      </c>
      <c r="K62" t="s">
        <v>21</v>
      </c>
      <c r="L62" t="s">
        <v>22</v>
      </c>
      <c r="M62" t="s">
        <v>23</v>
      </c>
      <c r="N62" t="s">
        <v>443</v>
      </c>
      <c r="O62" t="s">
        <v>25</v>
      </c>
      <c r="P62" t="s">
        <v>28</v>
      </c>
      <c r="Q62" t="s">
        <v>445</v>
      </c>
      <c r="R62">
        <v>30000</v>
      </c>
      <c r="S62" t="s">
        <v>4301</v>
      </c>
    </row>
    <row r="63" spans="1:19" x14ac:dyDescent="0.25">
      <c r="A63" t="s">
        <v>136</v>
      </c>
      <c r="B63" t="s">
        <v>13</v>
      </c>
      <c r="C63" t="s">
        <v>14</v>
      </c>
      <c r="D63" t="s">
        <v>15</v>
      </c>
      <c r="E63" t="s">
        <v>16</v>
      </c>
      <c r="F63" t="s">
        <v>438</v>
      </c>
      <c r="G63" t="s">
        <v>18</v>
      </c>
      <c r="H63" t="s">
        <v>2162</v>
      </c>
      <c r="I63" t="s">
        <v>439</v>
      </c>
      <c r="J63" t="s">
        <v>440</v>
      </c>
      <c r="K63" t="s">
        <v>21</v>
      </c>
      <c r="L63" t="s">
        <v>22</v>
      </c>
      <c r="M63" t="s">
        <v>23</v>
      </c>
      <c r="N63" t="s">
        <v>443</v>
      </c>
      <c r="O63" t="s">
        <v>25</v>
      </c>
      <c r="P63" t="s">
        <v>26</v>
      </c>
      <c r="Q63" t="s">
        <v>446</v>
      </c>
      <c r="R63">
        <v>7000</v>
      </c>
      <c r="S63" t="s">
        <v>4301</v>
      </c>
    </row>
    <row r="64" spans="1:19" x14ac:dyDescent="0.25">
      <c r="A64" t="s">
        <v>136</v>
      </c>
      <c r="B64" t="s">
        <v>13</v>
      </c>
      <c r="C64" t="s">
        <v>14</v>
      </c>
      <c r="D64" t="s">
        <v>15</v>
      </c>
      <c r="E64" t="s">
        <v>16</v>
      </c>
      <c r="F64" t="s">
        <v>438</v>
      </c>
      <c r="G64" t="s">
        <v>18</v>
      </c>
      <c r="H64" t="s">
        <v>2162</v>
      </c>
      <c r="I64" t="s">
        <v>439</v>
      </c>
      <c r="J64" t="s">
        <v>440</v>
      </c>
      <c r="K64" t="s">
        <v>21</v>
      </c>
      <c r="L64" t="s">
        <v>22</v>
      </c>
      <c r="M64" t="s">
        <v>23</v>
      </c>
      <c r="N64" t="s">
        <v>443</v>
      </c>
      <c r="O64" t="s">
        <v>25</v>
      </c>
      <c r="P64" t="s">
        <v>159</v>
      </c>
      <c r="Q64" t="s">
        <v>447</v>
      </c>
      <c r="R64">
        <v>200000</v>
      </c>
      <c r="S64" t="s">
        <v>4301</v>
      </c>
    </row>
    <row r="65" spans="1:19" x14ac:dyDescent="0.25">
      <c r="A65" t="s">
        <v>136</v>
      </c>
      <c r="B65" t="s">
        <v>13</v>
      </c>
      <c r="C65" t="s">
        <v>14</v>
      </c>
      <c r="D65" t="s">
        <v>15</v>
      </c>
      <c r="E65" t="s">
        <v>16</v>
      </c>
      <c r="F65" t="s">
        <v>438</v>
      </c>
      <c r="G65" t="s">
        <v>18</v>
      </c>
      <c r="H65" t="s">
        <v>2162</v>
      </c>
      <c r="I65" t="s">
        <v>439</v>
      </c>
      <c r="J65" t="s">
        <v>440</v>
      </c>
      <c r="K65" t="s">
        <v>21</v>
      </c>
      <c r="L65" t="s">
        <v>22</v>
      </c>
      <c r="M65" t="s">
        <v>23</v>
      </c>
      <c r="N65" t="s">
        <v>443</v>
      </c>
      <c r="O65" t="s">
        <v>25</v>
      </c>
      <c r="P65" t="s">
        <v>49</v>
      </c>
      <c r="Q65" t="s">
        <v>448</v>
      </c>
      <c r="R65">
        <v>60000</v>
      </c>
      <c r="S65" t="s">
        <v>4301</v>
      </c>
    </row>
    <row r="66" spans="1:19" x14ac:dyDescent="0.25">
      <c r="A66" t="s">
        <v>136</v>
      </c>
      <c r="B66" t="s">
        <v>13</v>
      </c>
      <c r="C66" t="s">
        <v>14</v>
      </c>
      <c r="D66" t="s">
        <v>15</v>
      </c>
      <c r="E66" t="s">
        <v>16</v>
      </c>
      <c r="F66" t="s">
        <v>438</v>
      </c>
      <c r="G66" t="s">
        <v>18</v>
      </c>
      <c r="H66" t="s">
        <v>2162</v>
      </c>
      <c r="I66" t="s">
        <v>439</v>
      </c>
      <c r="J66" t="s">
        <v>440</v>
      </c>
      <c r="K66" t="s">
        <v>21</v>
      </c>
      <c r="L66" t="s">
        <v>22</v>
      </c>
      <c r="M66" t="s">
        <v>23</v>
      </c>
      <c r="N66" t="s">
        <v>443</v>
      </c>
      <c r="O66" t="s">
        <v>25</v>
      </c>
      <c r="P66" t="s">
        <v>30</v>
      </c>
      <c r="Q66" t="s">
        <v>449</v>
      </c>
      <c r="R66">
        <v>100000</v>
      </c>
      <c r="S66" t="s">
        <v>4301</v>
      </c>
    </row>
    <row r="67" spans="1:19" x14ac:dyDescent="0.25">
      <c r="A67" t="s">
        <v>136</v>
      </c>
      <c r="B67" t="s">
        <v>13</v>
      </c>
      <c r="C67" t="s">
        <v>14</v>
      </c>
      <c r="D67" t="s">
        <v>15</v>
      </c>
      <c r="E67" t="s">
        <v>16</v>
      </c>
      <c r="F67" t="s">
        <v>438</v>
      </c>
      <c r="G67" t="s">
        <v>18</v>
      </c>
      <c r="H67" t="s">
        <v>2162</v>
      </c>
      <c r="I67" t="s">
        <v>439</v>
      </c>
      <c r="J67" t="s">
        <v>440</v>
      </c>
      <c r="K67" t="s">
        <v>21</v>
      </c>
      <c r="L67" t="s">
        <v>22</v>
      </c>
      <c r="M67" t="s">
        <v>23</v>
      </c>
      <c r="N67" t="s">
        <v>443</v>
      </c>
      <c r="O67" t="s">
        <v>25</v>
      </c>
      <c r="P67" t="s">
        <v>29</v>
      </c>
      <c r="Q67" t="s">
        <v>450</v>
      </c>
      <c r="R67">
        <v>200000</v>
      </c>
      <c r="S67" t="s">
        <v>4301</v>
      </c>
    </row>
    <row r="68" spans="1:19" x14ac:dyDescent="0.25">
      <c r="A68" t="s">
        <v>136</v>
      </c>
      <c r="B68" t="s">
        <v>13</v>
      </c>
      <c r="C68" t="s">
        <v>14</v>
      </c>
      <c r="D68" t="s">
        <v>15</v>
      </c>
      <c r="E68" t="s">
        <v>16</v>
      </c>
      <c r="F68" t="s">
        <v>139</v>
      </c>
      <c r="G68" t="s">
        <v>18</v>
      </c>
      <c r="H68" t="s">
        <v>2163</v>
      </c>
      <c r="I68" t="s">
        <v>439</v>
      </c>
      <c r="J68" t="s">
        <v>440</v>
      </c>
      <c r="K68" t="s">
        <v>21</v>
      </c>
      <c r="L68" t="s">
        <v>22</v>
      </c>
      <c r="M68" t="s">
        <v>23</v>
      </c>
      <c r="N68" t="s">
        <v>143</v>
      </c>
      <c r="O68" t="s">
        <v>25</v>
      </c>
      <c r="P68" t="s">
        <v>39</v>
      </c>
      <c r="R68">
        <v>1</v>
      </c>
      <c r="S68" t="s">
        <v>4301</v>
      </c>
    </row>
    <row r="69" spans="1:19" x14ac:dyDescent="0.25">
      <c r="A69" t="s">
        <v>136</v>
      </c>
      <c r="B69" t="s">
        <v>13</v>
      </c>
      <c r="C69" t="s">
        <v>14</v>
      </c>
      <c r="D69" t="s">
        <v>436</v>
      </c>
      <c r="E69" t="s">
        <v>451</v>
      </c>
      <c r="F69" t="s">
        <v>17</v>
      </c>
      <c r="G69" t="s">
        <v>80</v>
      </c>
      <c r="H69" t="s">
        <v>1673</v>
      </c>
      <c r="I69" t="s">
        <v>439</v>
      </c>
      <c r="J69" t="s">
        <v>440</v>
      </c>
      <c r="K69" t="s">
        <v>21</v>
      </c>
      <c r="L69" t="s">
        <v>441</v>
      </c>
      <c r="M69" t="s">
        <v>452</v>
      </c>
      <c r="N69" t="s">
        <v>24</v>
      </c>
      <c r="O69" t="s">
        <v>81</v>
      </c>
      <c r="P69" t="s">
        <v>82</v>
      </c>
      <c r="Q69" t="s">
        <v>464</v>
      </c>
      <c r="R69">
        <v>10000</v>
      </c>
      <c r="S69" t="s">
        <v>4301</v>
      </c>
    </row>
    <row r="70" spans="1:19" x14ac:dyDescent="0.25">
      <c r="A70" t="s">
        <v>136</v>
      </c>
      <c r="B70" t="s">
        <v>13</v>
      </c>
      <c r="C70" t="s">
        <v>14</v>
      </c>
      <c r="D70" t="s">
        <v>15</v>
      </c>
      <c r="E70" t="s">
        <v>451</v>
      </c>
      <c r="F70" t="s">
        <v>177</v>
      </c>
      <c r="G70" t="s">
        <v>31</v>
      </c>
      <c r="H70" t="s">
        <v>2164</v>
      </c>
      <c r="I70" t="s">
        <v>439</v>
      </c>
      <c r="J70" t="s">
        <v>440</v>
      </c>
      <c r="K70" t="s">
        <v>21</v>
      </c>
      <c r="L70" t="s">
        <v>22</v>
      </c>
      <c r="M70" t="s">
        <v>452</v>
      </c>
      <c r="N70" t="s">
        <v>179</v>
      </c>
      <c r="O70" t="s">
        <v>32</v>
      </c>
      <c r="P70" t="s">
        <v>93</v>
      </c>
      <c r="Q70" t="s">
        <v>466</v>
      </c>
      <c r="R70">
        <v>6387943.7999999998</v>
      </c>
      <c r="S70" t="s">
        <v>4301</v>
      </c>
    </row>
    <row r="71" spans="1:19" x14ac:dyDescent="0.25">
      <c r="A71" t="s">
        <v>136</v>
      </c>
      <c r="B71" t="s">
        <v>13</v>
      </c>
      <c r="C71" t="s">
        <v>14</v>
      </c>
      <c r="D71" t="s">
        <v>467</v>
      </c>
      <c r="E71" t="s">
        <v>451</v>
      </c>
      <c r="F71" t="s">
        <v>468</v>
      </c>
      <c r="G71" t="s">
        <v>31</v>
      </c>
      <c r="H71" t="s">
        <v>1674</v>
      </c>
      <c r="I71" t="s">
        <v>439</v>
      </c>
      <c r="J71" t="s">
        <v>440</v>
      </c>
      <c r="K71" t="s">
        <v>21</v>
      </c>
      <c r="L71" t="s">
        <v>469</v>
      </c>
      <c r="M71" t="s">
        <v>452</v>
      </c>
      <c r="N71" t="s">
        <v>470</v>
      </c>
      <c r="O71" t="s">
        <v>32</v>
      </c>
      <c r="P71" t="s">
        <v>460</v>
      </c>
      <c r="Q71" t="s">
        <v>471</v>
      </c>
      <c r="R71">
        <v>6000000</v>
      </c>
      <c r="S71" t="s">
        <v>4301</v>
      </c>
    </row>
    <row r="72" spans="1:19" x14ac:dyDescent="0.25">
      <c r="A72" t="s">
        <v>136</v>
      </c>
      <c r="B72" t="s">
        <v>13</v>
      </c>
      <c r="C72" t="s">
        <v>14</v>
      </c>
      <c r="D72" t="s">
        <v>436</v>
      </c>
      <c r="E72" t="s">
        <v>451</v>
      </c>
      <c r="F72" t="s">
        <v>17</v>
      </c>
      <c r="G72" t="s">
        <v>69</v>
      </c>
      <c r="H72" t="s">
        <v>1675</v>
      </c>
      <c r="I72" t="s">
        <v>439</v>
      </c>
      <c r="J72" t="s">
        <v>440</v>
      </c>
      <c r="K72" t="s">
        <v>21</v>
      </c>
      <c r="L72" t="s">
        <v>441</v>
      </c>
      <c r="M72" t="s">
        <v>452</v>
      </c>
      <c r="N72" t="s">
        <v>24</v>
      </c>
      <c r="O72" t="s">
        <v>70</v>
      </c>
      <c r="P72" t="s">
        <v>485</v>
      </c>
      <c r="R72">
        <v>5000</v>
      </c>
      <c r="S72" t="s">
        <v>4301</v>
      </c>
    </row>
    <row r="73" spans="1:19" x14ac:dyDescent="0.25">
      <c r="A73" t="s">
        <v>136</v>
      </c>
      <c r="B73" t="s">
        <v>13</v>
      </c>
      <c r="C73" t="s">
        <v>486</v>
      </c>
      <c r="D73" t="s">
        <v>487</v>
      </c>
      <c r="E73" t="s">
        <v>451</v>
      </c>
      <c r="F73" t="s">
        <v>17</v>
      </c>
      <c r="G73" t="s">
        <v>178</v>
      </c>
      <c r="H73" t="s">
        <v>1676</v>
      </c>
      <c r="I73" t="s">
        <v>439</v>
      </c>
      <c r="J73" t="s">
        <v>440</v>
      </c>
      <c r="K73" t="s">
        <v>490</v>
      </c>
      <c r="L73" t="s">
        <v>491</v>
      </c>
      <c r="M73" t="s">
        <v>452</v>
      </c>
      <c r="N73" t="s">
        <v>24</v>
      </c>
      <c r="O73" t="s">
        <v>180</v>
      </c>
      <c r="P73" t="s">
        <v>454</v>
      </c>
      <c r="Q73" t="s">
        <v>505</v>
      </c>
      <c r="R73">
        <v>3000000</v>
      </c>
      <c r="S73" t="s">
        <v>4301</v>
      </c>
    </row>
    <row r="74" spans="1:19" x14ac:dyDescent="0.25">
      <c r="A74" t="s">
        <v>136</v>
      </c>
      <c r="B74" t="s">
        <v>13</v>
      </c>
      <c r="C74" t="s">
        <v>486</v>
      </c>
      <c r="D74" t="s">
        <v>487</v>
      </c>
      <c r="E74" t="s">
        <v>451</v>
      </c>
      <c r="F74" t="s">
        <v>17</v>
      </c>
      <c r="G74" t="s">
        <v>178</v>
      </c>
      <c r="H74" t="s">
        <v>1676</v>
      </c>
      <c r="I74" t="s">
        <v>439</v>
      </c>
      <c r="J74" t="s">
        <v>440</v>
      </c>
      <c r="K74" t="s">
        <v>490</v>
      </c>
      <c r="L74" t="s">
        <v>491</v>
      </c>
      <c r="M74" t="s">
        <v>452</v>
      </c>
      <c r="N74" t="s">
        <v>24</v>
      </c>
      <c r="O74" t="s">
        <v>180</v>
      </c>
      <c r="P74" t="s">
        <v>454</v>
      </c>
      <c r="Q74" t="s">
        <v>506</v>
      </c>
      <c r="R74">
        <v>187659.84</v>
      </c>
      <c r="S74" t="s">
        <v>4301</v>
      </c>
    </row>
    <row r="75" spans="1:19" x14ac:dyDescent="0.25">
      <c r="A75" t="s">
        <v>136</v>
      </c>
      <c r="B75" t="s">
        <v>13</v>
      </c>
      <c r="C75" t="s">
        <v>486</v>
      </c>
      <c r="D75" t="s">
        <v>487</v>
      </c>
      <c r="E75" t="s">
        <v>451</v>
      </c>
      <c r="F75" t="s">
        <v>17</v>
      </c>
      <c r="G75" t="s">
        <v>178</v>
      </c>
      <c r="H75" t="s">
        <v>1676</v>
      </c>
      <c r="I75" t="s">
        <v>439</v>
      </c>
      <c r="J75" t="s">
        <v>440</v>
      </c>
      <c r="K75" t="s">
        <v>490</v>
      </c>
      <c r="L75" t="s">
        <v>491</v>
      </c>
      <c r="M75" t="s">
        <v>452</v>
      </c>
      <c r="N75" t="s">
        <v>24</v>
      </c>
      <c r="O75" t="s">
        <v>180</v>
      </c>
      <c r="P75" t="s">
        <v>454</v>
      </c>
      <c r="Q75" t="s">
        <v>507</v>
      </c>
      <c r="R75">
        <v>183662.89</v>
      </c>
      <c r="S75" t="s">
        <v>4301</v>
      </c>
    </row>
    <row r="76" spans="1:19" x14ac:dyDescent="0.25">
      <c r="A76" t="s">
        <v>166</v>
      </c>
      <c r="B76" t="s">
        <v>13</v>
      </c>
      <c r="C76" t="s">
        <v>14</v>
      </c>
      <c r="D76" t="s">
        <v>15</v>
      </c>
      <c r="E76" t="s">
        <v>52</v>
      </c>
      <c r="F76" t="s">
        <v>532</v>
      </c>
      <c r="G76" t="s">
        <v>152</v>
      </c>
      <c r="H76" t="s">
        <v>1677</v>
      </c>
      <c r="I76" t="s">
        <v>533</v>
      </c>
      <c r="J76" t="s">
        <v>534</v>
      </c>
      <c r="K76" t="s">
        <v>21</v>
      </c>
      <c r="L76" t="s">
        <v>22</v>
      </c>
      <c r="M76" t="s">
        <v>58</v>
      </c>
      <c r="N76" t="s">
        <v>535</v>
      </c>
      <c r="O76" t="s">
        <v>154</v>
      </c>
      <c r="P76" t="s">
        <v>536</v>
      </c>
      <c r="R76">
        <v>1</v>
      </c>
      <c r="S76" t="s">
        <v>4301</v>
      </c>
    </row>
    <row r="77" spans="1:19" x14ac:dyDescent="0.25">
      <c r="A77" t="s">
        <v>166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1678</v>
      </c>
      <c r="I77" t="s">
        <v>533</v>
      </c>
      <c r="J77" t="s">
        <v>534</v>
      </c>
      <c r="K77" t="s">
        <v>21</v>
      </c>
      <c r="L77" t="s">
        <v>22</v>
      </c>
      <c r="M77" t="s">
        <v>23</v>
      </c>
      <c r="N77" t="s">
        <v>24</v>
      </c>
      <c r="O77" t="s">
        <v>25</v>
      </c>
      <c r="P77" t="s">
        <v>159</v>
      </c>
      <c r="R77">
        <v>10000</v>
      </c>
      <c r="S77" t="s">
        <v>4301</v>
      </c>
    </row>
    <row r="78" spans="1:19" x14ac:dyDescent="0.25">
      <c r="A78" t="s">
        <v>166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1678</v>
      </c>
      <c r="I78" t="s">
        <v>533</v>
      </c>
      <c r="J78" t="s">
        <v>534</v>
      </c>
      <c r="K78" t="s">
        <v>21</v>
      </c>
      <c r="L78" t="s">
        <v>22</v>
      </c>
      <c r="M78" t="s">
        <v>23</v>
      </c>
      <c r="N78" t="s">
        <v>24</v>
      </c>
      <c r="O78" t="s">
        <v>25</v>
      </c>
      <c r="P78" t="s">
        <v>49</v>
      </c>
      <c r="R78">
        <v>350000</v>
      </c>
      <c r="S78" t="s">
        <v>4301</v>
      </c>
    </row>
    <row r="79" spans="1:19" x14ac:dyDescent="0.25">
      <c r="A79" t="s">
        <v>166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1678</v>
      </c>
      <c r="I79" t="s">
        <v>533</v>
      </c>
      <c r="J79" t="s">
        <v>534</v>
      </c>
      <c r="K79" t="s">
        <v>21</v>
      </c>
      <c r="L79" t="s">
        <v>22</v>
      </c>
      <c r="M79" t="s">
        <v>23</v>
      </c>
      <c r="N79" t="s">
        <v>24</v>
      </c>
      <c r="O79" t="s">
        <v>25</v>
      </c>
      <c r="P79" t="s">
        <v>28</v>
      </c>
      <c r="R79">
        <v>50000</v>
      </c>
      <c r="S79" t="s">
        <v>4301</v>
      </c>
    </row>
    <row r="80" spans="1:19" x14ac:dyDescent="0.25">
      <c r="A80" t="s">
        <v>166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1678</v>
      </c>
      <c r="I80" t="s">
        <v>533</v>
      </c>
      <c r="J80" t="s">
        <v>534</v>
      </c>
      <c r="K80" t="s">
        <v>21</v>
      </c>
      <c r="L80" t="s">
        <v>22</v>
      </c>
      <c r="M80" t="s">
        <v>23</v>
      </c>
      <c r="N80" t="s">
        <v>24</v>
      </c>
      <c r="O80" t="s">
        <v>25</v>
      </c>
      <c r="P80" t="s">
        <v>30</v>
      </c>
      <c r="R80">
        <v>30000</v>
      </c>
      <c r="S80" t="s">
        <v>4301</v>
      </c>
    </row>
    <row r="81" spans="1:19" x14ac:dyDescent="0.25">
      <c r="A81" t="s">
        <v>166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1678</v>
      </c>
      <c r="I81" t="s">
        <v>533</v>
      </c>
      <c r="J81" t="s">
        <v>534</v>
      </c>
      <c r="K81" t="s">
        <v>21</v>
      </c>
      <c r="L81" t="s">
        <v>22</v>
      </c>
      <c r="M81" t="s">
        <v>23</v>
      </c>
      <c r="N81" t="s">
        <v>24</v>
      </c>
      <c r="O81" t="s">
        <v>25</v>
      </c>
      <c r="P81" t="s">
        <v>29</v>
      </c>
      <c r="R81">
        <v>250000</v>
      </c>
      <c r="S81" t="s">
        <v>4301</v>
      </c>
    </row>
    <row r="82" spans="1:19" x14ac:dyDescent="0.25">
      <c r="A82" t="s">
        <v>166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1678</v>
      </c>
      <c r="I82" t="s">
        <v>533</v>
      </c>
      <c r="J82" t="s">
        <v>534</v>
      </c>
      <c r="K82" t="s">
        <v>21</v>
      </c>
      <c r="L82" t="s">
        <v>22</v>
      </c>
      <c r="M82" t="s">
        <v>23</v>
      </c>
      <c r="N82" t="s">
        <v>24</v>
      </c>
      <c r="O82" t="s">
        <v>25</v>
      </c>
      <c r="P82" t="s">
        <v>537</v>
      </c>
      <c r="R82">
        <v>10000</v>
      </c>
      <c r="S82" t="s">
        <v>4301</v>
      </c>
    </row>
    <row r="83" spans="1:19" x14ac:dyDescent="0.25">
      <c r="A83" t="s">
        <v>166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1678</v>
      </c>
      <c r="I83" t="s">
        <v>533</v>
      </c>
      <c r="J83" t="s">
        <v>534</v>
      </c>
      <c r="K83" t="s">
        <v>21</v>
      </c>
      <c r="L83" t="s">
        <v>22</v>
      </c>
      <c r="M83" t="s">
        <v>23</v>
      </c>
      <c r="N83" t="s">
        <v>24</v>
      </c>
      <c r="O83" t="s">
        <v>25</v>
      </c>
      <c r="P83" t="s">
        <v>87</v>
      </c>
      <c r="R83">
        <v>100000</v>
      </c>
      <c r="S83" t="s">
        <v>4301</v>
      </c>
    </row>
    <row r="84" spans="1:19" x14ac:dyDescent="0.25">
      <c r="A84" t="s">
        <v>166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1678</v>
      </c>
      <c r="I84" t="s">
        <v>533</v>
      </c>
      <c r="J84" t="s">
        <v>534</v>
      </c>
      <c r="K84" t="s">
        <v>21</v>
      </c>
      <c r="L84" t="s">
        <v>22</v>
      </c>
      <c r="M84" t="s">
        <v>23</v>
      </c>
      <c r="N84" t="s">
        <v>24</v>
      </c>
      <c r="O84" t="s">
        <v>25</v>
      </c>
      <c r="P84" t="s">
        <v>39</v>
      </c>
      <c r="R84">
        <v>150000</v>
      </c>
      <c r="S84" t="s">
        <v>4301</v>
      </c>
    </row>
    <row r="85" spans="1:19" x14ac:dyDescent="0.25">
      <c r="A85" t="s">
        <v>166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1678</v>
      </c>
      <c r="I85" t="s">
        <v>533</v>
      </c>
      <c r="J85" t="s">
        <v>534</v>
      </c>
      <c r="K85" t="s">
        <v>21</v>
      </c>
      <c r="L85" t="s">
        <v>22</v>
      </c>
      <c r="M85" t="s">
        <v>23</v>
      </c>
      <c r="N85" t="s">
        <v>24</v>
      </c>
      <c r="O85" t="s">
        <v>25</v>
      </c>
      <c r="P85" t="s">
        <v>89</v>
      </c>
      <c r="R85">
        <v>50000</v>
      </c>
      <c r="S85" t="s">
        <v>4301</v>
      </c>
    </row>
    <row r="86" spans="1:19" x14ac:dyDescent="0.25">
      <c r="A86" t="s">
        <v>166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1678</v>
      </c>
      <c r="I86" t="s">
        <v>533</v>
      </c>
      <c r="J86" t="s">
        <v>534</v>
      </c>
      <c r="K86" t="s">
        <v>21</v>
      </c>
      <c r="L86" t="s">
        <v>22</v>
      </c>
      <c r="M86" t="s">
        <v>23</v>
      </c>
      <c r="N86" t="s">
        <v>24</v>
      </c>
      <c r="O86" t="s">
        <v>25</v>
      </c>
      <c r="P86" t="s">
        <v>538</v>
      </c>
      <c r="R86">
        <v>1</v>
      </c>
      <c r="S86" t="s">
        <v>4301</v>
      </c>
    </row>
    <row r="87" spans="1:19" x14ac:dyDescent="0.25">
      <c r="A87" t="s">
        <v>166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1678</v>
      </c>
      <c r="I87" t="s">
        <v>533</v>
      </c>
      <c r="J87" t="s">
        <v>534</v>
      </c>
      <c r="K87" t="s">
        <v>21</v>
      </c>
      <c r="L87" t="s">
        <v>22</v>
      </c>
      <c r="M87" t="s">
        <v>23</v>
      </c>
      <c r="N87" t="s">
        <v>24</v>
      </c>
      <c r="O87" t="s">
        <v>25</v>
      </c>
      <c r="P87" t="s">
        <v>46</v>
      </c>
      <c r="R87">
        <v>100000</v>
      </c>
      <c r="S87" t="s">
        <v>4301</v>
      </c>
    </row>
    <row r="88" spans="1:19" x14ac:dyDescent="0.25">
      <c r="A88" t="s">
        <v>166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1678</v>
      </c>
      <c r="I88" t="s">
        <v>533</v>
      </c>
      <c r="J88" t="s">
        <v>534</v>
      </c>
      <c r="K88" t="s">
        <v>21</v>
      </c>
      <c r="L88" t="s">
        <v>22</v>
      </c>
      <c r="M88" t="s">
        <v>23</v>
      </c>
      <c r="N88" t="s">
        <v>24</v>
      </c>
      <c r="O88" t="s">
        <v>25</v>
      </c>
      <c r="P88" t="s">
        <v>26</v>
      </c>
      <c r="R88">
        <v>1</v>
      </c>
      <c r="S88" t="s">
        <v>4301</v>
      </c>
    </row>
    <row r="89" spans="1:19" x14ac:dyDescent="0.25">
      <c r="A89" t="s">
        <v>166</v>
      </c>
      <c r="B89" t="s">
        <v>13</v>
      </c>
      <c r="C89" t="s">
        <v>14</v>
      </c>
      <c r="D89" t="s">
        <v>539</v>
      </c>
      <c r="E89" t="s">
        <v>540</v>
      </c>
      <c r="F89" t="s">
        <v>541</v>
      </c>
      <c r="G89" t="s">
        <v>73</v>
      </c>
      <c r="H89" t="s">
        <v>1679</v>
      </c>
      <c r="I89" t="s">
        <v>533</v>
      </c>
      <c r="J89" t="s">
        <v>534</v>
      </c>
      <c r="K89" t="s">
        <v>21</v>
      </c>
      <c r="L89" t="s">
        <v>542</v>
      </c>
      <c r="M89" t="s">
        <v>543</v>
      </c>
      <c r="N89" t="s">
        <v>544</v>
      </c>
      <c r="O89" t="s">
        <v>74</v>
      </c>
      <c r="P89" t="s">
        <v>545</v>
      </c>
      <c r="R89">
        <v>50000</v>
      </c>
      <c r="S89" t="s">
        <v>4301</v>
      </c>
    </row>
    <row r="90" spans="1:19" x14ac:dyDescent="0.25">
      <c r="A90" t="s">
        <v>166</v>
      </c>
      <c r="B90" t="s">
        <v>13</v>
      </c>
      <c r="C90" t="s">
        <v>14</v>
      </c>
      <c r="D90" t="s">
        <v>539</v>
      </c>
      <c r="E90" t="s">
        <v>540</v>
      </c>
      <c r="F90" t="s">
        <v>541</v>
      </c>
      <c r="G90" t="s">
        <v>73</v>
      </c>
      <c r="H90" t="s">
        <v>1679</v>
      </c>
      <c r="I90" t="s">
        <v>533</v>
      </c>
      <c r="J90" t="s">
        <v>534</v>
      </c>
      <c r="K90" t="s">
        <v>21</v>
      </c>
      <c r="L90" t="s">
        <v>542</v>
      </c>
      <c r="M90" t="s">
        <v>543</v>
      </c>
      <c r="N90" t="s">
        <v>544</v>
      </c>
      <c r="O90" t="s">
        <v>74</v>
      </c>
      <c r="P90" t="s">
        <v>546</v>
      </c>
      <c r="R90">
        <v>50000</v>
      </c>
      <c r="S90" t="s">
        <v>4301</v>
      </c>
    </row>
    <row r="91" spans="1:19" x14ac:dyDescent="0.25">
      <c r="A91" t="s">
        <v>166</v>
      </c>
      <c r="B91" t="s">
        <v>13</v>
      </c>
      <c r="C91" t="s">
        <v>14</v>
      </c>
      <c r="D91" t="s">
        <v>539</v>
      </c>
      <c r="E91" t="s">
        <v>540</v>
      </c>
      <c r="F91" t="s">
        <v>541</v>
      </c>
      <c r="G91" t="s">
        <v>73</v>
      </c>
      <c r="H91" t="s">
        <v>1679</v>
      </c>
      <c r="I91" t="s">
        <v>533</v>
      </c>
      <c r="J91" t="s">
        <v>534</v>
      </c>
      <c r="K91" t="s">
        <v>21</v>
      </c>
      <c r="L91" t="s">
        <v>542</v>
      </c>
      <c r="M91" t="s">
        <v>543</v>
      </c>
      <c r="N91" t="s">
        <v>544</v>
      </c>
      <c r="O91" t="s">
        <v>74</v>
      </c>
      <c r="P91" t="s">
        <v>547</v>
      </c>
      <c r="R91">
        <v>1</v>
      </c>
      <c r="S91" t="s">
        <v>4301</v>
      </c>
    </row>
    <row r="92" spans="1:19" x14ac:dyDescent="0.25">
      <c r="A92" t="s">
        <v>166</v>
      </c>
      <c r="B92" t="s">
        <v>13</v>
      </c>
      <c r="C92" t="s">
        <v>14</v>
      </c>
      <c r="D92" t="s">
        <v>312</v>
      </c>
      <c r="E92" t="s">
        <v>540</v>
      </c>
      <c r="F92" t="s">
        <v>133</v>
      </c>
      <c r="G92" t="s">
        <v>31</v>
      </c>
      <c r="H92" t="s">
        <v>1680</v>
      </c>
      <c r="I92" t="s">
        <v>533</v>
      </c>
      <c r="J92" t="s">
        <v>534</v>
      </c>
      <c r="K92" t="s">
        <v>21</v>
      </c>
      <c r="L92" t="s">
        <v>313</v>
      </c>
      <c r="M92" t="s">
        <v>543</v>
      </c>
      <c r="N92" t="s">
        <v>134</v>
      </c>
      <c r="O92" t="s">
        <v>32</v>
      </c>
      <c r="P92" t="s">
        <v>160</v>
      </c>
      <c r="R92">
        <v>20000</v>
      </c>
      <c r="S92" t="s">
        <v>4301</v>
      </c>
    </row>
    <row r="93" spans="1:19" x14ac:dyDescent="0.25">
      <c r="A93" t="s">
        <v>166</v>
      </c>
      <c r="B93" t="s">
        <v>13</v>
      </c>
      <c r="C93" t="s">
        <v>14</v>
      </c>
      <c r="D93" t="s">
        <v>15</v>
      </c>
      <c r="E93" t="s">
        <v>437</v>
      </c>
      <c r="F93" t="s">
        <v>17</v>
      </c>
      <c r="G93" t="s">
        <v>31</v>
      </c>
      <c r="H93" t="s">
        <v>1681</v>
      </c>
      <c r="I93" t="s">
        <v>533</v>
      </c>
      <c r="J93" t="s">
        <v>534</v>
      </c>
      <c r="K93" t="s">
        <v>21</v>
      </c>
      <c r="L93" t="s">
        <v>22</v>
      </c>
      <c r="M93" t="s">
        <v>442</v>
      </c>
      <c r="N93" t="s">
        <v>24</v>
      </c>
      <c r="O93" t="s">
        <v>32</v>
      </c>
      <c r="P93" t="s">
        <v>460</v>
      </c>
      <c r="R93">
        <v>500000</v>
      </c>
      <c r="S93" t="s">
        <v>4301</v>
      </c>
    </row>
    <row r="94" spans="1:19" x14ac:dyDescent="0.25">
      <c r="A94" t="s">
        <v>166</v>
      </c>
      <c r="B94" t="s">
        <v>13</v>
      </c>
      <c r="C94" t="s">
        <v>14</v>
      </c>
      <c r="D94" t="s">
        <v>436</v>
      </c>
      <c r="E94" t="s">
        <v>16</v>
      </c>
      <c r="F94" t="s">
        <v>177</v>
      </c>
      <c r="G94" t="s">
        <v>31</v>
      </c>
      <c r="H94" t="s">
        <v>2165</v>
      </c>
      <c r="I94" t="s">
        <v>533</v>
      </c>
      <c r="J94" t="s">
        <v>534</v>
      </c>
      <c r="K94" t="s">
        <v>21</v>
      </c>
      <c r="L94" t="s">
        <v>441</v>
      </c>
      <c r="M94" t="s">
        <v>23</v>
      </c>
      <c r="N94" t="s">
        <v>179</v>
      </c>
      <c r="O94" t="s">
        <v>32</v>
      </c>
      <c r="P94" t="s">
        <v>45</v>
      </c>
      <c r="R94">
        <v>1</v>
      </c>
      <c r="S94" t="s">
        <v>4301</v>
      </c>
    </row>
    <row r="95" spans="1:19" x14ac:dyDescent="0.25">
      <c r="A95" t="s">
        <v>166</v>
      </c>
      <c r="B95" t="s">
        <v>13</v>
      </c>
      <c r="C95" t="s">
        <v>14</v>
      </c>
      <c r="D95" t="s">
        <v>436</v>
      </c>
      <c r="E95" t="s">
        <v>16</v>
      </c>
      <c r="F95" t="s">
        <v>17</v>
      </c>
      <c r="G95" t="s">
        <v>31</v>
      </c>
      <c r="H95" t="s">
        <v>1682</v>
      </c>
      <c r="I95" t="s">
        <v>533</v>
      </c>
      <c r="J95" t="s">
        <v>534</v>
      </c>
      <c r="K95" t="s">
        <v>21</v>
      </c>
      <c r="L95" t="s">
        <v>441</v>
      </c>
      <c r="M95" t="s">
        <v>23</v>
      </c>
      <c r="N95" t="s">
        <v>24</v>
      </c>
      <c r="O95" t="s">
        <v>32</v>
      </c>
      <c r="P95" t="s">
        <v>114</v>
      </c>
      <c r="R95">
        <v>1</v>
      </c>
      <c r="S95" t="s">
        <v>4301</v>
      </c>
    </row>
    <row r="96" spans="1:19" x14ac:dyDescent="0.25">
      <c r="A96" t="s">
        <v>166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31</v>
      </c>
      <c r="H96" t="s">
        <v>1683</v>
      </c>
      <c r="I96" t="s">
        <v>533</v>
      </c>
      <c r="J96" t="s">
        <v>534</v>
      </c>
      <c r="K96" t="s">
        <v>21</v>
      </c>
      <c r="L96" t="s">
        <v>22</v>
      </c>
      <c r="M96" t="s">
        <v>23</v>
      </c>
      <c r="N96" t="s">
        <v>24</v>
      </c>
      <c r="O96" t="s">
        <v>32</v>
      </c>
      <c r="P96" t="s">
        <v>33</v>
      </c>
      <c r="R96">
        <v>1000000</v>
      </c>
      <c r="S96" t="s">
        <v>4301</v>
      </c>
    </row>
    <row r="97" spans="1:19" x14ac:dyDescent="0.25">
      <c r="A97" t="s">
        <v>166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31</v>
      </c>
      <c r="H97" t="s">
        <v>1683</v>
      </c>
      <c r="I97" t="s">
        <v>533</v>
      </c>
      <c r="J97" t="s">
        <v>534</v>
      </c>
      <c r="K97" t="s">
        <v>21</v>
      </c>
      <c r="L97" t="s">
        <v>22</v>
      </c>
      <c r="M97" t="s">
        <v>23</v>
      </c>
      <c r="N97" t="s">
        <v>24</v>
      </c>
      <c r="O97" t="s">
        <v>32</v>
      </c>
      <c r="P97" t="s">
        <v>44</v>
      </c>
      <c r="R97">
        <v>100000</v>
      </c>
      <c r="S97" t="s">
        <v>4301</v>
      </c>
    </row>
    <row r="98" spans="1:19" x14ac:dyDescent="0.25">
      <c r="A98" t="s">
        <v>166</v>
      </c>
      <c r="B98" t="s">
        <v>13</v>
      </c>
      <c r="C98" t="s">
        <v>14</v>
      </c>
      <c r="D98" t="s">
        <v>436</v>
      </c>
      <c r="E98" t="s">
        <v>16</v>
      </c>
      <c r="F98" t="s">
        <v>17</v>
      </c>
      <c r="G98" t="s">
        <v>31</v>
      </c>
      <c r="H98" t="s">
        <v>1682</v>
      </c>
      <c r="I98" t="s">
        <v>533</v>
      </c>
      <c r="J98" t="s">
        <v>534</v>
      </c>
      <c r="K98" t="s">
        <v>21</v>
      </c>
      <c r="L98" t="s">
        <v>441</v>
      </c>
      <c r="M98" t="s">
        <v>23</v>
      </c>
      <c r="N98" t="s">
        <v>24</v>
      </c>
      <c r="O98" t="s">
        <v>32</v>
      </c>
      <c r="P98" t="s">
        <v>65</v>
      </c>
      <c r="R98">
        <v>1</v>
      </c>
      <c r="S98" t="s">
        <v>4301</v>
      </c>
    </row>
    <row r="99" spans="1:19" x14ac:dyDescent="0.25">
      <c r="A99" t="s">
        <v>166</v>
      </c>
      <c r="B99" t="s">
        <v>13</v>
      </c>
      <c r="C99" t="s">
        <v>14</v>
      </c>
      <c r="D99" t="s">
        <v>312</v>
      </c>
      <c r="E99" t="s">
        <v>16</v>
      </c>
      <c r="F99" t="s">
        <v>127</v>
      </c>
      <c r="G99" t="s">
        <v>31</v>
      </c>
      <c r="H99" t="s">
        <v>1684</v>
      </c>
      <c r="I99" t="s">
        <v>533</v>
      </c>
      <c r="J99" t="s">
        <v>534</v>
      </c>
      <c r="K99" t="s">
        <v>21</v>
      </c>
      <c r="L99" t="s">
        <v>313</v>
      </c>
      <c r="M99" t="s">
        <v>23</v>
      </c>
      <c r="N99" t="s">
        <v>130</v>
      </c>
      <c r="O99" t="s">
        <v>32</v>
      </c>
      <c r="P99" t="s">
        <v>135</v>
      </c>
      <c r="R99">
        <v>50000</v>
      </c>
      <c r="S99" t="s">
        <v>4301</v>
      </c>
    </row>
    <row r="100" spans="1:19" x14ac:dyDescent="0.25">
      <c r="A100" t="s">
        <v>166</v>
      </c>
      <c r="B100" t="s">
        <v>13</v>
      </c>
      <c r="C100" t="s">
        <v>14</v>
      </c>
      <c r="D100" t="s">
        <v>436</v>
      </c>
      <c r="E100" t="s">
        <v>16</v>
      </c>
      <c r="F100" t="s">
        <v>532</v>
      </c>
      <c r="G100" t="s">
        <v>118</v>
      </c>
      <c r="H100" t="s">
        <v>1685</v>
      </c>
      <c r="I100" t="s">
        <v>533</v>
      </c>
      <c r="J100" t="s">
        <v>534</v>
      </c>
      <c r="K100" t="s">
        <v>21</v>
      </c>
      <c r="L100" t="s">
        <v>441</v>
      </c>
      <c r="M100" t="s">
        <v>23</v>
      </c>
      <c r="N100" t="s">
        <v>535</v>
      </c>
      <c r="O100" t="s">
        <v>119</v>
      </c>
      <c r="P100" t="s">
        <v>93</v>
      </c>
      <c r="R100">
        <v>1</v>
      </c>
      <c r="S100" t="s">
        <v>4301</v>
      </c>
    </row>
    <row r="101" spans="1:19" x14ac:dyDescent="0.25">
      <c r="A101" t="s">
        <v>166</v>
      </c>
      <c r="B101" t="s">
        <v>13</v>
      </c>
      <c r="C101" t="s">
        <v>14</v>
      </c>
      <c r="D101" t="s">
        <v>15</v>
      </c>
      <c r="E101" t="s">
        <v>16</v>
      </c>
      <c r="F101" t="s">
        <v>182</v>
      </c>
      <c r="G101" t="s">
        <v>69</v>
      </c>
      <c r="H101" t="s">
        <v>2166</v>
      </c>
      <c r="I101" t="s">
        <v>533</v>
      </c>
      <c r="J101" t="s">
        <v>534</v>
      </c>
      <c r="K101" t="s">
        <v>21</v>
      </c>
      <c r="L101" t="s">
        <v>22</v>
      </c>
      <c r="M101" t="s">
        <v>23</v>
      </c>
      <c r="N101" t="s">
        <v>183</v>
      </c>
      <c r="O101" t="s">
        <v>70</v>
      </c>
      <c r="P101" t="s">
        <v>485</v>
      </c>
      <c r="R101">
        <v>1</v>
      </c>
      <c r="S101" t="s">
        <v>4301</v>
      </c>
    </row>
    <row r="102" spans="1:19" x14ac:dyDescent="0.25">
      <c r="A102" t="s">
        <v>166</v>
      </c>
      <c r="B102" t="s">
        <v>13</v>
      </c>
      <c r="C102" t="s">
        <v>14</v>
      </c>
      <c r="D102" t="s">
        <v>15</v>
      </c>
      <c r="E102" t="s">
        <v>16</v>
      </c>
      <c r="F102" t="s">
        <v>182</v>
      </c>
      <c r="G102" t="s">
        <v>69</v>
      </c>
      <c r="H102" t="s">
        <v>2166</v>
      </c>
      <c r="I102" t="s">
        <v>533</v>
      </c>
      <c r="J102" t="s">
        <v>534</v>
      </c>
      <c r="K102" t="s">
        <v>21</v>
      </c>
      <c r="L102" t="s">
        <v>22</v>
      </c>
      <c r="M102" t="s">
        <v>23</v>
      </c>
      <c r="N102" t="s">
        <v>183</v>
      </c>
      <c r="O102" t="s">
        <v>70</v>
      </c>
      <c r="P102" t="s">
        <v>222</v>
      </c>
      <c r="R102">
        <v>1</v>
      </c>
      <c r="S102" t="s">
        <v>4301</v>
      </c>
    </row>
    <row r="103" spans="1:19" x14ac:dyDescent="0.25">
      <c r="A103" t="s">
        <v>166</v>
      </c>
      <c r="B103" t="s">
        <v>13</v>
      </c>
      <c r="C103" t="s">
        <v>14</v>
      </c>
      <c r="D103" t="s">
        <v>15</v>
      </c>
      <c r="E103" t="s">
        <v>16</v>
      </c>
      <c r="F103" t="s">
        <v>127</v>
      </c>
      <c r="G103" t="s">
        <v>69</v>
      </c>
      <c r="H103" t="s">
        <v>1686</v>
      </c>
      <c r="I103" t="s">
        <v>533</v>
      </c>
      <c r="J103" t="s">
        <v>534</v>
      </c>
      <c r="K103" t="s">
        <v>21</v>
      </c>
      <c r="L103" t="s">
        <v>22</v>
      </c>
      <c r="M103" t="s">
        <v>23</v>
      </c>
      <c r="N103" t="s">
        <v>130</v>
      </c>
      <c r="O103" t="s">
        <v>70</v>
      </c>
      <c r="P103" t="s">
        <v>548</v>
      </c>
      <c r="R103">
        <v>1</v>
      </c>
      <c r="S103" t="s">
        <v>4301</v>
      </c>
    </row>
    <row r="104" spans="1:19" x14ac:dyDescent="0.25">
      <c r="A104" t="s">
        <v>166</v>
      </c>
      <c r="B104" t="s">
        <v>13</v>
      </c>
      <c r="C104" t="s">
        <v>14</v>
      </c>
      <c r="D104" t="s">
        <v>15</v>
      </c>
      <c r="E104" t="s">
        <v>52</v>
      </c>
      <c r="F104" t="s">
        <v>139</v>
      </c>
      <c r="G104" t="s">
        <v>178</v>
      </c>
      <c r="H104" t="s">
        <v>2167</v>
      </c>
      <c r="I104" t="s">
        <v>533</v>
      </c>
      <c r="J104" t="s">
        <v>534</v>
      </c>
      <c r="K104" t="s">
        <v>21</v>
      </c>
      <c r="L104" t="s">
        <v>22</v>
      </c>
      <c r="M104" t="s">
        <v>58</v>
      </c>
      <c r="N104" t="s">
        <v>143</v>
      </c>
      <c r="O104" t="s">
        <v>180</v>
      </c>
      <c r="R104">
        <v>1</v>
      </c>
      <c r="S104" t="s">
        <v>4301</v>
      </c>
    </row>
    <row r="105" spans="1:19" x14ac:dyDescent="0.25">
      <c r="A105" t="s">
        <v>166</v>
      </c>
      <c r="B105" t="s">
        <v>13</v>
      </c>
      <c r="C105" t="s">
        <v>14</v>
      </c>
      <c r="D105" t="s">
        <v>436</v>
      </c>
      <c r="E105" t="s">
        <v>540</v>
      </c>
      <c r="F105" t="s">
        <v>541</v>
      </c>
      <c r="G105" t="s">
        <v>80</v>
      </c>
      <c r="H105" t="s">
        <v>1687</v>
      </c>
      <c r="I105" t="s">
        <v>533</v>
      </c>
      <c r="J105" t="s">
        <v>534</v>
      </c>
      <c r="K105" t="s">
        <v>21</v>
      </c>
      <c r="L105" t="s">
        <v>441</v>
      </c>
      <c r="M105" t="s">
        <v>543</v>
      </c>
      <c r="N105" t="s">
        <v>544</v>
      </c>
      <c r="O105" t="s">
        <v>81</v>
      </c>
      <c r="R105">
        <v>600000</v>
      </c>
      <c r="S105" t="s">
        <v>4301</v>
      </c>
    </row>
    <row r="106" spans="1:19" x14ac:dyDescent="0.25">
      <c r="A106" t="s">
        <v>166</v>
      </c>
      <c r="B106" t="s">
        <v>13</v>
      </c>
      <c r="C106" t="s">
        <v>14</v>
      </c>
      <c r="D106" t="s">
        <v>15</v>
      </c>
      <c r="E106" t="s">
        <v>52</v>
      </c>
      <c r="F106" t="s">
        <v>549</v>
      </c>
      <c r="G106" t="s">
        <v>31</v>
      </c>
      <c r="H106" t="s">
        <v>1688</v>
      </c>
      <c r="I106" t="s">
        <v>533</v>
      </c>
      <c r="J106" t="s">
        <v>534</v>
      </c>
      <c r="K106" t="s">
        <v>21</v>
      </c>
      <c r="L106" t="s">
        <v>22</v>
      </c>
      <c r="M106" t="s">
        <v>58</v>
      </c>
      <c r="N106" t="s">
        <v>550</v>
      </c>
      <c r="O106" t="s">
        <v>32</v>
      </c>
      <c r="R106">
        <v>1</v>
      </c>
      <c r="S106" t="s">
        <v>4301</v>
      </c>
    </row>
    <row r="107" spans="1:19" x14ac:dyDescent="0.25">
      <c r="A107" t="s">
        <v>166</v>
      </c>
      <c r="B107" t="s">
        <v>13</v>
      </c>
      <c r="C107" t="s">
        <v>551</v>
      </c>
      <c r="D107" t="s">
        <v>539</v>
      </c>
      <c r="E107" t="s">
        <v>540</v>
      </c>
      <c r="F107" t="s">
        <v>552</v>
      </c>
      <c r="G107" t="s">
        <v>192</v>
      </c>
      <c r="H107" t="s">
        <v>1689</v>
      </c>
      <c r="I107" t="s">
        <v>533</v>
      </c>
      <c r="J107" t="s">
        <v>534</v>
      </c>
      <c r="K107" t="s">
        <v>553</v>
      </c>
      <c r="L107" t="s">
        <v>542</v>
      </c>
      <c r="M107" t="s">
        <v>543</v>
      </c>
      <c r="N107" t="s">
        <v>554</v>
      </c>
      <c r="O107" t="s">
        <v>193</v>
      </c>
      <c r="P107" t="s">
        <v>194</v>
      </c>
      <c r="R107">
        <v>150000</v>
      </c>
      <c r="S107" t="s">
        <v>4301</v>
      </c>
    </row>
    <row r="108" spans="1:19" x14ac:dyDescent="0.25">
      <c r="A108" t="s">
        <v>166</v>
      </c>
      <c r="B108" t="s">
        <v>13</v>
      </c>
      <c r="C108" t="s">
        <v>551</v>
      </c>
      <c r="D108" t="s">
        <v>555</v>
      </c>
      <c r="E108" t="s">
        <v>540</v>
      </c>
      <c r="F108" t="s">
        <v>532</v>
      </c>
      <c r="G108" t="s">
        <v>131</v>
      </c>
      <c r="H108" t="s">
        <v>1690</v>
      </c>
      <c r="I108" t="s">
        <v>533</v>
      </c>
      <c r="J108" t="s">
        <v>534</v>
      </c>
      <c r="K108" t="s">
        <v>553</v>
      </c>
      <c r="L108" t="s">
        <v>556</v>
      </c>
      <c r="M108" t="s">
        <v>543</v>
      </c>
      <c r="N108" t="s">
        <v>535</v>
      </c>
      <c r="O108" t="s">
        <v>132</v>
      </c>
      <c r="P108" t="s">
        <v>557</v>
      </c>
      <c r="R108">
        <v>1972800</v>
      </c>
      <c r="S108" t="s">
        <v>4301</v>
      </c>
    </row>
    <row r="109" spans="1:19" x14ac:dyDescent="0.25">
      <c r="A109" t="s">
        <v>166</v>
      </c>
      <c r="B109" t="s">
        <v>13</v>
      </c>
      <c r="C109" t="s">
        <v>551</v>
      </c>
      <c r="D109" t="s">
        <v>555</v>
      </c>
      <c r="E109" t="s">
        <v>540</v>
      </c>
      <c r="F109" t="s">
        <v>541</v>
      </c>
      <c r="G109" t="s">
        <v>31</v>
      </c>
      <c r="H109" t="s">
        <v>1691</v>
      </c>
      <c r="I109" t="s">
        <v>533</v>
      </c>
      <c r="J109" t="s">
        <v>534</v>
      </c>
      <c r="K109" t="s">
        <v>553</v>
      </c>
      <c r="L109" t="s">
        <v>556</v>
      </c>
      <c r="M109" t="s">
        <v>543</v>
      </c>
      <c r="N109" t="s">
        <v>544</v>
      </c>
      <c r="O109" t="s">
        <v>32</v>
      </c>
      <c r="P109" t="s">
        <v>50</v>
      </c>
      <c r="R109">
        <v>120000</v>
      </c>
      <c r="S109" t="s">
        <v>4301</v>
      </c>
    </row>
    <row r="110" spans="1:19" x14ac:dyDescent="0.25">
      <c r="A110" t="s">
        <v>166</v>
      </c>
      <c r="B110" t="s">
        <v>13</v>
      </c>
      <c r="C110" t="s">
        <v>551</v>
      </c>
      <c r="D110" t="s">
        <v>555</v>
      </c>
      <c r="E110" t="s">
        <v>540</v>
      </c>
      <c r="F110" t="s">
        <v>127</v>
      </c>
      <c r="G110" t="s">
        <v>31</v>
      </c>
      <c r="H110" t="s">
        <v>1692</v>
      </c>
      <c r="I110" t="s">
        <v>533</v>
      </c>
      <c r="J110" t="s">
        <v>534</v>
      </c>
      <c r="K110" t="s">
        <v>553</v>
      </c>
      <c r="L110" t="s">
        <v>556</v>
      </c>
      <c r="M110" t="s">
        <v>543</v>
      </c>
      <c r="N110" t="s">
        <v>130</v>
      </c>
      <c r="O110" t="s">
        <v>32</v>
      </c>
      <c r="P110" t="s">
        <v>558</v>
      </c>
      <c r="R110">
        <v>60000</v>
      </c>
      <c r="S110" t="s">
        <v>4301</v>
      </c>
    </row>
    <row r="111" spans="1:19" x14ac:dyDescent="0.25">
      <c r="A111" t="s">
        <v>166</v>
      </c>
      <c r="B111" t="s">
        <v>13</v>
      </c>
      <c r="C111" t="s">
        <v>551</v>
      </c>
      <c r="D111" t="s">
        <v>555</v>
      </c>
      <c r="E111" t="s">
        <v>16</v>
      </c>
      <c r="F111" t="s">
        <v>532</v>
      </c>
      <c r="G111" t="s">
        <v>31</v>
      </c>
      <c r="H111" t="s">
        <v>1693</v>
      </c>
      <c r="I111" t="s">
        <v>533</v>
      </c>
      <c r="J111" t="s">
        <v>534</v>
      </c>
      <c r="K111" t="s">
        <v>553</v>
      </c>
      <c r="L111" t="s">
        <v>556</v>
      </c>
      <c r="M111" t="s">
        <v>23</v>
      </c>
      <c r="N111" t="s">
        <v>535</v>
      </c>
      <c r="O111" t="s">
        <v>32</v>
      </c>
      <c r="P111" t="s">
        <v>557</v>
      </c>
      <c r="R111">
        <v>100000</v>
      </c>
      <c r="S111" t="s">
        <v>4301</v>
      </c>
    </row>
    <row r="112" spans="1:19" x14ac:dyDescent="0.25">
      <c r="A112" t="s">
        <v>559</v>
      </c>
      <c r="B112" t="s">
        <v>13</v>
      </c>
      <c r="C112" t="s">
        <v>14</v>
      </c>
      <c r="D112" t="s">
        <v>15</v>
      </c>
      <c r="E112" t="s">
        <v>16</v>
      </c>
      <c r="F112" t="s">
        <v>122</v>
      </c>
      <c r="G112" t="s">
        <v>131</v>
      </c>
      <c r="H112" t="s">
        <v>1694</v>
      </c>
      <c r="I112" t="s">
        <v>560</v>
      </c>
      <c r="J112" t="s">
        <v>561</v>
      </c>
      <c r="K112" t="s">
        <v>21</v>
      </c>
      <c r="L112" t="s">
        <v>22</v>
      </c>
      <c r="M112" t="s">
        <v>23</v>
      </c>
      <c r="N112" t="s">
        <v>125</v>
      </c>
      <c r="O112" t="s">
        <v>132</v>
      </c>
      <c r="Q112" t="s">
        <v>578</v>
      </c>
      <c r="R112">
        <v>2000</v>
      </c>
      <c r="S112" t="s">
        <v>4301</v>
      </c>
    </row>
    <row r="113" spans="1:19" x14ac:dyDescent="0.25">
      <c r="A113" t="s">
        <v>559</v>
      </c>
      <c r="B113" t="s">
        <v>13</v>
      </c>
      <c r="C113" t="s">
        <v>14</v>
      </c>
      <c r="D113" t="s">
        <v>15</v>
      </c>
      <c r="E113" t="s">
        <v>16</v>
      </c>
      <c r="F113" t="s">
        <v>122</v>
      </c>
      <c r="G113" t="s">
        <v>31</v>
      </c>
      <c r="H113" t="s">
        <v>1695</v>
      </c>
      <c r="I113" t="s">
        <v>560</v>
      </c>
      <c r="J113" t="s">
        <v>561</v>
      </c>
      <c r="K113" t="s">
        <v>21</v>
      </c>
      <c r="L113" t="s">
        <v>22</v>
      </c>
      <c r="M113" t="s">
        <v>23</v>
      </c>
      <c r="N113" t="s">
        <v>125</v>
      </c>
      <c r="O113" t="s">
        <v>32</v>
      </c>
      <c r="P113" t="s">
        <v>93</v>
      </c>
      <c r="Q113" t="s">
        <v>578</v>
      </c>
      <c r="R113">
        <v>30000</v>
      </c>
      <c r="S113" t="s">
        <v>4301</v>
      </c>
    </row>
    <row r="114" spans="1:19" x14ac:dyDescent="0.25">
      <c r="A114" t="s">
        <v>559</v>
      </c>
      <c r="B114" t="s">
        <v>13</v>
      </c>
      <c r="C114" t="s">
        <v>14</v>
      </c>
      <c r="D114" t="s">
        <v>15</v>
      </c>
      <c r="E114" t="s">
        <v>16</v>
      </c>
      <c r="F114" t="s">
        <v>133</v>
      </c>
      <c r="G114" t="s">
        <v>69</v>
      </c>
      <c r="H114" t="s">
        <v>1696</v>
      </c>
      <c r="I114" t="s">
        <v>560</v>
      </c>
      <c r="J114" t="s">
        <v>561</v>
      </c>
      <c r="K114" t="s">
        <v>21</v>
      </c>
      <c r="L114" t="s">
        <v>22</v>
      </c>
      <c r="M114" t="s">
        <v>23</v>
      </c>
      <c r="N114" t="s">
        <v>134</v>
      </c>
      <c r="O114" t="s">
        <v>70</v>
      </c>
      <c r="P114" t="s">
        <v>485</v>
      </c>
      <c r="Q114" t="s">
        <v>578</v>
      </c>
      <c r="R114">
        <v>1000</v>
      </c>
      <c r="S114" t="s">
        <v>4301</v>
      </c>
    </row>
    <row r="115" spans="1:19" x14ac:dyDescent="0.25">
      <c r="A115" t="s">
        <v>559</v>
      </c>
      <c r="B115" t="s">
        <v>13</v>
      </c>
      <c r="C115" t="s">
        <v>14</v>
      </c>
      <c r="D115" t="s">
        <v>15</v>
      </c>
      <c r="E115" t="s">
        <v>16</v>
      </c>
      <c r="F115" t="s">
        <v>133</v>
      </c>
      <c r="G115" t="s">
        <v>69</v>
      </c>
      <c r="H115" t="s">
        <v>1696</v>
      </c>
      <c r="I115" t="s">
        <v>560</v>
      </c>
      <c r="J115" t="s">
        <v>561</v>
      </c>
      <c r="K115" t="s">
        <v>21</v>
      </c>
      <c r="L115" t="s">
        <v>22</v>
      </c>
      <c r="M115" t="s">
        <v>23</v>
      </c>
      <c r="N115" t="s">
        <v>134</v>
      </c>
      <c r="O115" t="s">
        <v>70</v>
      </c>
      <c r="P115" t="s">
        <v>222</v>
      </c>
      <c r="Q115" t="s">
        <v>578</v>
      </c>
      <c r="R115">
        <v>5000</v>
      </c>
      <c r="S115" t="s">
        <v>4301</v>
      </c>
    </row>
    <row r="116" spans="1:19" x14ac:dyDescent="0.25">
      <c r="A116" t="s">
        <v>559</v>
      </c>
      <c r="B116" t="s">
        <v>352</v>
      </c>
      <c r="C116" t="s">
        <v>14</v>
      </c>
      <c r="D116" t="s">
        <v>15</v>
      </c>
      <c r="E116" t="s">
        <v>16</v>
      </c>
      <c r="F116" t="s">
        <v>133</v>
      </c>
      <c r="G116" t="s">
        <v>69</v>
      </c>
      <c r="H116" t="s">
        <v>1697</v>
      </c>
      <c r="I116" t="s">
        <v>560</v>
      </c>
      <c r="J116" t="s">
        <v>585</v>
      </c>
      <c r="K116" t="s">
        <v>21</v>
      </c>
      <c r="L116" t="s">
        <v>22</v>
      </c>
      <c r="M116" t="s">
        <v>23</v>
      </c>
      <c r="N116" t="s">
        <v>134</v>
      </c>
      <c r="O116" t="s">
        <v>70</v>
      </c>
      <c r="P116" t="s">
        <v>222</v>
      </c>
      <c r="Q116" t="s">
        <v>578</v>
      </c>
      <c r="R116">
        <v>5000</v>
      </c>
      <c r="S116" t="s">
        <v>4301</v>
      </c>
    </row>
    <row r="117" spans="1:19" x14ac:dyDescent="0.25">
      <c r="A117" t="s">
        <v>559</v>
      </c>
      <c r="B117" t="s">
        <v>13</v>
      </c>
      <c r="C117" t="s">
        <v>14</v>
      </c>
      <c r="D117" t="s">
        <v>15</v>
      </c>
      <c r="E117" t="s">
        <v>16</v>
      </c>
      <c r="F117" t="s">
        <v>133</v>
      </c>
      <c r="G117" t="s">
        <v>31</v>
      </c>
      <c r="H117" t="s">
        <v>1698</v>
      </c>
      <c r="I117" t="s">
        <v>560</v>
      </c>
      <c r="J117" t="s">
        <v>561</v>
      </c>
      <c r="K117" t="s">
        <v>21</v>
      </c>
      <c r="L117" t="s">
        <v>22</v>
      </c>
      <c r="M117" t="s">
        <v>23</v>
      </c>
      <c r="N117" t="s">
        <v>134</v>
      </c>
      <c r="O117" t="s">
        <v>32</v>
      </c>
      <c r="P117" t="s">
        <v>50</v>
      </c>
      <c r="Q117" t="s">
        <v>586</v>
      </c>
      <c r="R117">
        <v>61250</v>
      </c>
      <c r="S117" t="s">
        <v>4301</v>
      </c>
    </row>
    <row r="118" spans="1:19" x14ac:dyDescent="0.25">
      <c r="A118" t="s">
        <v>559</v>
      </c>
      <c r="B118" t="s">
        <v>13</v>
      </c>
      <c r="C118" t="s">
        <v>593</v>
      </c>
      <c r="D118" t="s">
        <v>594</v>
      </c>
      <c r="E118" t="s">
        <v>595</v>
      </c>
      <c r="F118" t="s">
        <v>596</v>
      </c>
      <c r="G118" t="s">
        <v>31</v>
      </c>
      <c r="H118" t="s">
        <v>2168</v>
      </c>
      <c r="I118" t="s">
        <v>560</v>
      </c>
      <c r="J118" t="s">
        <v>561</v>
      </c>
      <c r="K118" t="s">
        <v>597</v>
      </c>
      <c r="L118" t="s">
        <v>598</v>
      </c>
      <c r="M118" t="s">
        <v>599</v>
      </c>
      <c r="N118" t="s">
        <v>600</v>
      </c>
      <c r="O118" t="s">
        <v>32</v>
      </c>
      <c r="P118" t="s">
        <v>93</v>
      </c>
      <c r="Q118" t="s">
        <v>601</v>
      </c>
      <c r="R118">
        <v>23703265</v>
      </c>
      <c r="S118" t="s">
        <v>4301</v>
      </c>
    </row>
    <row r="119" spans="1:19" x14ac:dyDescent="0.25">
      <c r="A119" t="s">
        <v>610</v>
      </c>
      <c r="B119" t="s">
        <v>13</v>
      </c>
      <c r="C119" t="s">
        <v>14</v>
      </c>
      <c r="D119" t="s">
        <v>611</v>
      </c>
      <c r="E119" t="s">
        <v>16</v>
      </c>
      <c r="F119" t="s">
        <v>438</v>
      </c>
      <c r="G119" t="s">
        <v>31</v>
      </c>
      <c r="H119" t="s">
        <v>2169</v>
      </c>
      <c r="I119" t="s">
        <v>612</v>
      </c>
      <c r="J119" t="s">
        <v>613</v>
      </c>
      <c r="K119" t="s">
        <v>21</v>
      </c>
      <c r="L119" t="s">
        <v>614</v>
      </c>
      <c r="M119" t="s">
        <v>23</v>
      </c>
      <c r="N119" t="s">
        <v>443</v>
      </c>
      <c r="O119" t="s">
        <v>32</v>
      </c>
      <c r="P119" t="s">
        <v>93</v>
      </c>
      <c r="Q119" t="s">
        <v>615</v>
      </c>
      <c r="R119">
        <v>1</v>
      </c>
      <c r="S119" t="s">
        <v>4301</v>
      </c>
    </row>
    <row r="120" spans="1:19" x14ac:dyDescent="0.25">
      <c r="A120" t="s">
        <v>610</v>
      </c>
      <c r="B120" t="s">
        <v>13</v>
      </c>
      <c r="C120" t="s">
        <v>14</v>
      </c>
      <c r="D120" t="s">
        <v>436</v>
      </c>
      <c r="E120" t="s">
        <v>437</v>
      </c>
      <c r="F120" t="s">
        <v>438</v>
      </c>
      <c r="G120" t="s">
        <v>54</v>
      </c>
      <c r="H120" t="s">
        <v>2170</v>
      </c>
      <c r="I120" t="s">
        <v>612</v>
      </c>
      <c r="J120" t="s">
        <v>613</v>
      </c>
      <c r="K120" t="s">
        <v>21</v>
      </c>
      <c r="L120" t="s">
        <v>441</v>
      </c>
      <c r="M120" t="s">
        <v>442</v>
      </c>
      <c r="N120" t="s">
        <v>443</v>
      </c>
      <c r="O120" t="s">
        <v>60</v>
      </c>
      <c r="Q120" t="s">
        <v>624</v>
      </c>
      <c r="R120">
        <v>1</v>
      </c>
      <c r="S120" t="s">
        <v>4301</v>
      </c>
    </row>
    <row r="121" spans="1:19" x14ac:dyDescent="0.25">
      <c r="A121" t="s">
        <v>610</v>
      </c>
      <c r="B121" t="s">
        <v>13</v>
      </c>
      <c r="C121" t="s">
        <v>165</v>
      </c>
      <c r="D121" t="s">
        <v>635</v>
      </c>
      <c r="E121" t="s">
        <v>636</v>
      </c>
      <c r="F121" t="s">
        <v>637</v>
      </c>
      <c r="G121" t="s">
        <v>31</v>
      </c>
      <c r="H121" t="s">
        <v>1699</v>
      </c>
      <c r="I121" t="s">
        <v>612</v>
      </c>
      <c r="J121" t="s">
        <v>613</v>
      </c>
      <c r="K121" t="s">
        <v>638</v>
      </c>
      <c r="L121" t="s">
        <v>639</v>
      </c>
      <c r="M121" t="s">
        <v>640</v>
      </c>
      <c r="N121" t="s">
        <v>641</v>
      </c>
      <c r="O121" t="s">
        <v>32</v>
      </c>
      <c r="P121" t="s">
        <v>93</v>
      </c>
      <c r="Q121" t="s">
        <v>642</v>
      </c>
      <c r="R121">
        <v>0</v>
      </c>
      <c r="S121" t="s">
        <v>4301</v>
      </c>
    </row>
    <row r="122" spans="1:19" x14ac:dyDescent="0.25">
      <c r="A122" t="s">
        <v>610</v>
      </c>
      <c r="B122" t="s">
        <v>618</v>
      </c>
      <c r="C122" t="s">
        <v>165</v>
      </c>
      <c r="D122" t="s">
        <v>611</v>
      </c>
      <c r="E122" t="s">
        <v>643</v>
      </c>
      <c r="F122" t="s">
        <v>17</v>
      </c>
      <c r="G122" t="s">
        <v>31</v>
      </c>
      <c r="H122" t="s">
        <v>1700</v>
      </c>
      <c r="I122" t="s">
        <v>612</v>
      </c>
      <c r="J122" t="s">
        <v>619</v>
      </c>
      <c r="K122" t="s">
        <v>638</v>
      </c>
      <c r="L122" t="s">
        <v>614</v>
      </c>
      <c r="M122" t="s">
        <v>645</v>
      </c>
      <c r="N122" t="s">
        <v>24</v>
      </c>
      <c r="O122" t="s">
        <v>32</v>
      </c>
      <c r="P122" t="s">
        <v>65</v>
      </c>
      <c r="Q122" t="s">
        <v>676</v>
      </c>
      <c r="R122">
        <v>20000</v>
      </c>
      <c r="S122" t="s">
        <v>4301</v>
      </c>
    </row>
    <row r="123" spans="1:19" x14ac:dyDescent="0.25">
      <c r="A123" t="s">
        <v>610</v>
      </c>
      <c r="B123" t="s">
        <v>618</v>
      </c>
      <c r="C123" t="s">
        <v>165</v>
      </c>
      <c r="D123" t="s">
        <v>611</v>
      </c>
      <c r="E123" t="s">
        <v>643</v>
      </c>
      <c r="F123" t="s">
        <v>648</v>
      </c>
      <c r="G123" t="s">
        <v>131</v>
      </c>
      <c r="H123" t="s">
        <v>1701</v>
      </c>
      <c r="I123" t="s">
        <v>612</v>
      </c>
      <c r="J123" t="s">
        <v>619</v>
      </c>
      <c r="K123" t="s">
        <v>638</v>
      </c>
      <c r="L123" t="s">
        <v>614</v>
      </c>
      <c r="M123" t="s">
        <v>645</v>
      </c>
      <c r="N123" t="s">
        <v>649</v>
      </c>
      <c r="O123" t="s">
        <v>132</v>
      </c>
      <c r="P123" t="s">
        <v>65</v>
      </c>
      <c r="R123">
        <v>0</v>
      </c>
      <c r="S123" t="s">
        <v>4301</v>
      </c>
    </row>
    <row r="124" spans="1:19" x14ac:dyDescent="0.25">
      <c r="A124" t="s">
        <v>610</v>
      </c>
      <c r="B124" t="s">
        <v>352</v>
      </c>
      <c r="C124" t="s">
        <v>165</v>
      </c>
      <c r="D124" t="s">
        <v>611</v>
      </c>
      <c r="E124" t="s">
        <v>643</v>
      </c>
      <c r="F124" t="s">
        <v>139</v>
      </c>
      <c r="G124" t="s">
        <v>31</v>
      </c>
      <c r="H124" t="s">
        <v>2171</v>
      </c>
      <c r="I124" t="s">
        <v>612</v>
      </c>
      <c r="J124" t="s">
        <v>683</v>
      </c>
      <c r="K124" t="s">
        <v>638</v>
      </c>
      <c r="L124" t="s">
        <v>614</v>
      </c>
      <c r="M124" t="s">
        <v>645</v>
      </c>
      <c r="N124" t="s">
        <v>143</v>
      </c>
      <c r="O124" t="s">
        <v>32</v>
      </c>
      <c r="P124" t="s">
        <v>33</v>
      </c>
      <c r="Q124" t="s">
        <v>684</v>
      </c>
      <c r="R124">
        <v>1</v>
      </c>
      <c r="S124" t="s">
        <v>4301</v>
      </c>
    </row>
    <row r="125" spans="1:19" x14ac:dyDescent="0.25">
      <c r="A125" t="s">
        <v>610</v>
      </c>
      <c r="B125" t="s">
        <v>352</v>
      </c>
      <c r="C125" t="s">
        <v>165</v>
      </c>
      <c r="D125" t="s">
        <v>611</v>
      </c>
      <c r="E125" t="s">
        <v>643</v>
      </c>
      <c r="F125" t="s">
        <v>648</v>
      </c>
      <c r="G125" t="s">
        <v>31</v>
      </c>
      <c r="H125" t="s">
        <v>1702</v>
      </c>
      <c r="I125" t="s">
        <v>612</v>
      </c>
      <c r="J125" t="s">
        <v>683</v>
      </c>
      <c r="K125" t="s">
        <v>638</v>
      </c>
      <c r="L125" t="s">
        <v>614</v>
      </c>
      <c r="M125" t="s">
        <v>645</v>
      </c>
      <c r="N125" t="s">
        <v>649</v>
      </c>
      <c r="O125" t="s">
        <v>32</v>
      </c>
      <c r="P125" t="s">
        <v>93</v>
      </c>
      <c r="Q125" t="s">
        <v>656</v>
      </c>
      <c r="R125">
        <v>20000</v>
      </c>
      <c r="S125" t="s">
        <v>4301</v>
      </c>
    </row>
    <row r="126" spans="1:19" x14ac:dyDescent="0.25">
      <c r="A126" t="s">
        <v>610</v>
      </c>
      <c r="B126" t="s">
        <v>352</v>
      </c>
      <c r="C126" t="s">
        <v>165</v>
      </c>
      <c r="D126" t="s">
        <v>611</v>
      </c>
      <c r="E126" t="s">
        <v>643</v>
      </c>
      <c r="F126" t="s">
        <v>648</v>
      </c>
      <c r="G126" t="s">
        <v>31</v>
      </c>
      <c r="H126" t="s">
        <v>1702</v>
      </c>
      <c r="I126" t="s">
        <v>612</v>
      </c>
      <c r="J126" t="s">
        <v>683</v>
      </c>
      <c r="K126" t="s">
        <v>638</v>
      </c>
      <c r="L126" t="s">
        <v>614</v>
      </c>
      <c r="M126" t="s">
        <v>645</v>
      </c>
      <c r="N126" t="s">
        <v>649</v>
      </c>
      <c r="O126" t="s">
        <v>32</v>
      </c>
      <c r="P126" t="s">
        <v>114</v>
      </c>
      <c r="Q126" t="s">
        <v>95</v>
      </c>
      <c r="R126">
        <v>44328</v>
      </c>
      <c r="S126" t="s">
        <v>4301</v>
      </c>
    </row>
    <row r="127" spans="1:19" x14ac:dyDescent="0.25">
      <c r="A127" t="s">
        <v>610</v>
      </c>
      <c r="B127" t="s">
        <v>352</v>
      </c>
      <c r="C127" t="s">
        <v>165</v>
      </c>
      <c r="D127" t="s">
        <v>611</v>
      </c>
      <c r="E127" t="s">
        <v>643</v>
      </c>
      <c r="F127" t="s">
        <v>648</v>
      </c>
      <c r="G127" t="s">
        <v>31</v>
      </c>
      <c r="H127" t="s">
        <v>1702</v>
      </c>
      <c r="I127" t="s">
        <v>612</v>
      </c>
      <c r="J127" t="s">
        <v>683</v>
      </c>
      <c r="K127" t="s">
        <v>638</v>
      </c>
      <c r="L127" t="s">
        <v>614</v>
      </c>
      <c r="M127" t="s">
        <v>645</v>
      </c>
      <c r="N127" t="s">
        <v>649</v>
      </c>
      <c r="O127" t="s">
        <v>32</v>
      </c>
      <c r="P127" t="s">
        <v>33</v>
      </c>
      <c r="Q127" t="s">
        <v>680</v>
      </c>
      <c r="R127">
        <v>40000</v>
      </c>
      <c r="S127" t="s">
        <v>4301</v>
      </c>
    </row>
    <row r="128" spans="1:19" x14ac:dyDescent="0.25">
      <c r="A128" t="s">
        <v>610</v>
      </c>
      <c r="B128" t="s">
        <v>352</v>
      </c>
      <c r="C128" t="s">
        <v>165</v>
      </c>
      <c r="D128" t="s">
        <v>611</v>
      </c>
      <c r="E128" t="s">
        <v>643</v>
      </c>
      <c r="F128" t="s">
        <v>648</v>
      </c>
      <c r="G128" t="s">
        <v>31</v>
      </c>
      <c r="H128" t="s">
        <v>1702</v>
      </c>
      <c r="I128" t="s">
        <v>612</v>
      </c>
      <c r="J128" t="s">
        <v>683</v>
      </c>
      <c r="K128" t="s">
        <v>638</v>
      </c>
      <c r="L128" t="s">
        <v>614</v>
      </c>
      <c r="M128" t="s">
        <v>645</v>
      </c>
      <c r="N128" t="s">
        <v>649</v>
      </c>
      <c r="O128" t="s">
        <v>32</v>
      </c>
      <c r="P128" t="s">
        <v>65</v>
      </c>
      <c r="Q128" t="s">
        <v>681</v>
      </c>
      <c r="R128">
        <v>8000</v>
      </c>
      <c r="S128" t="s">
        <v>4301</v>
      </c>
    </row>
    <row r="129" spans="1:19" x14ac:dyDescent="0.25">
      <c r="A129" t="s">
        <v>486</v>
      </c>
      <c r="B129" t="s">
        <v>13</v>
      </c>
      <c r="C129" t="s">
        <v>559</v>
      </c>
      <c r="D129" t="s">
        <v>312</v>
      </c>
      <c r="E129" t="s">
        <v>695</v>
      </c>
      <c r="F129" t="s">
        <v>133</v>
      </c>
      <c r="G129" t="s">
        <v>31</v>
      </c>
      <c r="H129" t="s">
        <v>1703</v>
      </c>
      <c r="I129" t="s">
        <v>696</v>
      </c>
      <c r="J129" t="s">
        <v>697</v>
      </c>
      <c r="K129" t="s">
        <v>698</v>
      </c>
      <c r="L129" t="s">
        <v>313</v>
      </c>
      <c r="M129" t="s">
        <v>699</v>
      </c>
      <c r="N129" t="s">
        <v>134</v>
      </c>
      <c r="O129" t="s">
        <v>32</v>
      </c>
      <c r="P129" t="s">
        <v>114</v>
      </c>
      <c r="R129">
        <v>1500000</v>
      </c>
      <c r="S129" t="s">
        <v>4301</v>
      </c>
    </row>
    <row r="130" spans="1:19" x14ac:dyDescent="0.25">
      <c r="A130" t="s">
        <v>486</v>
      </c>
      <c r="B130" t="s">
        <v>13</v>
      </c>
      <c r="C130" t="s">
        <v>559</v>
      </c>
      <c r="D130" t="s">
        <v>312</v>
      </c>
      <c r="E130" t="s">
        <v>695</v>
      </c>
      <c r="F130" t="s">
        <v>133</v>
      </c>
      <c r="G130" t="s">
        <v>31</v>
      </c>
      <c r="H130" t="s">
        <v>1703</v>
      </c>
      <c r="I130" t="s">
        <v>696</v>
      </c>
      <c r="J130" t="s">
        <v>697</v>
      </c>
      <c r="K130" t="s">
        <v>698</v>
      </c>
      <c r="L130" t="s">
        <v>313</v>
      </c>
      <c r="M130" t="s">
        <v>699</v>
      </c>
      <c r="N130" t="s">
        <v>134</v>
      </c>
      <c r="O130" t="s">
        <v>32</v>
      </c>
      <c r="P130" t="s">
        <v>114</v>
      </c>
      <c r="R130">
        <v>850000</v>
      </c>
      <c r="S130" t="s">
        <v>4301</v>
      </c>
    </row>
    <row r="131" spans="1:19" x14ac:dyDescent="0.25">
      <c r="A131" t="s">
        <v>486</v>
      </c>
      <c r="B131" t="s">
        <v>13</v>
      </c>
      <c r="C131" t="s">
        <v>559</v>
      </c>
      <c r="D131" t="s">
        <v>700</v>
      </c>
      <c r="E131" t="s">
        <v>16</v>
      </c>
      <c r="F131" t="s">
        <v>17</v>
      </c>
      <c r="G131" t="s">
        <v>18</v>
      </c>
      <c r="H131" t="s">
        <v>1704</v>
      </c>
      <c r="I131" t="s">
        <v>696</v>
      </c>
      <c r="J131" t="s">
        <v>697</v>
      </c>
      <c r="K131" t="s">
        <v>698</v>
      </c>
      <c r="L131" t="s">
        <v>701</v>
      </c>
      <c r="M131" t="s">
        <v>23</v>
      </c>
      <c r="N131" t="s">
        <v>24</v>
      </c>
      <c r="O131" t="s">
        <v>25</v>
      </c>
      <c r="P131" t="s">
        <v>46</v>
      </c>
      <c r="R131">
        <v>100000</v>
      </c>
      <c r="S131" t="s">
        <v>4301</v>
      </c>
    </row>
    <row r="132" spans="1:19" x14ac:dyDescent="0.25">
      <c r="A132" t="s">
        <v>593</v>
      </c>
      <c r="B132" t="s">
        <v>13</v>
      </c>
      <c r="C132" t="s">
        <v>710</v>
      </c>
      <c r="D132" t="s">
        <v>312</v>
      </c>
      <c r="E132" t="s">
        <v>52</v>
      </c>
      <c r="F132" t="s">
        <v>133</v>
      </c>
      <c r="G132" t="s">
        <v>31</v>
      </c>
      <c r="H132" t="s">
        <v>1705</v>
      </c>
      <c r="I132" t="s">
        <v>712</v>
      </c>
      <c r="J132" t="s">
        <v>713</v>
      </c>
      <c r="K132" t="s">
        <v>714</v>
      </c>
      <c r="L132" t="s">
        <v>313</v>
      </c>
      <c r="M132" t="s">
        <v>58</v>
      </c>
      <c r="N132" t="s">
        <v>134</v>
      </c>
      <c r="O132" t="s">
        <v>32</v>
      </c>
      <c r="P132" t="s">
        <v>65</v>
      </c>
      <c r="Q132" t="s">
        <v>734</v>
      </c>
      <c r="R132">
        <v>11556</v>
      </c>
      <c r="S132" t="s">
        <v>4301</v>
      </c>
    </row>
    <row r="133" spans="1:19" x14ac:dyDescent="0.25">
      <c r="A133" t="s">
        <v>593</v>
      </c>
      <c r="B133" t="s">
        <v>13</v>
      </c>
      <c r="C133" t="s">
        <v>710</v>
      </c>
      <c r="D133" t="s">
        <v>312</v>
      </c>
      <c r="E133" t="s">
        <v>52</v>
      </c>
      <c r="F133" t="s">
        <v>133</v>
      </c>
      <c r="G133" t="s">
        <v>31</v>
      </c>
      <c r="H133" t="s">
        <v>1705</v>
      </c>
      <c r="I133" t="s">
        <v>712</v>
      </c>
      <c r="J133" t="s">
        <v>713</v>
      </c>
      <c r="K133" t="s">
        <v>714</v>
      </c>
      <c r="L133" t="s">
        <v>313</v>
      </c>
      <c r="M133" t="s">
        <v>58</v>
      </c>
      <c r="N133" t="s">
        <v>134</v>
      </c>
      <c r="O133" t="s">
        <v>32</v>
      </c>
      <c r="P133" t="s">
        <v>65</v>
      </c>
      <c r="Q133" t="s">
        <v>735</v>
      </c>
      <c r="R133">
        <v>108520</v>
      </c>
      <c r="S133" t="s">
        <v>4301</v>
      </c>
    </row>
    <row r="134" spans="1:19" x14ac:dyDescent="0.25">
      <c r="A134" t="s">
        <v>508</v>
      </c>
      <c r="B134" t="s">
        <v>13</v>
      </c>
      <c r="C134" t="s">
        <v>14</v>
      </c>
      <c r="D134" t="s">
        <v>15</v>
      </c>
      <c r="E134" t="s">
        <v>509</v>
      </c>
      <c r="F134" t="s">
        <v>17</v>
      </c>
      <c r="G134" t="s">
        <v>18</v>
      </c>
      <c r="H134" t="s">
        <v>1706</v>
      </c>
      <c r="I134" t="s">
        <v>737</v>
      </c>
      <c r="J134" t="s">
        <v>738</v>
      </c>
      <c r="K134" t="s">
        <v>21</v>
      </c>
      <c r="L134" t="s">
        <v>22</v>
      </c>
      <c r="M134" t="s">
        <v>512</v>
      </c>
      <c r="N134" t="s">
        <v>24</v>
      </c>
      <c r="O134" t="s">
        <v>25</v>
      </c>
      <c r="P134" t="s">
        <v>28</v>
      </c>
      <c r="Q134" t="s">
        <v>739</v>
      </c>
      <c r="R134">
        <v>960</v>
      </c>
      <c r="S134" t="s">
        <v>4301</v>
      </c>
    </row>
    <row r="135" spans="1:19" x14ac:dyDescent="0.25">
      <c r="A135" t="s">
        <v>508</v>
      </c>
      <c r="B135" t="s">
        <v>13</v>
      </c>
      <c r="C135" t="s">
        <v>14</v>
      </c>
      <c r="D135" t="s">
        <v>740</v>
      </c>
      <c r="E135" t="s">
        <v>509</v>
      </c>
      <c r="F135" t="s">
        <v>17</v>
      </c>
      <c r="G135" t="s">
        <v>323</v>
      </c>
      <c r="H135" t="s">
        <v>1707</v>
      </c>
      <c r="I135" t="s">
        <v>737</v>
      </c>
      <c r="J135" t="s">
        <v>738</v>
      </c>
      <c r="K135" t="s">
        <v>21</v>
      </c>
      <c r="L135" t="s">
        <v>741</v>
      </c>
      <c r="M135" t="s">
        <v>512</v>
      </c>
      <c r="N135" t="s">
        <v>24</v>
      </c>
      <c r="O135" t="s">
        <v>328</v>
      </c>
      <c r="P135" t="s">
        <v>329</v>
      </c>
      <c r="Q135" t="s">
        <v>742</v>
      </c>
      <c r="R135">
        <v>10000000</v>
      </c>
      <c r="S135" t="s">
        <v>4301</v>
      </c>
    </row>
    <row r="136" spans="1:19" x14ac:dyDescent="0.25">
      <c r="A136" t="s">
        <v>508</v>
      </c>
      <c r="B136" t="s">
        <v>13</v>
      </c>
      <c r="C136" t="s">
        <v>14</v>
      </c>
      <c r="D136" t="s">
        <v>740</v>
      </c>
      <c r="E136" t="s">
        <v>509</v>
      </c>
      <c r="F136" t="s">
        <v>17</v>
      </c>
      <c r="G136" t="s">
        <v>31</v>
      </c>
      <c r="H136" t="s">
        <v>1708</v>
      </c>
      <c r="I136" t="s">
        <v>737</v>
      </c>
      <c r="J136" t="s">
        <v>738</v>
      </c>
      <c r="K136" t="s">
        <v>21</v>
      </c>
      <c r="L136" t="s">
        <v>741</v>
      </c>
      <c r="M136" t="s">
        <v>512</v>
      </c>
      <c r="N136" t="s">
        <v>24</v>
      </c>
      <c r="O136" t="s">
        <v>32</v>
      </c>
      <c r="P136" t="s">
        <v>93</v>
      </c>
      <c r="Q136" t="s">
        <v>743</v>
      </c>
      <c r="R136">
        <v>6000000</v>
      </c>
      <c r="S136" t="s">
        <v>4301</v>
      </c>
    </row>
    <row r="137" spans="1:19" x14ac:dyDescent="0.25">
      <c r="A137" t="s">
        <v>508</v>
      </c>
      <c r="B137" t="s">
        <v>13</v>
      </c>
      <c r="C137" t="s">
        <v>14</v>
      </c>
      <c r="D137" t="s">
        <v>15</v>
      </c>
      <c r="E137" t="s">
        <v>509</v>
      </c>
      <c r="F137" t="s">
        <v>17</v>
      </c>
      <c r="G137" t="s">
        <v>18</v>
      </c>
      <c r="H137" t="s">
        <v>1706</v>
      </c>
      <c r="I137" t="s">
        <v>737</v>
      </c>
      <c r="J137" t="s">
        <v>738</v>
      </c>
      <c r="K137" t="s">
        <v>21</v>
      </c>
      <c r="L137" t="s">
        <v>22</v>
      </c>
      <c r="M137" t="s">
        <v>512</v>
      </c>
      <c r="N137" t="s">
        <v>24</v>
      </c>
      <c r="O137" t="s">
        <v>25</v>
      </c>
      <c r="P137" t="s">
        <v>28</v>
      </c>
      <c r="Q137" t="s">
        <v>744</v>
      </c>
      <c r="R137">
        <v>2400</v>
      </c>
      <c r="S137" t="s">
        <v>4301</v>
      </c>
    </row>
    <row r="138" spans="1:19" x14ac:dyDescent="0.25">
      <c r="A138" t="s">
        <v>508</v>
      </c>
      <c r="B138" t="s">
        <v>13</v>
      </c>
      <c r="C138" t="s">
        <v>14</v>
      </c>
      <c r="D138" t="s">
        <v>15</v>
      </c>
      <c r="E138" t="s">
        <v>509</v>
      </c>
      <c r="F138" t="s">
        <v>17</v>
      </c>
      <c r="G138" t="s">
        <v>18</v>
      </c>
      <c r="H138" t="s">
        <v>1706</v>
      </c>
      <c r="I138" t="s">
        <v>737</v>
      </c>
      <c r="J138" t="s">
        <v>738</v>
      </c>
      <c r="K138" t="s">
        <v>21</v>
      </c>
      <c r="L138" t="s">
        <v>22</v>
      </c>
      <c r="M138" t="s">
        <v>512</v>
      </c>
      <c r="N138" t="s">
        <v>24</v>
      </c>
      <c r="O138" t="s">
        <v>25</v>
      </c>
      <c r="P138" t="s">
        <v>29</v>
      </c>
      <c r="Q138" t="s">
        <v>745</v>
      </c>
      <c r="R138">
        <v>950</v>
      </c>
      <c r="S138" t="s">
        <v>4301</v>
      </c>
    </row>
    <row r="139" spans="1:19" x14ac:dyDescent="0.25">
      <c r="A139" t="s">
        <v>508</v>
      </c>
      <c r="B139" t="s">
        <v>13</v>
      </c>
      <c r="C139" t="s">
        <v>14</v>
      </c>
      <c r="D139" t="s">
        <v>15</v>
      </c>
      <c r="E139" t="s">
        <v>509</v>
      </c>
      <c r="F139" t="s">
        <v>17</v>
      </c>
      <c r="G139" t="s">
        <v>18</v>
      </c>
      <c r="H139" t="s">
        <v>1706</v>
      </c>
      <c r="I139" t="s">
        <v>737</v>
      </c>
      <c r="J139" t="s">
        <v>738</v>
      </c>
      <c r="K139" t="s">
        <v>21</v>
      </c>
      <c r="L139" t="s">
        <v>22</v>
      </c>
      <c r="M139" t="s">
        <v>512</v>
      </c>
      <c r="N139" t="s">
        <v>24</v>
      </c>
      <c r="O139" t="s">
        <v>25</v>
      </c>
      <c r="P139" t="s">
        <v>225</v>
      </c>
      <c r="Q139" t="s">
        <v>746</v>
      </c>
      <c r="R139">
        <v>40711.75</v>
      </c>
      <c r="S139" t="s">
        <v>4301</v>
      </c>
    </row>
    <row r="140" spans="1:19" x14ac:dyDescent="0.25">
      <c r="A140" t="s">
        <v>508</v>
      </c>
      <c r="B140" t="s">
        <v>13</v>
      </c>
      <c r="C140" t="s">
        <v>14</v>
      </c>
      <c r="D140" t="s">
        <v>15</v>
      </c>
      <c r="E140" t="s">
        <v>509</v>
      </c>
      <c r="F140" t="s">
        <v>17</v>
      </c>
      <c r="G140" t="s">
        <v>18</v>
      </c>
      <c r="H140" t="s">
        <v>1706</v>
      </c>
      <c r="I140" t="s">
        <v>737</v>
      </c>
      <c r="J140" t="s">
        <v>738</v>
      </c>
      <c r="K140" t="s">
        <v>21</v>
      </c>
      <c r="L140" t="s">
        <v>22</v>
      </c>
      <c r="M140" t="s">
        <v>512</v>
      </c>
      <c r="N140" t="s">
        <v>24</v>
      </c>
      <c r="O140" t="s">
        <v>25</v>
      </c>
      <c r="P140" t="s">
        <v>29</v>
      </c>
      <c r="Q140" t="s">
        <v>747</v>
      </c>
      <c r="R140">
        <v>15454.2</v>
      </c>
      <c r="S140" t="s">
        <v>4301</v>
      </c>
    </row>
    <row r="141" spans="1:19" x14ac:dyDescent="0.25">
      <c r="A141" t="s">
        <v>508</v>
      </c>
      <c r="B141" t="s">
        <v>13</v>
      </c>
      <c r="C141" t="s">
        <v>14</v>
      </c>
      <c r="D141" t="s">
        <v>15</v>
      </c>
      <c r="E141" t="s">
        <v>509</v>
      </c>
      <c r="F141" t="s">
        <v>17</v>
      </c>
      <c r="G141" t="s">
        <v>18</v>
      </c>
      <c r="H141" t="s">
        <v>1706</v>
      </c>
      <c r="I141" t="s">
        <v>737</v>
      </c>
      <c r="J141" t="s">
        <v>738</v>
      </c>
      <c r="K141" t="s">
        <v>21</v>
      </c>
      <c r="L141" t="s">
        <v>22</v>
      </c>
      <c r="M141" t="s">
        <v>512</v>
      </c>
      <c r="N141" t="s">
        <v>24</v>
      </c>
      <c r="O141" t="s">
        <v>25</v>
      </c>
      <c r="P141" t="s">
        <v>29</v>
      </c>
      <c r="Q141" t="s">
        <v>748</v>
      </c>
      <c r="R141">
        <v>15264</v>
      </c>
      <c r="S141" t="s">
        <v>4301</v>
      </c>
    </row>
    <row r="142" spans="1:19" x14ac:dyDescent="0.25">
      <c r="A142" t="s">
        <v>508</v>
      </c>
      <c r="B142" t="s">
        <v>13</v>
      </c>
      <c r="C142" t="s">
        <v>14</v>
      </c>
      <c r="D142" t="s">
        <v>15</v>
      </c>
      <c r="E142" t="s">
        <v>509</v>
      </c>
      <c r="F142" t="s">
        <v>17</v>
      </c>
      <c r="G142" t="s">
        <v>18</v>
      </c>
      <c r="H142" t="s">
        <v>1706</v>
      </c>
      <c r="I142" t="s">
        <v>737</v>
      </c>
      <c r="J142" t="s">
        <v>738</v>
      </c>
      <c r="K142" t="s">
        <v>21</v>
      </c>
      <c r="L142" t="s">
        <v>22</v>
      </c>
      <c r="M142" t="s">
        <v>512</v>
      </c>
      <c r="N142" t="s">
        <v>24</v>
      </c>
      <c r="O142" t="s">
        <v>25</v>
      </c>
      <c r="P142" t="s">
        <v>28</v>
      </c>
      <c r="Q142" t="s">
        <v>749</v>
      </c>
      <c r="R142">
        <v>4850</v>
      </c>
      <c r="S142" t="s">
        <v>4301</v>
      </c>
    </row>
    <row r="143" spans="1:19" x14ac:dyDescent="0.25">
      <c r="A143" t="s">
        <v>508</v>
      </c>
      <c r="B143" t="s">
        <v>13</v>
      </c>
      <c r="C143" t="s">
        <v>14</v>
      </c>
      <c r="D143" t="s">
        <v>15</v>
      </c>
      <c r="E143" t="s">
        <v>509</v>
      </c>
      <c r="F143" t="s">
        <v>182</v>
      </c>
      <c r="G143" t="s">
        <v>18</v>
      </c>
      <c r="H143" t="s">
        <v>2172</v>
      </c>
      <c r="I143" t="s">
        <v>737</v>
      </c>
      <c r="J143" t="s">
        <v>738</v>
      </c>
      <c r="K143" t="s">
        <v>21</v>
      </c>
      <c r="L143" t="s">
        <v>22</v>
      </c>
      <c r="M143" t="s">
        <v>512</v>
      </c>
      <c r="N143" t="s">
        <v>183</v>
      </c>
      <c r="O143" t="s">
        <v>25</v>
      </c>
      <c r="P143" t="s">
        <v>537</v>
      </c>
      <c r="Q143" t="s">
        <v>750</v>
      </c>
      <c r="R143">
        <v>16613</v>
      </c>
      <c r="S143" t="s">
        <v>4301</v>
      </c>
    </row>
    <row r="144" spans="1:19" x14ac:dyDescent="0.25">
      <c r="A144" t="s">
        <v>508</v>
      </c>
      <c r="B144" t="s">
        <v>13</v>
      </c>
      <c r="C144" t="s">
        <v>14</v>
      </c>
      <c r="D144" t="s">
        <v>15</v>
      </c>
      <c r="E144" t="s">
        <v>509</v>
      </c>
      <c r="F144" t="s">
        <v>17</v>
      </c>
      <c r="G144" t="s">
        <v>18</v>
      </c>
      <c r="H144" t="s">
        <v>1706</v>
      </c>
      <c r="I144" t="s">
        <v>737</v>
      </c>
      <c r="J144" t="s">
        <v>738</v>
      </c>
      <c r="K144" t="s">
        <v>21</v>
      </c>
      <c r="L144" t="s">
        <v>22</v>
      </c>
      <c r="M144" t="s">
        <v>512</v>
      </c>
      <c r="N144" t="s">
        <v>24</v>
      </c>
      <c r="O144" t="s">
        <v>25</v>
      </c>
      <c r="P144" t="s">
        <v>39</v>
      </c>
      <c r="Q144" t="s">
        <v>751</v>
      </c>
      <c r="R144">
        <v>87257.3</v>
      </c>
      <c r="S144" t="s">
        <v>4301</v>
      </c>
    </row>
    <row r="145" spans="1:19" x14ac:dyDescent="0.25">
      <c r="A145" t="s">
        <v>508</v>
      </c>
      <c r="B145" t="s">
        <v>13</v>
      </c>
      <c r="C145" t="s">
        <v>14</v>
      </c>
      <c r="D145" t="s">
        <v>15</v>
      </c>
      <c r="E145" t="s">
        <v>509</v>
      </c>
      <c r="F145" t="s">
        <v>17</v>
      </c>
      <c r="G145" t="s">
        <v>18</v>
      </c>
      <c r="H145" t="s">
        <v>1706</v>
      </c>
      <c r="I145" t="s">
        <v>737</v>
      </c>
      <c r="J145" t="s">
        <v>738</v>
      </c>
      <c r="K145" t="s">
        <v>21</v>
      </c>
      <c r="L145" t="s">
        <v>22</v>
      </c>
      <c r="M145" t="s">
        <v>512</v>
      </c>
      <c r="N145" t="s">
        <v>24</v>
      </c>
      <c r="O145" t="s">
        <v>25</v>
      </c>
      <c r="P145" t="s">
        <v>29</v>
      </c>
      <c r="Q145" t="s">
        <v>752</v>
      </c>
      <c r="R145">
        <v>23455</v>
      </c>
      <c r="S145" t="s">
        <v>4301</v>
      </c>
    </row>
    <row r="146" spans="1:19" x14ac:dyDescent="0.25">
      <c r="A146" t="s">
        <v>508</v>
      </c>
      <c r="B146" t="s">
        <v>13</v>
      </c>
      <c r="C146" t="s">
        <v>14</v>
      </c>
      <c r="D146" t="s">
        <v>15</v>
      </c>
      <c r="E146" t="s">
        <v>509</v>
      </c>
      <c r="F146" t="s">
        <v>17</v>
      </c>
      <c r="G146" t="s">
        <v>18</v>
      </c>
      <c r="H146" t="s">
        <v>1706</v>
      </c>
      <c r="I146" t="s">
        <v>737</v>
      </c>
      <c r="J146" t="s">
        <v>738</v>
      </c>
      <c r="K146" t="s">
        <v>21</v>
      </c>
      <c r="L146" t="s">
        <v>22</v>
      </c>
      <c r="M146" t="s">
        <v>512</v>
      </c>
      <c r="N146" t="s">
        <v>24</v>
      </c>
      <c r="O146" t="s">
        <v>25</v>
      </c>
      <c r="P146" t="s">
        <v>28</v>
      </c>
      <c r="Q146" t="s">
        <v>753</v>
      </c>
      <c r="R146">
        <v>5340.2</v>
      </c>
      <c r="S146" t="s">
        <v>4301</v>
      </c>
    </row>
    <row r="147" spans="1:19" x14ac:dyDescent="0.25">
      <c r="A147" t="s">
        <v>508</v>
      </c>
      <c r="B147" t="s">
        <v>13</v>
      </c>
      <c r="C147" t="s">
        <v>14</v>
      </c>
      <c r="D147" t="s">
        <v>15</v>
      </c>
      <c r="E147" t="s">
        <v>509</v>
      </c>
      <c r="F147" t="s">
        <v>17</v>
      </c>
      <c r="G147" t="s">
        <v>18</v>
      </c>
      <c r="H147" t="s">
        <v>1706</v>
      </c>
      <c r="I147" t="s">
        <v>737</v>
      </c>
      <c r="J147" t="s">
        <v>738</v>
      </c>
      <c r="K147" t="s">
        <v>21</v>
      </c>
      <c r="L147" t="s">
        <v>22</v>
      </c>
      <c r="M147" t="s">
        <v>512</v>
      </c>
      <c r="N147" t="s">
        <v>24</v>
      </c>
      <c r="O147" t="s">
        <v>25</v>
      </c>
      <c r="P147" t="s">
        <v>29</v>
      </c>
      <c r="Q147" t="s">
        <v>754</v>
      </c>
      <c r="R147">
        <v>1600.25</v>
      </c>
      <c r="S147" t="s">
        <v>4301</v>
      </c>
    </row>
    <row r="148" spans="1:19" x14ac:dyDescent="0.25">
      <c r="A148" t="s">
        <v>508</v>
      </c>
      <c r="B148" t="s">
        <v>13</v>
      </c>
      <c r="C148" t="s">
        <v>14</v>
      </c>
      <c r="D148" t="s">
        <v>15</v>
      </c>
      <c r="E148" t="s">
        <v>509</v>
      </c>
      <c r="F148" t="s">
        <v>17</v>
      </c>
      <c r="G148" t="s">
        <v>18</v>
      </c>
      <c r="H148" t="s">
        <v>1706</v>
      </c>
      <c r="I148" t="s">
        <v>737</v>
      </c>
      <c r="J148" t="s">
        <v>738</v>
      </c>
      <c r="K148" t="s">
        <v>21</v>
      </c>
      <c r="L148" t="s">
        <v>22</v>
      </c>
      <c r="M148" t="s">
        <v>512</v>
      </c>
      <c r="N148" t="s">
        <v>24</v>
      </c>
      <c r="O148" t="s">
        <v>25</v>
      </c>
      <c r="P148" t="s">
        <v>28</v>
      </c>
      <c r="Q148" t="s">
        <v>755</v>
      </c>
      <c r="R148">
        <v>2835</v>
      </c>
      <c r="S148" t="s">
        <v>4301</v>
      </c>
    </row>
    <row r="149" spans="1:19" x14ac:dyDescent="0.25">
      <c r="A149" t="s">
        <v>508</v>
      </c>
      <c r="B149" t="s">
        <v>13</v>
      </c>
      <c r="C149" t="s">
        <v>14</v>
      </c>
      <c r="D149" t="s">
        <v>15</v>
      </c>
      <c r="E149" t="s">
        <v>509</v>
      </c>
      <c r="F149" t="s">
        <v>17</v>
      </c>
      <c r="G149" t="s">
        <v>18</v>
      </c>
      <c r="H149" t="s">
        <v>1706</v>
      </c>
      <c r="I149" t="s">
        <v>737</v>
      </c>
      <c r="J149" t="s">
        <v>738</v>
      </c>
      <c r="K149" t="s">
        <v>21</v>
      </c>
      <c r="L149" t="s">
        <v>22</v>
      </c>
      <c r="M149" t="s">
        <v>512</v>
      </c>
      <c r="N149" t="s">
        <v>24</v>
      </c>
      <c r="O149" t="s">
        <v>25</v>
      </c>
      <c r="P149" t="s">
        <v>39</v>
      </c>
      <c r="Q149" t="s">
        <v>756</v>
      </c>
      <c r="R149">
        <v>40581</v>
      </c>
      <c r="S149" t="s">
        <v>4301</v>
      </c>
    </row>
    <row r="150" spans="1:19" x14ac:dyDescent="0.25">
      <c r="A150" t="s">
        <v>508</v>
      </c>
      <c r="B150" t="s">
        <v>13</v>
      </c>
      <c r="C150" t="s">
        <v>14</v>
      </c>
      <c r="D150" t="s">
        <v>15</v>
      </c>
      <c r="E150" t="s">
        <v>509</v>
      </c>
      <c r="F150" t="s">
        <v>17</v>
      </c>
      <c r="G150" t="s">
        <v>18</v>
      </c>
      <c r="H150" t="s">
        <v>1706</v>
      </c>
      <c r="I150" t="s">
        <v>737</v>
      </c>
      <c r="J150" t="s">
        <v>738</v>
      </c>
      <c r="K150" t="s">
        <v>21</v>
      </c>
      <c r="L150" t="s">
        <v>22</v>
      </c>
      <c r="M150" t="s">
        <v>512</v>
      </c>
      <c r="N150" t="s">
        <v>24</v>
      </c>
      <c r="O150" t="s">
        <v>25</v>
      </c>
      <c r="P150" t="s">
        <v>39</v>
      </c>
      <c r="Q150" t="s">
        <v>757</v>
      </c>
      <c r="R150">
        <v>9573.6</v>
      </c>
      <c r="S150" t="s">
        <v>4301</v>
      </c>
    </row>
    <row r="151" spans="1:19" x14ac:dyDescent="0.25">
      <c r="A151" t="s">
        <v>508</v>
      </c>
      <c r="B151" t="s">
        <v>13</v>
      </c>
      <c r="C151" t="s">
        <v>14</v>
      </c>
      <c r="D151" t="s">
        <v>15</v>
      </c>
      <c r="E151" t="s">
        <v>509</v>
      </c>
      <c r="F151" t="s">
        <v>17</v>
      </c>
      <c r="G151" t="s">
        <v>31</v>
      </c>
      <c r="H151" t="s">
        <v>1709</v>
      </c>
      <c r="I151" t="s">
        <v>737</v>
      </c>
      <c r="J151" t="s">
        <v>738</v>
      </c>
      <c r="K151" t="s">
        <v>21</v>
      </c>
      <c r="L151" t="s">
        <v>22</v>
      </c>
      <c r="M151" t="s">
        <v>512</v>
      </c>
      <c r="N151" t="s">
        <v>24</v>
      </c>
      <c r="O151" t="s">
        <v>32</v>
      </c>
      <c r="P151" t="s">
        <v>50</v>
      </c>
      <c r="Q151" t="s">
        <v>758</v>
      </c>
      <c r="R151">
        <v>23112</v>
      </c>
      <c r="S151" t="s">
        <v>4301</v>
      </c>
    </row>
    <row r="152" spans="1:19" x14ac:dyDescent="0.25">
      <c r="A152" t="s">
        <v>508</v>
      </c>
      <c r="B152" t="s">
        <v>13</v>
      </c>
      <c r="C152" t="s">
        <v>14</v>
      </c>
      <c r="D152" t="s">
        <v>15</v>
      </c>
      <c r="E152" t="s">
        <v>509</v>
      </c>
      <c r="F152" t="s">
        <v>17</v>
      </c>
      <c r="G152" t="s">
        <v>18</v>
      </c>
      <c r="H152" t="s">
        <v>1706</v>
      </c>
      <c r="I152" t="s">
        <v>737</v>
      </c>
      <c r="J152" t="s">
        <v>738</v>
      </c>
      <c r="K152" t="s">
        <v>21</v>
      </c>
      <c r="L152" t="s">
        <v>22</v>
      </c>
      <c r="M152" t="s">
        <v>512</v>
      </c>
      <c r="N152" t="s">
        <v>24</v>
      </c>
      <c r="O152" t="s">
        <v>25</v>
      </c>
      <c r="P152" t="s">
        <v>39</v>
      </c>
      <c r="Q152" t="s">
        <v>759</v>
      </c>
      <c r="R152">
        <v>54258.05</v>
      </c>
      <c r="S152" t="s">
        <v>4301</v>
      </c>
    </row>
    <row r="153" spans="1:19" x14ac:dyDescent="0.25">
      <c r="A153" t="s">
        <v>508</v>
      </c>
      <c r="B153" t="s">
        <v>13</v>
      </c>
      <c r="C153" t="s">
        <v>14</v>
      </c>
      <c r="D153" t="s">
        <v>15</v>
      </c>
      <c r="E153" t="s">
        <v>509</v>
      </c>
      <c r="F153" t="s">
        <v>17</v>
      </c>
      <c r="G153" t="s">
        <v>18</v>
      </c>
      <c r="H153" t="s">
        <v>1706</v>
      </c>
      <c r="I153" t="s">
        <v>737</v>
      </c>
      <c r="J153" t="s">
        <v>738</v>
      </c>
      <c r="K153" t="s">
        <v>21</v>
      </c>
      <c r="L153" t="s">
        <v>22</v>
      </c>
      <c r="M153" t="s">
        <v>512</v>
      </c>
      <c r="N153" t="s">
        <v>24</v>
      </c>
      <c r="O153" t="s">
        <v>25</v>
      </c>
      <c r="P153" t="s">
        <v>39</v>
      </c>
      <c r="Q153" t="s">
        <v>760</v>
      </c>
      <c r="R153">
        <v>7425.85</v>
      </c>
      <c r="S153" t="s">
        <v>4301</v>
      </c>
    </row>
    <row r="154" spans="1:19" x14ac:dyDescent="0.25">
      <c r="A154" t="s">
        <v>508</v>
      </c>
      <c r="B154" t="s">
        <v>13</v>
      </c>
      <c r="C154" t="s">
        <v>14</v>
      </c>
      <c r="D154" t="s">
        <v>15</v>
      </c>
      <c r="E154" t="s">
        <v>509</v>
      </c>
      <c r="F154" t="s">
        <v>17</v>
      </c>
      <c r="G154" t="s">
        <v>18</v>
      </c>
      <c r="H154" t="s">
        <v>1706</v>
      </c>
      <c r="I154" t="s">
        <v>737</v>
      </c>
      <c r="J154" t="s">
        <v>738</v>
      </c>
      <c r="K154" t="s">
        <v>21</v>
      </c>
      <c r="L154" t="s">
        <v>22</v>
      </c>
      <c r="M154" t="s">
        <v>512</v>
      </c>
      <c r="N154" t="s">
        <v>24</v>
      </c>
      <c r="O154" t="s">
        <v>25</v>
      </c>
      <c r="P154" t="s">
        <v>28</v>
      </c>
      <c r="Q154" t="s">
        <v>761</v>
      </c>
      <c r="R154">
        <v>30000</v>
      </c>
      <c r="S154" t="s">
        <v>4301</v>
      </c>
    </row>
    <row r="155" spans="1:19" x14ac:dyDescent="0.25">
      <c r="A155" t="s">
        <v>508</v>
      </c>
      <c r="B155" t="s">
        <v>13</v>
      </c>
      <c r="C155" t="s">
        <v>14</v>
      </c>
      <c r="D155" t="s">
        <v>15</v>
      </c>
      <c r="E155" t="s">
        <v>509</v>
      </c>
      <c r="F155" t="s">
        <v>17</v>
      </c>
      <c r="G155" t="s">
        <v>18</v>
      </c>
      <c r="H155" t="s">
        <v>1706</v>
      </c>
      <c r="I155" t="s">
        <v>737</v>
      </c>
      <c r="J155" t="s">
        <v>738</v>
      </c>
      <c r="K155" t="s">
        <v>21</v>
      </c>
      <c r="L155" t="s">
        <v>22</v>
      </c>
      <c r="M155" t="s">
        <v>512</v>
      </c>
      <c r="N155" t="s">
        <v>24</v>
      </c>
      <c r="O155" t="s">
        <v>25</v>
      </c>
      <c r="P155" t="s">
        <v>29</v>
      </c>
      <c r="Q155" t="s">
        <v>762</v>
      </c>
      <c r="R155">
        <v>1790.7</v>
      </c>
      <c r="S155" t="s">
        <v>4301</v>
      </c>
    </row>
    <row r="156" spans="1:19" x14ac:dyDescent="0.25">
      <c r="A156" t="s">
        <v>508</v>
      </c>
      <c r="B156" t="s">
        <v>13</v>
      </c>
      <c r="C156" t="s">
        <v>14</v>
      </c>
      <c r="D156" t="s">
        <v>15</v>
      </c>
      <c r="E156" t="s">
        <v>509</v>
      </c>
      <c r="F156" t="s">
        <v>17</v>
      </c>
      <c r="G156" t="s">
        <v>18</v>
      </c>
      <c r="H156" t="s">
        <v>1706</v>
      </c>
      <c r="I156" t="s">
        <v>737</v>
      </c>
      <c r="J156" t="s">
        <v>738</v>
      </c>
      <c r="K156" t="s">
        <v>21</v>
      </c>
      <c r="L156" t="s">
        <v>22</v>
      </c>
      <c r="M156" t="s">
        <v>512</v>
      </c>
      <c r="N156" t="s">
        <v>24</v>
      </c>
      <c r="O156" t="s">
        <v>25</v>
      </c>
      <c r="P156" t="s">
        <v>29</v>
      </c>
      <c r="Q156" t="s">
        <v>763</v>
      </c>
      <c r="R156">
        <v>15433.2</v>
      </c>
      <c r="S156" t="s">
        <v>4301</v>
      </c>
    </row>
    <row r="157" spans="1:19" x14ac:dyDescent="0.25">
      <c r="A157" t="s">
        <v>508</v>
      </c>
      <c r="B157" t="s">
        <v>13</v>
      </c>
      <c r="C157" t="s">
        <v>14</v>
      </c>
      <c r="D157" t="s">
        <v>15</v>
      </c>
      <c r="E157" t="s">
        <v>509</v>
      </c>
      <c r="F157" t="s">
        <v>17</v>
      </c>
      <c r="G157" t="s">
        <v>18</v>
      </c>
      <c r="H157" t="s">
        <v>1706</v>
      </c>
      <c r="I157" t="s">
        <v>737</v>
      </c>
      <c r="J157" t="s">
        <v>738</v>
      </c>
      <c r="K157" t="s">
        <v>21</v>
      </c>
      <c r="L157" t="s">
        <v>22</v>
      </c>
      <c r="M157" t="s">
        <v>512</v>
      </c>
      <c r="N157" t="s">
        <v>24</v>
      </c>
      <c r="O157" t="s">
        <v>25</v>
      </c>
      <c r="P157" t="s">
        <v>39</v>
      </c>
      <c r="Q157" t="s">
        <v>764</v>
      </c>
      <c r="R157">
        <v>61600</v>
      </c>
      <c r="S157" t="s">
        <v>4301</v>
      </c>
    </row>
    <row r="158" spans="1:19" x14ac:dyDescent="0.25">
      <c r="A158" t="s">
        <v>508</v>
      </c>
      <c r="B158" t="s">
        <v>13</v>
      </c>
      <c r="C158" t="s">
        <v>14</v>
      </c>
      <c r="D158" t="s">
        <v>15</v>
      </c>
      <c r="E158" t="s">
        <v>509</v>
      </c>
      <c r="F158" t="s">
        <v>17</v>
      </c>
      <c r="G158" t="s">
        <v>18</v>
      </c>
      <c r="H158" t="s">
        <v>1706</v>
      </c>
      <c r="I158" t="s">
        <v>737</v>
      </c>
      <c r="J158" t="s">
        <v>738</v>
      </c>
      <c r="K158" t="s">
        <v>21</v>
      </c>
      <c r="L158" t="s">
        <v>22</v>
      </c>
      <c r="M158" t="s">
        <v>512</v>
      </c>
      <c r="N158" t="s">
        <v>24</v>
      </c>
      <c r="O158" t="s">
        <v>25</v>
      </c>
      <c r="P158" t="s">
        <v>29</v>
      </c>
      <c r="Q158" t="s">
        <v>765</v>
      </c>
      <c r="R158">
        <v>10022.950000000001</v>
      </c>
      <c r="S158" t="s">
        <v>4301</v>
      </c>
    </row>
    <row r="159" spans="1:19" x14ac:dyDescent="0.25">
      <c r="A159" t="s">
        <v>508</v>
      </c>
      <c r="B159" t="s">
        <v>13</v>
      </c>
      <c r="C159" t="s">
        <v>14</v>
      </c>
      <c r="D159" t="s">
        <v>15</v>
      </c>
      <c r="E159" t="s">
        <v>509</v>
      </c>
      <c r="F159" t="s">
        <v>17</v>
      </c>
      <c r="G159" t="s">
        <v>31</v>
      </c>
      <c r="H159" t="s">
        <v>1709</v>
      </c>
      <c r="I159" t="s">
        <v>737</v>
      </c>
      <c r="J159" t="s">
        <v>738</v>
      </c>
      <c r="K159" t="s">
        <v>21</v>
      </c>
      <c r="L159" t="s">
        <v>22</v>
      </c>
      <c r="M159" t="s">
        <v>512</v>
      </c>
      <c r="N159" t="s">
        <v>24</v>
      </c>
      <c r="O159" t="s">
        <v>32</v>
      </c>
      <c r="P159" t="s">
        <v>45</v>
      </c>
      <c r="Q159" t="s">
        <v>766</v>
      </c>
      <c r="R159">
        <v>450000</v>
      </c>
      <c r="S159" t="s">
        <v>4301</v>
      </c>
    </row>
    <row r="160" spans="1:19" x14ac:dyDescent="0.25">
      <c r="A160" t="s">
        <v>508</v>
      </c>
      <c r="B160" t="s">
        <v>767</v>
      </c>
      <c r="C160" t="s">
        <v>14</v>
      </c>
      <c r="D160" t="s">
        <v>740</v>
      </c>
      <c r="E160" t="s">
        <v>509</v>
      </c>
      <c r="F160" t="s">
        <v>438</v>
      </c>
      <c r="G160" t="s">
        <v>31</v>
      </c>
      <c r="H160" t="s">
        <v>2173</v>
      </c>
      <c r="I160" t="s">
        <v>737</v>
      </c>
      <c r="J160" t="s">
        <v>768</v>
      </c>
      <c r="K160" t="s">
        <v>21</v>
      </c>
      <c r="L160" t="s">
        <v>741</v>
      </c>
      <c r="M160" t="s">
        <v>512</v>
      </c>
      <c r="N160" t="s">
        <v>443</v>
      </c>
      <c r="O160" t="s">
        <v>32</v>
      </c>
      <c r="P160" t="s">
        <v>93</v>
      </c>
      <c r="R160">
        <v>1</v>
      </c>
      <c r="S160" t="s">
        <v>4301</v>
      </c>
    </row>
    <row r="161" spans="1:19" x14ac:dyDescent="0.25">
      <c r="A161" t="s">
        <v>508</v>
      </c>
      <c r="B161" t="s">
        <v>13</v>
      </c>
      <c r="C161" t="s">
        <v>391</v>
      </c>
      <c r="D161" t="s">
        <v>312</v>
      </c>
      <c r="E161" t="s">
        <v>52</v>
      </c>
      <c r="F161" t="s">
        <v>133</v>
      </c>
      <c r="G161" t="s">
        <v>31</v>
      </c>
      <c r="H161" t="s">
        <v>1710</v>
      </c>
      <c r="I161" t="s">
        <v>737</v>
      </c>
      <c r="J161" t="s">
        <v>738</v>
      </c>
      <c r="L161" t="s">
        <v>313</v>
      </c>
      <c r="M161" t="s">
        <v>58</v>
      </c>
      <c r="N161" t="s">
        <v>134</v>
      </c>
      <c r="O161" t="s">
        <v>32</v>
      </c>
      <c r="P161" t="s">
        <v>93</v>
      </c>
      <c r="R161">
        <v>50000</v>
      </c>
      <c r="S161" t="s">
        <v>4301</v>
      </c>
    </row>
    <row r="162" spans="1:19" x14ac:dyDescent="0.25">
      <c r="A162" t="s">
        <v>508</v>
      </c>
      <c r="B162" t="s">
        <v>13</v>
      </c>
      <c r="C162" t="s">
        <v>515</v>
      </c>
      <c r="D162" t="s">
        <v>15</v>
      </c>
      <c r="E162" t="s">
        <v>16</v>
      </c>
      <c r="F162" t="s">
        <v>17</v>
      </c>
      <c r="G162" t="s">
        <v>69</v>
      </c>
      <c r="H162" t="s">
        <v>1711</v>
      </c>
      <c r="I162" t="s">
        <v>737</v>
      </c>
      <c r="J162" t="s">
        <v>738</v>
      </c>
      <c r="K162" t="s">
        <v>519</v>
      </c>
      <c r="L162" t="s">
        <v>22</v>
      </c>
      <c r="M162" t="s">
        <v>23</v>
      </c>
      <c r="N162" t="s">
        <v>24</v>
      </c>
      <c r="O162" t="s">
        <v>70</v>
      </c>
      <c r="P162" t="s">
        <v>71</v>
      </c>
      <c r="R162">
        <v>5000</v>
      </c>
      <c r="S162" t="s">
        <v>4301</v>
      </c>
    </row>
    <row r="163" spans="1:19" x14ac:dyDescent="0.25">
      <c r="A163" t="s">
        <v>515</v>
      </c>
      <c r="B163" t="s">
        <v>773</v>
      </c>
      <c r="C163" t="s">
        <v>14</v>
      </c>
      <c r="D163" t="s">
        <v>15</v>
      </c>
      <c r="E163" t="s">
        <v>16</v>
      </c>
      <c r="F163" t="s">
        <v>17</v>
      </c>
      <c r="G163" t="s">
        <v>118</v>
      </c>
      <c r="H163" t="s">
        <v>1712</v>
      </c>
      <c r="I163" t="s">
        <v>774</v>
      </c>
      <c r="J163" t="s">
        <v>775</v>
      </c>
      <c r="K163" t="s">
        <v>21</v>
      </c>
      <c r="L163" t="s">
        <v>22</v>
      </c>
      <c r="M163" t="s">
        <v>23</v>
      </c>
      <c r="N163" t="s">
        <v>24</v>
      </c>
      <c r="O163" t="s">
        <v>119</v>
      </c>
      <c r="P163" t="s">
        <v>435</v>
      </c>
      <c r="R163">
        <v>1</v>
      </c>
      <c r="S163" t="s">
        <v>4301</v>
      </c>
    </row>
    <row r="164" spans="1:19" x14ac:dyDescent="0.25">
      <c r="A164" t="s">
        <v>515</v>
      </c>
      <c r="B164" t="s">
        <v>773</v>
      </c>
      <c r="C164" t="s">
        <v>14</v>
      </c>
      <c r="D164" t="s">
        <v>15</v>
      </c>
      <c r="E164" t="s">
        <v>16</v>
      </c>
      <c r="F164" t="s">
        <v>17</v>
      </c>
      <c r="G164" t="s">
        <v>69</v>
      </c>
      <c r="H164" t="s">
        <v>1713</v>
      </c>
      <c r="I164" t="s">
        <v>774</v>
      </c>
      <c r="J164" t="s">
        <v>775</v>
      </c>
      <c r="K164" t="s">
        <v>21</v>
      </c>
      <c r="L164" t="s">
        <v>22</v>
      </c>
      <c r="M164" t="s">
        <v>23</v>
      </c>
      <c r="N164" t="s">
        <v>24</v>
      </c>
      <c r="O164" t="s">
        <v>70</v>
      </c>
      <c r="P164" t="s">
        <v>222</v>
      </c>
      <c r="R164">
        <v>1</v>
      </c>
      <c r="S164" t="s">
        <v>4301</v>
      </c>
    </row>
    <row r="165" spans="1:19" x14ac:dyDescent="0.25">
      <c r="A165" t="s">
        <v>515</v>
      </c>
      <c r="B165" t="s">
        <v>773</v>
      </c>
      <c r="C165" t="s">
        <v>14</v>
      </c>
      <c r="D165" t="s">
        <v>15</v>
      </c>
      <c r="E165" t="s">
        <v>16</v>
      </c>
      <c r="F165" t="s">
        <v>785</v>
      </c>
      <c r="G165" t="s">
        <v>118</v>
      </c>
      <c r="H165" t="s">
        <v>1714</v>
      </c>
      <c r="I165" t="s">
        <v>774</v>
      </c>
      <c r="J165" t="s">
        <v>775</v>
      </c>
      <c r="K165" t="s">
        <v>21</v>
      </c>
      <c r="L165" t="s">
        <v>22</v>
      </c>
      <c r="M165" t="s">
        <v>23</v>
      </c>
      <c r="N165" t="s">
        <v>786</v>
      </c>
      <c r="O165" t="s">
        <v>119</v>
      </c>
      <c r="P165" t="s">
        <v>435</v>
      </c>
      <c r="R165">
        <v>1</v>
      </c>
      <c r="S165" t="s">
        <v>4301</v>
      </c>
    </row>
    <row r="166" spans="1:19" x14ac:dyDescent="0.25">
      <c r="A166" t="s">
        <v>515</v>
      </c>
      <c r="B166" t="s">
        <v>13</v>
      </c>
      <c r="C166" t="s">
        <v>14</v>
      </c>
      <c r="D166" t="s">
        <v>15</v>
      </c>
      <c r="E166" t="s">
        <v>16</v>
      </c>
      <c r="F166" t="s">
        <v>803</v>
      </c>
      <c r="G166" t="s">
        <v>31</v>
      </c>
      <c r="H166" t="s">
        <v>2174</v>
      </c>
      <c r="I166" t="s">
        <v>789</v>
      </c>
      <c r="J166" t="s">
        <v>790</v>
      </c>
      <c r="K166" t="s">
        <v>21</v>
      </c>
      <c r="L166" t="s">
        <v>22</v>
      </c>
      <c r="M166" t="s">
        <v>23</v>
      </c>
      <c r="N166" t="s">
        <v>804</v>
      </c>
      <c r="O166" t="s">
        <v>32</v>
      </c>
      <c r="P166" t="s">
        <v>93</v>
      </c>
      <c r="Q166" t="s">
        <v>805</v>
      </c>
      <c r="R166">
        <v>260000</v>
      </c>
      <c r="S166" t="s">
        <v>4301</v>
      </c>
    </row>
    <row r="167" spans="1:19" x14ac:dyDescent="0.25">
      <c r="A167" t="s">
        <v>515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806</v>
      </c>
      <c r="H167" t="s">
        <v>1715</v>
      </c>
      <c r="I167" t="s">
        <v>789</v>
      </c>
      <c r="J167" t="s">
        <v>790</v>
      </c>
      <c r="K167" t="s">
        <v>21</v>
      </c>
      <c r="L167" t="s">
        <v>22</v>
      </c>
      <c r="M167" t="s">
        <v>23</v>
      </c>
      <c r="N167" t="s">
        <v>24</v>
      </c>
      <c r="O167" t="s">
        <v>807</v>
      </c>
      <c r="P167" t="s">
        <v>808</v>
      </c>
      <c r="Q167" t="s">
        <v>809</v>
      </c>
      <c r="R167">
        <v>15000</v>
      </c>
      <c r="S167" t="s">
        <v>4301</v>
      </c>
    </row>
    <row r="168" spans="1:19" x14ac:dyDescent="0.25">
      <c r="A168" t="s">
        <v>843</v>
      </c>
      <c r="B168" t="s">
        <v>13</v>
      </c>
      <c r="C168" t="s">
        <v>14</v>
      </c>
      <c r="D168" t="s">
        <v>15</v>
      </c>
      <c r="E168" t="s">
        <v>16</v>
      </c>
      <c r="F168" t="s">
        <v>182</v>
      </c>
      <c r="G168" t="s">
        <v>391</v>
      </c>
      <c r="H168" t="s">
        <v>2175</v>
      </c>
      <c r="I168" t="s">
        <v>844</v>
      </c>
      <c r="J168" t="s">
        <v>845</v>
      </c>
      <c r="K168" t="s">
        <v>21</v>
      </c>
      <c r="L168" t="s">
        <v>22</v>
      </c>
      <c r="M168" t="s">
        <v>23</v>
      </c>
      <c r="N168" t="s">
        <v>183</v>
      </c>
      <c r="P168" t="s">
        <v>847</v>
      </c>
      <c r="R168">
        <v>17263390.100000001</v>
      </c>
      <c r="S168" t="s">
        <v>4301</v>
      </c>
    </row>
    <row r="169" spans="1:19" x14ac:dyDescent="0.25">
      <c r="A169" t="s">
        <v>843</v>
      </c>
      <c r="B169" t="s">
        <v>13</v>
      </c>
      <c r="C169" t="s">
        <v>14</v>
      </c>
      <c r="D169" t="s">
        <v>436</v>
      </c>
      <c r="E169" t="s">
        <v>437</v>
      </c>
      <c r="F169" t="s">
        <v>438</v>
      </c>
      <c r="G169" t="s">
        <v>31</v>
      </c>
      <c r="H169" t="s">
        <v>2176</v>
      </c>
      <c r="I169" t="s">
        <v>844</v>
      </c>
      <c r="J169" t="s">
        <v>845</v>
      </c>
      <c r="K169" t="s">
        <v>21</v>
      </c>
      <c r="L169" t="s">
        <v>441</v>
      </c>
      <c r="M169" t="s">
        <v>442</v>
      </c>
      <c r="N169" t="s">
        <v>443</v>
      </c>
      <c r="O169" t="s">
        <v>32</v>
      </c>
      <c r="P169" t="s">
        <v>93</v>
      </c>
      <c r="R169">
        <v>2500000</v>
      </c>
      <c r="S169" t="s">
        <v>4301</v>
      </c>
    </row>
    <row r="170" spans="1:19" x14ac:dyDescent="0.25">
      <c r="A170" t="s">
        <v>843</v>
      </c>
      <c r="B170" t="s">
        <v>13</v>
      </c>
      <c r="C170" t="s">
        <v>14</v>
      </c>
      <c r="D170" t="s">
        <v>487</v>
      </c>
      <c r="E170" t="s">
        <v>488</v>
      </c>
      <c r="F170" t="s">
        <v>391</v>
      </c>
      <c r="G170" t="s">
        <v>31</v>
      </c>
      <c r="H170" t="s">
        <v>1716</v>
      </c>
      <c r="I170" t="s">
        <v>844</v>
      </c>
      <c r="J170" t="s">
        <v>845</v>
      </c>
      <c r="K170" t="s">
        <v>21</v>
      </c>
      <c r="L170" t="s">
        <v>491</v>
      </c>
      <c r="M170" t="s">
        <v>492</v>
      </c>
      <c r="O170" t="s">
        <v>32</v>
      </c>
      <c r="P170" t="s">
        <v>215</v>
      </c>
      <c r="R170">
        <v>175000</v>
      </c>
      <c r="S170" t="s">
        <v>4301</v>
      </c>
    </row>
    <row r="171" spans="1:19" x14ac:dyDescent="0.25">
      <c r="A171" t="s">
        <v>843</v>
      </c>
      <c r="B171" t="s">
        <v>618</v>
      </c>
      <c r="C171" t="s">
        <v>14</v>
      </c>
      <c r="D171" t="s">
        <v>487</v>
      </c>
      <c r="E171" t="s">
        <v>488</v>
      </c>
      <c r="F171" t="s">
        <v>391</v>
      </c>
      <c r="G171" t="s">
        <v>31</v>
      </c>
      <c r="H171" t="s">
        <v>1717</v>
      </c>
      <c r="I171" t="s">
        <v>844</v>
      </c>
      <c r="J171" t="s">
        <v>850</v>
      </c>
      <c r="K171" t="s">
        <v>21</v>
      </c>
      <c r="L171" t="s">
        <v>491</v>
      </c>
      <c r="M171" t="s">
        <v>492</v>
      </c>
      <c r="O171" t="s">
        <v>32</v>
      </c>
      <c r="P171" t="s">
        <v>215</v>
      </c>
      <c r="R171">
        <v>75000</v>
      </c>
      <c r="S171" t="s">
        <v>4301</v>
      </c>
    </row>
    <row r="172" spans="1:19" x14ac:dyDescent="0.25">
      <c r="A172" t="s">
        <v>843</v>
      </c>
      <c r="B172" t="s">
        <v>13</v>
      </c>
      <c r="C172" t="s">
        <v>14</v>
      </c>
      <c r="D172" t="s">
        <v>15</v>
      </c>
      <c r="E172" t="s">
        <v>488</v>
      </c>
      <c r="F172" t="s">
        <v>391</v>
      </c>
      <c r="G172" t="s">
        <v>69</v>
      </c>
      <c r="H172" t="s">
        <v>1718</v>
      </c>
      <c r="I172" t="s">
        <v>844</v>
      </c>
      <c r="J172" t="s">
        <v>845</v>
      </c>
      <c r="K172" t="s">
        <v>21</v>
      </c>
      <c r="L172" t="s">
        <v>22</v>
      </c>
      <c r="M172" t="s">
        <v>492</v>
      </c>
      <c r="O172" t="s">
        <v>70</v>
      </c>
      <c r="P172" t="s">
        <v>188</v>
      </c>
      <c r="Q172" t="s">
        <v>851</v>
      </c>
      <c r="R172">
        <v>1</v>
      </c>
      <c r="S172" t="s">
        <v>4301</v>
      </c>
    </row>
    <row r="173" spans="1:19" x14ac:dyDescent="0.25">
      <c r="A173" t="s">
        <v>843</v>
      </c>
      <c r="B173" t="s">
        <v>13</v>
      </c>
      <c r="C173" t="s">
        <v>14</v>
      </c>
      <c r="D173" t="s">
        <v>15</v>
      </c>
      <c r="E173" t="s">
        <v>488</v>
      </c>
      <c r="F173" t="s">
        <v>391</v>
      </c>
      <c r="G173" t="s">
        <v>69</v>
      </c>
      <c r="H173" t="s">
        <v>1718</v>
      </c>
      <c r="I173" t="s">
        <v>844</v>
      </c>
      <c r="J173" t="s">
        <v>845</v>
      </c>
      <c r="K173" t="s">
        <v>21</v>
      </c>
      <c r="L173" t="s">
        <v>22</v>
      </c>
      <c r="M173" t="s">
        <v>492</v>
      </c>
      <c r="O173" t="s">
        <v>70</v>
      </c>
      <c r="P173" t="s">
        <v>93</v>
      </c>
      <c r="Q173" t="s">
        <v>852</v>
      </c>
      <c r="R173">
        <v>1</v>
      </c>
      <c r="S173" t="s">
        <v>4301</v>
      </c>
    </row>
    <row r="174" spans="1:19" x14ac:dyDescent="0.25">
      <c r="A174" t="s">
        <v>843</v>
      </c>
      <c r="B174" t="s">
        <v>13</v>
      </c>
      <c r="C174" t="s">
        <v>14</v>
      </c>
      <c r="D174" t="s">
        <v>15</v>
      </c>
      <c r="E174" t="s">
        <v>16</v>
      </c>
      <c r="F174" t="s">
        <v>182</v>
      </c>
      <c r="G174" t="s">
        <v>391</v>
      </c>
      <c r="H174" t="s">
        <v>2175</v>
      </c>
      <c r="I174" t="s">
        <v>844</v>
      </c>
      <c r="J174" t="s">
        <v>845</v>
      </c>
      <c r="K174" t="s">
        <v>21</v>
      </c>
      <c r="L174" t="s">
        <v>22</v>
      </c>
      <c r="M174" t="s">
        <v>23</v>
      </c>
      <c r="N174" t="s">
        <v>183</v>
      </c>
      <c r="R174">
        <v>1</v>
      </c>
      <c r="S174" t="s">
        <v>4301</v>
      </c>
    </row>
    <row r="175" spans="1:19" x14ac:dyDescent="0.25">
      <c r="A175" t="s">
        <v>843</v>
      </c>
      <c r="B175" t="s">
        <v>13</v>
      </c>
      <c r="C175" t="s">
        <v>486</v>
      </c>
      <c r="D175" t="s">
        <v>436</v>
      </c>
      <c r="E175" t="s">
        <v>488</v>
      </c>
      <c r="F175" t="s">
        <v>139</v>
      </c>
      <c r="G175" t="s">
        <v>31</v>
      </c>
      <c r="H175" t="s">
        <v>2177</v>
      </c>
      <c r="I175" t="s">
        <v>844</v>
      </c>
      <c r="J175" t="s">
        <v>845</v>
      </c>
      <c r="K175" t="s">
        <v>490</v>
      </c>
      <c r="L175" t="s">
        <v>441</v>
      </c>
      <c r="M175" t="s">
        <v>492</v>
      </c>
      <c r="N175" t="s">
        <v>143</v>
      </c>
      <c r="O175" t="s">
        <v>32</v>
      </c>
      <c r="P175" t="s">
        <v>93</v>
      </c>
      <c r="R175">
        <v>600000</v>
      </c>
      <c r="S175" t="s">
        <v>4301</v>
      </c>
    </row>
    <row r="176" spans="1:19" x14ac:dyDescent="0.25">
      <c r="A176" t="s">
        <v>843</v>
      </c>
      <c r="B176" t="s">
        <v>13</v>
      </c>
      <c r="C176" t="s">
        <v>486</v>
      </c>
      <c r="D176" t="s">
        <v>487</v>
      </c>
      <c r="E176" t="s">
        <v>488</v>
      </c>
      <c r="F176" t="s">
        <v>489</v>
      </c>
      <c r="G176" t="s">
        <v>391</v>
      </c>
      <c r="H176" t="s">
        <v>2178</v>
      </c>
      <c r="I176" t="s">
        <v>844</v>
      </c>
      <c r="J176" t="s">
        <v>845</v>
      </c>
      <c r="K176" t="s">
        <v>490</v>
      </c>
      <c r="L176" t="s">
        <v>491</v>
      </c>
      <c r="M176" t="s">
        <v>492</v>
      </c>
      <c r="N176" t="s">
        <v>493</v>
      </c>
      <c r="R176">
        <v>1</v>
      </c>
      <c r="S176" t="s">
        <v>4301</v>
      </c>
    </row>
    <row r="177" spans="1:19" x14ac:dyDescent="0.25">
      <c r="A177" t="s">
        <v>843</v>
      </c>
      <c r="B177" t="s">
        <v>13</v>
      </c>
      <c r="C177" t="s">
        <v>486</v>
      </c>
      <c r="D177" t="s">
        <v>487</v>
      </c>
      <c r="E177" t="s">
        <v>488</v>
      </c>
      <c r="F177" t="s">
        <v>391</v>
      </c>
      <c r="G177" t="s">
        <v>31</v>
      </c>
      <c r="H177" t="s">
        <v>1719</v>
      </c>
      <c r="I177" t="s">
        <v>844</v>
      </c>
      <c r="J177" t="s">
        <v>845</v>
      </c>
      <c r="K177" t="s">
        <v>490</v>
      </c>
      <c r="L177" t="s">
        <v>491</v>
      </c>
      <c r="M177" t="s">
        <v>492</v>
      </c>
      <c r="O177" t="s">
        <v>32</v>
      </c>
      <c r="P177" t="s">
        <v>462</v>
      </c>
      <c r="R177">
        <v>1550000</v>
      </c>
      <c r="S177" t="s">
        <v>4301</v>
      </c>
    </row>
    <row r="178" spans="1:19" x14ac:dyDescent="0.25">
      <c r="A178" t="s">
        <v>710</v>
      </c>
      <c r="B178" t="s">
        <v>13</v>
      </c>
      <c r="C178" t="s">
        <v>14</v>
      </c>
      <c r="D178" t="s">
        <v>15</v>
      </c>
      <c r="E178" t="s">
        <v>16</v>
      </c>
      <c r="F178" t="s">
        <v>182</v>
      </c>
      <c r="G178" t="s">
        <v>391</v>
      </c>
      <c r="H178" t="s">
        <v>2179</v>
      </c>
      <c r="I178" t="s">
        <v>874</v>
      </c>
      <c r="J178" t="s">
        <v>875</v>
      </c>
      <c r="K178" t="s">
        <v>21</v>
      </c>
      <c r="L178" t="s">
        <v>22</v>
      </c>
      <c r="M178" t="s">
        <v>23</v>
      </c>
      <c r="N178" t="s">
        <v>183</v>
      </c>
      <c r="R178">
        <v>3277473</v>
      </c>
      <c r="S178" t="s">
        <v>4301</v>
      </c>
    </row>
    <row r="179" spans="1:19" x14ac:dyDescent="0.25">
      <c r="A179" t="s">
        <v>710</v>
      </c>
      <c r="B179" t="s">
        <v>13</v>
      </c>
      <c r="C179" t="s">
        <v>14</v>
      </c>
      <c r="D179" t="s">
        <v>15</v>
      </c>
      <c r="E179" t="s">
        <v>16</v>
      </c>
      <c r="F179" t="s">
        <v>182</v>
      </c>
      <c r="G179" t="s">
        <v>391</v>
      </c>
      <c r="H179" t="s">
        <v>2179</v>
      </c>
      <c r="I179" t="s">
        <v>874</v>
      </c>
      <c r="J179" t="s">
        <v>875</v>
      </c>
      <c r="K179" t="s">
        <v>21</v>
      </c>
      <c r="L179" t="s">
        <v>22</v>
      </c>
      <c r="M179" t="s">
        <v>23</v>
      </c>
      <c r="N179" t="s">
        <v>183</v>
      </c>
      <c r="R179">
        <v>609597</v>
      </c>
      <c r="S179" t="s">
        <v>4301</v>
      </c>
    </row>
    <row r="180" spans="1:19" x14ac:dyDescent="0.25">
      <c r="A180" t="s">
        <v>710</v>
      </c>
      <c r="B180" t="s">
        <v>13</v>
      </c>
      <c r="C180" t="s">
        <v>14</v>
      </c>
      <c r="D180" t="s">
        <v>15</v>
      </c>
      <c r="E180" t="s">
        <v>16</v>
      </c>
      <c r="F180" t="s">
        <v>182</v>
      </c>
      <c r="G180" t="s">
        <v>391</v>
      </c>
      <c r="H180" t="s">
        <v>2179</v>
      </c>
      <c r="I180" t="s">
        <v>874</v>
      </c>
      <c r="J180" t="s">
        <v>875</v>
      </c>
      <c r="K180" t="s">
        <v>21</v>
      </c>
      <c r="L180" t="s">
        <v>22</v>
      </c>
      <c r="M180" t="s">
        <v>23</v>
      </c>
      <c r="N180" t="s">
        <v>183</v>
      </c>
      <c r="R180">
        <v>123993</v>
      </c>
      <c r="S180" t="s">
        <v>4301</v>
      </c>
    </row>
    <row r="181" spans="1:19" x14ac:dyDescent="0.25">
      <c r="A181" t="s">
        <v>710</v>
      </c>
      <c r="B181" t="s">
        <v>13</v>
      </c>
      <c r="C181" t="s">
        <v>14</v>
      </c>
      <c r="D181" t="s">
        <v>15</v>
      </c>
      <c r="E181" t="s">
        <v>16</v>
      </c>
      <c r="F181" t="s">
        <v>182</v>
      </c>
      <c r="G181" t="s">
        <v>391</v>
      </c>
      <c r="H181" t="s">
        <v>2179</v>
      </c>
      <c r="I181" t="s">
        <v>874</v>
      </c>
      <c r="J181" t="s">
        <v>875</v>
      </c>
      <c r="K181" t="s">
        <v>21</v>
      </c>
      <c r="L181" t="s">
        <v>22</v>
      </c>
      <c r="M181" t="s">
        <v>23</v>
      </c>
      <c r="N181" t="s">
        <v>183</v>
      </c>
      <c r="R181">
        <v>2</v>
      </c>
      <c r="S181" t="s">
        <v>4301</v>
      </c>
    </row>
    <row r="182" spans="1:19" x14ac:dyDescent="0.25">
      <c r="A182" t="s">
        <v>710</v>
      </c>
      <c r="B182" t="s">
        <v>13</v>
      </c>
      <c r="C182" t="s">
        <v>14</v>
      </c>
      <c r="D182" t="s">
        <v>15</v>
      </c>
      <c r="E182" t="s">
        <v>16</v>
      </c>
      <c r="F182" t="s">
        <v>182</v>
      </c>
      <c r="G182" t="s">
        <v>391</v>
      </c>
      <c r="H182" t="s">
        <v>2179</v>
      </c>
      <c r="I182" t="s">
        <v>874</v>
      </c>
      <c r="J182" t="s">
        <v>875</v>
      </c>
      <c r="K182" t="s">
        <v>21</v>
      </c>
      <c r="L182" t="s">
        <v>22</v>
      </c>
      <c r="M182" t="s">
        <v>23</v>
      </c>
      <c r="N182" t="s">
        <v>183</v>
      </c>
      <c r="R182">
        <v>46942</v>
      </c>
      <c r="S182" t="s">
        <v>4301</v>
      </c>
    </row>
    <row r="183" spans="1:19" x14ac:dyDescent="0.25">
      <c r="A183" t="s">
        <v>710</v>
      </c>
      <c r="B183" t="s">
        <v>13</v>
      </c>
      <c r="C183" t="s">
        <v>14</v>
      </c>
      <c r="D183" t="s">
        <v>15</v>
      </c>
      <c r="E183" t="s">
        <v>16</v>
      </c>
      <c r="F183" t="s">
        <v>133</v>
      </c>
      <c r="G183" t="s">
        <v>80</v>
      </c>
      <c r="H183" t="s">
        <v>1720</v>
      </c>
      <c r="I183" t="s">
        <v>874</v>
      </c>
      <c r="J183" t="s">
        <v>875</v>
      </c>
      <c r="K183" t="s">
        <v>21</v>
      </c>
      <c r="L183" t="s">
        <v>22</v>
      </c>
      <c r="M183" t="s">
        <v>23</v>
      </c>
      <c r="N183" t="s">
        <v>134</v>
      </c>
      <c r="O183" t="s">
        <v>81</v>
      </c>
      <c r="P183" t="s">
        <v>876</v>
      </c>
      <c r="R183">
        <v>200000</v>
      </c>
      <c r="S183" t="s">
        <v>4301</v>
      </c>
    </row>
    <row r="184" spans="1:19" x14ac:dyDescent="0.25">
      <c r="A184" t="s">
        <v>710</v>
      </c>
      <c r="B184" t="s">
        <v>13</v>
      </c>
      <c r="C184" t="s">
        <v>14</v>
      </c>
      <c r="D184" t="s">
        <v>121</v>
      </c>
      <c r="E184" t="s">
        <v>52</v>
      </c>
      <c r="F184" t="s">
        <v>122</v>
      </c>
      <c r="G184" t="s">
        <v>80</v>
      </c>
      <c r="H184" t="s">
        <v>1721</v>
      </c>
      <c r="I184" t="s">
        <v>874</v>
      </c>
      <c r="J184" t="s">
        <v>875</v>
      </c>
      <c r="K184" t="s">
        <v>21</v>
      </c>
      <c r="L184" t="s">
        <v>124</v>
      </c>
      <c r="M184" t="s">
        <v>58</v>
      </c>
      <c r="N184" t="s">
        <v>125</v>
      </c>
      <c r="O184" t="s">
        <v>81</v>
      </c>
      <c r="P184" t="s">
        <v>876</v>
      </c>
      <c r="R184">
        <v>15000</v>
      </c>
      <c r="S184" t="s">
        <v>4301</v>
      </c>
    </row>
    <row r="185" spans="1:19" x14ac:dyDescent="0.25">
      <c r="A185" t="s">
        <v>710</v>
      </c>
      <c r="B185" t="s">
        <v>13</v>
      </c>
      <c r="C185" t="s">
        <v>14</v>
      </c>
      <c r="D185" t="s">
        <v>312</v>
      </c>
      <c r="E185" t="s">
        <v>52</v>
      </c>
      <c r="F185" t="s">
        <v>133</v>
      </c>
      <c r="G185" t="s">
        <v>80</v>
      </c>
      <c r="H185" t="s">
        <v>1722</v>
      </c>
      <c r="I185" t="s">
        <v>874</v>
      </c>
      <c r="J185" t="s">
        <v>875</v>
      </c>
      <c r="K185" t="s">
        <v>21</v>
      </c>
      <c r="L185" t="s">
        <v>313</v>
      </c>
      <c r="M185" t="s">
        <v>58</v>
      </c>
      <c r="N185" t="s">
        <v>134</v>
      </c>
      <c r="O185" t="s">
        <v>81</v>
      </c>
      <c r="P185" t="s">
        <v>876</v>
      </c>
      <c r="R185">
        <v>80000</v>
      </c>
      <c r="S185" t="s">
        <v>4301</v>
      </c>
    </row>
    <row r="186" spans="1:19" x14ac:dyDescent="0.25">
      <c r="A186" t="s">
        <v>878</v>
      </c>
      <c r="B186" t="s">
        <v>13</v>
      </c>
      <c r="C186" t="s">
        <v>14</v>
      </c>
      <c r="D186" t="s">
        <v>15</v>
      </c>
      <c r="E186" t="s">
        <v>16</v>
      </c>
      <c r="F186" t="s">
        <v>438</v>
      </c>
      <c r="G186" t="s">
        <v>31</v>
      </c>
      <c r="H186" t="s">
        <v>2180</v>
      </c>
      <c r="I186" t="s">
        <v>879</v>
      </c>
      <c r="J186" t="s">
        <v>880</v>
      </c>
      <c r="K186" t="s">
        <v>21</v>
      </c>
      <c r="L186" t="s">
        <v>22</v>
      </c>
      <c r="M186" t="s">
        <v>23</v>
      </c>
      <c r="N186" t="s">
        <v>443</v>
      </c>
      <c r="O186" t="s">
        <v>32</v>
      </c>
      <c r="Q186" t="s">
        <v>881</v>
      </c>
      <c r="R186">
        <v>6301385</v>
      </c>
      <c r="S186" t="s">
        <v>4301</v>
      </c>
    </row>
    <row r="187" spans="1:19" x14ac:dyDescent="0.25">
      <c r="A187" t="s">
        <v>878</v>
      </c>
      <c r="B187" t="s">
        <v>13</v>
      </c>
      <c r="C187" t="s">
        <v>14</v>
      </c>
      <c r="D187" t="s">
        <v>436</v>
      </c>
      <c r="E187" t="s">
        <v>16</v>
      </c>
      <c r="F187" t="s">
        <v>17</v>
      </c>
      <c r="G187" t="s">
        <v>31</v>
      </c>
      <c r="H187" t="s">
        <v>1723</v>
      </c>
      <c r="I187" t="s">
        <v>879</v>
      </c>
      <c r="J187" t="s">
        <v>880</v>
      </c>
      <c r="K187" t="s">
        <v>21</v>
      </c>
      <c r="L187" t="s">
        <v>441</v>
      </c>
      <c r="M187" t="s">
        <v>23</v>
      </c>
      <c r="N187" t="s">
        <v>24</v>
      </c>
      <c r="O187" t="s">
        <v>32</v>
      </c>
      <c r="Q187" t="s">
        <v>882</v>
      </c>
      <c r="R187">
        <v>1500000</v>
      </c>
      <c r="S187" t="s">
        <v>4301</v>
      </c>
    </row>
    <row r="188" spans="1:19" x14ac:dyDescent="0.25">
      <c r="A188" t="s">
        <v>878</v>
      </c>
      <c r="B188" t="s">
        <v>13</v>
      </c>
      <c r="C188" t="s">
        <v>14</v>
      </c>
      <c r="D188" t="s">
        <v>436</v>
      </c>
      <c r="E188" t="s">
        <v>16</v>
      </c>
      <c r="F188" t="s">
        <v>17</v>
      </c>
      <c r="G188" t="s">
        <v>18</v>
      </c>
      <c r="H188" t="s">
        <v>1724</v>
      </c>
      <c r="I188" t="s">
        <v>879</v>
      </c>
      <c r="J188" t="s">
        <v>880</v>
      </c>
      <c r="K188" t="s">
        <v>21</v>
      </c>
      <c r="L188" t="s">
        <v>441</v>
      </c>
      <c r="M188" t="s">
        <v>23</v>
      </c>
      <c r="N188" t="s">
        <v>24</v>
      </c>
      <c r="O188" t="s">
        <v>25</v>
      </c>
      <c r="P188" t="s">
        <v>49</v>
      </c>
      <c r="Q188" t="s">
        <v>883</v>
      </c>
      <c r="R188">
        <v>40000</v>
      </c>
      <c r="S188" t="s">
        <v>4301</v>
      </c>
    </row>
    <row r="189" spans="1:19" x14ac:dyDescent="0.25">
      <c r="A189" t="s">
        <v>878</v>
      </c>
      <c r="B189" t="s">
        <v>13</v>
      </c>
      <c r="C189" t="s">
        <v>14</v>
      </c>
      <c r="D189" t="s">
        <v>436</v>
      </c>
      <c r="E189" t="s">
        <v>16</v>
      </c>
      <c r="F189" t="s">
        <v>17</v>
      </c>
      <c r="G189" t="s">
        <v>31</v>
      </c>
      <c r="H189" t="s">
        <v>1723</v>
      </c>
      <c r="I189" t="s">
        <v>879</v>
      </c>
      <c r="J189" t="s">
        <v>880</v>
      </c>
      <c r="K189" t="s">
        <v>21</v>
      </c>
      <c r="L189" t="s">
        <v>441</v>
      </c>
      <c r="M189" t="s">
        <v>23</v>
      </c>
      <c r="N189" t="s">
        <v>24</v>
      </c>
      <c r="O189" t="s">
        <v>32</v>
      </c>
      <c r="Q189" t="s">
        <v>884</v>
      </c>
      <c r="R189">
        <v>40000</v>
      </c>
      <c r="S189" t="s">
        <v>4301</v>
      </c>
    </row>
    <row r="190" spans="1:19" x14ac:dyDescent="0.25">
      <c r="A190" t="s">
        <v>878</v>
      </c>
      <c r="B190" t="s">
        <v>13</v>
      </c>
      <c r="C190" t="s">
        <v>14</v>
      </c>
      <c r="D190" t="s">
        <v>436</v>
      </c>
      <c r="E190" t="s">
        <v>16</v>
      </c>
      <c r="F190" t="s">
        <v>17</v>
      </c>
      <c r="G190" t="s">
        <v>18</v>
      </c>
      <c r="H190" t="s">
        <v>1724</v>
      </c>
      <c r="I190" t="s">
        <v>879</v>
      </c>
      <c r="J190" t="s">
        <v>880</v>
      </c>
      <c r="K190" t="s">
        <v>21</v>
      </c>
      <c r="L190" t="s">
        <v>441</v>
      </c>
      <c r="M190" t="s">
        <v>23</v>
      </c>
      <c r="N190" t="s">
        <v>24</v>
      </c>
      <c r="O190" t="s">
        <v>25</v>
      </c>
      <c r="P190" t="s">
        <v>29</v>
      </c>
      <c r="Q190" t="s">
        <v>885</v>
      </c>
      <c r="R190">
        <v>38685</v>
      </c>
      <c r="S190" t="s">
        <v>4301</v>
      </c>
    </row>
    <row r="191" spans="1:19" x14ac:dyDescent="0.25">
      <c r="A191" t="s">
        <v>878</v>
      </c>
      <c r="B191" t="s">
        <v>13</v>
      </c>
      <c r="C191" t="s">
        <v>14</v>
      </c>
      <c r="D191" t="s">
        <v>436</v>
      </c>
      <c r="E191" t="s">
        <v>16</v>
      </c>
      <c r="F191" t="s">
        <v>17</v>
      </c>
      <c r="G191" t="s">
        <v>18</v>
      </c>
      <c r="H191" t="s">
        <v>1724</v>
      </c>
      <c r="I191" t="s">
        <v>879</v>
      </c>
      <c r="J191" t="s">
        <v>880</v>
      </c>
      <c r="K191" t="s">
        <v>21</v>
      </c>
      <c r="L191" t="s">
        <v>441</v>
      </c>
      <c r="M191" t="s">
        <v>23</v>
      </c>
      <c r="N191" t="s">
        <v>24</v>
      </c>
      <c r="O191" t="s">
        <v>25</v>
      </c>
      <c r="P191" t="s">
        <v>30</v>
      </c>
      <c r="Q191" t="s">
        <v>886</v>
      </c>
      <c r="R191">
        <v>35000</v>
      </c>
      <c r="S191" t="s">
        <v>4301</v>
      </c>
    </row>
    <row r="192" spans="1:19" x14ac:dyDescent="0.25">
      <c r="A192" t="s">
        <v>878</v>
      </c>
      <c r="B192" t="s">
        <v>13</v>
      </c>
      <c r="C192" t="s">
        <v>14</v>
      </c>
      <c r="D192" t="s">
        <v>436</v>
      </c>
      <c r="E192" t="s">
        <v>16</v>
      </c>
      <c r="F192" t="s">
        <v>17</v>
      </c>
      <c r="G192" t="s">
        <v>31</v>
      </c>
      <c r="H192" t="s">
        <v>1723</v>
      </c>
      <c r="I192" t="s">
        <v>879</v>
      </c>
      <c r="J192" t="s">
        <v>880</v>
      </c>
      <c r="K192" t="s">
        <v>21</v>
      </c>
      <c r="L192" t="s">
        <v>441</v>
      </c>
      <c r="M192" t="s">
        <v>23</v>
      </c>
      <c r="N192" t="s">
        <v>24</v>
      </c>
      <c r="O192" t="s">
        <v>32</v>
      </c>
      <c r="Q192" t="s">
        <v>887</v>
      </c>
      <c r="R192">
        <v>30000</v>
      </c>
      <c r="S192" t="s">
        <v>4301</v>
      </c>
    </row>
    <row r="193" spans="1:19" x14ac:dyDescent="0.25">
      <c r="A193" t="s">
        <v>878</v>
      </c>
      <c r="B193" t="s">
        <v>13</v>
      </c>
      <c r="C193" t="s">
        <v>14</v>
      </c>
      <c r="D193" t="s">
        <v>436</v>
      </c>
      <c r="E193" t="s">
        <v>16</v>
      </c>
      <c r="F193" t="s">
        <v>17</v>
      </c>
      <c r="G193" t="s">
        <v>31</v>
      </c>
      <c r="H193" t="s">
        <v>1723</v>
      </c>
      <c r="I193" t="s">
        <v>879</v>
      </c>
      <c r="J193" t="s">
        <v>880</v>
      </c>
      <c r="K193" t="s">
        <v>21</v>
      </c>
      <c r="L193" t="s">
        <v>441</v>
      </c>
      <c r="M193" t="s">
        <v>23</v>
      </c>
      <c r="N193" t="s">
        <v>24</v>
      </c>
      <c r="O193" t="s">
        <v>32</v>
      </c>
      <c r="Q193" t="s">
        <v>888</v>
      </c>
      <c r="R193">
        <v>10000</v>
      </c>
      <c r="S193" t="s">
        <v>4301</v>
      </c>
    </row>
    <row r="194" spans="1:19" x14ac:dyDescent="0.25">
      <c r="A194" t="s">
        <v>878</v>
      </c>
      <c r="B194" t="s">
        <v>13</v>
      </c>
      <c r="C194" t="s">
        <v>14</v>
      </c>
      <c r="D194" t="s">
        <v>436</v>
      </c>
      <c r="E194" t="s">
        <v>16</v>
      </c>
      <c r="F194" t="s">
        <v>17</v>
      </c>
      <c r="G194" t="s">
        <v>31</v>
      </c>
      <c r="H194" t="s">
        <v>1723</v>
      </c>
      <c r="I194" t="s">
        <v>879</v>
      </c>
      <c r="J194" t="s">
        <v>880</v>
      </c>
      <c r="K194" t="s">
        <v>21</v>
      </c>
      <c r="L194" t="s">
        <v>441</v>
      </c>
      <c r="M194" t="s">
        <v>23</v>
      </c>
      <c r="N194" t="s">
        <v>24</v>
      </c>
      <c r="O194" t="s">
        <v>32</v>
      </c>
      <c r="P194" t="s">
        <v>93</v>
      </c>
      <c r="Q194" t="s">
        <v>889</v>
      </c>
      <c r="R194">
        <v>88656</v>
      </c>
      <c r="S194" t="s">
        <v>4301</v>
      </c>
    </row>
    <row r="195" spans="1:19" x14ac:dyDescent="0.25">
      <c r="A195" t="s">
        <v>878</v>
      </c>
      <c r="B195" t="s">
        <v>13</v>
      </c>
      <c r="C195" t="s">
        <v>14</v>
      </c>
      <c r="D195" t="s">
        <v>436</v>
      </c>
      <c r="E195" t="s">
        <v>16</v>
      </c>
      <c r="F195" t="s">
        <v>17</v>
      </c>
      <c r="G195" t="s">
        <v>80</v>
      </c>
      <c r="H195" t="s">
        <v>1725</v>
      </c>
      <c r="I195" t="s">
        <v>879</v>
      </c>
      <c r="J195" t="s">
        <v>880</v>
      </c>
      <c r="K195" t="s">
        <v>21</v>
      </c>
      <c r="L195" t="s">
        <v>441</v>
      </c>
      <c r="M195" t="s">
        <v>23</v>
      </c>
      <c r="N195" t="s">
        <v>24</v>
      </c>
      <c r="O195" t="s">
        <v>81</v>
      </c>
      <c r="P195" t="s">
        <v>42</v>
      </c>
      <c r="Q195" t="s">
        <v>890</v>
      </c>
      <c r="R195">
        <v>60000</v>
      </c>
      <c r="S195" t="s">
        <v>4301</v>
      </c>
    </row>
    <row r="196" spans="1:19" x14ac:dyDescent="0.25">
      <c r="A196" t="s">
        <v>878</v>
      </c>
      <c r="B196" t="s">
        <v>13</v>
      </c>
      <c r="C196" t="s">
        <v>14</v>
      </c>
      <c r="D196" t="s">
        <v>436</v>
      </c>
      <c r="E196" t="s">
        <v>16</v>
      </c>
      <c r="F196" t="s">
        <v>53</v>
      </c>
      <c r="G196" t="s">
        <v>54</v>
      </c>
      <c r="H196" t="s">
        <v>1726</v>
      </c>
      <c r="I196" t="s">
        <v>879</v>
      </c>
      <c r="J196" t="s">
        <v>880</v>
      </c>
      <c r="K196" t="s">
        <v>21</v>
      </c>
      <c r="L196" t="s">
        <v>441</v>
      </c>
      <c r="M196" t="s">
        <v>23</v>
      </c>
      <c r="N196" t="s">
        <v>59</v>
      </c>
      <c r="O196" t="s">
        <v>60</v>
      </c>
      <c r="Q196" t="s">
        <v>891</v>
      </c>
      <c r="R196">
        <v>20782</v>
      </c>
      <c r="S196" t="s">
        <v>4301</v>
      </c>
    </row>
    <row r="197" spans="1:19" x14ac:dyDescent="0.25">
      <c r="A197" t="s">
        <v>878</v>
      </c>
      <c r="B197" t="s">
        <v>13</v>
      </c>
      <c r="C197" t="s">
        <v>14</v>
      </c>
      <c r="D197" t="s">
        <v>436</v>
      </c>
      <c r="E197" t="s">
        <v>16</v>
      </c>
      <c r="F197" t="s">
        <v>133</v>
      </c>
      <c r="G197" t="s">
        <v>192</v>
      </c>
      <c r="H197" t="s">
        <v>1727</v>
      </c>
      <c r="I197" t="s">
        <v>879</v>
      </c>
      <c r="J197" t="s">
        <v>880</v>
      </c>
      <c r="K197" t="s">
        <v>21</v>
      </c>
      <c r="L197" t="s">
        <v>441</v>
      </c>
      <c r="M197" t="s">
        <v>23</v>
      </c>
      <c r="N197" t="s">
        <v>134</v>
      </c>
      <c r="O197" t="s">
        <v>193</v>
      </c>
      <c r="Q197" t="s">
        <v>892</v>
      </c>
      <c r="R197">
        <v>207820</v>
      </c>
      <c r="S197" t="s">
        <v>4301</v>
      </c>
    </row>
    <row r="198" spans="1:19" x14ac:dyDescent="0.25">
      <c r="A198" t="s">
        <v>878</v>
      </c>
      <c r="B198" t="s">
        <v>13</v>
      </c>
      <c r="C198" t="s">
        <v>14</v>
      </c>
      <c r="D198" t="s">
        <v>436</v>
      </c>
      <c r="E198" t="s">
        <v>16</v>
      </c>
      <c r="F198" t="s">
        <v>133</v>
      </c>
      <c r="G198" t="s">
        <v>18</v>
      </c>
      <c r="H198" t="s">
        <v>1728</v>
      </c>
      <c r="I198" t="s">
        <v>879</v>
      </c>
      <c r="J198" t="s">
        <v>880</v>
      </c>
      <c r="K198" t="s">
        <v>21</v>
      </c>
      <c r="L198" t="s">
        <v>441</v>
      </c>
      <c r="M198" t="s">
        <v>23</v>
      </c>
      <c r="N198" t="s">
        <v>134</v>
      </c>
      <c r="O198" t="s">
        <v>25</v>
      </c>
      <c r="P198" t="s">
        <v>49</v>
      </c>
      <c r="Q198" t="s">
        <v>893</v>
      </c>
      <c r="R198">
        <v>250000</v>
      </c>
      <c r="S198" t="s">
        <v>4301</v>
      </c>
    </row>
    <row r="199" spans="1:19" x14ac:dyDescent="0.25">
      <c r="A199" t="s">
        <v>878</v>
      </c>
      <c r="B199" t="s">
        <v>13</v>
      </c>
      <c r="C199" t="s">
        <v>14</v>
      </c>
      <c r="D199" t="s">
        <v>436</v>
      </c>
      <c r="E199" t="s">
        <v>16</v>
      </c>
      <c r="F199" t="s">
        <v>133</v>
      </c>
      <c r="G199" t="s">
        <v>31</v>
      </c>
      <c r="H199" t="s">
        <v>1729</v>
      </c>
      <c r="I199" t="s">
        <v>879</v>
      </c>
      <c r="J199" t="s">
        <v>880</v>
      </c>
      <c r="K199" t="s">
        <v>21</v>
      </c>
      <c r="L199" t="s">
        <v>441</v>
      </c>
      <c r="M199" t="s">
        <v>23</v>
      </c>
      <c r="N199" t="s">
        <v>134</v>
      </c>
      <c r="O199" t="s">
        <v>32</v>
      </c>
      <c r="P199" t="s">
        <v>50</v>
      </c>
      <c r="Q199" t="s">
        <v>894</v>
      </c>
      <c r="R199">
        <v>250000</v>
      </c>
      <c r="S199" t="s">
        <v>4301</v>
      </c>
    </row>
    <row r="200" spans="1:19" x14ac:dyDescent="0.25">
      <c r="A200" t="s">
        <v>878</v>
      </c>
      <c r="B200" t="s">
        <v>13</v>
      </c>
      <c r="C200" t="s">
        <v>14</v>
      </c>
      <c r="D200" t="s">
        <v>436</v>
      </c>
      <c r="E200" t="s">
        <v>16</v>
      </c>
      <c r="F200" t="s">
        <v>133</v>
      </c>
      <c r="G200" t="s">
        <v>31</v>
      </c>
      <c r="H200" t="s">
        <v>1729</v>
      </c>
      <c r="I200" t="s">
        <v>879</v>
      </c>
      <c r="J200" t="s">
        <v>880</v>
      </c>
      <c r="K200" t="s">
        <v>21</v>
      </c>
      <c r="L200" t="s">
        <v>441</v>
      </c>
      <c r="M200" t="s">
        <v>23</v>
      </c>
      <c r="N200" t="s">
        <v>134</v>
      </c>
      <c r="O200" t="s">
        <v>32</v>
      </c>
      <c r="Q200" t="s">
        <v>895</v>
      </c>
      <c r="R200">
        <v>500000</v>
      </c>
      <c r="S200" t="s">
        <v>4301</v>
      </c>
    </row>
    <row r="201" spans="1:19" x14ac:dyDescent="0.25">
      <c r="A201" t="s">
        <v>878</v>
      </c>
      <c r="B201" t="s">
        <v>13</v>
      </c>
      <c r="C201" t="s">
        <v>14</v>
      </c>
      <c r="D201" t="s">
        <v>436</v>
      </c>
      <c r="E201" t="s">
        <v>16</v>
      </c>
      <c r="F201" t="s">
        <v>133</v>
      </c>
      <c r="G201" t="s">
        <v>31</v>
      </c>
      <c r="H201" t="s">
        <v>1729</v>
      </c>
      <c r="I201" t="s">
        <v>879</v>
      </c>
      <c r="J201" t="s">
        <v>880</v>
      </c>
      <c r="K201" t="s">
        <v>21</v>
      </c>
      <c r="L201" t="s">
        <v>441</v>
      </c>
      <c r="M201" t="s">
        <v>23</v>
      </c>
      <c r="N201" t="s">
        <v>134</v>
      </c>
      <c r="O201" t="s">
        <v>32</v>
      </c>
      <c r="P201" t="s">
        <v>135</v>
      </c>
      <c r="Q201" t="s">
        <v>896</v>
      </c>
      <c r="R201">
        <v>454302</v>
      </c>
      <c r="S201" t="s">
        <v>4301</v>
      </c>
    </row>
    <row r="202" spans="1:19" x14ac:dyDescent="0.25">
      <c r="A202" t="s">
        <v>878</v>
      </c>
      <c r="B202" t="s">
        <v>13</v>
      </c>
      <c r="C202" t="s">
        <v>14</v>
      </c>
      <c r="D202" t="s">
        <v>436</v>
      </c>
      <c r="E202" t="s">
        <v>16</v>
      </c>
      <c r="F202" t="s">
        <v>17</v>
      </c>
      <c r="G202" t="s">
        <v>178</v>
      </c>
      <c r="H202" t="s">
        <v>1730</v>
      </c>
      <c r="I202" t="s">
        <v>879</v>
      </c>
      <c r="J202" t="s">
        <v>880</v>
      </c>
      <c r="K202" t="s">
        <v>21</v>
      </c>
      <c r="L202" t="s">
        <v>441</v>
      </c>
      <c r="M202" t="s">
        <v>23</v>
      </c>
      <c r="N202" t="s">
        <v>24</v>
      </c>
      <c r="O202" t="s">
        <v>180</v>
      </c>
      <c r="Q202" t="s">
        <v>897</v>
      </c>
      <c r="R202">
        <v>2000000</v>
      </c>
      <c r="S202" t="s">
        <v>4301</v>
      </c>
    </row>
    <row r="203" spans="1:19" x14ac:dyDescent="0.25">
      <c r="A203" t="s">
        <v>878</v>
      </c>
      <c r="B203" t="s">
        <v>13</v>
      </c>
      <c r="C203" t="s">
        <v>14</v>
      </c>
      <c r="D203" t="s">
        <v>436</v>
      </c>
      <c r="E203" t="s">
        <v>16</v>
      </c>
      <c r="F203" t="s">
        <v>139</v>
      </c>
      <c r="G203" t="s">
        <v>80</v>
      </c>
      <c r="H203" t="s">
        <v>2181</v>
      </c>
      <c r="I203" t="s">
        <v>879</v>
      </c>
      <c r="J203" t="s">
        <v>880</v>
      </c>
      <c r="K203" t="s">
        <v>21</v>
      </c>
      <c r="L203" t="s">
        <v>441</v>
      </c>
      <c r="M203" t="s">
        <v>23</v>
      </c>
      <c r="N203" t="s">
        <v>143</v>
      </c>
      <c r="O203" t="s">
        <v>81</v>
      </c>
      <c r="Q203" t="s">
        <v>897</v>
      </c>
      <c r="R203">
        <v>3000000</v>
      </c>
      <c r="S203" t="s">
        <v>4301</v>
      </c>
    </row>
    <row r="204" spans="1:19" x14ac:dyDescent="0.25">
      <c r="A204" t="s">
        <v>551</v>
      </c>
      <c r="B204" t="s">
        <v>13</v>
      </c>
      <c r="C204" t="s">
        <v>14</v>
      </c>
      <c r="D204" t="s">
        <v>51</v>
      </c>
      <c r="E204" t="s">
        <v>16</v>
      </c>
      <c r="F204" t="s">
        <v>53</v>
      </c>
      <c r="G204" t="s">
        <v>31</v>
      </c>
      <c r="H204" t="s">
        <v>1731</v>
      </c>
      <c r="I204" t="s">
        <v>898</v>
      </c>
      <c r="J204" t="s">
        <v>899</v>
      </c>
      <c r="K204" t="s">
        <v>21</v>
      </c>
      <c r="L204" t="s">
        <v>57</v>
      </c>
      <c r="M204" t="s">
        <v>23</v>
      </c>
      <c r="N204" t="s">
        <v>59</v>
      </c>
      <c r="O204" t="s">
        <v>32</v>
      </c>
      <c r="P204" t="s">
        <v>93</v>
      </c>
      <c r="Q204" t="s">
        <v>900</v>
      </c>
      <c r="R204">
        <v>3361</v>
      </c>
      <c r="S204" t="s">
        <v>4301</v>
      </c>
    </row>
    <row r="205" spans="1:19" x14ac:dyDescent="0.25">
      <c r="A205" t="s">
        <v>551</v>
      </c>
      <c r="B205" t="s">
        <v>13</v>
      </c>
      <c r="C205" t="s">
        <v>14</v>
      </c>
      <c r="D205" t="s">
        <v>51</v>
      </c>
      <c r="E205" t="s">
        <v>16</v>
      </c>
      <c r="F205" t="s">
        <v>53</v>
      </c>
      <c r="G205" t="s">
        <v>54</v>
      </c>
      <c r="H205" t="s">
        <v>1732</v>
      </c>
      <c r="I205" t="s">
        <v>898</v>
      </c>
      <c r="J205" t="s">
        <v>899</v>
      </c>
      <c r="K205" t="s">
        <v>21</v>
      </c>
      <c r="L205" t="s">
        <v>57</v>
      </c>
      <c r="M205" t="s">
        <v>23</v>
      </c>
      <c r="N205" t="s">
        <v>59</v>
      </c>
      <c r="O205" t="s">
        <v>60</v>
      </c>
      <c r="P205" t="s">
        <v>903</v>
      </c>
      <c r="Q205" t="s">
        <v>904</v>
      </c>
      <c r="R205">
        <v>164000</v>
      </c>
      <c r="S205" t="s">
        <v>4301</v>
      </c>
    </row>
    <row r="206" spans="1:19" x14ac:dyDescent="0.25">
      <c r="A206" t="s">
        <v>551</v>
      </c>
      <c r="B206" t="s">
        <v>13</v>
      </c>
      <c r="C206" t="s">
        <v>14</v>
      </c>
      <c r="D206" t="s">
        <v>51</v>
      </c>
      <c r="E206" t="s">
        <v>16</v>
      </c>
      <c r="F206" t="s">
        <v>53</v>
      </c>
      <c r="G206" t="s">
        <v>54</v>
      </c>
      <c r="H206" t="s">
        <v>1732</v>
      </c>
      <c r="I206" t="s">
        <v>898</v>
      </c>
      <c r="J206" t="s">
        <v>899</v>
      </c>
      <c r="K206" t="s">
        <v>21</v>
      </c>
      <c r="L206" t="s">
        <v>57</v>
      </c>
      <c r="M206" t="s">
        <v>23</v>
      </c>
      <c r="N206" t="s">
        <v>59</v>
      </c>
      <c r="O206" t="s">
        <v>60</v>
      </c>
      <c r="P206" t="s">
        <v>61</v>
      </c>
      <c r="Q206" t="s">
        <v>905</v>
      </c>
      <c r="R206">
        <v>3371440</v>
      </c>
      <c r="S206" t="s">
        <v>4301</v>
      </c>
    </row>
    <row r="207" spans="1:19" x14ac:dyDescent="0.25">
      <c r="A207" t="s">
        <v>551</v>
      </c>
      <c r="B207" t="s">
        <v>13</v>
      </c>
      <c r="C207" t="s">
        <v>14</v>
      </c>
      <c r="D207" t="s">
        <v>312</v>
      </c>
      <c r="E207" t="s">
        <v>52</v>
      </c>
      <c r="F207" t="s">
        <v>133</v>
      </c>
      <c r="G207" t="s">
        <v>18</v>
      </c>
      <c r="H207" t="s">
        <v>1733</v>
      </c>
      <c r="I207" t="s">
        <v>898</v>
      </c>
      <c r="J207" t="s">
        <v>899</v>
      </c>
      <c r="K207" t="s">
        <v>21</v>
      </c>
      <c r="L207" t="s">
        <v>313</v>
      </c>
      <c r="M207" t="s">
        <v>58</v>
      </c>
      <c r="N207" t="s">
        <v>134</v>
      </c>
      <c r="O207" t="s">
        <v>25</v>
      </c>
      <c r="P207" t="s">
        <v>39</v>
      </c>
      <c r="Q207" t="s">
        <v>900</v>
      </c>
      <c r="R207">
        <v>500</v>
      </c>
      <c r="S207" t="s">
        <v>4301</v>
      </c>
    </row>
    <row r="208" spans="1:19" x14ac:dyDescent="0.25">
      <c r="A208" t="s">
        <v>551</v>
      </c>
      <c r="B208" t="s">
        <v>13</v>
      </c>
      <c r="C208" t="s">
        <v>14</v>
      </c>
      <c r="D208" t="s">
        <v>312</v>
      </c>
      <c r="E208" t="s">
        <v>52</v>
      </c>
      <c r="F208" t="s">
        <v>133</v>
      </c>
      <c r="G208" t="s">
        <v>80</v>
      </c>
      <c r="H208" t="s">
        <v>1734</v>
      </c>
      <c r="I208" t="s">
        <v>898</v>
      </c>
      <c r="J208" t="s">
        <v>899</v>
      </c>
      <c r="K208" t="s">
        <v>21</v>
      </c>
      <c r="L208" t="s">
        <v>313</v>
      </c>
      <c r="M208" t="s">
        <v>58</v>
      </c>
      <c r="N208" t="s">
        <v>134</v>
      </c>
      <c r="O208" t="s">
        <v>81</v>
      </c>
      <c r="P208" t="s">
        <v>224</v>
      </c>
      <c r="Q208" t="s">
        <v>900</v>
      </c>
      <c r="R208">
        <v>500</v>
      </c>
      <c r="S208" t="s">
        <v>4301</v>
      </c>
    </row>
    <row r="209" spans="1:19" x14ac:dyDescent="0.25">
      <c r="A209" t="s">
        <v>906</v>
      </c>
      <c r="B209" t="s">
        <v>13</v>
      </c>
      <c r="C209" t="s">
        <v>14</v>
      </c>
      <c r="D209" t="s">
        <v>15</v>
      </c>
      <c r="E209" t="s">
        <v>437</v>
      </c>
      <c r="F209" t="s">
        <v>438</v>
      </c>
      <c r="G209" t="s">
        <v>31</v>
      </c>
      <c r="H209" t="s">
        <v>2182</v>
      </c>
      <c r="I209" t="s">
        <v>907</v>
      </c>
      <c r="J209" t="s">
        <v>908</v>
      </c>
      <c r="K209" t="s">
        <v>21</v>
      </c>
      <c r="L209" t="s">
        <v>22</v>
      </c>
      <c r="M209" t="s">
        <v>442</v>
      </c>
      <c r="N209" t="s">
        <v>443</v>
      </c>
      <c r="O209" t="s">
        <v>32</v>
      </c>
      <c r="P209" t="s">
        <v>65</v>
      </c>
      <c r="Q209">
        <v>0</v>
      </c>
      <c r="R209">
        <v>1</v>
      </c>
      <c r="S209" t="s">
        <v>4301</v>
      </c>
    </row>
    <row r="210" spans="1:19" x14ac:dyDescent="0.25">
      <c r="A210" t="s">
        <v>906</v>
      </c>
      <c r="B210" t="s">
        <v>13</v>
      </c>
      <c r="C210" t="s">
        <v>14</v>
      </c>
      <c r="D210" t="s">
        <v>15</v>
      </c>
      <c r="E210" t="s">
        <v>16</v>
      </c>
      <c r="F210" t="s">
        <v>139</v>
      </c>
      <c r="G210" t="s">
        <v>18</v>
      </c>
      <c r="H210" t="s">
        <v>2183</v>
      </c>
      <c r="I210" t="s">
        <v>907</v>
      </c>
      <c r="J210" t="s">
        <v>908</v>
      </c>
      <c r="K210" t="s">
        <v>21</v>
      </c>
      <c r="L210" t="s">
        <v>22</v>
      </c>
      <c r="M210" t="s">
        <v>23</v>
      </c>
      <c r="N210" t="s">
        <v>143</v>
      </c>
      <c r="O210" t="s">
        <v>25</v>
      </c>
      <c r="P210" t="s">
        <v>39</v>
      </c>
      <c r="Q210">
        <v>0</v>
      </c>
      <c r="R210">
        <v>1</v>
      </c>
      <c r="S210" t="s">
        <v>4301</v>
      </c>
    </row>
    <row r="211" spans="1:19" x14ac:dyDescent="0.25">
      <c r="A211" t="s">
        <v>906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80</v>
      </c>
      <c r="H211" t="s">
        <v>1735</v>
      </c>
      <c r="I211" t="s">
        <v>907</v>
      </c>
      <c r="J211" t="s">
        <v>908</v>
      </c>
      <c r="K211" t="s">
        <v>21</v>
      </c>
      <c r="L211" t="s">
        <v>22</v>
      </c>
      <c r="M211" t="s">
        <v>23</v>
      </c>
      <c r="N211" t="s">
        <v>24</v>
      </c>
      <c r="O211" t="s">
        <v>81</v>
      </c>
      <c r="P211" t="s">
        <v>224</v>
      </c>
      <c r="R211">
        <v>50000</v>
      </c>
      <c r="S211" t="s">
        <v>4301</v>
      </c>
    </row>
    <row r="212" spans="1:19" x14ac:dyDescent="0.25">
      <c r="A212" t="s">
        <v>906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80</v>
      </c>
      <c r="H212" t="s">
        <v>1735</v>
      </c>
      <c r="I212" t="s">
        <v>907</v>
      </c>
      <c r="J212" t="s">
        <v>908</v>
      </c>
      <c r="K212" t="s">
        <v>21</v>
      </c>
      <c r="L212" t="s">
        <v>22</v>
      </c>
      <c r="M212" t="s">
        <v>23</v>
      </c>
      <c r="N212" t="s">
        <v>24</v>
      </c>
      <c r="O212" t="s">
        <v>81</v>
      </c>
      <c r="P212" t="s">
        <v>82</v>
      </c>
      <c r="Q212">
        <v>0</v>
      </c>
      <c r="R212">
        <v>60000</v>
      </c>
      <c r="S212" t="s">
        <v>4301</v>
      </c>
    </row>
    <row r="213" spans="1:19" x14ac:dyDescent="0.25">
      <c r="A213" t="s">
        <v>906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80</v>
      </c>
      <c r="H213" t="s">
        <v>1735</v>
      </c>
      <c r="I213" t="s">
        <v>907</v>
      </c>
      <c r="J213" t="s">
        <v>908</v>
      </c>
      <c r="K213" t="s">
        <v>21</v>
      </c>
      <c r="L213" t="s">
        <v>22</v>
      </c>
      <c r="M213" t="s">
        <v>23</v>
      </c>
      <c r="N213" t="s">
        <v>24</v>
      </c>
      <c r="O213" t="s">
        <v>81</v>
      </c>
      <c r="P213" t="s">
        <v>42</v>
      </c>
      <c r="Q213">
        <v>0</v>
      </c>
      <c r="R213">
        <v>20000</v>
      </c>
      <c r="S213" t="s">
        <v>4301</v>
      </c>
    </row>
    <row r="214" spans="1:19" x14ac:dyDescent="0.25">
      <c r="A214" t="s">
        <v>906</v>
      </c>
      <c r="B214" t="s">
        <v>659</v>
      </c>
      <c r="C214" t="s">
        <v>14</v>
      </c>
      <c r="D214" t="s">
        <v>312</v>
      </c>
      <c r="E214" t="s">
        <v>16</v>
      </c>
      <c r="F214" t="s">
        <v>133</v>
      </c>
      <c r="G214" t="s">
        <v>31</v>
      </c>
      <c r="H214" t="s">
        <v>1736</v>
      </c>
      <c r="I214" t="s">
        <v>907</v>
      </c>
      <c r="J214" t="s">
        <v>909</v>
      </c>
      <c r="K214" t="s">
        <v>21</v>
      </c>
      <c r="L214" t="s">
        <v>313</v>
      </c>
      <c r="M214" t="s">
        <v>23</v>
      </c>
      <c r="N214" t="s">
        <v>134</v>
      </c>
      <c r="O214" t="s">
        <v>32</v>
      </c>
      <c r="P214" t="s">
        <v>160</v>
      </c>
      <c r="Q214">
        <v>0</v>
      </c>
      <c r="R214">
        <v>1</v>
      </c>
      <c r="S214" t="s">
        <v>4301</v>
      </c>
    </row>
    <row r="215" spans="1:19" x14ac:dyDescent="0.25">
      <c r="A215" t="s">
        <v>906</v>
      </c>
      <c r="B215" t="s">
        <v>659</v>
      </c>
      <c r="C215" t="s">
        <v>14</v>
      </c>
      <c r="D215" t="s">
        <v>15</v>
      </c>
      <c r="E215" t="s">
        <v>16</v>
      </c>
      <c r="F215" t="s">
        <v>133</v>
      </c>
      <c r="G215" t="s">
        <v>18</v>
      </c>
      <c r="H215" t="s">
        <v>1737</v>
      </c>
      <c r="I215" t="s">
        <v>907</v>
      </c>
      <c r="J215" t="s">
        <v>909</v>
      </c>
      <c r="K215" t="s">
        <v>21</v>
      </c>
      <c r="L215" t="s">
        <v>22</v>
      </c>
      <c r="M215" t="s">
        <v>23</v>
      </c>
      <c r="N215" t="s">
        <v>134</v>
      </c>
      <c r="O215" t="s">
        <v>25</v>
      </c>
      <c r="P215" t="s">
        <v>49</v>
      </c>
      <c r="R215">
        <v>8000</v>
      </c>
      <c r="S215" t="s">
        <v>4301</v>
      </c>
    </row>
    <row r="216" spans="1:19" x14ac:dyDescent="0.25">
      <c r="A216" t="s">
        <v>910</v>
      </c>
      <c r="B216" t="s">
        <v>13</v>
      </c>
      <c r="C216" t="s">
        <v>610</v>
      </c>
      <c r="D216" t="s">
        <v>913</v>
      </c>
      <c r="E216" t="s">
        <v>391</v>
      </c>
      <c r="F216" t="s">
        <v>686</v>
      </c>
      <c r="G216" t="s">
        <v>152</v>
      </c>
      <c r="H216" t="s">
        <v>1738</v>
      </c>
      <c r="I216" t="s">
        <v>911</v>
      </c>
      <c r="J216" t="s">
        <v>912</v>
      </c>
      <c r="K216" t="s">
        <v>914</v>
      </c>
      <c r="L216" t="s">
        <v>915</v>
      </c>
      <c r="N216" t="s">
        <v>688</v>
      </c>
      <c r="O216" t="s">
        <v>154</v>
      </c>
      <c r="P216" t="s">
        <v>155</v>
      </c>
      <c r="Q216" t="s">
        <v>916</v>
      </c>
      <c r="R216">
        <v>4400000</v>
      </c>
      <c r="S216" t="s">
        <v>4301</v>
      </c>
    </row>
    <row r="217" spans="1:19" x14ac:dyDescent="0.25">
      <c r="A217" t="s">
        <v>910</v>
      </c>
      <c r="B217" t="s">
        <v>13</v>
      </c>
      <c r="C217" t="s">
        <v>610</v>
      </c>
      <c r="D217" t="s">
        <v>913</v>
      </c>
      <c r="E217" t="s">
        <v>391</v>
      </c>
      <c r="F217" t="s">
        <v>686</v>
      </c>
      <c r="G217" t="s">
        <v>40</v>
      </c>
      <c r="H217" t="s">
        <v>1739</v>
      </c>
      <c r="I217" t="s">
        <v>911</v>
      </c>
      <c r="J217" t="s">
        <v>912</v>
      </c>
      <c r="K217" t="s">
        <v>914</v>
      </c>
      <c r="L217" t="s">
        <v>915</v>
      </c>
      <c r="N217" t="s">
        <v>688</v>
      </c>
      <c r="O217" t="s">
        <v>41</v>
      </c>
      <c r="P217" t="s">
        <v>705</v>
      </c>
      <c r="Q217" t="s">
        <v>917</v>
      </c>
      <c r="R217">
        <v>27753.97</v>
      </c>
      <c r="S217" t="s">
        <v>4301</v>
      </c>
    </row>
    <row r="218" spans="1:19" x14ac:dyDescent="0.25">
      <c r="A218" t="s">
        <v>910</v>
      </c>
      <c r="B218" t="s">
        <v>13</v>
      </c>
      <c r="C218" t="s">
        <v>610</v>
      </c>
      <c r="D218" t="s">
        <v>913</v>
      </c>
      <c r="E218" t="s">
        <v>391</v>
      </c>
      <c r="F218" t="s">
        <v>686</v>
      </c>
      <c r="G218" t="s">
        <v>152</v>
      </c>
      <c r="H218" t="s">
        <v>1738</v>
      </c>
      <c r="I218" t="s">
        <v>911</v>
      </c>
      <c r="J218" t="s">
        <v>912</v>
      </c>
      <c r="K218" t="s">
        <v>914</v>
      </c>
      <c r="L218" t="s">
        <v>915</v>
      </c>
      <c r="N218" t="s">
        <v>688</v>
      </c>
      <c r="O218" t="s">
        <v>154</v>
      </c>
      <c r="P218" t="s">
        <v>536</v>
      </c>
      <c r="Q218" t="s">
        <v>918</v>
      </c>
      <c r="R218">
        <v>760000</v>
      </c>
      <c r="S218" t="s">
        <v>4301</v>
      </c>
    </row>
    <row r="219" spans="1:19" x14ac:dyDescent="0.25">
      <c r="A219" t="s">
        <v>919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1740</v>
      </c>
      <c r="I219" t="s">
        <v>920</v>
      </c>
      <c r="J219" t="s">
        <v>921</v>
      </c>
      <c r="K219" t="s">
        <v>21</v>
      </c>
      <c r="L219" t="s">
        <v>22</v>
      </c>
      <c r="M219" t="s">
        <v>23</v>
      </c>
      <c r="N219" t="s">
        <v>24</v>
      </c>
      <c r="O219" t="s">
        <v>25</v>
      </c>
      <c r="P219" t="s">
        <v>26</v>
      </c>
      <c r="Q219" t="s">
        <v>922</v>
      </c>
      <c r="R219">
        <v>1500</v>
      </c>
      <c r="S219" t="s">
        <v>4301</v>
      </c>
    </row>
    <row r="220" spans="1:19" x14ac:dyDescent="0.25">
      <c r="A220" t="s">
        <v>919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1740</v>
      </c>
      <c r="I220" t="s">
        <v>920</v>
      </c>
      <c r="J220" t="s">
        <v>921</v>
      </c>
      <c r="K220" t="s">
        <v>21</v>
      </c>
      <c r="L220" t="s">
        <v>22</v>
      </c>
      <c r="M220" t="s">
        <v>23</v>
      </c>
      <c r="N220" t="s">
        <v>24</v>
      </c>
      <c r="O220" t="s">
        <v>25</v>
      </c>
      <c r="P220" t="s">
        <v>28</v>
      </c>
      <c r="Q220" t="s">
        <v>922</v>
      </c>
      <c r="R220">
        <v>20000</v>
      </c>
      <c r="S220" t="s">
        <v>4301</v>
      </c>
    </row>
    <row r="221" spans="1:19" x14ac:dyDescent="0.25">
      <c r="A221" t="s">
        <v>919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1740</v>
      </c>
      <c r="I221" t="s">
        <v>920</v>
      </c>
      <c r="J221" t="s">
        <v>921</v>
      </c>
      <c r="K221" t="s">
        <v>21</v>
      </c>
      <c r="L221" t="s">
        <v>22</v>
      </c>
      <c r="M221" t="s">
        <v>23</v>
      </c>
      <c r="N221" t="s">
        <v>24</v>
      </c>
      <c r="O221" t="s">
        <v>25</v>
      </c>
      <c r="P221" t="s">
        <v>29</v>
      </c>
      <c r="Q221" t="s">
        <v>922</v>
      </c>
      <c r="R221">
        <v>15000</v>
      </c>
      <c r="S221" t="s">
        <v>4301</v>
      </c>
    </row>
    <row r="222" spans="1:19" x14ac:dyDescent="0.25">
      <c r="A222" t="s">
        <v>919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1740</v>
      </c>
      <c r="I222" t="s">
        <v>920</v>
      </c>
      <c r="J222" t="s">
        <v>921</v>
      </c>
      <c r="K222" t="s">
        <v>21</v>
      </c>
      <c r="L222" t="s">
        <v>22</v>
      </c>
      <c r="M222" t="s">
        <v>23</v>
      </c>
      <c r="N222" t="s">
        <v>24</v>
      </c>
      <c r="O222" t="s">
        <v>25</v>
      </c>
      <c r="P222" t="s">
        <v>30</v>
      </c>
      <c r="Q222" t="s">
        <v>922</v>
      </c>
      <c r="R222">
        <v>15000</v>
      </c>
      <c r="S222" t="s">
        <v>4301</v>
      </c>
    </row>
    <row r="223" spans="1:19" x14ac:dyDescent="0.25">
      <c r="A223" t="s">
        <v>919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1740</v>
      </c>
      <c r="I223" t="s">
        <v>920</v>
      </c>
      <c r="J223" t="s">
        <v>921</v>
      </c>
      <c r="K223" t="s">
        <v>21</v>
      </c>
      <c r="L223" t="s">
        <v>22</v>
      </c>
      <c r="M223" t="s">
        <v>23</v>
      </c>
      <c r="N223" t="s">
        <v>24</v>
      </c>
      <c r="O223" t="s">
        <v>25</v>
      </c>
      <c r="P223" t="s">
        <v>89</v>
      </c>
      <c r="Q223" t="s">
        <v>922</v>
      </c>
      <c r="R223">
        <v>25000</v>
      </c>
      <c r="S223" t="s">
        <v>4301</v>
      </c>
    </row>
    <row r="224" spans="1:19" x14ac:dyDescent="0.25">
      <c r="A224" t="s">
        <v>919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1740</v>
      </c>
      <c r="I224" t="s">
        <v>920</v>
      </c>
      <c r="J224" t="s">
        <v>921</v>
      </c>
      <c r="K224" t="s">
        <v>21</v>
      </c>
      <c r="L224" t="s">
        <v>22</v>
      </c>
      <c r="M224" t="s">
        <v>23</v>
      </c>
      <c r="N224" t="s">
        <v>24</v>
      </c>
      <c r="O224" t="s">
        <v>25</v>
      </c>
      <c r="P224" t="s">
        <v>87</v>
      </c>
      <c r="Q224" t="s">
        <v>923</v>
      </c>
      <c r="R224">
        <v>50000</v>
      </c>
      <c r="S224" t="s">
        <v>4301</v>
      </c>
    </row>
    <row r="225" spans="1:19" x14ac:dyDescent="0.25">
      <c r="A225" t="s">
        <v>919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1740</v>
      </c>
      <c r="I225" t="s">
        <v>920</v>
      </c>
      <c r="J225" t="s">
        <v>921</v>
      </c>
      <c r="K225" t="s">
        <v>21</v>
      </c>
      <c r="L225" t="s">
        <v>22</v>
      </c>
      <c r="M225" t="s">
        <v>23</v>
      </c>
      <c r="N225" t="s">
        <v>24</v>
      </c>
      <c r="O225" t="s">
        <v>25</v>
      </c>
      <c r="P225" t="s">
        <v>49</v>
      </c>
      <c r="Q225" t="s">
        <v>924</v>
      </c>
      <c r="R225">
        <v>30000</v>
      </c>
      <c r="S225" t="s">
        <v>4301</v>
      </c>
    </row>
    <row r="226" spans="1:19" x14ac:dyDescent="0.25">
      <c r="A226" t="s">
        <v>919</v>
      </c>
      <c r="B226" t="s">
        <v>13</v>
      </c>
      <c r="C226" t="s">
        <v>14</v>
      </c>
      <c r="D226" t="s">
        <v>769</v>
      </c>
      <c r="E226" t="s">
        <v>643</v>
      </c>
      <c r="F226" t="s">
        <v>133</v>
      </c>
      <c r="G226" t="s">
        <v>31</v>
      </c>
      <c r="H226" t="s">
        <v>1741</v>
      </c>
      <c r="I226" t="s">
        <v>920</v>
      </c>
      <c r="J226" t="s">
        <v>921</v>
      </c>
      <c r="K226" t="s">
        <v>21</v>
      </c>
      <c r="L226" t="s">
        <v>771</v>
      </c>
      <c r="M226" t="s">
        <v>645</v>
      </c>
      <c r="N226" t="s">
        <v>134</v>
      </c>
      <c r="O226" t="s">
        <v>32</v>
      </c>
      <c r="P226" t="s">
        <v>925</v>
      </c>
      <c r="Q226" t="s">
        <v>926</v>
      </c>
      <c r="R226">
        <v>50000</v>
      </c>
      <c r="S226" t="s">
        <v>4301</v>
      </c>
    </row>
    <row r="227" spans="1:19" x14ac:dyDescent="0.25">
      <c r="A227" t="s">
        <v>919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80</v>
      </c>
      <c r="H227" t="s">
        <v>1742</v>
      </c>
      <c r="I227" t="s">
        <v>920</v>
      </c>
      <c r="J227" t="s">
        <v>921</v>
      </c>
      <c r="K227" t="s">
        <v>21</v>
      </c>
      <c r="L227" t="s">
        <v>22</v>
      </c>
      <c r="M227" t="s">
        <v>23</v>
      </c>
      <c r="N227" t="s">
        <v>24</v>
      </c>
      <c r="O227" t="s">
        <v>81</v>
      </c>
      <c r="P227" t="s">
        <v>82</v>
      </c>
      <c r="Q227" t="s">
        <v>927</v>
      </c>
      <c r="R227">
        <v>20000</v>
      </c>
      <c r="S227" t="s">
        <v>4301</v>
      </c>
    </row>
    <row r="228" spans="1:19" x14ac:dyDescent="0.25">
      <c r="A228" t="s">
        <v>919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31</v>
      </c>
      <c r="H228" t="s">
        <v>1743</v>
      </c>
      <c r="I228" t="s">
        <v>920</v>
      </c>
      <c r="J228" t="s">
        <v>921</v>
      </c>
      <c r="K228" t="s">
        <v>21</v>
      </c>
      <c r="L228" t="s">
        <v>22</v>
      </c>
      <c r="M228" t="s">
        <v>23</v>
      </c>
      <c r="N228" t="s">
        <v>24</v>
      </c>
      <c r="O228" t="s">
        <v>32</v>
      </c>
      <c r="P228" t="s">
        <v>44</v>
      </c>
      <c r="Q228" t="s">
        <v>928</v>
      </c>
      <c r="R228">
        <v>15000</v>
      </c>
      <c r="S228" t="s">
        <v>4301</v>
      </c>
    </row>
    <row r="229" spans="1:19" x14ac:dyDescent="0.25">
      <c r="A229" t="s">
        <v>919</v>
      </c>
      <c r="B229" t="s">
        <v>13</v>
      </c>
      <c r="C229" t="s">
        <v>14</v>
      </c>
      <c r="D229" t="s">
        <v>121</v>
      </c>
      <c r="E229" t="s">
        <v>16</v>
      </c>
      <c r="F229" t="s">
        <v>122</v>
      </c>
      <c r="G229" t="s">
        <v>31</v>
      </c>
      <c r="H229" t="s">
        <v>1744</v>
      </c>
      <c r="I229" t="s">
        <v>920</v>
      </c>
      <c r="J229" t="s">
        <v>921</v>
      </c>
      <c r="K229" t="s">
        <v>21</v>
      </c>
      <c r="L229" t="s">
        <v>124</v>
      </c>
      <c r="M229" t="s">
        <v>23</v>
      </c>
      <c r="N229" t="s">
        <v>125</v>
      </c>
      <c r="O229" t="s">
        <v>32</v>
      </c>
      <c r="P229" t="s">
        <v>557</v>
      </c>
      <c r="Q229" t="s">
        <v>929</v>
      </c>
      <c r="R229">
        <v>50000</v>
      </c>
      <c r="S229" t="s">
        <v>4301</v>
      </c>
    </row>
    <row r="230" spans="1:19" x14ac:dyDescent="0.25">
      <c r="A230" t="s">
        <v>919</v>
      </c>
      <c r="B230" t="s">
        <v>13</v>
      </c>
      <c r="C230" t="s">
        <v>14</v>
      </c>
      <c r="D230" t="s">
        <v>769</v>
      </c>
      <c r="E230" t="s">
        <v>52</v>
      </c>
      <c r="F230" t="s">
        <v>122</v>
      </c>
      <c r="G230" t="s">
        <v>930</v>
      </c>
      <c r="H230" t="s">
        <v>1745</v>
      </c>
      <c r="I230" t="s">
        <v>920</v>
      </c>
      <c r="J230" t="s">
        <v>921</v>
      </c>
      <c r="K230" t="s">
        <v>21</v>
      </c>
      <c r="L230" t="s">
        <v>771</v>
      </c>
      <c r="M230" t="s">
        <v>58</v>
      </c>
      <c r="N230" t="s">
        <v>125</v>
      </c>
      <c r="O230" t="s">
        <v>931</v>
      </c>
      <c r="Q230" t="s">
        <v>932</v>
      </c>
      <c r="R230">
        <v>300000</v>
      </c>
      <c r="S230" t="s">
        <v>4301</v>
      </c>
    </row>
    <row r="231" spans="1:19" x14ac:dyDescent="0.25">
      <c r="A231" t="s">
        <v>919</v>
      </c>
      <c r="B231" t="s">
        <v>13</v>
      </c>
      <c r="C231" t="s">
        <v>14</v>
      </c>
      <c r="D231" t="s">
        <v>769</v>
      </c>
      <c r="E231" t="s">
        <v>643</v>
      </c>
      <c r="F231" t="s">
        <v>133</v>
      </c>
      <c r="G231" t="s">
        <v>31</v>
      </c>
      <c r="H231" t="s">
        <v>1741</v>
      </c>
      <c r="I231" t="s">
        <v>920</v>
      </c>
      <c r="J231" t="s">
        <v>921</v>
      </c>
      <c r="K231" t="s">
        <v>21</v>
      </c>
      <c r="L231" t="s">
        <v>771</v>
      </c>
      <c r="M231" t="s">
        <v>645</v>
      </c>
      <c r="N231" t="s">
        <v>134</v>
      </c>
      <c r="O231" t="s">
        <v>32</v>
      </c>
      <c r="P231" t="s">
        <v>50</v>
      </c>
      <c r="Q231" t="s">
        <v>933</v>
      </c>
      <c r="R231">
        <v>90000</v>
      </c>
      <c r="S231" t="s">
        <v>4301</v>
      </c>
    </row>
    <row r="232" spans="1:19" x14ac:dyDescent="0.25">
      <c r="A232" t="s">
        <v>919</v>
      </c>
      <c r="B232" t="s">
        <v>13</v>
      </c>
      <c r="C232" t="s">
        <v>610</v>
      </c>
      <c r="D232" t="s">
        <v>934</v>
      </c>
      <c r="E232" t="s">
        <v>695</v>
      </c>
      <c r="F232" t="s">
        <v>935</v>
      </c>
      <c r="G232" t="s">
        <v>80</v>
      </c>
      <c r="H232" t="s">
        <v>1746</v>
      </c>
      <c r="I232" t="s">
        <v>920</v>
      </c>
      <c r="J232" t="s">
        <v>921</v>
      </c>
      <c r="K232" t="s">
        <v>914</v>
      </c>
      <c r="L232" t="s">
        <v>936</v>
      </c>
      <c r="M232" t="s">
        <v>699</v>
      </c>
      <c r="N232" t="s">
        <v>937</v>
      </c>
      <c r="O232" t="s">
        <v>81</v>
      </c>
      <c r="P232" t="s">
        <v>82</v>
      </c>
      <c r="Q232" t="s">
        <v>938</v>
      </c>
      <c r="R232">
        <v>50000</v>
      </c>
      <c r="S232" t="s">
        <v>4301</v>
      </c>
    </row>
    <row r="233" spans="1:19" x14ac:dyDescent="0.25">
      <c r="A233" t="s">
        <v>919</v>
      </c>
      <c r="B233" t="s">
        <v>13</v>
      </c>
      <c r="C233" t="s">
        <v>610</v>
      </c>
      <c r="D233" t="s">
        <v>934</v>
      </c>
      <c r="E233" t="s">
        <v>695</v>
      </c>
      <c r="F233" t="s">
        <v>139</v>
      </c>
      <c r="G233" t="s">
        <v>31</v>
      </c>
      <c r="H233" t="s">
        <v>2184</v>
      </c>
      <c r="I233" t="s">
        <v>920</v>
      </c>
      <c r="J233" t="s">
        <v>921</v>
      </c>
      <c r="K233" t="s">
        <v>914</v>
      </c>
      <c r="L233" t="s">
        <v>936</v>
      </c>
      <c r="M233" t="s">
        <v>699</v>
      </c>
      <c r="N233" t="s">
        <v>143</v>
      </c>
      <c r="O233" t="s">
        <v>32</v>
      </c>
      <c r="P233" t="s">
        <v>33</v>
      </c>
      <c r="Q233" t="s">
        <v>939</v>
      </c>
      <c r="R233">
        <v>50000</v>
      </c>
      <c r="S233" t="s">
        <v>4301</v>
      </c>
    </row>
    <row r="234" spans="1:19" x14ac:dyDescent="0.25">
      <c r="A234" t="s">
        <v>919</v>
      </c>
      <c r="B234" t="s">
        <v>13</v>
      </c>
      <c r="C234" t="s">
        <v>610</v>
      </c>
      <c r="D234" t="s">
        <v>312</v>
      </c>
      <c r="E234" t="s">
        <v>52</v>
      </c>
      <c r="F234" t="s">
        <v>133</v>
      </c>
      <c r="G234" t="s">
        <v>31</v>
      </c>
      <c r="H234" t="s">
        <v>1747</v>
      </c>
      <c r="I234" t="s">
        <v>920</v>
      </c>
      <c r="J234" t="s">
        <v>921</v>
      </c>
      <c r="K234" t="s">
        <v>914</v>
      </c>
      <c r="L234" t="s">
        <v>313</v>
      </c>
      <c r="M234" t="s">
        <v>58</v>
      </c>
      <c r="N234" t="s">
        <v>134</v>
      </c>
      <c r="O234" t="s">
        <v>32</v>
      </c>
      <c r="P234" t="s">
        <v>160</v>
      </c>
      <c r="Q234" t="s">
        <v>940</v>
      </c>
      <c r="R234">
        <v>100000</v>
      </c>
      <c r="S234" t="s">
        <v>4301</v>
      </c>
    </row>
    <row r="235" spans="1:19" x14ac:dyDescent="0.25">
      <c r="A235" t="s">
        <v>919</v>
      </c>
      <c r="B235" t="s">
        <v>13</v>
      </c>
      <c r="C235" t="s">
        <v>610</v>
      </c>
      <c r="D235" t="s">
        <v>312</v>
      </c>
      <c r="E235" t="s">
        <v>52</v>
      </c>
      <c r="F235" t="s">
        <v>133</v>
      </c>
      <c r="G235" t="s">
        <v>31</v>
      </c>
      <c r="H235" t="s">
        <v>1747</v>
      </c>
      <c r="I235" t="s">
        <v>920</v>
      </c>
      <c r="J235" t="s">
        <v>921</v>
      </c>
      <c r="K235" t="s">
        <v>914</v>
      </c>
      <c r="L235" t="s">
        <v>313</v>
      </c>
      <c r="M235" t="s">
        <v>58</v>
      </c>
      <c r="N235" t="s">
        <v>134</v>
      </c>
      <c r="O235" t="s">
        <v>32</v>
      </c>
      <c r="P235" t="s">
        <v>135</v>
      </c>
      <c r="Q235" t="s">
        <v>941</v>
      </c>
      <c r="R235">
        <v>50000</v>
      </c>
      <c r="S235" t="s">
        <v>4301</v>
      </c>
    </row>
    <row r="236" spans="1:19" x14ac:dyDescent="0.25">
      <c r="A236" t="s">
        <v>919</v>
      </c>
      <c r="B236" t="s">
        <v>13</v>
      </c>
      <c r="C236" t="s">
        <v>610</v>
      </c>
      <c r="D236" t="s">
        <v>769</v>
      </c>
      <c r="E236" t="s">
        <v>695</v>
      </c>
      <c r="F236" t="s">
        <v>935</v>
      </c>
      <c r="G236" t="s">
        <v>192</v>
      </c>
      <c r="H236" t="s">
        <v>1748</v>
      </c>
      <c r="I236" t="s">
        <v>920</v>
      </c>
      <c r="J236" t="s">
        <v>921</v>
      </c>
      <c r="K236" t="s">
        <v>914</v>
      </c>
      <c r="L236" t="s">
        <v>771</v>
      </c>
      <c r="M236" t="s">
        <v>699</v>
      </c>
      <c r="N236" t="s">
        <v>937</v>
      </c>
      <c r="O236" t="s">
        <v>193</v>
      </c>
      <c r="Q236" t="s">
        <v>942</v>
      </c>
      <c r="R236">
        <v>100000</v>
      </c>
      <c r="S236" t="s">
        <v>4301</v>
      </c>
    </row>
    <row r="237" spans="1:19" x14ac:dyDescent="0.25">
      <c r="A237" t="s">
        <v>919</v>
      </c>
      <c r="B237" t="s">
        <v>13</v>
      </c>
      <c r="C237" t="s">
        <v>610</v>
      </c>
      <c r="D237" t="s">
        <v>769</v>
      </c>
      <c r="E237" t="s">
        <v>643</v>
      </c>
      <c r="F237" t="s">
        <v>133</v>
      </c>
      <c r="G237" t="s">
        <v>131</v>
      </c>
      <c r="H237" t="s">
        <v>1749</v>
      </c>
      <c r="I237" t="s">
        <v>920</v>
      </c>
      <c r="J237" t="s">
        <v>921</v>
      </c>
      <c r="K237" t="s">
        <v>914</v>
      </c>
      <c r="L237" t="s">
        <v>771</v>
      </c>
      <c r="M237" t="s">
        <v>645</v>
      </c>
      <c r="N237" t="s">
        <v>134</v>
      </c>
      <c r="O237" t="s">
        <v>132</v>
      </c>
      <c r="Q237" t="s">
        <v>943</v>
      </c>
      <c r="R237">
        <v>50000</v>
      </c>
      <c r="S237" t="s">
        <v>4301</v>
      </c>
    </row>
    <row r="238" spans="1:19" x14ac:dyDescent="0.25">
      <c r="A238" t="s">
        <v>919</v>
      </c>
      <c r="B238" t="s">
        <v>13</v>
      </c>
      <c r="C238" t="s">
        <v>610</v>
      </c>
      <c r="D238" t="s">
        <v>769</v>
      </c>
      <c r="E238" t="s">
        <v>643</v>
      </c>
      <c r="F238" t="s">
        <v>133</v>
      </c>
      <c r="G238" t="s">
        <v>31</v>
      </c>
      <c r="H238" t="s">
        <v>1750</v>
      </c>
      <c r="I238" t="s">
        <v>920</v>
      </c>
      <c r="J238" t="s">
        <v>921</v>
      </c>
      <c r="K238" t="s">
        <v>914</v>
      </c>
      <c r="L238" t="s">
        <v>771</v>
      </c>
      <c r="M238" t="s">
        <v>645</v>
      </c>
      <c r="N238" t="s">
        <v>134</v>
      </c>
      <c r="O238" t="s">
        <v>32</v>
      </c>
      <c r="P238" t="s">
        <v>557</v>
      </c>
      <c r="Q238" t="s">
        <v>943</v>
      </c>
      <c r="R238">
        <v>200000</v>
      </c>
      <c r="S238" t="s">
        <v>4301</v>
      </c>
    </row>
    <row r="239" spans="1:19" x14ac:dyDescent="0.25">
      <c r="A239" t="s">
        <v>919</v>
      </c>
      <c r="B239" t="s">
        <v>13</v>
      </c>
      <c r="C239" t="s">
        <v>610</v>
      </c>
      <c r="D239" t="s">
        <v>769</v>
      </c>
      <c r="E239" t="s">
        <v>643</v>
      </c>
      <c r="F239" t="s">
        <v>133</v>
      </c>
      <c r="G239" t="s">
        <v>31</v>
      </c>
      <c r="H239" t="s">
        <v>1750</v>
      </c>
      <c r="I239" t="s">
        <v>920</v>
      </c>
      <c r="J239" t="s">
        <v>921</v>
      </c>
      <c r="K239" t="s">
        <v>914</v>
      </c>
      <c r="L239" t="s">
        <v>771</v>
      </c>
      <c r="M239" t="s">
        <v>645</v>
      </c>
      <c r="N239" t="s">
        <v>134</v>
      </c>
      <c r="O239" t="s">
        <v>32</v>
      </c>
      <c r="P239" t="s">
        <v>135</v>
      </c>
      <c r="Q239" t="s">
        <v>944</v>
      </c>
      <c r="R239">
        <v>100000</v>
      </c>
      <c r="S239" t="s">
        <v>4301</v>
      </c>
    </row>
    <row r="240" spans="1:19" x14ac:dyDescent="0.25">
      <c r="A240" t="s">
        <v>919</v>
      </c>
      <c r="B240" t="s">
        <v>13</v>
      </c>
      <c r="C240" t="s">
        <v>610</v>
      </c>
      <c r="D240" t="s">
        <v>769</v>
      </c>
      <c r="E240" t="s">
        <v>643</v>
      </c>
      <c r="F240" t="s">
        <v>133</v>
      </c>
      <c r="G240" t="s">
        <v>18</v>
      </c>
      <c r="H240" t="s">
        <v>1751</v>
      </c>
      <c r="I240" t="s">
        <v>920</v>
      </c>
      <c r="J240" t="s">
        <v>921</v>
      </c>
      <c r="K240" t="s">
        <v>914</v>
      </c>
      <c r="L240" t="s">
        <v>771</v>
      </c>
      <c r="M240" t="s">
        <v>645</v>
      </c>
      <c r="N240" t="s">
        <v>134</v>
      </c>
      <c r="O240" t="s">
        <v>25</v>
      </c>
      <c r="P240" t="s">
        <v>49</v>
      </c>
      <c r="Q240" t="s">
        <v>945</v>
      </c>
      <c r="R240">
        <v>30000</v>
      </c>
      <c r="S240" t="s">
        <v>4301</v>
      </c>
    </row>
    <row r="241" spans="1:19" x14ac:dyDescent="0.25">
      <c r="A241" t="s">
        <v>919</v>
      </c>
      <c r="B241" t="s">
        <v>13</v>
      </c>
      <c r="C241" t="s">
        <v>610</v>
      </c>
      <c r="D241" t="s">
        <v>769</v>
      </c>
      <c r="E241" t="s">
        <v>52</v>
      </c>
      <c r="F241" t="s">
        <v>17</v>
      </c>
      <c r="G241" t="s">
        <v>73</v>
      </c>
      <c r="H241" t="s">
        <v>1752</v>
      </c>
      <c r="I241" t="s">
        <v>920</v>
      </c>
      <c r="J241" t="s">
        <v>921</v>
      </c>
      <c r="K241" t="s">
        <v>914</v>
      </c>
      <c r="L241" t="s">
        <v>771</v>
      </c>
      <c r="M241" t="s">
        <v>58</v>
      </c>
      <c r="N241" t="s">
        <v>24</v>
      </c>
      <c r="O241" t="s">
        <v>74</v>
      </c>
      <c r="Q241" t="s">
        <v>922</v>
      </c>
      <c r="R241">
        <v>20000</v>
      </c>
      <c r="S241" t="s">
        <v>4301</v>
      </c>
    </row>
    <row r="242" spans="1:19" x14ac:dyDescent="0.25">
      <c r="A242" t="s">
        <v>919</v>
      </c>
      <c r="B242" t="s">
        <v>13</v>
      </c>
      <c r="C242" t="s">
        <v>610</v>
      </c>
      <c r="D242" t="s">
        <v>769</v>
      </c>
      <c r="E242" t="s">
        <v>52</v>
      </c>
      <c r="F242" t="s">
        <v>17</v>
      </c>
      <c r="G242" t="s">
        <v>31</v>
      </c>
      <c r="H242" t="s">
        <v>1753</v>
      </c>
      <c r="I242" t="s">
        <v>920</v>
      </c>
      <c r="J242" t="s">
        <v>921</v>
      </c>
      <c r="K242" t="s">
        <v>914</v>
      </c>
      <c r="L242" t="s">
        <v>771</v>
      </c>
      <c r="M242" t="s">
        <v>58</v>
      </c>
      <c r="N242" t="s">
        <v>24</v>
      </c>
      <c r="O242" t="s">
        <v>32</v>
      </c>
      <c r="P242" t="s">
        <v>557</v>
      </c>
      <c r="Q242" t="s">
        <v>946</v>
      </c>
      <c r="R242">
        <v>20000</v>
      </c>
      <c r="S242" t="s">
        <v>4301</v>
      </c>
    </row>
    <row r="243" spans="1:19" x14ac:dyDescent="0.25">
      <c r="A243" t="s">
        <v>948</v>
      </c>
      <c r="B243" t="s">
        <v>13</v>
      </c>
      <c r="C243" t="s">
        <v>14</v>
      </c>
      <c r="D243" t="s">
        <v>312</v>
      </c>
      <c r="E243" t="s">
        <v>16</v>
      </c>
      <c r="F243" t="s">
        <v>133</v>
      </c>
      <c r="G243" t="s">
        <v>31</v>
      </c>
      <c r="H243" t="s">
        <v>1754</v>
      </c>
      <c r="I243" t="s">
        <v>949</v>
      </c>
      <c r="J243" t="s">
        <v>950</v>
      </c>
      <c r="K243" t="s">
        <v>21</v>
      </c>
      <c r="L243" t="s">
        <v>313</v>
      </c>
      <c r="M243" t="s">
        <v>23</v>
      </c>
      <c r="N243" t="s">
        <v>134</v>
      </c>
      <c r="O243" t="s">
        <v>32</v>
      </c>
      <c r="P243" t="s">
        <v>135</v>
      </c>
      <c r="R243">
        <v>70000</v>
      </c>
      <c r="S243" t="s">
        <v>4301</v>
      </c>
    </row>
    <row r="244" spans="1:19" x14ac:dyDescent="0.25">
      <c r="A244" t="s">
        <v>957</v>
      </c>
      <c r="B244" t="s">
        <v>13</v>
      </c>
      <c r="C244" t="s">
        <v>14</v>
      </c>
      <c r="D244" t="s">
        <v>15</v>
      </c>
      <c r="E244" t="s">
        <v>16</v>
      </c>
      <c r="F244" t="s">
        <v>127</v>
      </c>
      <c r="G244" t="s">
        <v>69</v>
      </c>
      <c r="H244" t="s">
        <v>1755</v>
      </c>
      <c r="I244" t="s">
        <v>958</v>
      </c>
      <c r="J244" t="s">
        <v>959</v>
      </c>
      <c r="K244" t="s">
        <v>21</v>
      </c>
      <c r="L244" t="s">
        <v>22</v>
      </c>
      <c r="M244" t="s">
        <v>23</v>
      </c>
      <c r="N244" t="s">
        <v>130</v>
      </c>
      <c r="O244" t="s">
        <v>70</v>
      </c>
      <c r="P244" t="s">
        <v>71</v>
      </c>
      <c r="R244">
        <v>1500</v>
      </c>
      <c r="S244" t="s">
        <v>4301</v>
      </c>
    </row>
    <row r="245" spans="1:19" x14ac:dyDescent="0.25">
      <c r="A245" t="s">
        <v>1002</v>
      </c>
      <c r="B245" t="s">
        <v>13</v>
      </c>
      <c r="C245" t="s">
        <v>14</v>
      </c>
      <c r="D245" t="s">
        <v>121</v>
      </c>
      <c r="E245" t="s">
        <v>636</v>
      </c>
      <c r="F245" t="s">
        <v>182</v>
      </c>
      <c r="G245" t="s">
        <v>31</v>
      </c>
      <c r="H245" t="s">
        <v>2185</v>
      </c>
      <c r="I245" t="s">
        <v>1003</v>
      </c>
      <c r="J245" t="s">
        <v>1004</v>
      </c>
      <c r="K245" t="s">
        <v>21</v>
      </c>
      <c r="L245" t="s">
        <v>124</v>
      </c>
      <c r="M245" t="s">
        <v>640</v>
      </c>
      <c r="N245" t="s">
        <v>183</v>
      </c>
      <c r="O245" t="s">
        <v>32</v>
      </c>
      <c r="Q245" t="s">
        <v>1011</v>
      </c>
      <c r="R245">
        <v>43200</v>
      </c>
      <c r="S245" t="s">
        <v>4301</v>
      </c>
    </row>
    <row r="246" spans="1:19" x14ac:dyDescent="0.25">
      <c r="A246" t="s">
        <v>1002</v>
      </c>
      <c r="B246" t="s">
        <v>13</v>
      </c>
      <c r="C246" t="s">
        <v>165</v>
      </c>
      <c r="D246" t="s">
        <v>1012</v>
      </c>
      <c r="E246" t="s">
        <v>636</v>
      </c>
      <c r="F246" t="s">
        <v>139</v>
      </c>
      <c r="G246" t="s">
        <v>31</v>
      </c>
      <c r="H246" t="s">
        <v>2186</v>
      </c>
      <c r="I246" t="s">
        <v>1003</v>
      </c>
      <c r="J246" t="s">
        <v>1004</v>
      </c>
      <c r="K246" t="s">
        <v>638</v>
      </c>
      <c r="L246" t="s">
        <v>1013</v>
      </c>
      <c r="M246" t="s">
        <v>640</v>
      </c>
      <c r="N246" t="s">
        <v>143</v>
      </c>
      <c r="O246" t="s">
        <v>32</v>
      </c>
      <c r="Q246" t="s">
        <v>1031</v>
      </c>
      <c r="R246">
        <v>50000</v>
      </c>
      <c r="S246" t="s">
        <v>4301</v>
      </c>
    </row>
    <row r="247" spans="1:19" x14ac:dyDescent="0.25">
      <c r="A247" t="s">
        <v>1002</v>
      </c>
      <c r="B247" t="s">
        <v>13</v>
      </c>
      <c r="C247" t="s">
        <v>165</v>
      </c>
      <c r="D247" t="s">
        <v>1012</v>
      </c>
      <c r="E247" t="s">
        <v>636</v>
      </c>
      <c r="F247" t="s">
        <v>139</v>
      </c>
      <c r="G247" t="s">
        <v>31</v>
      </c>
      <c r="H247" t="s">
        <v>2186</v>
      </c>
      <c r="I247" t="s">
        <v>1003</v>
      </c>
      <c r="J247" t="s">
        <v>1004</v>
      </c>
      <c r="K247" t="s">
        <v>638</v>
      </c>
      <c r="L247" t="s">
        <v>1013</v>
      </c>
      <c r="M247" t="s">
        <v>640</v>
      </c>
      <c r="N247" t="s">
        <v>143</v>
      </c>
      <c r="O247" t="s">
        <v>32</v>
      </c>
      <c r="Q247" t="s">
        <v>1032</v>
      </c>
      <c r="R247">
        <v>12000</v>
      </c>
      <c r="S247" t="s">
        <v>4301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bf00c3-5018-4398-977d-c9fb58563b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F9BC279DA99548A6AE8F1EE56237AA" ma:contentTypeVersion="15" ma:contentTypeDescription="Crie um novo documento." ma:contentTypeScope="" ma:versionID="47bf9e8a4094a4dc78991fa321c67877">
  <xsd:schema xmlns:xsd="http://www.w3.org/2001/XMLSchema" xmlns:xs="http://www.w3.org/2001/XMLSchema" xmlns:p="http://schemas.microsoft.com/office/2006/metadata/properties" xmlns:ns3="22bf00c3-5018-4398-977d-c9fb58563b78" xmlns:ns4="a8b3ddbd-3d4d-4fd7-ab8d-6a994bbd32ac" targetNamespace="http://schemas.microsoft.com/office/2006/metadata/properties" ma:root="true" ma:fieldsID="715fd5baad3f6a8b9849b6efc3b96d09" ns3:_="" ns4:_="">
    <xsd:import namespace="22bf00c3-5018-4398-977d-c9fb58563b78"/>
    <xsd:import namespace="a8b3ddbd-3d4d-4fd7-ab8d-6a994bbd32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f00c3-5018-4398-977d-c9fb58563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3ddbd-3d4d-4fd7-ab8d-6a994bbd32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689F9-1C82-4031-97A1-A3E5BAC9812D}">
  <ds:schemaRefs>
    <ds:schemaRef ds:uri="http://purl.org/dc/elements/1.1/"/>
    <ds:schemaRef ds:uri="a8b3ddbd-3d4d-4fd7-ab8d-6a994bbd32ac"/>
    <ds:schemaRef ds:uri="22bf00c3-5018-4398-977d-c9fb58563b78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8450711-2E2C-4ADC-97F0-4B9815EC87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1833C5-06AA-4C1A-8025-D65E22250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bf00c3-5018-4398-977d-c9fb58563b78"/>
    <ds:schemaRef ds:uri="a8b3ddbd-3d4d-4fd7-ab8d-6a994bb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ConsolidadoLoa27_ATIVIDADES</vt:lpstr>
      <vt:lpstr>LDO 2027</vt:lpstr>
      <vt:lpstr>Planilha3</vt:lpstr>
      <vt:lpstr>Planilha1</vt:lpstr>
      <vt:lpstr>Programática que não tem na LDO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Alexsandro Cruz da Silva</dc:creator>
  <cp:keywords/>
  <dc:description/>
  <cp:lastModifiedBy>Ricardo Elito de Souza</cp:lastModifiedBy>
  <cp:revision/>
  <dcterms:created xsi:type="dcterms:W3CDTF">2026-07-23T17:58:44Z</dcterms:created>
  <dcterms:modified xsi:type="dcterms:W3CDTF">2026-08-03T18:39:50Z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0x01010070F9BC279DA99548A6AE8F1EE56237AA</vt:lpwstr>
  </property>
</Properties>
</file>